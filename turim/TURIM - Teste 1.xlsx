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Valter\Desktop\"/>
    </mc:Choice>
  </mc:AlternateContent>
  <xr:revisionPtr revIDLastSave="0" documentId="13_ncr:1_{54D44A9E-32BB-42F7-AEAD-C2A091606AEB}" xr6:coauthVersionLast="44" xr6:coauthVersionMax="44" xr10:uidLastSave="{00000000-0000-0000-0000-000000000000}"/>
  <bookViews>
    <workbookView xWindow="28680" yWindow="-120" windowWidth="29040" windowHeight="15720" xr2:uid="{00000000-000D-0000-FFFF-FFFF00000000}"/>
  </bookViews>
  <sheets>
    <sheet name="Compras" sheetId="1" r:id="rId1"/>
    <sheet name="KM" sheetId="2" r:id="rId2"/>
    <sheet name="IMPOSTO" sheetId="3" r:id="rId3"/>
  </sheets>
  <definedNames>
    <definedName name="_xlnm._FilterDatabase" localSheetId="0" hidden="1">Compras!$A$17:$AI$17</definedName>
    <definedName name="_xlnm._FilterDatabase" localSheetId="2" hidden="1">IMPOSTO!$A$1:$D$1459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7" roundtripDataChecksum="qcnhvMUEVDFZlb1xk6MrHj349VicBQFLIdYLqQjzEng="/>
    </ext>
  </extLst>
</workbook>
</file>

<file path=xl/calcChain.xml><?xml version="1.0" encoding="utf-8"?>
<calcChain xmlns="http://schemas.openxmlformats.org/spreadsheetml/2006/main">
  <c r="AD13" i="1" l="1"/>
  <c r="AD12" i="1"/>
  <c r="AD11" i="1"/>
  <c r="AD10" i="1"/>
  <c r="AD9" i="1"/>
  <c r="AD8" i="1"/>
  <c r="AD7" i="1"/>
  <c r="AC1437" i="1"/>
  <c r="AC19" i="1"/>
  <c r="AD19" i="1"/>
  <c r="AE19" i="1"/>
  <c r="AF19" i="1"/>
  <c r="AG19" i="1"/>
  <c r="AH19" i="1"/>
  <c r="AI19" i="1"/>
  <c r="AC20" i="1"/>
  <c r="AD20" i="1"/>
  <c r="AE20" i="1"/>
  <c r="AF20" i="1"/>
  <c r="AG20" i="1"/>
  <c r="AH20" i="1"/>
  <c r="AI20" i="1"/>
  <c r="AC21" i="1"/>
  <c r="AD21" i="1"/>
  <c r="AE21" i="1"/>
  <c r="AF21" i="1"/>
  <c r="AG21" i="1"/>
  <c r="AH21" i="1"/>
  <c r="AI21" i="1"/>
  <c r="AC22" i="1"/>
  <c r="AD22" i="1"/>
  <c r="AE22" i="1"/>
  <c r="AF22" i="1"/>
  <c r="AG22" i="1"/>
  <c r="AH22" i="1"/>
  <c r="AI22" i="1"/>
  <c r="AC23" i="1"/>
  <c r="AD23" i="1"/>
  <c r="AE23" i="1"/>
  <c r="AF23" i="1"/>
  <c r="AG23" i="1"/>
  <c r="AH23" i="1"/>
  <c r="AI23" i="1"/>
  <c r="AC24" i="1"/>
  <c r="AD24" i="1"/>
  <c r="AE24" i="1"/>
  <c r="AF24" i="1"/>
  <c r="AG24" i="1"/>
  <c r="AH24" i="1"/>
  <c r="AI24" i="1"/>
  <c r="AC25" i="1"/>
  <c r="AD25" i="1"/>
  <c r="AE25" i="1"/>
  <c r="AF25" i="1"/>
  <c r="AG25" i="1"/>
  <c r="AH25" i="1"/>
  <c r="AI25" i="1"/>
  <c r="AC26" i="1"/>
  <c r="AD26" i="1"/>
  <c r="AE26" i="1"/>
  <c r="AF26" i="1"/>
  <c r="AG26" i="1"/>
  <c r="AH26" i="1"/>
  <c r="AI26" i="1"/>
  <c r="AC27" i="1"/>
  <c r="AD27" i="1"/>
  <c r="AE27" i="1"/>
  <c r="AF27" i="1"/>
  <c r="AG27" i="1"/>
  <c r="AH27" i="1"/>
  <c r="AI27" i="1"/>
  <c r="AC28" i="1"/>
  <c r="AD28" i="1"/>
  <c r="AE28" i="1"/>
  <c r="AF28" i="1"/>
  <c r="AG28" i="1"/>
  <c r="AH28" i="1"/>
  <c r="AI28" i="1"/>
  <c r="AC29" i="1"/>
  <c r="AD29" i="1"/>
  <c r="AE29" i="1"/>
  <c r="AF29" i="1"/>
  <c r="AG29" i="1"/>
  <c r="AH29" i="1"/>
  <c r="AI29" i="1"/>
  <c r="AC30" i="1"/>
  <c r="AD30" i="1"/>
  <c r="AE30" i="1"/>
  <c r="AF30" i="1"/>
  <c r="AG30" i="1"/>
  <c r="AH30" i="1"/>
  <c r="AI30" i="1"/>
  <c r="AC31" i="1"/>
  <c r="AD31" i="1"/>
  <c r="AE31" i="1"/>
  <c r="AF31" i="1"/>
  <c r="AG31" i="1"/>
  <c r="AH31" i="1"/>
  <c r="AI31" i="1"/>
  <c r="AC32" i="1"/>
  <c r="AD32" i="1"/>
  <c r="AE32" i="1"/>
  <c r="AF32" i="1"/>
  <c r="AG32" i="1"/>
  <c r="AH32" i="1"/>
  <c r="AI32" i="1"/>
  <c r="AC33" i="1"/>
  <c r="AD33" i="1"/>
  <c r="AE33" i="1"/>
  <c r="AF33" i="1"/>
  <c r="AG33" i="1"/>
  <c r="AH33" i="1"/>
  <c r="AI33" i="1"/>
  <c r="AC34" i="1"/>
  <c r="AD34" i="1"/>
  <c r="AE34" i="1"/>
  <c r="AF34" i="1"/>
  <c r="AG34" i="1"/>
  <c r="AH34" i="1"/>
  <c r="AI34" i="1"/>
  <c r="AC35" i="1"/>
  <c r="AD35" i="1"/>
  <c r="AE35" i="1"/>
  <c r="AF35" i="1"/>
  <c r="AG35" i="1"/>
  <c r="AH35" i="1"/>
  <c r="AI35" i="1"/>
  <c r="AC36" i="1"/>
  <c r="AD36" i="1"/>
  <c r="AE36" i="1"/>
  <c r="AF36" i="1"/>
  <c r="AG36" i="1"/>
  <c r="AH36" i="1"/>
  <c r="AI36" i="1"/>
  <c r="AC37" i="1"/>
  <c r="AD37" i="1"/>
  <c r="AE37" i="1"/>
  <c r="AF37" i="1"/>
  <c r="AG37" i="1"/>
  <c r="AH37" i="1"/>
  <c r="AI37" i="1"/>
  <c r="AC38" i="1"/>
  <c r="AD38" i="1"/>
  <c r="AE38" i="1"/>
  <c r="AF38" i="1"/>
  <c r="AG38" i="1"/>
  <c r="AH38" i="1"/>
  <c r="AI38" i="1"/>
  <c r="AC39" i="1"/>
  <c r="AD39" i="1"/>
  <c r="AE39" i="1"/>
  <c r="AF39" i="1"/>
  <c r="AG39" i="1"/>
  <c r="AH39" i="1"/>
  <c r="AI39" i="1"/>
  <c r="AC40" i="1"/>
  <c r="AD40" i="1"/>
  <c r="AE40" i="1"/>
  <c r="AF40" i="1"/>
  <c r="AG40" i="1"/>
  <c r="AH40" i="1"/>
  <c r="AI40" i="1"/>
  <c r="AC41" i="1"/>
  <c r="AD41" i="1"/>
  <c r="AE41" i="1"/>
  <c r="AF41" i="1"/>
  <c r="AG41" i="1"/>
  <c r="AH41" i="1"/>
  <c r="AI41" i="1"/>
  <c r="AC42" i="1"/>
  <c r="AD42" i="1"/>
  <c r="AE42" i="1"/>
  <c r="AF42" i="1"/>
  <c r="AG42" i="1"/>
  <c r="AH42" i="1"/>
  <c r="AI42" i="1"/>
  <c r="AC43" i="1"/>
  <c r="AD43" i="1"/>
  <c r="AE43" i="1"/>
  <c r="AF43" i="1"/>
  <c r="AG43" i="1"/>
  <c r="AH43" i="1"/>
  <c r="AI43" i="1"/>
  <c r="AC44" i="1"/>
  <c r="AD44" i="1"/>
  <c r="AE44" i="1"/>
  <c r="AF44" i="1"/>
  <c r="AG44" i="1"/>
  <c r="AH44" i="1"/>
  <c r="AI44" i="1"/>
  <c r="AC45" i="1"/>
  <c r="AD45" i="1"/>
  <c r="AE45" i="1"/>
  <c r="AF45" i="1"/>
  <c r="AG45" i="1"/>
  <c r="AH45" i="1"/>
  <c r="AI45" i="1"/>
  <c r="AC46" i="1"/>
  <c r="AD46" i="1"/>
  <c r="AE46" i="1"/>
  <c r="AF46" i="1"/>
  <c r="AG46" i="1"/>
  <c r="AH46" i="1"/>
  <c r="AI46" i="1"/>
  <c r="AC47" i="1"/>
  <c r="AD47" i="1"/>
  <c r="AE47" i="1"/>
  <c r="AF47" i="1"/>
  <c r="AG47" i="1"/>
  <c r="AH47" i="1"/>
  <c r="AI47" i="1"/>
  <c r="AC48" i="1"/>
  <c r="AD48" i="1"/>
  <c r="AE48" i="1"/>
  <c r="AF48" i="1"/>
  <c r="AG48" i="1"/>
  <c r="AH48" i="1"/>
  <c r="AI48" i="1"/>
  <c r="AC49" i="1"/>
  <c r="AD49" i="1"/>
  <c r="AE49" i="1"/>
  <c r="AF49" i="1"/>
  <c r="AG49" i="1"/>
  <c r="AH49" i="1"/>
  <c r="AI49" i="1"/>
  <c r="AC50" i="1"/>
  <c r="AD50" i="1"/>
  <c r="AE50" i="1"/>
  <c r="AF50" i="1"/>
  <c r="AG50" i="1"/>
  <c r="AH50" i="1"/>
  <c r="AI50" i="1"/>
  <c r="AC51" i="1"/>
  <c r="AD51" i="1"/>
  <c r="AE51" i="1"/>
  <c r="AF51" i="1"/>
  <c r="AG51" i="1"/>
  <c r="AH51" i="1"/>
  <c r="AI51" i="1"/>
  <c r="AC52" i="1"/>
  <c r="AD52" i="1"/>
  <c r="AE52" i="1"/>
  <c r="AF52" i="1"/>
  <c r="AG52" i="1"/>
  <c r="AH52" i="1"/>
  <c r="AI52" i="1"/>
  <c r="AC53" i="1"/>
  <c r="AD53" i="1"/>
  <c r="AE53" i="1"/>
  <c r="AF53" i="1"/>
  <c r="AG53" i="1"/>
  <c r="AH53" i="1"/>
  <c r="AI53" i="1"/>
  <c r="AC54" i="1"/>
  <c r="AD54" i="1"/>
  <c r="AE54" i="1"/>
  <c r="AF54" i="1"/>
  <c r="AG54" i="1"/>
  <c r="AH54" i="1"/>
  <c r="AI54" i="1"/>
  <c r="AC55" i="1"/>
  <c r="AD55" i="1"/>
  <c r="AE55" i="1"/>
  <c r="AF55" i="1"/>
  <c r="AG55" i="1"/>
  <c r="AH55" i="1"/>
  <c r="AI55" i="1"/>
  <c r="AC56" i="1"/>
  <c r="AD56" i="1"/>
  <c r="AE56" i="1"/>
  <c r="AF56" i="1"/>
  <c r="AG56" i="1"/>
  <c r="AH56" i="1"/>
  <c r="AI56" i="1"/>
  <c r="AC57" i="1"/>
  <c r="AD57" i="1"/>
  <c r="AE57" i="1"/>
  <c r="AF57" i="1"/>
  <c r="AG57" i="1"/>
  <c r="AH57" i="1"/>
  <c r="AI57" i="1"/>
  <c r="AC58" i="1"/>
  <c r="AD58" i="1"/>
  <c r="AE58" i="1"/>
  <c r="AF58" i="1"/>
  <c r="AG58" i="1"/>
  <c r="AH58" i="1"/>
  <c r="AI58" i="1"/>
  <c r="AC59" i="1"/>
  <c r="AD59" i="1"/>
  <c r="AE59" i="1"/>
  <c r="AF59" i="1"/>
  <c r="AG59" i="1"/>
  <c r="AH59" i="1"/>
  <c r="AI59" i="1"/>
  <c r="AC60" i="1"/>
  <c r="AD60" i="1"/>
  <c r="AE60" i="1"/>
  <c r="AF60" i="1"/>
  <c r="AG60" i="1"/>
  <c r="AH60" i="1"/>
  <c r="AI60" i="1"/>
  <c r="AC61" i="1"/>
  <c r="AD61" i="1"/>
  <c r="AE61" i="1"/>
  <c r="AF61" i="1"/>
  <c r="AG61" i="1"/>
  <c r="AH61" i="1"/>
  <c r="AI61" i="1"/>
  <c r="AC62" i="1"/>
  <c r="AD62" i="1"/>
  <c r="AE62" i="1"/>
  <c r="AF62" i="1"/>
  <c r="AG62" i="1"/>
  <c r="AH62" i="1"/>
  <c r="AI62" i="1"/>
  <c r="AC63" i="1"/>
  <c r="AD63" i="1"/>
  <c r="AE63" i="1"/>
  <c r="AF63" i="1"/>
  <c r="AG63" i="1"/>
  <c r="AH63" i="1"/>
  <c r="AI63" i="1"/>
  <c r="AC64" i="1"/>
  <c r="AD64" i="1"/>
  <c r="AE64" i="1"/>
  <c r="AF64" i="1"/>
  <c r="AG64" i="1"/>
  <c r="AH64" i="1"/>
  <c r="AI64" i="1"/>
  <c r="AC65" i="1"/>
  <c r="AD65" i="1"/>
  <c r="AE65" i="1"/>
  <c r="AF65" i="1"/>
  <c r="AG65" i="1"/>
  <c r="AH65" i="1"/>
  <c r="AI65" i="1"/>
  <c r="AC66" i="1"/>
  <c r="AD66" i="1"/>
  <c r="AE66" i="1"/>
  <c r="AF66" i="1"/>
  <c r="AG66" i="1"/>
  <c r="AH66" i="1"/>
  <c r="AI66" i="1"/>
  <c r="AC67" i="1"/>
  <c r="AD67" i="1"/>
  <c r="AE67" i="1"/>
  <c r="AF67" i="1"/>
  <c r="AG67" i="1"/>
  <c r="AH67" i="1"/>
  <c r="AI67" i="1"/>
  <c r="AC68" i="1"/>
  <c r="AD68" i="1"/>
  <c r="AE68" i="1"/>
  <c r="AF68" i="1"/>
  <c r="AG68" i="1"/>
  <c r="AH68" i="1"/>
  <c r="AI68" i="1"/>
  <c r="AC69" i="1"/>
  <c r="AD69" i="1"/>
  <c r="AE69" i="1"/>
  <c r="AF69" i="1"/>
  <c r="AG69" i="1"/>
  <c r="AH69" i="1"/>
  <c r="AI69" i="1"/>
  <c r="AC70" i="1"/>
  <c r="AD70" i="1"/>
  <c r="AE70" i="1"/>
  <c r="AF70" i="1"/>
  <c r="AG70" i="1"/>
  <c r="AH70" i="1"/>
  <c r="AI70" i="1"/>
  <c r="AC71" i="1"/>
  <c r="AD71" i="1"/>
  <c r="AE71" i="1"/>
  <c r="AF71" i="1"/>
  <c r="AG71" i="1"/>
  <c r="AH71" i="1"/>
  <c r="AI71" i="1"/>
  <c r="AC72" i="1"/>
  <c r="AD72" i="1"/>
  <c r="AE72" i="1"/>
  <c r="AF72" i="1"/>
  <c r="AG72" i="1"/>
  <c r="AH72" i="1"/>
  <c r="AI72" i="1"/>
  <c r="AC73" i="1"/>
  <c r="AD73" i="1"/>
  <c r="AE73" i="1"/>
  <c r="AF73" i="1"/>
  <c r="AG73" i="1"/>
  <c r="AH73" i="1"/>
  <c r="AI73" i="1"/>
  <c r="AC74" i="1"/>
  <c r="AD74" i="1"/>
  <c r="AE74" i="1"/>
  <c r="AF74" i="1"/>
  <c r="AG74" i="1"/>
  <c r="AH74" i="1"/>
  <c r="AI74" i="1"/>
  <c r="AC75" i="1"/>
  <c r="AD75" i="1"/>
  <c r="AE75" i="1"/>
  <c r="AF75" i="1"/>
  <c r="AG75" i="1"/>
  <c r="AH75" i="1"/>
  <c r="AI75" i="1"/>
  <c r="AC76" i="1"/>
  <c r="AD76" i="1"/>
  <c r="AE76" i="1"/>
  <c r="AF76" i="1"/>
  <c r="AG76" i="1"/>
  <c r="AH76" i="1"/>
  <c r="AI76" i="1"/>
  <c r="AC77" i="1"/>
  <c r="AD77" i="1"/>
  <c r="AE77" i="1"/>
  <c r="AF77" i="1"/>
  <c r="AG77" i="1"/>
  <c r="AH77" i="1"/>
  <c r="AI77" i="1"/>
  <c r="AC78" i="1"/>
  <c r="AD78" i="1"/>
  <c r="AE78" i="1"/>
  <c r="AF78" i="1"/>
  <c r="AG78" i="1"/>
  <c r="AH78" i="1"/>
  <c r="AI78" i="1"/>
  <c r="AC79" i="1"/>
  <c r="AD79" i="1"/>
  <c r="AE79" i="1"/>
  <c r="AF79" i="1"/>
  <c r="AG79" i="1"/>
  <c r="AH79" i="1"/>
  <c r="AI79" i="1"/>
  <c r="AC80" i="1"/>
  <c r="AD80" i="1"/>
  <c r="AE80" i="1"/>
  <c r="AF80" i="1"/>
  <c r="AG80" i="1"/>
  <c r="AH80" i="1"/>
  <c r="AI80" i="1"/>
  <c r="AC81" i="1"/>
  <c r="AD81" i="1"/>
  <c r="AE81" i="1"/>
  <c r="AF81" i="1"/>
  <c r="AG81" i="1"/>
  <c r="AH81" i="1"/>
  <c r="AI81" i="1"/>
  <c r="AC82" i="1"/>
  <c r="AD82" i="1"/>
  <c r="AE82" i="1"/>
  <c r="AF82" i="1"/>
  <c r="AG82" i="1"/>
  <c r="AH82" i="1"/>
  <c r="AI82" i="1"/>
  <c r="AC83" i="1"/>
  <c r="AD83" i="1"/>
  <c r="AE83" i="1"/>
  <c r="AF83" i="1"/>
  <c r="AG83" i="1"/>
  <c r="AH83" i="1"/>
  <c r="AI83" i="1"/>
  <c r="AC84" i="1"/>
  <c r="AD84" i="1"/>
  <c r="AE84" i="1"/>
  <c r="AF84" i="1"/>
  <c r="AG84" i="1"/>
  <c r="AH84" i="1"/>
  <c r="AI84" i="1"/>
  <c r="AC85" i="1"/>
  <c r="AD85" i="1"/>
  <c r="AE85" i="1"/>
  <c r="AF85" i="1"/>
  <c r="AG85" i="1"/>
  <c r="AH85" i="1"/>
  <c r="AI85" i="1"/>
  <c r="AC86" i="1"/>
  <c r="AD86" i="1"/>
  <c r="AE86" i="1"/>
  <c r="AF86" i="1"/>
  <c r="AG86" i="1"/>
  <c r="AH86" i="1"/>
  <c r="AI86" i="1"/>
  <c r="AC87" i="1"/>
  <c r="AD87" i="1"/>
  <c r="AE87" i="1"/>
  <c r="AF87" i="1"/>
  <c r="AG87" i="1"/>
  <c r="AH87" i="1"/>
  <c r="AI87" i="1"/>
  <c r="AC88" i="1"/>
  <c r="AD88" i="1"/>
  <c r="AE88" i="1"/>
  <c r="AF88" i="1"/>
  <c r="AG88" i="1"/>
  <c r="AH88" i="1"/>
  <c r="AI88" i="1"/>
  <c r="AC89" i="1"/>
  <c r="AD89" i="1"/>
  <c r="AE89" i="1"/>
  <c r="AF89" i="1"/>
  <c r="AG89" i="1"/>
  <c r="AH89" i="1"/>
  <c r="AI89" i="1"/>
  <c r="AC90" i="1"/>
  <c r="AD90" i="1"/>
  <c r="AE90" i="1"/>
  <c r="AF90" i="1"/>
  <c r="AG90" i="1"/>
  <c r="AH90" i="1"/>
  <c r="AI90" i="1"/>
  <c r="AC91" i="1"/>
  <c r="AD91" i="1"/>
  <c r="AE91" i="1"/>
  <c r="AF91" i="1"/>
  <c r="AG91" i="1"/>
  <c r="AH91" i="1"/>
  <c r="AI91" i="1"/>
  <c r="AC92" i="1"/>
  <c r="AD92" i="1"/>
  <c r="AE92" i="1"/>
  <c r="AF92" i="1"/>
  <c r="AG92" i="1"/>
  <c r="AH92" i="1"/>
  <c r="AI92" i="1"/>
  <c r="AC93" i="1"/>
  <c r="AD93" i="1"/>
  <c r="AE93" i="1"/>
  <c r="AF93" i="1"/>
  <c r="AG93" i="1"/>
  <c r="AH93" i="1"/>
  <c r="AI93" i="1"/>
  <c r="AC94" i="1"/>
  <c r="AD94" i="1"/>
  <c r="AE94" i="1"/>
  <c r="AF94" i="1"/>
  <c r="AG94" i="1"/>
  <c r="AH94" i="1"/>
  <c r="AI94" i="1"/>
  <c r="AC95" i="1"/>
  <c r="AD95" i="1"/>
  <c r="AE95" i="1"/>
  <c r="AF95" i="1"/>
  <c r="AG95" i="1"/>
  <c r="AH95" i="1"/>
  <c r="AI95" i="1"/>
  <c r="AC96" i="1"/>
  <c r="AD96" i="1"/>
  <c r="AE96" i="1"/>
  <c r="AF96" i="1"/>
  <c r="AG96" i="1"/>
  <c r="AH96" i="1"/>
  <c r="AI96" i="1"/>
  <c r="AC97" i="1"/>
  <c r="AD97" i="1"/>
  <c r="AE97" i="1"/>
  <c r="AF97" i="1"/>
  <c r="AG97" i="1"/>
  <c r="AH97" i="1"/>
  <c r="AI97" i="1"/>
  <c r="AC98" i="1"/>
  <c r="AD98" i="1"/>
  <c r="AE98" i="1"/>
  <c r="AF98" i="1"/>
  <c r="AG98" i="1"/>
  <c r="AH98" i="1"/>
  <c r="AI98" i="1"/>
  <c r="AC99" i="1"/>
  <c r="AD99" i="1"/>
  <c r="AE99" i="1"/>
  <c r="AF99" i="1"/>
  <c r="AG99" i="1"/>
  <c r="AH99" i="1"/>
  <c r="AI99" i="1"/>
  <c r="AC100" i="1"/>
  <c r="AD100" i="1"/>
  <c r="AE100" i="1"/>
  <c r="AF100" i="1"/>
  <c r="AG100" i="1"/>
  <c r="AH100" i="1"/>
  <c r="AI100" i="1"/>
  <c r="AC101" i="1"/>
  <c r="AD101" i="1"/>
  <c r="AE101" i="1"/>
  <c r="AF101" i="1"/>
  <c r="AG101" i="1"/>
  <c r="AH101" i="1"/>
  <c r="AI101" i="1"/>
  <c r="AC102" i="1"/>
  <c r="AD102" i="1"/>
  <c r="AE102" i="1"/>
  <c r="AF102" i="1"/>
  <c r="AG102" i="1"/>
  <c r="AH102" i="1"/>
  <c r="AI102" i="1"/>
  <c r="AC103" i="1"/>
  <c r="AD103" i="1"/>
  <c r="AE103" i="1"/>
  <c r="AF103" i="1"/>
  <c r="AG103" i="1"/>
  <c r="AH103" i="1"/>
  <c r="AI103" i="1"/>
  <c r="AC104" i="1"/>
  <c r="AD104" i="1"/>
  <c r="AE104" i="1"/>
  <c r="AF104" i="1"/>
  <c r="AG104" i="1"/>
  <c r="AH104" i="1"/>
  <c r="AI104" i="1"/>
  <c r="AC105" i="1"/>
  <c r="AD105" i="1"/>
  <c r="AE105" i="1"/>
  <c r="AF105" i="1"/>
  <c r="AG105" i="1"/>
  <c r="AH105" i="1"/>
  <c r="AI105" i="1"/>
  <c r="AC106" i="1"/>
  <c r="AD106" i="1"/>
  <c r="AE106" i="1"/>
  <c r="AF106" i="1"/>
  <c r="AG106" i="1"/>
  <c r="AH106" i="1"/>
  <c r="AI106" i="1"/>
  <c r="AC107" i="1"/>
  <c r="AD107" i="1"/>
  <c r="AE107" i="1"/>
  <c r="AF107" i="1"/>
  <c r="AG107" i="1"/>
  <c r="AH107" i="1"/>
  <c r="AI107" i="1"/>
  <c r="AC108" i="1"/>
  <c r="AD108" i="1"/>
  <c r="AE108" i="1"/>
  <c r="AF108" i="1"/>
  <c r="AG108" i="1"/>
  <c r="AH108" i="1"/>
  <c r="AI108" i="1"/>
  <c r="AC109" i="1"/>
  <c r="AD109" i="1"/>
  <c r="AE109" i="1"/>
  <c r="AF109" i="1"/>
  <c r="AG109" i="1"/>
  <c r="AH109" i="1"/>
  <c r="AI109" i="1"/>
  <c r="AC110" i="1"/>
  <c r="AD110" i="1"/>
  <c r="AE110" i="1"/>
  <c r="AF110" i="1"/>
  <c r="AG110" i="1"/>
  <c r="AH110" i="1"/>
  <c r="AI110" i="1"/>
  <c r="AC111" i="1"/>
  <c r="AD111" i="1"/>
  <c r="AE111" i="1"/>
  <c r="AF111" i="1"/>
  <c r="AG111" i="1"/>
  <c r="AH111" i="1"/>
  <c r="AI111" i="1"/>
  <c r="AC112" i="1"/>
  <c r="AD112" i="1"/>
  <c r="AE112" i="1"/>
  <c r="AF112" i="1"/>
  <c r="AG112" i="1"/>
  <c r="AH112" i="1"/>
  <c r="AI112" i="1"/>
  <c r="AC113" i="1"/>
  <c r="AD113" i="1"/>
  <c r="AE113" i="1"/>
  <c r="AF113" i="1"/>
  <c r="AG113" i="1"/>
  <c r="AH113" i="1"/>
  <c r="AI113" i="1"/>
  <c r="AC114" i="1"/>
  <c r="AD114" i="1"/>
  <c r="AE114" i="1"/>
  <c r="AF114" i="1"/>
  <c r="AG114" i="1"/>
  <c r="AH114" i="1"/>
  <c r="AI114" i="1"/>
  <c r="AC115" i="1"/>
  <c r="AD115" i="1"/>
  <c r="AE115" i="1"/>
  <c r="AF115" i="1"/>
  <c r="AG115" i="1"/>
  <c r="AH115" i="1"/>
  <c r="AI115" i="1"/>
  <c r="AC116" i="1"/>
  <c r="AD116" i="1"/>
  <c r="AE116" i="1"/>
  <c r="AF116" i="1"/>
  <c r="AG116" i="1"/>
  <c r="AH116" i="1"/>
  <c r="AI116" i="1"/>
  <c r="AC117" i="1"/>
  <c r="AD117" i="1"/>
  <c r="AE117" i="1"/>
  <c r="AF117" i="1"/>
  <c r="AG117" i="1"/>
  <c r="AH117" i="1"/>
  <c r="AI117" i="1"/>
  <c r="AC118" i="1"/>
  <c r="AD118" i="1"/>
  <c r="AE118" i="1"/>
  <c r="AF118" i="1"/>
  <c r="AG118" i="1"/>
  <c r="AH118" i="1"/>
  <c r="AI118" i="1"/>
  <c r="AC119" i="1"/>
  <c r="AD119" i="1"/>
  <c r="AE119" i="1"/>
  <c r="AF119" i="1"/>
  <c r="AG119" i="1"/>
  <c r="AH119" i="1"/>
  <c r="AI119" i="1"/>
  <c r="AC120" i="1"/>
  <c r="AD120" i="1"/>
  <c r="AE120" i="1"/>
  <c r="AF120" i="1"/>
  <c r="AG120" i="1"/>
  <c r="AH120" i="1"/>
  <c r="AI120" i="1"/>
  <c r="AC121" i="1"/>
  <c r="AD121" i="1"/>
  <c r="AE121" i="1"/>
  <c r="AF121" i="1"/>
  <c r="AG121" i="1"/>
  <c r="AH121" i="1"/>
  <c r="AI121" i="1"/>
  <c r="AC122" i="1"/>
  <c r="AD122" i="1"/>
  <c r="AE122" i="1"/>
  <c r="AF122" i="1"/>
  <c r="AG122" i="1"/>
  <c r="AH122" i="1"/>
  <c r="AI122" i="1"/>
  <c r="AC123" i="1"/>
  <c r="AD123" i="1"/>
  <c r="AE123" i="1"/>
  <c r="AF123" i="1"/>
  <c r="AG123" i="1"/>
  <c r="AH123" i="1"/>
  <c r="AI123" i="1"/>
  <c r="AC124" i="1"/>
  <c r="AD124" i="1"/>
  <c r="AE124" i="1"/>
  <c r="AF124" i="1"/>
  <c r="AG124" i="1"/>
  <c r="AH124" i="1"/>
  <c r="AI124" i="1"/>
  <c r="AC125" i="1"/>
  <c r="AD125" i="1"/>
  <c r="AE125" i="1"/>
  <c r="AF125" i="1"/>
  <c r="AG125" i="1"/>
  <c r="AH125" i="1"/>
  <c r="AI125" i="1"/>
  <c r="AC126" i="1"/>
  <c r="AD126" i="1"/>
  <c r="AE126" i="1"/>
  <c r="AF126" i="1"/>
  <c r="AG126" i="1"/>
  <c r="AH126" i="1"/>
  <c r="AI126" i="1"/>
  <c r="AC127" i="1"/>
  <c r="AD127" i="1"/>
  <c r="AE127" i="1"/>
  <c r="AF127" i="1"/>
  <c r="AG127" i="1"/>
  <c r="AH127" i="1"/>
  <c r="AI127" i="1"/>
  <c r="AC128" i="1"/>
  <c r="AD128" i="1"/>
  <c r="AE128" i="1"/>
  <c r="AF128" i="1"/>
  <c r="AG128" i="1"/>
  <c r="AH128" i="1"/>
  <c r="AI128" i="1"/>
  <c r="AC129" i="1"/>
  <c r="AD129" i="1"/>
  <c r="AE129" i="1"/>
  <c r="AF129" i="1"/>
  <c r="AG129" i="1"/>
  <c r="AH129" i="1"/>
  <c r="AI129" i="1"/>
  <c r="AC130" i="1"/>
  <c r="AD130" i="1"/>
  <c r="AE130" i="1"/>
  <c r="AF130" i="1"/>
  <c r="AG130" i="1"/>
  <c r="AH130" i="1"/>
  <c r="AI130" i="1"/>
  <c r="AC131" i="1"/>
  <c r="AD131" i="1"/>
  <c r="AE131" i="1"/>
  <c r="AF131" i="1"/>
  <c r="AG131" i="1"/>
  <c r="AH131" i="1"/>
  <c r="AI131" i="1"/>
  <c r="AC132" i="1"/>
  <c r="AD132" i="1"/>
  <c r="AE132" i="1"/>
  <c r="AF132" i="1"/>
  <c r="AG132" i="1"/>
  <c r="AH132" i="1"/>
  <c r="AI132" i="1"/>
  <c r="AC133" i="1"/>
  <c r="AD133" i="1"/>
  <c r="AE133" i="1"/>
  <c r="AF133" i="1"/>
  <c r="AG133" i="1"/>
  <c r="AH133" i="1"/>
  <c r="AI133" i="1"/>
  <c r="AC134" i="1"/>
  <c r="AD134" i="1"/>
  <c r="AE134" i="1"/>
  <c r="AF134" i="1"/>
  <c r="AG134" i="1"/>
  <c r="AH134" i="1"/>
  <c r="AI134" i="1"/>
  <c r="AC135" i="1"/>
  <c r="AD135" i="1"/>
  <c r="AE135" i="1"/>
  <c r="AF135" i="1"/>
  <c r="AG135" i="1"/>
  <c r="AH135" i="1"/>
  <c r="AI135" i="1"/>
  <c r="AC136" i="1"/>
  <c r="AD136" i="1"/>
  <c r="AE136" i="1"/>
  <c r="AF136" i="1"/>
  <c r="AG136" i="1"/>
  <c r="AH136" i="1"/>
  <c r="AI136" i="1"/>
  <c r="AC137" i="1"/>
  <c r="AD137" i="1"/>
  <c r="AE137" i="1"/>
  <c r="AF137" i="1"/>
  <c r="AG137" i="1"/>
  <c r="AH137" i="1"/>
  <c r="AI137" i="1"/>
  <c r="AC138" i="1"/>
  <c r="AD138" i="1"/>
  <c r="AE138" i="1"/>
  <c r="AF138" i="1"/>
  <c r="AG138" i="1"/>
  <c r="AH138" i="1"/>
  <c r="AI138" i="1"/>
  <c r="AC139" i="1"/>
  <c r="AD139" i="1"/>
  <c r="AE139" i="1"/>
  <c r="AF139" i="1"/>
  <c r="AG139" i="1"/>
  <c r="AH139" i="1"/>
  <c r="AI139" i="1"/>
  <c r="AC140" i="1"/>
  <c r="AD140" i="1"/>
  <c r="AE140" i="1"/>
  <c r="AF140" i="1"/>
  <c r="AG140" i="1"/>
  <c r="AH140" i="1"/>
  <c r="AI140" i="1"/>
  <c r="AC141" i="1"/>
  <c r="AD141" i="1"/>
  <c r="AE141" i="1"/>
  <c r="AF141" i="1"/>
  <c r="AG141" i="1"/>
  <c r="AH141" i="1"/>
  <c r="AI141" i="1"/>
  <c r="AC142" i="1"/>
  <c r="AD142" i="1"/>
  <c r="AE142" i="1"/>
  <c r="AF142" i="1"/>
  <c r="AG142" i="1"/>
  <c r="AH142" i="1"/>
  <c r="AI142" i="1"/>
  <c r="AC143" i="1"/>
  <c r="AD143" i="1"/>
  <c r="AE143" i="1"/>
  <c r="AF143" i="1"/>
  <c r="AG143" i="1"/>
  <c r="AH143" i="1"/>
  <c r="AI143" i="1"/>
  <c r="AC144" i="1"/>
  <c r="AD144" i="1"/>
  <c r="AE144" i="1"/>
  <c r="AF144" i="1"/>
  <c r="AG144" i="1"/>
  <c r="AH144" i="1"/>
  <c r="AI144" i="1"/>
  <c r="AC145" i="1"/>
  <c r="AD145" i="1"/>
  <c r="AE145" i="1"/>
  <c r="AF145" i="1"/>
  <c r="AG145" i="1"/>
  <c r="AH145" i="1"/>
  <c r="AI145" i="1"/>
  <c r="AC146" i="1"/>
  <c r="AD146" i="1"/>
  <c r="AE146" i="1"/>
  <c r="AF146" i="1"/>
  <c r="AG146" i="1"/>
  <c r="AH146" i="1"/>
  <c r="AI146" i="1"/>
  <c r="AC147" i="1"/>
  <c r="AD147" i="1"/>
  <c r="AE147" i="1"/>
  <c r="AF147" i="1"/>
  <c r="AG147" i="1"/>
  <c r="AH147" i="1"/>
  <c r="AI147" i="1"/>
  <c r="AC148" i="1"/>
  <c r="AD148" i="1"/>
  <c r="AE148" i="1"/>
  <c r="AF148" i="1"/>
  <c r="AG148" i="1"/>
  <c r="AH148" i="1"/>
  <c r="AI148" i="1"/>
  <c r="AC149" i="1"/>
  <c r="AD149" i="1"/>
  <c r="AE149" i="1"/>
  <c r="AF149" i="1"/>
  <c r="AG149" i="1"/>
  <c r="AH149" i="1"/>
  <c r="AI149" i="1"/>
  <c r="AC150" i="1"/>
  <c r="AD150" i="1"/>
  <c r="AE150" i="1"/>
  <c r="AF150" i="1"/>
  <c r="AG150" i="1"/>
  <c r="AH150" i="1"/>
  <c r="AI150" i="1"/>
  <c r="AC151" i="1"/>
  <c r="AD151" i="1"/>
  <c r="AE151" i="1"/>
  <c r="AF151" i="1"/>
  <c r="AG151" i="1"/>
  <c r="AH151" i="1"/>
  <c r="AI151" i="1"/>
  <c r="AC152" i="1"/>
  <c r="AD152" i="1"/>
  <c r="AE152" i="1"/>
  <c r="AF152" i="1"/>
  <c r="AG152" i="1"/>
  <c r="AH152" i="1"/>
  <c r="AI152" i="1"/>
  <c r="AC153" i="1"/>
  <c r="AD153" i="1"/>
  <c r="AE153" i="1"/>
  <c r="AF153" i="1"/>
  <c r="AG153" i="1"/>
  <c r="AH153" i="1"/>
  <c r="AI153" i="1"/>
  <c r="AC154" i="1"/>
  <c r="AD154" i="1"/>
  <c r="AE154" i="1"/>
  <c r="AF154" i="1"/>
  <c r="AG154" i="1"/>
  <c r="AH154" i="1"/>
  <c r="AI154" i="1"/>
  <c r="AC155" i="1"/>
  <c r="AD155" i="1"/>
  <c r="AE155" i="1"/>
  <c r="AF155" i="1"/>
  <c r="AG155" i="1"/>
  <c r="AH155" i="1"/>
  <c r="AI155" i="1"/>
  <c r="AC156" i="1"/>
  <c r="AD156" i="1"/>
  <c r="AE156" i="1"/>
  <c r="AF156" i="1"/>
  <c r="AG156" i="1"/>
  <c r="AH156" i="1"/>
  <c r="AI156" i="1"/>
  <c r="AC157" i="1"/>
  <c r="AD157" i="1"/>
  <c r="AE157" i="1"/>
  <c r="AF157" i="1"/>
  <c r="AG157" i="1"/>
  <c r="AH157" i="1"/>
  <c r="AI157" i="1"/>
  <c r="AC158" i="1"/>
  <c r="AD158" i="1"/>
  <c r="AE158" i="1"/>
  <c r="AF158" i="1"/>
  <c r="AG158" i="1"/>
  <c r="AH158" i="1"/>
  <c r="AI158" i="1"/>
  <c r="AC159" i="1"/>
  <c r="AD159" i="1"/>
  <c r="AE159" i="1"/>
  <c r="AF159" i="1"/>
  <c r="AG159" i="1"/>
  <c r="AH159" i="1"/>
  <c r="AI159" i="1"/>
  <c r="AC160" i="1"/>
  <c r="AD160" i="1"/>
  <c r="AE160" i="1"/>
  <c r="AF160" i="1"/>
  <c r="AG160" i="1"/>
  <c r="AH160" i="1"/>
  <c r="AI160" i="1"/>
  <c r="AC161" i="1"/>
  <c r="AD161" i="1"/>
  <c r="AE161" i="1"/>
  <c r="AF161" i="1"/>
  <c r="AG161" i="1"/>
  <c r="AH161" i="1"/>
  <c r="AI161" i="1"/>
  <c r="AC162" i="1"/>
  <c r="AD162" i="1"/>
  <c r="AE162" i="1"/>
  <c r="AF162" i="1"/>
  <c r="AG162" i="1"/>
  <c r="AH162" i="1"/>
  <c r="AI162" i="1"/>
  <c r="AC163" i="1"/>
  <c r="AD163" i="1"/>
  <c r="AE163" i="1"/>
  <c r="AF163" i="1"/>
  <c r="AG163" i="1"/>
  <c r="AH163" i="1"/>
  <c r="AI163" i="1"/>
  <c r="AC164" i="1"/>
  <c r="AD164" i="1"/>
  <c r="AE164" i="1"/>
  <c r="AF164" i="1"/>
  <c r="AG164" i="1"/>
  <c r="AH164" i="1"/>
  <c r="AI164" i="1"/>
  <c r="AC165" i="1"/>
  <c r="AD165" i="1"/>
  <c r="AE165" i="1"/>
  <c r="AF165" i="1"/>
  <c r="AG165" i="1"/>
  <c r="AH165" i="1"/>
  <c r="AI165" i="1"/>
  <c r="AC166" i="1"/>
  <c r="AD166" i="1"/>
  <c r="AE166" i="1"/>
  <c r="AF166" i="1"/>
  <c r="AG166" i="1"/>
  <c r="AH166" i="1"/>
  <c r="AI166" i="1"/>
  <c r="AC167" i="1"/>
  <c r="AD167" i="1"/>
  <c r="AE167" i="1"/>
  <c r="AF167" i="1"/>
  <c r="AG167" i="1"/>
  <c r="AH167" i="1"/>
  <c r="AI167" i="1"/>
  <c r="AC168" i="1"/>
  <c r="AD168" i="1"/>
  <c r="AE168" i="1"/>
  <c r="AF168" i="1"/>
  <c r="AG168" i="1"/>
  <c r="AH168" i="1"/>
  <c r="AI168" i="1"/>
  <c r="AC169" i="1"/>
  <c r="AD169" i="1"/>
  <c r="AE169" i="1"/>
  <c r="AF169" i="1"/>
  <c r="AG169" i="1"/>
  <c r="AH169" i="1"/>
  <c r="AI169" i="1"/>
  <c r="AC170" i="1"/>
  <c r="AD170" i="1"/>
  <c r="AE170" i="1"/>
  <c r="AF170" i="1"/>
  <c r="AG170" i="1"/>
  <c r="AH170" i="1"/>
  <c r="AI170" i="1"/>
  <c r="AC171" i="1"/>
  <c r="AD171" i="1"/>
  <c r="AE171" i="1"/>
  <c r="AF171" i="1"/>
  <c r="AG171" i="1"/>
  <c r="AH171" i="1"/>
  <c r="AI171" i="1"/>
  <c r="AC172" i="1"/>
  <c r="AD172" i="1"/>
  <c r="AE172" i="1"/>
  <c r="AF172" i="1"/>
  <c r="AG172" i="1"/>
  <c r="AH172" i="1"/>
  <c r="AI172" i="1"/>
  <c r="AC173" i="1"/>
  <c r="AD173" i="1"/>
  <c r="AE173" i="1"/>
  <c r="AF173" i="1"/>
  <c r="AG173" i="1"/>
  <c r="AH173" i="1"/>
  <c r="AI173" i="1"/>
  <c r="AC174" i="1"/>
  <c r="AD174" i="1"/>
  <c r="AE174" i="1"/>
  <c r="AF174" i="1"/>
  <c r="AG174" i="1"/>
  <c r="AH174" i="1"/>
  <c r="AI174" i="1"/>
  <c r="AC175" i="1"/>
  <c r="AD175" i="1"/>
  <c r="AE175" i="1"/>
  <c r="AF175" i="1"/>
  <c r="AG175" i="1"/>
  <c r="AH175" i="1"/>
  <c r="AI175" i="1"/>
  <c r="AC176" i="1"/>
  <c r="AD176" i="1"/>
  <c r="AE176" i="1"/>
  <c r="AF176" i="1"/>
  <c r="AG176" i="1"/>
  <c r="AH176" i="1"/>
  <c r="AI176" i="1"/>
  <c r="AC177" i="1"/>
  <c r="AD177" i="1"/>
  <c r="AE177" i="1"/>
  <c r="AF177" i="1"/>
  <c r="AG177" i="1"/>
  <c r="AH177" i="1"/>
  <c r="AI177" i="1"/>
  <c r="AC178" i="1"/>
  <c r="AD178" i="1"/>
  <c r="AE178" i="1"/>
  <c r="AF178" i="1"/>
  <c r="AG178" i="1"/>
  <c r="AH178" i="1"/>
  <c r="AI178" i="1"/>
  <c r="AC179" i="1"/>
  <c r="AD179" i="1"/>
  <c r="AE179" i="1"/>
  <c r="AF179" i="1"/>
  <c r="AG179" i="1"/>
  <c r="AH179" i="1"/>
  <c r="AI179" i="1"/>
  <c r="AC180" i="1"/>
  <c r="AD180" i="1"/>
  <c r="AE180" i="1"/>
  <c r="AF180" i="1"/>
  <c r="AG180" i="1"/>
  <c r="AH180" i="1"/>
  <c r="AI180" i="1"/>
  <c r="AC181" i="1"/>
  <c r="AD181" i="1"/>
  <c r="AE181" i="1"/>
  <c r="AF181" i="1"/>
  <c r="AG181" i="1"/>
  <c r="AH181" i="1"/>
  <c r="AI181" i="1"/>
  <c r="AC182" i="1"/>
  <c r="AD182" i="1"/>
  <c r="AE182" i="1"/>
  <c r="AF182" i="1"/>
  <c r="AG182" i="1"/>
  <c r="AH182" i="1"/>
  <c r="AI182" i="1"/>
  <c r="AC183" i="1"/>
  <c r="AD183" i="1"/>
  <c r="AE183" i="1"/>
  <c r="AF183" i="1"/>
  <c r="AG183" i="1"/>
  <c r="AH183" i="1"/>
  <c r="AI183" i="1"/>
  <c r="AC184" i="1"/>
  <c r="AD184" i="1"/>
  <c r="AE184" i="1"/>
  <c r="AF184" i="1"/>
  <c r="AG184" i="1"/>
  <c r="AH184" i="1"/>
  <c r="AI184" i="1"/>
  <c r="AC185" i="1"/>
  <c r="AD185" i="1"/>
  <c r="AE185" i="1"/>
  <c r="AF185" i="1"/>
  <c r="AG185" i="1"/>
  <c r="AH185" i="1"/>
  <c r="AI185" i="1"/>
  <c r="AC186" i="1"/>
  <c r="AD186" i="1"/>
  <c r="AE186" i="1"/>
  <c r="AF186" i="1"/>
  <c r="AG186" i="1"/>
  <c r="AH186" i="1"/>
  <c r="AI186" i="1"/>
  <c r="AC187" i="1"/>
  <c r="AD187" i="1"/>
  <c r="AE187" i="1"/>
  <c r="AF187" i="1"/>
  <c r="AG187" i="1"/>
  <c r="AH187" i="1"/>
  <c r="AI187" i="1"/>
  <c r="AC188" i="1"/>
  <c r="AD188" i="1"/>
  <c r="AE188" i="1"/>
  <c r="AF188" i="1"/>
  <c r="AG188" i="1"/>
  <c r="AH188" i="1"/>
  <c r="AI188" i="1"/>
  <c r="AC189" i="1"/>
  <c r="AD189" i="1"/>
  <c r="AE189" i="1"/>
  <c r="AF189" i="1"/>
  <c r="AG189" i="1"/>
  <c r="AH189" i="1"/>
  <c r="AI189" i="1"/>
  <c r="AC190" i="1"/>
  <c r="AD190" i="1"/>
  <c r="AE190" i="1"/>
  <c r="AF190" i="1"/>
  <c r="AG190" i="1"/>
  <c r="AH190" i="1"/>
  <c r="AI190" i="1"/>
  <c r="AC191" i="1"/>
  <c r="AD191" i="1"/>
  <c r="AE191" i="1"/>
  <c r="AF191" i="1"/>
  <c r="AG191" i="1"/>
  <c r="AH191" i="1"/>
  <c r="AI191" i="1"/>
  <c r="AC192" i="1"/>
  <c r="AD192" i="1"/>
  <c r="AE192" i="1"/>
  <c r="AF192" i="1"/>
  <c r="AG192" i="1"/>
  <c r="AH192" i="1"/>
  <c r="AI192" i="1"/>
  <c r="AC193" i="1"/>
  <c r="AD193" i="1"/>
  <c r="AE193" i="1"/>
  <c r="AF193" i="1"/>
  <c r="AG193" i="1"/>
  <c r="AH193" i="1"/>
  <c r="AI193" i="1"/>
  <c r="AC194" i="1"/>
  <c r="AD194" i="1"/>
  <c r="AE194" i="1"/>
  <c r="AF194" i="1"/>
  <c r="AG194" i="1"/>
  <c r="AH194" i="1"/>
  <c r="AI194" i="1"/>
  <c r="AC195" i="1"/>
  <c r="AD195" i="1"/>
  <c r="AE195" i="1"/>
  <c r="AF195" i="1"/>
  <c r="AG195" i="1"/>
  <c r="AH195" i="1"/>
  <c r="AI195" i="1"/>
  <c r="AC196" i="1"/>
  <c r="AD196" i="1"/>
  <c r="AE196" i="1"/>
  <c r="AF196" i="1"/>
  <c r="AG196" i="1"/>
  <c r="AH196" i="1"/>
  <c r="AI196" i="1"/>
  <c r="AC197" i="1"/>
  <c r="AD197" i="1"/>
  <c r="AE197" i="1"/>
  <c r="AF197" i="1"/>
  <c r="AG197" i="1"/>
  <c r="AH197" i="1"/>
  <c r="AI197" i="1"/>
  <c r="AC198" i="1"/>
  <c r="AD198" i="1"/>
  <c r="AE198" i="1"/>
  <c r="AF198" i="1"/>
  <c r="AG198" i="1"/>
  <c r="AH198" i="1"/>
  <c r="AI198" i="1"/>
  <c r="AC199" i="1"/>
  <c r="AD199" i="1"/>
  <c r="AE199" i="1"/>
  <c r="AF199" i="1"/>
  <c r="AG199" i="1"/>
  <c r="AH199" i="1"/>
  <c r="AI199" i="1"/>
  <c r="AC200" i="1"/>
  <c r="AD200" i="1"/>
  <c r="AE200" i="1"/>
  <c r="AF200" i="1"/>
  <c r="AG200" i="1"/>
  <c r="AH200" i="1"/>
  <c r="AI200" i="1"/>
  <c r="AC201" i="1"/>
  <c r="AD201" i="1"/>
  <c r="AE201" i="1"/>
  <c r="AF201" i="1"/>
  <c r="AG201" i="1"/>
  <c r="AH201" i="1"/>
  <c r="AI201" i="1"/>
  <c r="AC202" i="1"/>
  <c r="AD202" i="1"/>
  <c r="AE202" i="1"/>
  <c r="AF202" i="1"/>
  <c r="AG202" i="1"/>
  <c r="AH202" i="1"/>
  <c r="AI202" i="1"/>
  <c r="AC203" i="1"/>
  <c r="AD203" i="1"/>
  <c r="AE203" i="1"/>
  <c r="AF203" i="1"/>
  <c r="AG203" i="1"/>
  <c r="AH203" i="1"/>
  <c r="AI203" i="1"/>
  <c r="AC204" i="1"/>
  <c r="AD204" i="1"/>
  <c r="AE204" i="1"/>
  <c r="AF204" i="1"/>
  <c r="AG204" i="1"/>
  <c r="AH204" i="1"/>
  <c r="AI204" i="1"/>
  <c r="AC205" i="1"/>
  <c r="AD205" i="1"/>
  <c r="AE205" i="1"/>
  <c r="AF205" i="1"/>
  <c r="AG205" i="1"/>
  <c r="AH205" i="1"/>
  <c r="AI205" i="1"/>
  <c r="AC206" i="1"/>
  <c r="AD206" i="1"/>
  <c r="AE206" i="1"/>
  <c r="AF206" i="1"/>
  <c r="AG206" i="1"/>
  <c r="AH206" i="1"/>
  <c r="AI206" i="1"/>
  <c r="AC207" i="1"/>
  <c r="AD207" i="1"/>
  <c r="AE207" i="1"/>
  <c r="AF207" i="1"/>
  <c r="AG207" i="1"/>
  <c r="AH207" i="1"/>
  <c r="AI207" i="1"/>
  <c r="AC208" i="1"/>
  <c r="AD208" i="1"/>
  <c r="AE208" i="1"/>
  <c r="AF208" i="1"/>
  <c r="AG208" i="1"/>
  <c r="AH208" i="1"/>
  <c r="AI208" i="1"/>
  <c r="AC209" i="1"/>
  <c r="AD209" i="1"/>
  <c r="AE209" i="1"/>
  <c r="AF209" i="1"/>
  <c r="AG209" i="1"/>
  <c r="AH209" i="1"/>
  <c r="AI209" i="1"/>
  <c r="AC210" i="1"/>
  <c r="AD210" i="1"/>
  <c r="AE210" i="1"/>
  <c r="AF210" i="1"/>
  <c r="AG210" i="1"/>
  <c r="AH210" i="1"/>
  <c r="AI210" i="1"/>
  <c r="AC211" i="1"/>
  <c r="AD211" i="1"/>
  <c r="AE211" i="1"/>
  <c r="AF211" i="1"/>
  <c r="AG211" i="1"/>
  <c r="AH211" i="1"/>
  <c r="AI211" i="1"/>
  <c r="AC212" i="1"/>
  <c r="AD212" i="1"/>
  <c r="AE212" i="1"/>
  <c r="AF212" i="1"/>
  <c r="AG212" i="1"/>
  <c r="AH212" i="1"/>
  <c r="AI212" i="1"/>
  <c r="AC213" i="1"/>
  <c r="AD213" i="1"/>
  <c r="AE213" i="1"/>
  <c r="AF213" i="1"/>
  <c r="AG213" i="1"/>
  <c r="AH213" i="1"/>
  <c r="AI213" i="1"/>
  <c r="AC214" i="1"/>
  <c r="AD214" i="1"/>
  <c r="AE214" i="1"/>
  <c r="AF214" i="1"/>
  <c r="AG214" i="1"/>
  <c r="AH214" i="1"/>
  <c r="AI214" i="1"/>
  <c r="AC215" i="1"/>
  <c r="AD215" i="1"/>
  <c r="AE215" i="1"/>
  <c r="AF215" i="1"/>
  <c r="AG215" i="1"/>
  <c r="AH215" i="1"/>
  <c r="AI215" i="1"/>
  <c r="AC216" i="1"/>
  <c r="AD216" i="1"/>
  <c r="AE216" i="1"/>
  <c r="AF216" i="1"/>
  <c r="AG216" i="1"/>
  <c r="AH216" i="1"/>
  <c r="AI216" i="1"/>
  <c r="AC217" i="1"/>
  <c r="AD217" i="1"/>
  <c r="AE217" i="1"/>
  <c r="AF217" i="1"/>
  <c r="AG217" i="1"/>
  <c r="AH217" i="1"/>
  <c r="AI217" i="1"/>
  <c r="AC218" i="1"/>
  <c r="AD218" i="1"/>
  <c r="AE218" i="1"/>
  <c r="AF218" i="1"/>
  <c r="AG218" i="1"/>
  <c r="AH218" i="1"/>
  <c r="AI218" i="1"/>
  <c r="AC219" i="1"/>
  <c r="AD219" i="1"/>
  <c r="AE219" i="1"/>
  <c r="AF219" i="1"/>
  <c r="AG219" i="1"/>
  <c r="AH219" i="1"/>
  <c r="AI219" i="1"/>
  <c r="AC220" i="1"/>
  <c r="AD220" i="1"/>
  <c r="AE220" i="1"/>
  <c r="AF220" i="1"/>
  <c r="AG220" i="1"/>
  <c r="AH220" i="1"/>
  <c r="AI220" i="1"/>
  <c r="AC221" i="1"/>
  <c r="AD221" i="1"/>
  <c r="AE221" i="1"/>
  <c r="AF221" i="1"/>
  <c r="AG221" i="1"/>
  <c r="AH221" i="1"/>
  <c r="AI221" i="1"/>
  <c r="AC222" i="1"/>
  <c r="AD222" i="1"/>
  <c r="AE222" i="1"/>
  <c r="AF222" i="1"/>
  <c r="AG222" i="1"/>
  <c r="AH222" i="1"/>
  <c r="AI222" i="1"/>
  <c r="AC223" i="1"/>
  <c r="AD223" i="1"/>
  <c r="AE223" i="1"/>
  <c r="AF223" i="1"/>
  <c r="AG223" i="1"/>
  <c r="AH223" i="1"/>
  <c r="AI223" i="1"/>
  <c r="AC224" i="1"/>
  <c r="AD224" i="1"/>
  <c r="AE224" i="1"/>
  <c r="AF224" i="1"/>
  <c r="AG224" i="1"/>
  <c r="AH224" i="1"/>
  <c r="AI224" i="1"/>
  <c r="AC225" i="1"/>
  <c r="AD225" i="1"/>
  <c r="AE225" i="1"/>
  <c r="AF225" i="1"/>
  <c r="AG225" i="1"/>
  <c r="AH225" i="1"/>
  <c r="AI225" i="1"/>
  <c r="AC226" i="1"/>
  <c r="AD226" i="1"/>
  <c r="AE226" i="1"/>
  <c r="AF226" i="1"/>
  <c r="AG226" i="1"/>
  <c r="AH226" i="1"/>
  <c r="AI226" i="1"/>
  <c r="AC227" i="1"/>
  <c r="AD227" i="1"/>
  <c r="AE227" i="1"/>
  <c r="AF227" i="1"/>
  <c r="AG227" i="1"/>
  <c r="AH227" i="1"/>
  <c r="AI227" i="1"/>
  <c r="AC228" i="1"/>
  <c r="AD228" i="1"/>
  <c r="AE228" i="1"/>
  <c r="AF228" i="1"/>
  <c r="AG228" i="1"/>
  <c r="AH228" i="1"/>
  <c r="AI228" i="1"/>
  <c r="AC229" i="1"/>
  <c r="AD229" i="1"/>
  <c r="AE229" i="1"/>
  <c r="AF229" i="1"/>
  <c r="AG229" i="1"/>
  <c r="AH229" i="1"/>
  <c r="AI229" i="1"/>
  <c r="AC230" i="1"/>
  <c r="AD230" i="1"/>
  <c r="AE230" i="1"/>
  <c r="AF230" i="1"/>
  <c r="AG230" i="1"/>
  <c r="AH230" i="1"/>
  <c r="AI230" i="1"/>
  <c r="AC231" i="1"/>
  <c r="AD231" i="1"/>
  <c r="AE231" i="1"/>
  <c r="AF231" i="1"/>
  <c r="AG231" i="1"/>
  <c r="AH231" i="1"/>
  <c r="AI231" i="1"/>
  <c r="AC232" i="1"/>
  <c r="AD232" i="1"/>
  <c r="AE232" i="1"/>
  <c r="AF232" i="1"/>
  <c r="AG232" i="1"/>
  <c r="AH232" i="1"/>
  <c r="AI232" i="1"/>
  <c r="AC233" i="1"/>
  <c r="AD233" i="1"/>
  <c r="AE233" i="1"/>
  <c r="AF233" i="1"/>
  <c r="AG233" i="1"/>
  <c r="AH233" i="1"/>
  <c r="AI233" i="1"/>
  <c r="AC234" i="1"/>
  <c r="AD234" i="1"/>
  <c r="AE234" i="1"/>
  <c r="AF234" i="1"/>
  <c r="AG234" i="1"/>
  <c r="AH234" i="1"/>
  <c r="AI234" i="1"/>
  <c r="AC235" i="1"/>
  <c r="AD235" i="1"/>
  <c r="AE235" i="1"/>
  <c r="AF235" i="1"/>
  <c r="AG235" i="1"/>
  <c r="AH235" i="1"/>
  <c r="AI235" i="1"/>
  <c r="AC236" i="1"/>
  <c r="AD236" i="1"/>
  <c r="AE236" i="1"/>
  <c r="AF236" i="1"/>
  <c r="AG236" i="1"/>
  <c r="AH236" i="1"/>
  <c r="AI236" i="1"/>
  <c r="AC237" i="1"/>
  <c r="AD237" i="1"/>
  <c r="AE237" i="1"/>
  <c r="AF237" i="1"/>
  <c r="AG237" i="1"/>
  <c r="AH237" i="1"/>
  <c r="AI237" i="1"/>
  <c r="AC238" i="1"/>
  <c r="AD238" i="1"/>
  <c r="AE238" i="1"/>
  <c r="AF238" i="1"/>
  <c r="AG238" i="1"/>
  <c r="AH238" i="1"/>
  <c r="AI238" i="1"/>
  <c r="AC239" i="1"/>
  <c r="AD239" i="1"/>
  <c r="AE239" i="1"/>
  <c r="AF239" i="1"/>
  <c r="AG239" i="1"/>
  <c r="AH239" i="1"/>
  <c r="AI239" i="1"/>
  <c r="AC240" i="1"/>
  <c r="AD240" i="1"/>
  <c r="AE240" i="1"/>
  <c r="AF240" i="1"/>
  <c r="AG240" i="1"/>
  <c r="AH240" i="1"/>
  <c r="AI240" i="1"/>
  <c r="AC241" i="1"/>
  <c r="AD241" i="1"/>
  <c r="AE241" i="1"/>
  <c r="AF241" i="1"/>
  <c r="AG241" i="1"/>
  <c r="AH241" i="1"/>
  <c r="AI241" i="1"/>
  <c r="AC242" i="1"/>
  <c r="AD242" i="1"/>
  <c r="AE242" i="1"/>
  <c r="AF242" i="1"/>
  <c r="AG242" i="1"/>
  <c r="AH242" i="1"/>
  <c r="AI242" i="1"/>
  <c r="AC243" i="1"/>
  <c r="AD243" i="1"/>
  <c r="AE243" i="1"/>
  <c r="AF243" i="1"/>
  <c r="AG243" i="1"/>
  <c r="AH243" i="1"/>
  <c r="AI243" i="1"/>
  <c r="AC244" i="1"/>
  <c r="AD244" i="1"/>
  <c r="AE244" i="1"/>
  <c r="AF244" i="1"/>
  <c r="AG244" i="1"/>
  <c r="AH244" i="1"/>
  <c r="AI244" i="1"/>
  <c r="AC245" i="1"/>
  <c r="AD245" i="1"/>
  <c r="AE245" i="1"/>
  <c r="AF245" i="1"/>
  <c r="AG245" i="1"/>
  <c r="AH245" i="1"/>
  <c r="AI245" i="1"/>
  <c r="AC246" i="1"/>
  <c r="AD246" i="1"/>
  <c r="AE246" i="1"/>
  <c r="AF246" i="1"/>
  <c r="AG246" i="1"/>
  <c r="AH246" i="1"/>
  <c r="AI246" i="1"/>
  <c r="AC247" i="1"/>
  <c r="AD247" i="1"/>
  <c r="AE247" i="1"/>
  <c r="AF247" i="1"/>
  <c r="AG247" i="1"/>
  <c r="AH247" i="1"/>
  <c r="AI247" i="1"/>
  <c r="AC248" i="1"/>
  <c r="AD248" i="1"/>
  <c r="AE248" i="1"/>
  <c r="AF248" i="1"/>
  <c r="AG248" i="1"/>
  <c r="AH248" i="1"/>
  <c r="AI248" i="1"/>
  <c r="AC249" i="1"/>
  <c r="AD249" i="1"/>
  <c r="AE249" i="1"/>
  <c r="AF249" i="1"/>
  <c r="AG249" i="1"/>
  <c r="AH249" i="1"/>
  <c r="AI249" i="1"/>
  <c r="AC250" i="1"/>
  <c r="AD250" i="1"/>
  <c r="AE250" i="1"/>
  <c r="AF250" i="1"/>
  <c r="AG250" i="1"/>
  <c r="AH250" i="1"/>
  <c r="AI250" i="1"/>
  <c r="AC251" i="1"/>
  <c r="AD251" i="1"/>
  <c r="AE251" i="1"/>
  <c r="AF251" i="1"/>
  <c r="AG251" i="1"/>
  <c r="AH251" i="1"/>
  <c r="AI251" i="1"/>
  <c r="AC252" i="1"/>
  <c r="AD252" i="1"/>
  <c r="AE252" i="1"/>
  <c r="AF252" i="1"/>
  <c r="AG252" i="1"/>
  <c r="AH252" i="1"/>
  <c r="AI252" i="1"/>
  <c r="AC253" i="1"/>
  <c r="AD253" i="1"/>
  <c r="AE253" i="1"/>
  <c r="AF253" i="1"/>
  <c r="AG253" i="1"/>
  <c r="AH253" i="1"/>
  <c r="AI253" i="1"/>
  <c r="AC254" i="1"/>
  <c r="AD254" i="1"/>
  <c r="AE254" i="1"/>
  <c r="AF254" i="1"/>
  <c r="AG254" i="1"/>
  <c r="AH254" i="1"/>
  <c r="AI254" i="1"/>
  <c r="AC255" i="1"/>
  <c r="AD255" i="1"/>
  <c r="AE255" i="1"/>
  <c r="AF255" i="1"/>
  <c r="AG255" i="1"/>
  <c r="AH255" i="1"/>
  <c r="AI255" i="1"/>
  <c r="AC256" i="1"/>
  <c r="AD256" i="1"/>
  <c r="AE256" i="1"/>
  <c r="AF256" i="1"/>
  <c r="AG256" i="1"/>
  <c r="AH256" i="1"/>
  <c r="AI256" i="1"/>
  <c r="AC257" i="1"/>
  <c r="AD257" i="1"/>
  <c r="AE257" i="1"/>
  <c r="AF257" i="1"/>
  <c r="AG257" i="1"/>
  <c r="AH257" i="1"/>
  <c r="AI257" i="1"/>
  <c r="AC258" i="1"/>
  <c r="AD258" i="1"/>
  <c r="AE258" i="1"/>
  <c r="AF258" i="1"/>
  <c r="AG258" i="1"/>
  <c r="AH258" i="1"/>
  <c r="AI258" i="1"/>
  <c r="AC259" i="1"/>
  <c r="AD259" i="1"/>
  <c r="AE259" i="1"/>
  <c r="AF259" i="1"/>
  <c r="AG259" i="1"/>
  <c r="AH259" i="1"/>
  <c r="AI259" i="1"/>
  <c r="AC260" i="1"/>
  <c r="AD260" i="1"/>
  <c r="AE260" i="1"/>
  <c r="AF260" i="1"/>
  <c r="AG260" i="1"/>
  <c r="AH260" i="1"/>
  <c r="AI260" i="1"/>
  <c r="AC261" i="1"/>
  <c r="AD261" i="1"/>
  <c r="AE261" i="1"/>
  <c r="AF261" i="1"/>
  <c r="AG261" i="1"/>
  <c r="AH261" i="1"/>
  <c r="AI261" i="1"/>
  <c r="AC262" i="1"/>
  <c r="AD262" i="1"/>
  <c r="AE262" i="1"/>
  <c r="AF262" i="1"/>
  <c r="AG262" i="1"/>
  <c r="AH262" i="1"/>
  <c r="AI262" i="1"/>
  <c r="AC263" i="1"/>
  <c r="AD263" i="1"/>
  <c r="AE263" i="1"/>
  <c r="AF263" i="1"/>
  <c r="AG263" i="1"/>
  <c r="AH263" i="1"/>
  <c r="AI263" i="1"/>
  <c r="AC264" i="1"/>
  <c r="AD264" i="1"/>
  <c r="AE264" i="1"/>
  <c r="AF264" i="1"/>
  <c r="AG264" i="1"/>
  <c r="AH264" i="1"/>
  <c r="AI264" i="1"/>
  <c r="AC265" i="1"/>
  <c r="AD265" i="1"/>
  <c r="AE265" i="1"/>
  <c r="AF265" i="1"/>
  <c r="AG265" i="1"/>
  <c r="AH265" i="1"/>
  <c r="AI265" i="1"/>
  <c r="AC266" i="1"/>
  <c r="AD266" i="1"/>
  <c r="AE266" i="1"/>
  <c r="AF266" i="1"/>
  <c r="AG266" i="1"/>
  <c r="AH266" i="1"/>
  <c r="AI266" i="1"/>
  <c r="AC267" i="1"/>
  <c r="AD267" i="1"/>
  <c r="AE267" i="1"/>
  <c r="AF267" i="1"/>
  <c r="AG267" i="1"/>
  <c r="AH267" i="1"/>
  <c r="AI267" i="1"/>
  <c r="AC268" i="1"/>
  <c r="AD268" i="1"/>
  <c r="AE268" i="1"/>
  <c r="AF268" i="1"/>
  <c r="AG268" i="1"/>
  <c r="AH268" i="1"/>
  <c r="AI268" i="1"/>
  <c r="AC269" i="1"/>
  <c r="AD269" i="1"/>
  <c r="AE269" i="1"/>
  <c r="AF269" i="1"/>
  <c r="AG269" i="1"/>
  <c r="AH269" i="1"/>
  <c r="AI269" i="1"/>
  <c r="AC270" i="1"/>
  <c r="AD270" i="1"/>
  <c r="AE270" i="1"/>
  <c r="AF270" i="1"/>
  <c r="AG270" i="1"/>
  <c r="AH270" i="1"/>
  <c r="AI270" i="1"/>
  <c r="AC271" i="1"/>
  <c r="AD271" i="1"/>
  <c r="AE271" i="1"/>
  <c r="AF271" i="1"/>
  <c r="AG271" i="1"/>
  <c r="AH271" i="1"/>
  <c r="AI271" i="1"/>
  <c r="AC272" i="1"/>
  <c r="AD272" i="1"/>
  <c r="AE272" i="1"/>
  <c r="AF272" i="1"/>
  <c r="AG272" i="1"/>
  <c r="AH272" i="1"/>
  <c r="AI272" i="1"/>
  <c r="AC273" i="1"/>
  <c r="AD273" i="1"/>
  <c r="AE273" i="1"/>
  <c r="AF273" i="1"/>
  <c r="AG273" i="1"/>
  <c r="AH273" i="1"/>
  <c r="AI273" i="1"/>
  <c r="AC274" i="1"/>
  <c r="AD274" i="1"/>
  <c r="AE274" i="1"/>
  <c r="AF274" i="1"/>
  <c r="AG274" i="1"/>
  <c r="AH274" i="1"/>
  <c r="AI274" i="1"/>
  <c r="AC275" i="1"/>
  <c r="AD275" i="1"/>
  <c r="AE275" i="1"/>
  <c r="AF275" i="1"/>
  <c r="AG275" i="1"/>
  <c r="AH275" i="1"/>
  <c r="AI275" i="1"/>
  <c r="AC276" i="1"/>
  <c r="AD276" i="1"/>
  <c r="AE276" i="1"/>
  <c r="AF276" i="1"/>
  <c r="AG276" i="1"/>
  <c r="AH276" i="1"/>
  <c r="AI276" i="1"/>
  <c r="AC277" i="1"/>
  <c r="AD277" i="1"/>
  <c r="AE277" i="1"/>
  <c r="AF277" i="1"/>
  <c r="AG277" i="1"/>
  <c r="AH277" i="1"/>
  <c r="AI277" i="1"/>
  <c r="AC278" i="1"/>
  <c r="AD278" i="1"/>
  <c r="AE278" i="1"/>
  <c r="AF278" i="1"/>
  <c r="AG278" i="1"/>
  <c r="AH278" i="1"/>
  <c r="AI278" i="1"/>
  <c r="AC279" i="1"/>
  <c r="AD279" i="1"/>
  <c r="AE279" i="1"/>
  <c r="AF279" i="1"/>
  <c r="AG279" i="1"/>
  <c r="AH279" i="1"/>
  <c r="AI279" i="1"/>
  <c r="AC280" i="1"/>
  <c r="AD280" i="1"/>
  <c r="AE280" i="1"/>
  <c r="AF280" i="1"/>
  <c r="AG280" i="1"/>
  <c r="AH280" i="1"/>
  <c r="AI280" i="1"/>
  <c r="AC281" i="1"/>
  <c r="AD281" i="1"/>
  <c r="AE281" i="1"/>
  <c r="AF281" i="1"/>
  <c r="AG281" i="1"/>
  <c r="AH281" i="1"/>
  <c r="AI281" i="1"/>
  <c r="AC282" i="1"/>
  <c r="AD282" i="1"/>
  <c r="AE282" i="1"/>
  <c r="AF282" i="1"/>
  <c r="AG282" i="1"/>
  <c r="AH282" i="1"/>
  <c r="AI282" i="1"/>
  <c r="AC283" i="1"/>
  <c r="AD283" i="1"/>
  <c r="AE283" i="1"/>
  <c r="AF283" i="1"/>
  <c r="AG283" i="1"/>
  <c r="AH283" i="1"/>
  <c r="AI283" i="1"/>
  <c r="AC284" i="1"/>
  <c r="AD284" i="1"/>
  <c r="AE284" i="1"/>
  <c r="AF284" i="1"/>
  <c r="AG284" i="1"/>
  <c r="AH284" i="1"/>
  <c r="AI284" i="1"/>
  <c r="AC285" i="1"/>
  <c r="AD285" i="1"/>
  <c r="AE285" i="1"/>
  <c r="AF285" i="1"/>
  <c r="AG285" i="1"/>
  <c r="AH285" i="1"/>
  <c r="AI285" i="1"/>
  <c r="AC286" i="1"/>
  <c r="AD286" i="1"/>
  <c r="AE286" i="1"/>
  <c r="AF286" i="1"/>
  <c r="AG286" i="1"/>
  <c r="AH286" i="1"/>
  <c r="AI286" i="1"/>
  <c r="AC287" i="1"/>
  <c r="AD287" i="1"/>
  <c r="AE287" i="1"/>
  <c r="AF287" i="1"/>
  <c r="AG287" i="1"/>
  <c r="AH287" i="1"/>
  <c r="AI287" i="1"/>
  <c r="AC288" i="1"/>
  <c r="AD288" i="1"/>
  <c r="AE288" i="1"/>
  <c r="AF288" i="1"/>
  <c r="AG288" i="1"/>
  <c r="AH288" i="1"/>
  <c r="AI288" i="1"/>
  <c r="AC289" i="1"/>
  <c r="AD289" i="1"/>
  <c r="AE289" i="1"/>
  <c r="AF289" i="1"/>
  <c r="AG289" i="1"/>
  <c r="AH289" i="1"/>
  <c r="AI289" i="1"/>
  <c r="AC290" i="1"/>
  <c r="AD290" i="1"/>
  <c r="AE290" i="1"/>
  <c r="AF290" i="1"/>
  <c r="AG290" i="1"/>
  <c r="AH290" i="1"/>
  <c r="AI290" i="1"/>
  <c r="AC291" i="1"/>
  <c r="AD291" i="1"/>
  <c r="AE291" i="1"/>
  <c r="AF291" i="1"/>
  <c r="AG291" i="1"/>
  <c r="AH291" i="1"/>
  <c r="AI291" i="1"/>
  <c r="AC292" i="1"/>
  <c r="AD292" i="1"/>
  <c r="AE292" i="1"/>
  <c r="AF292" i="1"/>
  <c r="AG292" i="1"/>
  <c r="AH292" i="1"/>
  <c r="AI292" i="1"/>
  <c r="AC293" i="1"/>
  <c r="AD293" i="1"/>
  <c r="AE293" i="1"/>
  <c r="AF293" i="1"/>
  <c r="AG293" i="1"/>
  <c r="AH293" i="1"/>
  <c r="AI293" i="1"/>
  <c r="AC294" i="1"/>
  <c r="AD294" i="1"/>
  <c r="AE294" i="1"/>
  <c r="AF294" i="1"/>
  <c r="AG294" i="1"/>
  <c r="AH294" i="1"/>
  <c r="AI294" i="1"/>
  <c r="AC295" i="1"/>
  <c r="AD295" i="1"/>
  <c r="AE295" i="1"/>
  <c r="AF295" i="1"/>
  <c r="AG295" i="1"/>
  <c r="AH295" i="1"/>
  <c r="AI295" i="1"/>
  <c r="AC296" i="1"/>
  <c r="AD296" i="1"/>
  <c r="AE296" i="1"/>
  <c r="AF296" i="1"/>
  <c r="AG296" i="1"/>
  <c r="AH296" i="1"/>
  <c r="AI296" i="1"/>
  <c r="AC297" i="1"/>
  <c r="AD297" i="1"/>
  <c r="AE297" i="1"/>
  <c r="AF297" i="1"/>
  <c r="AG297" i="1"/>
  <c r="AH297" i="1"/>
  <c r="AI297" i="1"/>
  <c r="AC298" i="1"/>
  <c r="AD298" i="1"/>
  <c r="AE298" i="1"/>
  <c r="AF298" i="1"/>
  <c r="AG298" i="1"/>
  <c r="AH298" i="1"/>
  <c r="AI298" i="1"/>
  <c r="AC299" i="1"/>
  <c r="AD299" i="1"/>
  <c r="AE299" i="1"/>
  <c r="AF299" i="1"/>
  <c r="AG299" i="1"/>
  <c r="AH299" i="1"/>
  <c r="AI299" i="1"/>
  <c r="AC300" i="1"/>
  <c r="AD300" i="1"/>
  <c r="AE300" i="1"/>
  <c r="AF300" i="1"/>
  <c r="AG300" i="1"/>
  <c r="AH300" i="1"/>
  <c r="AI300" i="1"/>
  <c r="AC301" i="1"/>
  <c r="AD301" i="1"/>
  <c r="AE301" i="1"/>
  <c r="AF301" i="1"/>
  <c r="AG301" i="1"/>
  <c r="AH301" i="1"/>
  <c r="AI301" i="1"/>
  <c r="AC302" i="1"/>
  <c r="AD302" i="1"/>
  <c r="AE302" i="1"/>
  <c r="AF302" i="1"/>
  <c r="AG302" i="1"/>
  <c r="AH302" i="1"/>
  <c r="AI302" i="1"/>
  <c r="AC303" i="1"/>
  <c r="AD303" i="1"/>
  <c r="AE303" i="1"/>
  <c r="AF303" i="1"/>
  <c r="AG303" i="1"/>
  <c r="AH303" i="1"/>
  <c r="AI303" i="1"/>
  <c r="AC304" i="1"/>
  <c r="AD304" i="1"/>
  <c r="AE304" i="1"/>
  <c r="AF304" i="1"/>
  <c r="AG304" i="1"/>
  <c r="AH304" i="1"/>
  <c r="AI304" i="1"/>
  <c r="AC305" i="1"/>
  <c r="AD305" i="1"/>
  <c r="AE305" i="1"/>
  <c r="AF305" i="1"/>
  <c r="AG305" i="1"/>
  <c r="AH305" i="1"/>
  <c r="AI305" i="1"/>
  <c r="AC306" i="1"/>
  <c r="AD306" i="1"/>
  <c r="AE306" i="1"/>
  <c r="AF306" i="1"/>
  <c r="AG306" i="1"/>
  <c r="AH306" i="1"/>
  <c r="AI306" i="1"/>
  <c r="AC307" i="1"/>
  <c r="AD307" i="1"/>
  <c r="AE307" i="1"/>
  <c r="AF307" i="1"/>
  <c r="AG307" i="1"/>
  <c r="AH307" i="1"/>
  <c r="AI307" i="1"/>
  <c r="AC308" i="1"/>
  <c r="AD308" i="1"/>
  <c r="AE308" i="1"/>
  <c r="AF308" i="1"/>
  <c r="AG308" i="1"/>
  <c r="AH308" i="1"/>
  <c r="AI308" i="1"/>
  <c r="AC309" i="1"/>
  <c r="AD309" i="1"/>
  <c r="AE309" i="1"/>
  <c r="AF309" i="1"/>
  <c r="AG309" i="1"/>
  <c r="AH309" i="1"/>
  <c r="AI309" i="1"/>
  <c r="AC310" i="1"/>
  <c r="AD310" i="1"/>
  <c r="AE310" i="1"/>
  <c r="AF310" i="1"/>
  <c r="AG310" i="1"/>
  <c r="AH310" i="1"/>
  <c r="AI310" i="1"/>
  <c r="AC311" i="1"/>
  <c r="AD311" i="1"/>
  <c r="AE311" i="1"/>
  <c r="AF311" i="1"/>
  <c r="AG311" i="1"/>
  <c r="AH311" i="1"/>
  <c r="AI311" i="1"/>
  <c r="AC312" i="1"/>
  <c r="AD312" i="1"/>
  <c r="AE312" i="1"/>
  <c r="AF312" i="1"/>
  <c r="AG312" i="1"/>
  <c r="AH312" i="1"/>
  <c r="AI312" i="1"/>
  <c r="AC313" i="1"/>
  <c r="AD313" i="1"/>
  <c r="AE313" i="1"/>
  <c r="AF313" i="1"/>
  <c r="AG313" i="1"/>
  <c r="AH313" i="1"/>
  <c r="AI313" i="1"/>
  <c r="AC314" i="1"/>
  <c r="AD314" i="1"/>
  <c r="AE314" i="1"/>
  <c r="AF314" i="1"/>
  <c r="AG314" i="1"/>
  <c r="AH314" i="1"/>
  <c r="AI314" i="1"/>
  <c r="AC315" i="1"/>
  <c r="AD315" i="1"/>
  <c r="AE315" i="1"/>
  <c r="AF315" i="1"/>
  <c r="AG315" i="1"/>
  <c r="AH315" i="1"/>
  <c r="AI315" i="1"/>
  <c r="AC316" i="1"/>
  <c r="AD316" i="1"/>
  <c r="AE316" i="1"/>
  <c r="AF316" i="1"/>
  <c r="AG316" i="1"/>
  <c r="AH316" i="1"/>
  <c r="AI316" i="1"/>
  <c r="AC317" i="1"/>
  <c r="AD317" i="1"/>
  <c r="AE317" i="1"/>
  <c r="AF317" i="1"/>
  <c r="AG317" i="1"/>
  <c r="AH317" i="1"/>
  <c r="AI317" i="1"/>
  <c r="AC318" i="1"/>
  <c r="AD318" i="1"/>
  <c r="AE318" i="1"/>
  <c r="AF318" i="1"/>
  <c r="AG318" i="1"/>
  <c r="AH318" i="1"/>
  <c r="AI318" i="1"/>
  <c r="AC319" i="1"/>
  <c r="AD319" i="1"/>
  <c r="AE319" i="1"/>
  <c r="AF319" i="1"/>
  <c r="AG319" i="1"/>
  <c r="AH319" i="1"/>
  <c r="AI319" i="1"/>
  <c r="AC320" i="1"/>
  <c r="AD320" i="1"/>
  <c r="AE320" i="1"/>
  <c r="AF320" i="1"/>
  <c r="AG320" i="1"/>
  <c r="AH320" i="1"/>
  <c r="AI320" i="1"/>
  <c r="AC321" i="1"/>
  <c r="AD321" i="1"/>
  <c r="AE321" i="1"/>
  <c r="AF321" i="1"/>
  <c r="AG321" i="1"/>
  <c r="AH321" i="1"/>
  <c r="AI321" i="1"/>
  <c r="AC322" i="1"/>
  <c r="AD322" i="1"/>
  <c r="AE322" i="1"/>
  <c r="AF322" i="1"/>
  <c r="AG322" i="1"/>
  <c r="AH322" i="1"/>
  <c r="AI322" i="1"/>
  <c r="AC323" i="1"/>
  <c r="AD323" i="1"/>
  <c r="AE323" i="1"/>
  <c r="AF323" i="1"/>
  <c r="AG323" i="1"/>
  <c r="AH323" i="1"/>
  <c r="AI323" i="1"/>
  <c r="AC324" i="1"/>
  <c r="AD324" i="1"/>
  <c r="AE324" i="1"/>
  <c r="AF324" i="1"/>
  <c r="AG324" i="1"/>
  <c r="AH324" i="1"/>
  <c r="AI324" i="1"/>
  <c r="AC325" i="1"/>
  <c r="AD325" i="1"/>
  <c r="AE325" i="1"/>
  <c r="AF325" i="1"/>
  <c r="AG325" i="1"/>
  <c r="AH325" i="1"/>
  <c r="AI325" i="1"/>
  <c r="AC326" i="1"/>
  <c r="AD326" i="1"/>
  <c r="AE326" i="1"/>
  <c r="AF326" i="1"/>
  <c r="AG326" i="1"/>
  <c r="AH326" i="1"/>
  <c r="AI326" i="1"/>
  <c r="AC327" i="1"/>
  <c r="AD327" i="1"/>
  <c r="AE327" i="1"/>
  <c r="AF327" i="1"/>
  <c r="AG327" i="1"/>
  <c r="AH327" i="1"/>
  <c r="AI327" i="1"/>
  <c r="AC328" i="1"/>
  <c r="AD328" i="1"/>
  <c r="AE328" i="1"/>
  <c r="AF328" i="1"/>
  <c r="AG328" i="1"/>
  <c r="AH328" i="1"/>
  <c r="AI328" i="1"/>
  <c r="AC329" i="1"/>
  <c r="AD329" i="1"/>
  <c r="AE329" i="1"/>
  <c r="AF329" i="1"/>
  <c r="AG329" i="1"/>
  <c r="AH329" i="1"/>
  <c r="AI329" i="1"/>
  <c r="AC330" i="1"/>
  <c r="AD330" i="1"/>
  <c r="AE330" i="1"/>
  <c r="AF330" i="1"/>
  <c r="AG330" i="1"/>
  <c r="AH330" i="1"/>
  <c r="AI330" i="1"/>
  <c r="AC331" i="1"/>
  <c r="AD331" i="1"/>
  <c r="AE331" i="1"/>
  <c r="AF331" i="1"/>
  <c r="AG331" i="1"/>
  <c r="AH331" i="1"/>
  <c r="AI331" i="1"/>
  <c r="AC332" i="1"/>
  <c r="AD332" i="1"/>
  <c r="AE332" i="1"/>
  <c r="AF332" i="1"/>
  <c r="AG332" i="1"/>
  <c r="AH332" i="1"/>
  <c r="AI332" i="1"/>
  <c r="AC333" i="1"/>
  <c r="AD333" i="1"/>
  <c r="AE333" i="1"/>
  <c r="AF333" i="1"/>
  <c r="AG333" i="1"/>
  <c r="AH333" i="1"/>
  <c r="AI333" i="1"/>
  <c r="AC334" i="1"/>
  <c r="AD334" i="1"/>
  <c r="AE334" i="1"/>
  <c r="AF334" i="1"/>
  <c r="AG334" i="1"/>
  <c r="AH334" i="1"/>
  <c r="AI334" i="1"/>
  <c r="AC335" i="1"/>
  <c r="AD335" i="1"/>
  <c r="AE335" i="1"/>
  <c r="AF335" i="1"/>
  <c r="AG335" i="1"/>
  <c r="AH335" i="1"/>
  <c r="AI335" i="1"/>
  <c r="AC336" i="1"/>
  <c r="AD336" i="1"/>
  <c r="AE336" i="1"/>
  <c r="AF336" i="1"/>
  <c r="AG336" i="1"/>
  <c r="AH336" i="1"/>
  <c r="AI336" i="1"/>
  <c r="AC337" i="1"/>
  <c r="AD337" i="1"/>
  <c r="AE337" i="1"/>
  <c r="AF337" i="1"/>
  <c r="AG337" i="1"/>
  <c r="AH337" i="1"/>
  <c r="AI337" i="1"/>
  <c r="AC338" i="1"/>
  <c r="AD338" i="1"/>
  <c r="AE338" i="1"/>
  <c r="AF338" i="1"/>
  <c r="AG338" i="1"/>
  <c r="AH338" i="1"/>
  <c r="AI338" i="1"/>
  <c r="AC339" i="1"/>
  <c r="AD339" i="1"/>
  <c r="AE339" i="1"/>
  <c r="AF339" i="1"/>
  <c r="AG339" i="1"/>
  <c r="AH339" i="1"/>
  <c r="AI339" i="1"/>
  <c r="AC340" i="1"/>
  <c r="AD340" i="1"/>
  <c r="AE340" i="1"/>
  <c r="AF340" i="1"/>
  <c r="AG340" i="1"/>
  <c r="AH340" i="1"/>
  <c r="AI340" i="1"/>
  <c r="AC341" i="1"/>
  <c r="AD341" i="1"/>
  <c r="AE341" i="1"/>
  <c r="AF341" i="1"/>
  <c r="AG341" i="1"/>
  <c r="AH341" i="1"/>
  <c r="AI341" i="1"/>
  <c r="AC342" i="1"/>
  <c r="AD342" i="1"/>
  <c r="AE342" i="1"/>
  <c r="AF342" i="1"/>
  <c r="AG342" i="1"/>
  <c r="AH342" i="1"/>
  <c r="AI342" i="1"/>
  <c r="AC343" i="1"/>
  <c r="AD343" i="1"/>
  <c r="AE343" i="1"/>
  <c r="AF343" i="1"/>
  <c r="AG343" i="1"/>
  <c r="AH343" i="1"/>
  <c r="AI343" i="1"/>
  <c r="AC344" i="1"/>
  <c r="AD344" i="1"/>
  <c r="AE344" i="1"/>
  <c r="AF344" i="1"/>
  <c r="AG344" i="1"/>
  <c r="AH344" i="1"/>
  <c r="AI344" i="1"/>
  <c r="AC345" i="1"/>
  <c r="AD345" i="1"/>
  <c r="AE345" i="1"/>
  <c r="AF345" i="1"/>
  <c r="AG345" i="1"/>
  <c r="AH345" i="1"/>
  <c r="AI345" i="1"/>
  <c r="AC346" i="1"/>
  <c r="AD346" i="1"/>
  <c r="AE346" i="1"/>
  <c r="AF346" i="1"/>
  <c r="AG346" i="1"/>
  <c r="AH346" i="1"/>
  <c r="AI346" i="1"/>
  <c r="AC347" i="1"/>
  <c r="AD347" i="1"/>
  <c r="AE347" i="1"/>
  <c r="AF347" i="1"/>
  <c r="AG347" i="1"/>
  <c r="AH347" i="1"/>
  <c r="AI347" i="1"/>
  <c r="AC348" i="1"/>
  <c r="AD348" i="1"/>
  <c r="AE348" i="1"/>
  <c r="AF348" i="1"/>
  <c r="AG348" i="1"/>
  <c r="AH348" i="1"/>
  <c r="AI348" i="1"/>
  <c r="AC349" i="1"/>
  <c r="AD349" i="1"/>
  <c r="AE349" i="1"/>
  <c r="AF349" i="1"/>
  <c r="AG349" i="1"/>
  <c r="AH349" i="1"/>
  <c r="AI349" i="1"/>
  <c r="AC350" i="1"/>
  <c r="AD350" i="1"/>
  <c r="AE350" i="1"/>
  <c r="AF350" i="1"/>
  <c r="AG350" i="1"/>
  <c r="AH350" i="1"/>
  <c r="AI350" i="1"/>
  <c r="AC351" i="1"/>
  <c r="AD351" i="1"/>
  <c r="AE351" i="1"/>
  <c r="AF351" i="1"/>
  <c r="AG351" i="1"/>
  <c r="AH351" i="1"/>
  <c r="AI351" i="1"/>
  <c r="AC352" i="1"/>
  <c r="AD352" i="1"/>
  <c r="AE352" i="1"/>
  <c r="AF352" i="1"/>
  <c r="AG352" i="1"/>
  <c r="AH352" i="1"/>
  <c r="AI352" i="1"/>
  <c r="AC353" i="1"/>
  <c r="AD353" i="1"/>
  <c r="AE353" i="1"/>
  <c r="AF353" i="1"/>
  <c r="AG353" i="1"/>
  <c r="AH353" i="1"/>
  <c r="AI353" i="1"/>
  <c r="AC354" i="1"/>
  <c r="AD354" i="1"/>
  <c r="AE354" i="1"/>
  <c r="AF354" i="1"/>
  <c r="AG354" i="1"/>
  <c r="AH354" i="1"/>
  <c r="AI354" i="1"/>
  <c r="AC355" i="1"/>
  <c r="AD355" i="1"/>
  <c r="AE355" i="1"/>
  <c r="AF355" i="1"/>
  <c r="AG355" i="1"/>
  <c r="AH355" i="1"/>
  <c r="AI355" i="1"/>
  <c r="AC356" i="1"/>
  <c r="AD356" i="1"/>
  <c r="AE356" i="1"/>
  <c r="AF356" i="1"/>
  <c r="AG356" i="1"/>
  <c r="AH356" i="1"/>
  <c r="AI356" i="1"/>
  <c r="AC357" i="1"/>
  <c r="AD357" i="1"/>
  <c r="AE357" i="1"/>
  <c r="AF357" i="1"/>
  <c r="AG357" i="1"/>
  <c r="AH357" i="1"/>
  <c r="AI357" i="1"/>
  <c r="AC358" i="1"/>
  <c r="AD358" i="1"/>
  <c r="AE358" i="1"/>
  <c r="AF358" i="1"/>
  <c r="AG358" i="1"/>
  <c r="AH358" i="1"/>
  <c r="AI358" i="1"/>
  <c r="AC359" i="1"/>
  <c r="AD359" i="1"/>
  <c r="AE359" i="1"/>
  <c r="AF359" i="1"/>
  <c r="AG359" i="1"/>
  <c r="AH359" i="1"/>
  <c r="AI359" i="1"/>
  <c r="AC360" i="1"/>
  <c r="AD360" i="1"/>
  <c r="AE360" i="1"/>
  <c r="AF360" i="1"/>
  <c r="AG360" i="1"/>
  <c r="AH360" i="1"/>
  <c r="AI360" i="1"/>
  <c r="AC361" i="1"/>
  <c r="AD361" i="1"/>
  <c r="AE361" i="1"/>
  <c r="AF361" i="1"/>
  <c r="AG361" i="1"/>
  <c r="AH361" i="1"/>
  <c r="AI361" i="1"/>
  <c r="AC362" i="1"/>
  <c r="AD362" i="1"/>
  <c r="AE362" i="1"/>
  <c r="AF362" i="1"/>
  <c r="AG362" i="1"/>
  <c r="AH362" i="1"/>
  <c r="AI362" i="1"/>
  <c r="AC363" i="1"/>
  <c r="AD363" i="1"/>
  <c r="AE363" i="1"/>
  <c r="AF363" i="1"/>
  <c r="AG363" i="1"/>
  <c r="AH363" i="1"/>
  <c r="AI363" i="1"/>
  <c r="AC364" i="1"/>
  <c r="AD364" i="1"/>
  <c r="AE364" i="1"/>
  <c r="AF364" i="1"/>
  <c r="AG364" i="1"/>
  <c r="AH364" i="1"/>
  <c r="AI364" i="1"/>
  <c r="AC365" i="1"/>
  <c r="AD365" i="1"/>
  <c r="AE365" i="1"/>
  <c r="AF365" i="1"/>
  <c r="AG365" i="1"/>
  <c r="AH365" i="1"/>
  <c r="AI365" i="1"/>
  <c r="AC366" i="1"/>
  <c r="AD366" i="1"/>
  <c r="AE366" i="1"/>
  <c r="AF366" i="1"/>
  <c r="AG366" i="1"/>
  <c r="AH366" i="1"/>
  <c r="AI366" i="1"/>
  <c r="AC367" i="1"/>
  <c r="AD367" i="1"/>
  <c r="AE367" i="1"/>
  <c r="AF367" i="1"/>
  <c r="AG367" i="1"/>
  <c r="AH367" i="1"/>
  <c r="AI367" i="1"/>
  <c r="AC368" i="1"/>
  <c r="AD368" i="1"/>
  <c r="AE368" i="1"/>
  <c r="AF368" i="1"/>
  <c r="AG368" i="1"/>
  <c r="AH368" i="1"/>
  <c r="AI368" i="1"/>
  <c r="AC369" i="1"/>
  <c r="AD369" i="1"/>
  <c r="AE369" i="1"/>
  <c r="AF369" i="1"/>
  <c r="AG369" i="1"/>
  <c r="AH369" i="1"/>
  <c r="AI369" i="1"/>
  <c r="AC370" i="1"/>
  <c r="AD370" i="1"/>
  <c r="AE370" i="1"/>
  <c r="AF370" i="1"/>
  <c r="AG370" i="1"/>
  <c r="AH370" i="1"/>
  <c r="AI370" i="1"/>
  <c r="AC371" i="1"/>
  <c r="AD371" i="1"/>
  <c r="AE371" i="1"/>
  <c r="AF371" i="1"/>
  <c r="AG371" i="1"/>
  <c r="AH371" i="1"/>
  <c r="AI371" i="1"/>
  <c r="AC372" i="1"/>
  <c r="AD372" i="1"/>
  <c r="AE372" i="1"/>
  <c r="AF372" i="1"/>
  <c r="AG372" i="1"/>
  <c r="AH372" i="1"/>
  <c r="AI372" i="1"/>
  <c r="AC373" i="1"/>
  <c r="AD373" i="1"/>
  <c r="AE373" i="1"/>
  <c r="AF373" i="1"/>
  <c r="AG373" i="1"/>
  <c r="AH373" i="1"/>
  <c r="AI373" i="1"/>
  <c r="AC374" i="1"/>
  <c r="AD374" i="1"/>
  <c r="AE374" i="1"/>
  <c r="AF374" i="1"/>
  <c r="AG374" i="1"/>
  <c r="AH374" i="1"/>
  <c r="AI374" i="1"/>
  <c r="AC375" i="1"/>
  <c r="AD375" i="1"/>
  <c r="AE375" i="1"/>
  <c r="AF375" i="1"/>
  <c r="AG375" i="1"/>
  <c r="AH375" i="1"/>
  <c r="AI375" i="1"/>
  <c r="AC376" i="1"/>
  <c r="AD376" i="1"/>
  <c r="AE376" i="1"/>
  <c r="AF376" i="1"/>
  <c r="AG376" i="1"/>
  <c r="AH376" i="1"/>
  <c r="AI376" i="1"/>
  <c r="AC377" i="1"/>
  <c r="AD377" i="1"/>
  <c r="AE377" i="1"/>
  <c r="AF377" i="1"/>
  <c r="AG377" i="1"/>
  <c r="AH377" i="1"/>
  <c r="AI377" i="1"/>
  <c r="AC378" i="1"/>
  <c r="AD378" i="1"/>
  <c r="AE378" i="1"/>
  <c r="AF378" i="1"/>
  <c r="AG378" i="1"/>
  <c r="AH378" i="1"/>
  <c r="AI378" i="1"/>
  <c r="AC379" i="1"/>
  <c r="AD379" i="1"/>
  <c r="AE379" i="1"/>
  <c r="AF379" i="1"/>
  <c r="AG379" i="1"/>
  <c r="AH379" i="1"/>
  <c r="AI379" i="1"/>
  <c r="AC380" i="1"/>
  <c r="AD380" i="1"/>
  <c r="AE380" i="1"/>
  <c r="AF380" i="1"/>
  <c r="AG380" i="1"/>
  <c r="AH380" i="1"/>
  <c r="AI380" i="1"/>
  <c r="AC381" i="1"/>
  <c r="AD381" i="1"/>
  <c r="AE381" i="1"/>
  <c r="AF381" i="1"/>
  <c r="AG381" i="1"/>
  <c r="AH381" i="1"/>
  <c r="AI381" i="1"/>
  <c r="AC382" i="1"/>
  <c r="AD382" i="1"/>
  <c r="AE382" i="1"/>
  <c r="AF382" i="1"/>
  <c r="AG382" i="1"/>
  <c r="AH382" i="1"/>
  <c r="AI382" i="1"/>
  <c r="AC383" i="1"/>
  <c r="AD383" i="1"/>
  <c r="AE383" i="1"/>
  <c r="AF383" i="1"/>
  <c r="AG383" i="1"/>
  <c r="AH383" i="1"/>
  <c r="AI383" i="1"/>
  <c r="AC384" i="1"/>
  <c r="AD384" i="1"/>
  <c r="AE384" i="1"/>
  <c r="AF384" i="1"/>
  <c r="AG384" i="1"/>
  <c r="AH384" i="1"/>
  <c r="AI384" i="1"/>
  <c r="AC385" i="1"/>
  <c r="AD385" i="1"/>
  <c r="AE385" i="1"/>
  <c r="AF385" i="1"/>
  <c r="AG385" i="1"/>
  <c r="AH385" i="1"/>
  <c r="AI385" i="1"/>
  <c r="AC386" i="1"/>
  <c r="AD386" i="1"/>
  <c r="AE386" i="1"/>
  <c r="AF386" i="1"/>
  <c r="AG386" i="1"/>
  <c r="AH386" i="1"/>
  <c r="AI386" i="1"/>
  <c r="AC387" i="1"/>
  <c r="AD387" i="1"/>
  <c r="AE387" i="1"/>
  <c r="AF387" i="1"/>
  <c r="AG387" i="1"/>
  <c r="AH387" i="1"/>
  <c r="AI387" i="1"/>
  <c r="AC388" i="1"/>
  <c r="AD388" i="1"/>
  <c r="AE388" i="1"/>
  <c r="AF388" i="1"/>
  <c r="AG388" i="1"/>
  <c r="AH388" i="1"/>
  <c r="AI388" i="1"/>
  <c r="AC389" i="1"/>
  <c r="AD389" i="1"/>
  <c r="AE389" i="1"/>
  <c r="AF389" i="1"/>
  <c r="AG389" i="1"/>
  <c r="AH389" i="1"/>
  <c r="AI389" i="1"/>
  <c r="AC390" i="1"/>
  <c r="AD390" i="1"/>
  <c r="AE390" i="1"/>
  <c r="AF390" i="1"/>
  <c r="AG390" i="1"/>
  <c r="AH390" i="1"/>
  <c r="AI390" i="1"/>
  <c r="AC391" i="1"/>
  <c r="AD391" i="1"/>
  <c r="AE391" i="1"/>
  <c r="AF391" i="1"/>
  <c r="AG391" i="1"/>
  <c r="AH391" i="1"/>
  <c r="AI391" i="1"/>
  <c r="AC392" i="1"/>
  <c r="AD392" i="1"/>
  <c r="AE392" i="1"/>
  <c r="AF392" i="1"/>
  <c r="AG392" i="1"/>
  <c r="AH392" i="1"/>
  <c r="AI392" i="1"/>
  <c r="AC393" i="1"/>
  <c r="AD393" i="1"/>
  <c r="AE393" i="1"/>
  <c r="AF393" i="1"/>
  <c r="AG393" i="1"/>
  <c r="AH393" i="1"/>
  <c r="AI393" i="1"/>
  <c r="AC394" i="1"/>
  <c r="AD394" i="1"/>
  <c r="AE394" i="1"/>
  <c r="AF394" i="1"/>
  <c r="AG394" i="1"/>
  <c r="AH394" i="1"/>
  <c r="AI394" i="1"/>
  <c r="AC395" i="1"/>
  <c r="AD395" i="1"/>
  <c r="AE395" i="1"/>
  <c r="AF395" i="1"/>
  <c r="AG395" i="1"/>
  <c r="AH395" i="1"/>
  <c r="AI395" i="1"/>
  <c r="AC396" i="1"/>
  <c r="AD396" i="1"/>
  <c r="AE396" i="1"/>
  <c r="AF396" i="1"/>
  <c r="AG396" i="1"/>
  <c r="AH396" i="1"/>
  <c r="AI396" i="1"/>
  <c r="AC397" i="1"/>
  <c r="AD397" i="1"/>
  <c r="AE397" i="1"/>
  <c r="AF397" i="1"/>
  <c r="AG397" i="1"/>
  <c r="AH397" i="1"/>
  <c r="AI397" i="1"/>
  <c r="AC398" i="1"/>
  <c r="AD398" i="1"/>
  <c r="AE398" i="1"/>
  <c r="AF398" i="1"/>
  <c r="AG398" i="1"/>
  <c r="AH398" i="1"/>
  <c r="AI398" i="1"/>
  <c r="AC399" i="1"/>
  <c r="AD399" i="1"/>
  <c r="AE399" i="1"/>
  <c r="AF399" i="1"/>
  <c r="AG399" i="1"/>
  <c r="AH399" i="1"/>
  <c r="AI399" i="1"/>
  <c r="AC400" i="1"/>
  <c r="AD400" i="1"/>
  <c r="AE400" i="1"/>
  <c r="AF400" i="1"/>
  <c r="AG400" i="1"/>
  <c r="AH400" i="1"/>
  <c r="AI400" i="1"/>
  <c r="AC401" i="1"/>
  <c r="AD401" i="1"/>
  <c r="AE401" i="1"/>
  <c r="AF401" i="1"/>
  <c r="AG401" i="1"/>
  <c r="AH401" i="1"/>
  <c r="AI401" i="1"/>
  <c r="AC402" i="1"/>
  <c r="AD402" i="1"/>
  <c r="AE402" i="1"/>
  <c r="AF402" i="1"/>
  <c r="AG402" i="1"/>
  <c r="AH402" i="1"/>
  <c r="AI402" i="1"/>
  <c r="AC403" i="1"/>
  <c r="AD403" i="1"/>
  <c r="AE403" i="1"/>
  <c r="AF403" i="1"/>
  <c r="AG403" i="1"/>
  <c r="AH403" i="1"/>
  <c r="AI403" i="1"/>
  <c r="AC404" i="1"/>
  <c r="AD404" i="1"/>
  <c r="AE404" i="1"/>
  <c r="AF404" i="1"/>
  <c r="AG404" i="1"/>
  <c r="AH404" i="1"/>
  <c r="AI404" i="1"/>
  <c r="AC405" i="1"/>
  <c r="AD405" i="1"/>
  <c r="AE405" i="1"/>
  <c r="AF405" i="1"/>
  <c r="AG405" i="1"/>
  <c r="AH405" i="1"/>
  <c r="AI405" i="1"/>
  <c r="AC406" i="1"/>
  <c r="AD406" i="1"/>
  <c r="AE406" i="1"/>
  <c r="AF406" i="1"/>
  <c r="AG406" i="1"/>
  <c r="AH406" i="1"/>
  <c r="AI406" i="1"/>
  <c r="AC407" i="1"/>
  <c r="AD407" i="1"/>
  <c r="AE407" i="1"/>
  <c r="AF407" i="1"/>
  <c r="AG407" i="1"/>
  <c r="AH407" i="1"/>
  <c r="AI407" i="1"/>
  <c r="AC408" i="1"/>
  <c r="AD408" i="1"/>
  <c r="AE408" i="1"/>
  <c r="AF408" i="1"/>
  <c r="AG408" i="1"/>
  <c r="AH408" i="1"/>
  <c r="AI408" i="1"/>
  <c r="AC409" i="1"/>
  <c r="AD409" i="1"/>
  <c r="AE409" i="1"/>
  <c r="AF409" i="1"/>
  <c r="AG409" i="1"/>
  <c r="AH409" i="1"/>
  <c r="AI409" i="1"/>
  <c r="AC410" i="1"/>
  <c r="AD410" i="1"/>
  <c r="AE410" i="1"/>
  <c r="AF410" i="1"/>
  <c r="AG410" i="1"/>
  <c r="AH410" i="1"/>
  <c r="AI410" i="1"/>
  <c r="AC411" i="1"/>
  <c r="AD411" i="1"/>
  <c r="AE411" i="1"/>
  <c r="AF411" i="1"/>
  <c r="AG411" i="1"/>
  <c r="AH411" i="1"/>
  <c r="AI411" i="1"/>
  <c r="AC412" i="1"/>
  <c r="AD412" i="1"/>
  <c r="AE412" i="1"/>
  <c r="AF412" i="1"/>
  <c r="AG412" i="1"/>
  <c r="AH412" i="1"/>
  <c r="AI412" i="1"/>
  <c r="AC413" i="1"/>
  <c r="AD413" i="1"/>
  <c r="AE413" i="1"/>
  <c r="AF413" i="1"/>
  <c r="AG413" i="1"/>
  <c r="AH413" i="1"/>
  <c r="AI413" i="1"/>
  <c r="AC414" i="1"/>
  <c r="AD414" i="1"/>
  <c r="AE414" i="1"/>
  <c r="AF414" i="1"/>
  <c r="AG414" i="1"/>
  <c r="AH414" i="1"/>
  <c r="AI414" i="1"/>
  <c r="AC415" i="1"/>
  <c r="AD415" i="1"/>
  <c r="AE415" i="1"/>
  <c r="AF415" i="1"/>
  <c r="AG415" i="1"/>
  <c r="AH415" i="1"/>
  <c r="AI415" i="1"/>
  <c r="AC416" i="1"/>
  <c r="AD416" i="1"/>
  <c r="AE416" i="1"/>
  <c r="AF416" i="1"/>
  <c r="AG416" i="1"/>
  <c r="AH416" i="1"/>
  <c r="AI416" i="1"/>
  <c r="AC417" i="1"/>
  <c r="AD417" i="1"/>
  <c r="AE417" i="1"/>
  <c r="AF417" i="1"/>
  <c r="AG417" i="1"/>
  <c r="AH417" i="1"/>
  <c r="AI417" i="1"/>
  <c r="AC418" i="1"/>
  <c r="AD418" i="1"/>
  <c r="AE418" i="1"/>
  <c r="AF418" i="1"/>
  <c r="AG418" i="1"/>
  <c r="AH418" i="1"/>
  <c r="AI418" i="1"/>
  <c r="AC419" i="1"/>
  <c r="AD419" i="1"/>
  <c r="AE419" i="1"/>
  <c r="AF419" i="1"/>
  <c r="AG419" i="1"/>
  <c r="AH419" i="1"/>
  <c r="AI419" i="1"/>
  <c r="AC420" i="1"/>
  <c r="AD420" i="1"/>
  <c r="AE420" i="1"/>
  <c r="AF420" i="1"/>
  <c r="AG420" i="1"/>
  <c r="AH420" i="1"/>
  <c r="AI420" i="1"/>
  <c r="AC421" i="1"/>
  <c r="AD421" i="1"/>
  <c r="AE421" i="1"/>
  <c r="AF421" i="1"/>
  <c r="AG421" i="1"/>
  <c r="AH421" i="1"/>
  <c r="AI421" i="1"/>
  <c r="AC422" i="1"/>
  <c r="AD422" i="1"/>
  <c r="AE422" i="1"/>
  <c r="AF422" i="1"/>
  <c r="AG422" i="1"/>
  <c r="AH422" i="1"/>
  <c r="AI422" i="1"/>
  <c r="AC423" i="1"/>
  <c r="AD423" i="1"/>
  <c r="AE423" i="1"/>
  <c r="AF423" i="1"/>
  <c r="AG423" i="1"/>
  <c r="AH423" i="1"/>
  <c r="AI423" i="1"/>
  <c r="AC424" i="1"/>
  <c r="AD424" i="1"/>
  <c r="AE424" i="1"/>
  <c r="AF424" i="1"/>
  <c r="AG424" i="1"/>
  <c r="AH424" i="1"/>
  <c r="AI424" i="1"/>
  <c r="AC425" i="1"/>
  <c r="AD425" i="1"/>
  <c r="AE425" i="1"/>
  <c r="AF425" i="1"/>
  <c r="AG425" i="1"/>
  <c r="AH425" i="1"/>
  <c r="AI425" i="1"/>
  <c r="AC426" i="1"/>
  <c r="AD426" i="1"/>
  <c r="AE426" i="1"/>
  <c r="AF426" i="1"/>
  <c r="AG426" i="1"/>
  <c r="AH426" i="1"/>
  <c r="AI426" i="1"/>
  <c r="AC427" i="1"/>
  <c r="AD427" i="1"/>
  <c r="AE427" i="1"/>
  <c r="AF427" i="1"/>
  <c r="AG427" i="1"/>
  <c r="AH427" i="1"/>
  <c r="AI427" i="1"/>
  <c r="AC428" i="1"/>
  <c r="AD428" i="1"/>
  <c r="AE428" i="1"/>
  <c r="AF428" i="1"/>
  <c r="AG428" i="1"/>
  <c r="AH428" i="1"/>
  <c r="AI428" i="1"/>
  <c r="AC429" i="1"/>
  <c r="AD429" i="1"/>
  <c r="AE429" i="1"/>
  <c r="AF429" i="1"/>
  <c r="AG429" i="1"/>
  <c r="AH429" i="1"/>
  <c r="AI429" i="1"/>
  <c r="AC430" i="1"/>
  <c r="AD430" i="1"/>
  <c r="AE430" i="1"/>
  <c r="AF430" i="1"/>
  <c r="AG430" i="1"/>
  <c r="AH430" i="1"/>
  <c r="AI430" i="1"/>
  <c r="AC431" i="1"/>
  <c r="AD431" i="1"/>
  <c r="AE431" i="1"/>
  <c r="AF431" i="1"/>
  <c r="AG431" i="1"/>
  <c r="AH431" i="1"/>
  <c r="AI431" i="1"/>
  <c r="AC432" i="1"/>
  <c r="AD432" i="1"/>
  <c r="AE432" i="1"/>
  <c r="AF432" i="1"/>
  <c r="AG432" i="1"/>
  <c r="AH432" i="1"/>
  <c r="AI432" i="1"/>
  <c r="AC433" i="1"/>
  <c r="AD433" i="1"/>
  <c r="AE433" i="1"/>
  <c r="AF433" i="1"/>
  <c r="AG433" i="1"/>
  <c r="AH433" i="1"/>
  <c r="AI433" i="1"/>
  <c r="AC434" i="1"/>
  <c r="AD434" i="1"/>
  <c r="AE434" i="1"/>
  <c r="AF434" i="1"/>
  <c r="AG434" i="1"/>
  <c r="AH434" i="1"/>
  <c r="AI434" i="1"/>
  <c r="AC435" i="1"/>
  <c r="AD435" i="1"/>
  <c r="AE435" i="1"/>
  <c r="AF435" i="1"/>
  <c r="AG435" i="1"/>
  <c r="AH435" i="1"/>
  <c r="AI435" i="1"/>
  <c r="AC436" i="1"/>
  <c r="AD436" i="1"/>
  <c r="AE436" i="1"/>
  <c r="AF436" i="1"/>
  <c r="AG436" i="1"/>
  <c r="AH436" i="1"/>
  <c r="AI436" i="1"/>
  <c r="AC437" i="1"/>
  <c r="AD437" i="1"/>
  <c r="AE437" i="1"/>
  <c r="AF437" i="1"/>
  <c r="AG437" i="1"/>
  <c r="AH437" i="1"/>
  <c r="AI437" i="1"/>
  <c r="AC438" i="1"/>
  <c r="AD438" i="1"/>
  <c r="AE438" i="1"/>
  <c r="AF438" i="1"/>
  <c r="AG438" i="1"/>
  <c r="AH438" i="1"/>
  <c r="AI438" i="1"/>
  <c r="AC439" i="1"/>
  <c r="AD439" i="1"/>
  <c r="AE439" i="1"/>
  <c r="AF439" i="1"/>
  <c r="AG439" i="1"/>
  <c r="AH439" i="1"/>
  <c r="AI439" i="1"/>
  <c r="AC440" i="1"/>
  <c r="AD440" i="1"/>
  <c r="AE440" i="1"/>
  <c r="AF440" i="1"/>
  <c r="AG440" i="1"/>
  <c r="AH440" i="1"/>
  <c r="AI440" i="1"/>
  <c r="AC441" i="1"/>
  <c r="AD441" i="1"/>
  <c r="AE441" i="1"/>
  <c r="AF441" i="1"/>
  <c r="AG441" i="1"/>
  <c r="AH441" i="1"/>
  <c r="AI441" i="1"/>
  <c r="AC442" i="1"/>
  <c r="AD442" i="1"/>
  <c r="AE442" i="1"/>
  <c r="AF442" i="1"/>
  <c r="AG442" i="1"/>
  <c r="AH442" i="1"/>
  <c r="AI442" i="1"/>
  <c r="AC443" i="1"/>
  <c r="AD443" i="1"/>
  <c r="AE443" i="1"/>
  <c r="AF443" i="1"/>
  <c r="AG443" i="1"/>
  <c r="AH443" i="1"/>
  <c r="AI443" i="1"/>
  <c r="AC444" i="1"/>
  <c r="AD444" i="1"/>
  <c r="AE444" i="1"/>
  <c r="AF444" i="1"/>
  <c r="AG444" i="1"/>
  <c r="AH444" i="1"/>
  <c r="AI444" i="1"/>
  <c r="AC445" i="1"/>
  <c r="AD445" i="1"/>
  <c r="AE445" i="1"/>
  <c r="AF445" i="1"/>
  <c r="AG445" i="1"/>
  <c r="AH445" i="1"/>
  <c r="AI445" i="1"/>
  <c r="AC446" i="1"/>
  <c r="AD446" i="1"/>
  <c r="AE446" i="1"/>
  <c r="AF446" i="1"/>
  <c r="AG446" i="1"/>
  <c r="AH446" i="1"/>
  <c r="AI446" i="1"/>
  <c r="AC447" i="1"/>
  <c r="AD447" i="1"/>
  <c r="AE447" i="1"/>
  <c r="AF447" i="1"/>
  <c r="AG447" i="1"/>
  <c r="AH447" i="1"/>
  <c r="AI447" i="1"/>
  <c r="AC448" i="1"/>
  <c r="AD448" i="1"/>
  <c r="AE448" i="1"/>
  <c r="AF448" i="1"/>
  <c r="AG448" i="1"/>
  <c r="AH448" i="1"/>
  <c r="AI448" i="1"/>
  <c r="AC449" i="1"/>
  <c r="AD449" i="1"/>
  <c r="AE449" i="1"/>
  <c r="AF449" i="1"/>
  <c r="AG449" i="1"/>
  <c r="AH449" i="1"/>
  <c r="AI449" i="1"/>
  <c r="AC450" i="1"/>
  <c r="AD450" i="1"/>
  <c r="AE450" i="1"/>
  <c r="AF450" i="1"/>
  <c r="AG450" i="1"/>
  <c r="AH450" i="1"/>
  <c r="AI450" i="1"/>
  <c r="AC451" i="1"/>
  <c r="AD451" i="1"/>
  <c r="AE451" i="1"/>
  <c r="AF451" i="1"/>
  <c r="AG451" i="1"/>
  <c r="AH451" i="1"/>
  <c r="AI451" i="1"/>
  <c r="AC452" i="1"/>
  <c r="AD452" i="1"/>
  <c r="AE452" i="1"/>
  <c r="AF452" i="1"/>
  <c r="AG452" i="1"/>
  <c r="AH452" i="1"/>
  <c r="AI452" i="1"/>
  <c r="AC453" i="1"/>
  <c r="AD453" i="1"/>
  <c r="AE453" i="1"/>
  <c r="AF453" i="1"/>
  <c r="AG453" i="1"/>
  <c r="AH453" i="1"/>
  <c r="AI453" i="1"/>
  <c r="AC454" i="1"/>
  <c r="AD454" i="1"/>
  <c r="AE454" i="1"/>
  <c r="AF454" i="1"/>
  <c r="AG454" i="1"/>
  <c r="AH454" i="1"/>
  <c r="AI454" i="1"/>
  <c r="AC455" i="1"/>
  <c r="AD455" i="1"/>
  <c r="AE455" i="1"/>
  <c r="AF455" i="1"/>
  <c r="AG455" i="1"/>
  <c r="AH455" i="1"/>
  <c r="AI455" i="1"/>
  <c r="AC456" i="1"/>
  <c r="AD456" i="1"/>
  <c r="AE456" i="1"/>
  <c r="AF456" i="1"/>
  <c r="AG456" i="1"/>
  <c r="AH456" i="1"/>
  <c r="AI456" i="1"/>
  <c r="AC457" i="1"/>
  <c r="AD457" i="1"/>
  <c r="AE457" i="1"/>
  <c r="AF457" i="1"/>
  <c r="AG457" i="1"/>
  <c r="AH457" i="1"/>
  <c r="AI457" i="1"/>
  <c r="AC458" i="1"/>
  <c r="AD458" i="1"/>
  <c r="AE458" i="1"/>
  <c r="AF458" i="1"/>
  <c r="AG458" i="1"/>
  <c r="AH458" i="1"/>
  <c r="AI458" i="1"/>
  <c r="AC459" i="1"/>
  <c r="AD459" i="1"/>
  <c r="AE459" i="1"/>
  <c r="AF459" i="1"/>
  <c r="AG459" i="1"/>
  <c r="AH459" i="1"/>
  <c r="AI459" i="1"/>
  <c r="AC460" i="1"/>
  <c r="AD460" i="1"/>
  <c r="AE460" i="1"/>
  <c r="AF460" i="1"/>
  <c r="AG460" i="1"/>
  <c r="AH460" i="1"/>
  <c r="AI460" i="1"/>
  <c r="AC461" i="1"/>
  <c r="AD461" i="1"/>
  <c r="AE461" i="1"/>
  <c r="AF461" i="1"/>
  <c r="AG461" i="1"/>
  <c r="AH461" i="1"/>
  <c r="AI461" i="1"/>
  <c r="AC462" i="1"/>
  <c r="AD462" i="1"/>
  <c r="AE462" i="1"/>
  <c r="AF462" i="1"/>
  <c r="AG462" i="1"/>
  <c r="AH462" i="1"/>
  <c r="AI462" i="1"/>
  <c r="AC463" i="1"/>
  <c r="AD463" i="1"/>
  <c r="AE463" i="1"/>
  <c r="AF463" i="1"/>
  <c r="AG463" i="1"/>
  <c r="AH463" i="1"/>
  <c r="AI463" i="1"/>
  <c r="AC464" i="1"/>
  <c r="AD464" i="1"/>
  <c r="AE464" i="1"/>
  <c r="AF464" i="1"/>
  <c r="AG464" i="1"/>
  <c r="AH464" i="1"/>
  <c r="AI464" i="1"/>
  <c r="AC465" i="1"/>
  <c r="AD465" i="1"/>
  <c r="AE465" i="1"/>
  <c r="AF465" i="1"/>
  <c r="AG465" i="1"/>
  <c r="AH465" i="1"/>
  <c r="AI465" i="1"/>
  <c r="AC466" i="1"/>
  <c r="AD466" i="1"/>
  <c r="AE466" i="1"/>
  <c r="AF466" i="1"/>
  <c r="AG466" i="1"/>
  <c r="AH466" i="1"/>
  <c r="AI466" i="1"/>
  <c r="AC467" i="1"/>
  <c r="AD467" i="1"/>
  <c r="AE467" i="1"/>
  <c r="AF467" i="1"/>
  <c r="AG467" i="1"/>
  <c r="AH467" i="1"/>
  <c r="AI467" i="1"/>
  <c r="AC468" i="1"/>
  <c r="AD468" i="1"/>
  <c r="AE468" i="1"/>
  <c r="AF468" i="1"/>
  <c r="AG468" i="1"/>
  <c r="AH468" i="1"/>
  <c r="AI468" i="1"/>
  <c r="AC469" i="1"/>
  <c r="AD469" i="1"/>
  <c r="AE469" i="1"/>
  <c r="AF469" i="1"/>
  <c r="AG469" i="1"/>
  <c r="AH469" i="1"/>
  <c r="AI469" i="1"/>
  <c r="AC470" i="1"/>
  <c r="AD470" i="1"/>
  <c r="AE470" i="1"/>
  <c r="AF470" i="1"/>
  <c r="AG470" i="1"/>
  <c r="AH470" i="1"/>
  <c r="AI470" i="1"/>
  <c r="AC471" i="1"/>
  <c r="AD471" i="1"/>
  <c r="AE471" i="1"/>
  <c r="AF471" i="1"/>
  <c r="AG471" i="1"/>
  <c r="AH471" i="1"/>
  <c r="AI471" i="1"/>
  <c r="AC472" i="1"/>
  <c r="AD472" i="1"/>
  <c r="AE472" i="1"/>
  <c r="AF472" i="1"/>
  <c r="AG472" i="1"/>
  <c r="AH472" i="1"/>
  <c r="AI472" i="1"/>
  <c r="AC473" i="1"/>
  <c r="AD473" i="1"/>
  <c r="AE473" i="1"/>
  <c r="AF473" i="1"/>
  <c r="AG473" i="1"/>
  <c r="AH473" i="1"/>
  <c r="AI473" i="1"/>
  <c r="AC474" i="1"/>
  <c r="AD474" i="1"/>
  <c r="AE474" i="1"/>
  <c r="AF474" i="1"/>
  <c r="AG474" i="1"/>
  <c r="AH474" i="1"/>
  <c r="AI474" i="1"/>
  <c r="AC475" i="1"/>
  <c r="AD475" i="1"/>
  <c r="AE475" i="1"/>
  <c r="AF475" i="1"/>
  <c r="AG475" i="1"/>
  <c r="AH475" i="1"/>
  <c r="AI475" i="1"/>
  <c r="AC476" i="1"/>
  <c r="AD476" i="1"/>
  <c r="AE476" i="1"/>
  <c r="AF476" i="1"/>
  <c r="AG476" i="1"/>
  <c r="AH476" i="1"/>
  <c r="AI476" i="1"/>
  <c r="AC477" i="1"/>
  <c r="AD477" i="1"/>
  <c r="AE477" i="1"/>
  <c r="AF477" i="1"/>
  <c r="AG477" i="1"/>
  <c r="AH477" i="1"/>
  <c r="AI477" i="1"/>
  <c r="AC478" i="1"/>
  <c r="AD478" i="1"/>
  <c r="AE478" i="1"/>
  <c r="AF478" i="1"/>
  <c r="AG478" i="1"/>
  <c r="AH478" i="1"/>
  <c r="AI478" i="1"/>
  <c r="AC479" i="1"/>
  <c r="AD479" i="1"/>
  <c r="AE479" i="1"/>
  <c r="AF479" i="1"/>
  <c r="AG479" i="1"/>
  <c r="AH479" i="1"/>
  <c r="AI479" i="1"/>
  <c r="AC480" i="1"/>
  <c r="AD480" i="1"/>
  <c r="AE480" i="1"/>
  <c r="AF480" i="1"/>
  <c r="AG480" i="1"/>
  <c r="AH480" i="1"/>
  <c r="AI480" i="1"/>
  <c r="AC481" i="1"/>
  <c r="AD481" i="1"/>
  <c r="AE481" i="1"/>
  <c r="AF481" i="1"/>
  <c r="AG481" i="1"/>
  <c r="AH481" i="1"/>
  <c r="AI481" i="1"/>
  <c r="AC482" i="1"/>
  <c r="AD482" i="1"/>
  <c r="AE482" i="1"/>
  <c r="AF482" i="1"/>
  <c r="AG482" i="1"/>
  <c r="AH482" i="1"/>
  <c r="AI482" i="1"/>
  <c r="AC483" i="1"/>
  <c r="AD483" i="1"/>
  <c r="AE483" i="1"/>
  <c r="AF483" i="1"/>
  <c r="AG483" i="1"/>
  <c r="AH483" i="1"/>
  <c r="AI483" i="1"/>
  <c r="AC484" i="1"/>
  <c r="AD484" i="1"/>
  <c r="AE484" i="1"/>
  <c r="AF484" i="1"/>
  <c r="AG484" i="1"/>
  <c r="AH484" i="1"/>
  <c r="AI484" i="1"/>
  <c r="AC485" i="1"/>
  <c r="AD485" i="1"/>
  <c r="AE485" i="1"/>
  <c r="AF485" i="1"/>
  <c r="AG485" i="1"/>
  <c r="AH485" i="1"/>
  <c r="AI485" i="1"/>
  <c r="AC486" i="1"/>
  <c r="AD486" i="1"/>
  <c r="AE486" i="1"/>
  <c r="AF486" i="1"/>
  <c r="AG486" i="1"/>
  <c r="AH486" i="1"/>
  <c r="AI486" i="1"/>
  <c r="AC487" i="1"/>
  <c r="AD487" i="1"/>
  <c r="AE487" i="1"/>
  <c r="AF487" i="1"/>
  <c r="AG487" i="1"/>
  <c r="AH487" i="1"/>
  <c r="AI487" i="1"/>
  <c r="AC488" i="1"/>
  <c r="AD488" i="1"/>
  <c r="AE488" i="1"/>
  <c r="AF488" i="1"/>
  <c r="AG488" i="1"/>
  <c r="AH488" i="1"/>
  <c r="AI488" i="1"/>
  <c r="AC489" i="1"/>
  <c r="AD489" i="1"/>
  <c r="AE489" i="1"/>
  <c r="AF489" i="1"/>
  <c r="AG489" i="1"/>
  <c r="AH489" i="1"/>
  <c r="AI489" i="1"/>
  <c r="AC490" i="1"/>
  <c r="AD490" i="1"/>
  <c r="AE490" i="1"/>
  <c r="AF490" i="1"/>
  <c r="AG490" i="1"/>
  <c r="AH490" i="1"/>
  <c r="AI490" i="1"/>
  <c r="AC491" i="1"/>
  <c r="AD491" i="1"/>
  <c r="AE491" i="1"/>
  <c r="AF491" i="1"/>
  <c r="AG491" i="1"/>
  <c r="AH491" i="1"/>
  <c r="AI491" i="1"/>
  <c r="AC492" i="1"/>
  <c r="AD492" i="1"/>
  <c r="AE492" i="1"/>
  <c r="AF492" i="1"/>
  <c r="AG492" i="1"/>
  <c r="AH492" i="1"/>
  <c r="AI492" i="1"/>
  <c r="AC493" i="1"/>
  <c r="AD493" i="1"/>
  <c r="AE493" i="1"/>
  <c r="AF493" i="1"/>
  <c r="AG493" i="1"/>
  <c r="AH493" i="1"/>
  <c r="AI493" i="1"/>
  <c r="AC494" i="1"/>
  <c r="AD494" i="1"/>
  <c r="AE494" i="1"/>
  <c r="AF494" i="1"/>
  <c r="AG494" i="1"/>
  <c r="AH494" i="1"/>
  <c r="AI494" i="1"/>
  <c r="AC495" i="1"/>
  <c r="AD495" i="1"/>
  <c r="AE495" i="1"/>
  <c r="AF495" i="1"/>
  <c r="AG495" i="1"/>
  <c r="AH495" i="1"/>
  <c r="AI495" i="1"/>
  <c r="AC496" i="1"/>
  <c r="AD496" i="1"/>
  <c r="AE496" i="1"/>
  <c r="AF496" i="1"/>
  <c r="AG496" i="1"/>
  <c r="AH496" i="1"/>
  <c r="AI496" i="1"/>
  <c r="AC497" i="1"/>
  <c r="AD497" i="1"/>
  <c r="AE497" i="1"/>
  <c r="AF497" i="1"/>
  <c r="AG497" i="1"/>
  <c r="AH497" i="1"/>
  <c r="AI497" i="1"/>
  <c r="AC498" i="1"/>
  <c r="AD498" i="1"/>
  <c r="AE498" i="1"/>
  <c r="AF498" i="1"/>
  <c r="AG498" i="1"/>
  <c r="AH498" i="1"/>
  <c r="AI498" i="1"/>
  <c r="AC499" i="1"/>
  <c r="AD499" i="1"/>
  <c r="AE499" i="1"/>
  <c r="AF499" i="1"/>
  <c r="AG499" i="1"/>
  <c r="AH499" i="1"/>
  <c r="AI499" i="1"/>
  <c r="AC500" i="1"/>
  <c r="AD500" i="1"/>
  <c r="AE500" i="1"/>
  <c r="AF500" i="1"/>
  <c r="AG500" i="1"/>
  <c r="AH500" i="1"/>
  <c r="AI500" i="1"/>
  <c r="AC501" i="1"/>
  <c r="AD501" i="1"/>
  <c r="AE501" i="1"/>
  <c r="AF501" i="1"/>
  <c r="AG501" i="1"/>
  <c r="AH501" i="1"/>
  <c r="AI501" i="1"/>
  <c r="AC502" i="1"/>
  <c r="AD502" i="1"/>
  <c r="AE502" i="1"/>
  <c r="AF502" i="1"/>
  <c r="AG502" i="1"/>
  <c r="AH502" i="1"/>
  <c r="AI502" i="1"/>
  <c r="AC503" i="1"/>
  <c r="AD503" i="1"/>
  <c r="AE503" i="1"/>
  <c r="AF503" i="1"/>
  <c r="AG503" i="1"/>
  <c r="AH503" i="1"/>
  <c r="AI503" i="1"/>
  <c r="AC504" i="1"/>
  <c r="AD504" i="1"/>
  <c r="AE504" i="1"/>
  <c r="AF504" i="1"/>
  <c r="AG504" i="1"/>
  <c r="AH504" i="1"/>
  <c r="AI504" i="1"/>
  <c r="AC505" i="1"/>
  <c r="AD505" i="1"/>
  <c r="AE505" i="1"/>
  <c r="AF505" i="1"/>
  <c r="AG505" i="1"/>
  <c r="AH505" i="1"/>
  <c r="AI505" i="1"/>
  <c r="AC506" i="1"/>
  <c r="AD506" i="1"/>
  <c r="AE506" i="1"/>
  <c r="AF506" i="1"/>
  <c r="AG506" i="1"/>
  <c r="AH506" i="1"/>
  <c r="AI506" i="1"/>
  <c r="AC507" i="1"/>
  <c r="AD507" i="1"/>
  <c r="AE507" i="1"/>
  <c r="AF507" i="1"/>
  <c r="AG507" i="1"/>
  <c r="AH507" i="1"/>
  <c r="AI507" i="1"/>
  <c r="AC508" i="1"/>
  <c r="AD508" i="1"/>
  <c r="AE508" i="1"/>
  <c r="AF508" i="1"/>
  <c r="AG508" i="1"/>
  <c r="AH508" i="1"/>
  <c r="AI508" i="1"/>
  <c r="AC509" i="1"/>
  <c r="AD509" i="1"/>
  <c r="AE509" i="1"/>
  <c r="AF509" i="1"/>
  <c r="AG509" i="1"/>
  <c r="AH509" i="1"/>
  <c r="AI509" i="1"/>
  <c r="AC510" i="1"/>
  <c r="AD510" i="1"/>
  <c r="AE510" i="1"/>
  <c r="AF510" i="1"/>
  <c r="AG510" i="1"/>
  <c r="AH510" i="1"/>
  <c r="AI510" i="1"/>
  <c r="AC511" i="1"/>
  <c r="AD511" i="1"/>
  <c r="AE511" i="1"/>
  <c r="AF511" i="1"/>
  <c r="AG511" i="1"/>
  <c r="AH511" i="1"/>
  <c r="AI511" i="1"/>
  <c r="AC512" i="1"/>
  <c r="AD512" i="1"/>
  <c r="AE512" i="1"/>
  <c r="AF512" i="1"/>
  <c r="AG512" i="1"/>
  <c r="AH512" i="1"/>
  <c r="AI512" i="1"/>
  <c r="AC513" i="1"/>
  <c r="AD513" i="1"/>
  <c r="AE513" i="1"/>
  <c r="AF513" i="1"/>
  <c r="AG513" i="1"/>
  <c r="AH513" i="1"/>
  <c r="AI513" i="1"/>
  <c r="AC514" i="1"/>
  <c r="AD514" i="1"/>
  <c r="AE514" i="1"/>
  <c r="AF514" i="1"/>
  <c r="AG514" i="1"/>
  <c r="AH514" i="1"/>
  <c r="AI514" i="1"/>
  <c r="AC515" i="1"/>
  <c r="AD515" i="1"/>
  <c r="AE515" i="1"/>
  <c r="AF515" i="1"/>
  <c r="AG515" i="1"/>
  <c r="AH515" i="1"/>
  <c r="AI515" i="1"/>
  <c r="AC516" i="1"/>
  <c r="AD516" i="1"/>
  <c r="AE516" i="1"/>
  <c r="AF516" i="1"/>
  <c r="AG516" i="1"/>
  <c r="AH516" i="1"/>
  <c r="AI516" i="1"/>
  <c r="AC517" i="1"/>
  <c r="AD517" i="1"/>
  <c r="AE517" i="1"/>
  <c r="AF517" i="1"/>
  <c r="AG517" i="1"/>
  <c r="AH517" i="1"/>
  <c r="AI517" i="1"/>
  <c r="AC518" i="1"/>
  <c r="AD518" i="1"/>
  <c r="AE518" i="1"/>
  <c r="AF518" i="1"/>
  <c r="AG518" i="1"/>
  <c r="AH518" i="1"/>
  <c r="AI518" i="1"/>
  <c r="AC519" i="1"/>
  <c r="AD519" i="1"/>
  <c r="AE519" i="1"/>
  <c r="AF519" i="1"/>
  <c r="AG519" i="1"/>
  <c r="AH519" i="1"/>
  <c r="AI519" i="1"/>
  <c r="AC520" i="1"/>
  <c r="AD520" i="1"/>
  <c r="AE520" i="1"/>
  <c r="AF520" i="1"/>
  <c r="AG520" i="1"/>
  <c r="AH520" i="1"/>
  <c r="AI520" i="1"/>
  <c r="AC521" i="1"/>
  <c r="AD521" i="1"/>
  <c r="AE521" i="1"/>
  <c r="AF521" i="1"/>
  <c r="AG521" i="1"/>
  <c r="AH521" i="1"/>
  <c r="AI521" i="1"/>
  <c r="AC522" i="1"/>
  <c r="AD522" i="1"/>
  <c r="AE522" i="1"/>
  <c r="AF522" i="1"/>
  <c r="AG522" i="1"/>
  <c r="AH522" i="1"/>
  <c r="AI522" i="1"/>
  <c r="AC523" i="1"/>
  <c r="AD523" i="1"/>
  <c r="AE523" i="1"/>
  <c r="AF523" i="1"/>
  <c r="AG523" i="1"/>
  <c r="AH523" i="1"/>
  <c r="AI523" i="1"/>
  <c r="AC524" i="1"/>
  <c r="AD524" i="1"/>
  <c r="AE524" i="1"/>
  <c r="AF524" i="1"/>
  <c r="AG524" i="1"/>
  <c r="AH524" i="1"/>
  <c r="AI524" i="1"/>
  <c r="AC525" i="1"/>
  <c r="AD525" i="1"/>
  <c r="AE525" i="1"/>
  <c r="AF525" i="1"/>
  <c r="AG525" i="1"/>
  <c r="AH525" i="1"/>
  <c r="AI525" i="1"/>
  <c r="AC526" i="1"/>
  <c r="AD526" i="1"/>
  <c r="AE526" i="1"/>
  <c r="AF526" i="1"/>
  <c r="AG526" i="1"/>
  <c r="AH526" i="1"/>
  <c r="AI526" i="1"/>
  <c r="AC527" i="1"/>
  <c r="AD527" i="1"/>
  <c r="AE527" i="1"/>
  <c r="AF527" i="1"/>
  <c r="AG527" i="1"/>
  <c r="AH527" i="1"/>
  <c r="AI527" i="1"/>
  <c r="AC528" i="1"/>
  <c r="AD528" i="1"/>
  <c r="AE528" i="1"/>
  <c r="AF528" i="1"/>
  <c r="AG528" i="1"/>
  <c r="AH528" i="1"/>
  <c r="AI528" i="1"/>
  <c r="AC529" i="1"/>
  <c r="AD529" i="1"/>
  <c r="AE529" i="1"/>
  <c r="AF529" i="1"/>
  <c r="AG529" i="1"/>
  <c r="AH529" i="1"/>
  <c r="AI529" i="1"/>
  <c r="AC530" i="1"/>
  <c r="AD530" i="1"/>
  <c r="AE530" i="1"/>
  <c r="AF530" i="1"/>
  <c r="AG530" i="1"/>
  <c r="AH530" i="1"/>
  <c r="AI530" i="1"/>
  <c r="AC531" i="1"/>
  <c r="AD531" i="1"/>
  <c r="AE531" i="1"/>
  <c r="AF531" i="1"/>
  <c r="AG531" i="1"/>
  <c r="AH531" i="1"/>
  <c r="AI531" i="1"/>
  <c r="AC532" i="1"/>
  <c r="AD532" i="1"/>
  <c r="AE532" i="1"/>
  <c r="AF532" i="1"/>
  <c r="AG532" i="1"/>
  <c r="AH532" i="1"/>
  <c r="AI532" i="1"/>
  <c r="AC533" i="1"/>
  <c r="AD533" i="1"/>
  <c r="AE533" i="1"/>
  <c r="AF533" i="1"/>
  <c r="AG533" i="1"/>
  <c r="AH533" i="1"/>
  <c r="AI533" i="1"/>
  <c r="AC534" i="1"/>
  <c r="AD534" i="1"/>
  <c r="AE534" i="1"/>
  <c r="AF534" i="1"/>
  <c r="AG534" i="1"/>
  <c r="AH534" i="1"/>
  <c r="AI534" i="1"/>
  <c r="AC535" i="1"/>
  <c r="AD535" i="1"/>
  <c r="AE535" i="1"/>
  <c r="AF535" i="1"/>
  <c r="AG535" i="1"/>
  <c r="AH535" i="1"/>
  <c r="AI535" i="1"/>
  <c r="AC536" i="1"/>
  <c r="AD536" i="1"/>
  <c r="AE536" i="1"/>
  <c r="AF536" i="1"/>
  <c r="AG536" i="1"/>
  <c r="AH536" i="1"/>
  <c r="AI536" i="1"/>
  <c r="AC537" i="1"/>
  <c r="AD537" i="1"/>
  <c r="AE537" i="1"/>
  <c r="AF537" i="1"/>
  <c r="AG537" i="1"/>
  <c r="AH537" i="1"/>
  <c r="AI537" i="1"/>
  <c r="AC538" i="1"/>
  <c r="AD538" i="1"/>
  <c r="AE538" i="1"/>
  <c r="AF538" i="1"/>
  <c r="AG538" i="1"/>
  <c r="AH538" i="1"/>
  <c r="AI538" i="1"/>
  <c r="AC539" i="1"/>
  <c r="AD539" i="1"/>
  <c r="AE539" i="1"/>
  <c r="AF539" i="1"/>
  <c r="AG539" i="1"/>
  <c r="AH539" i="1"/>
  <c r="AI539" i="1"/>
  <c r="AC540" i="1"/>
  <c r="AD540" i="1"/>
  <c r="AE540" i="1"/>
  <c r="AF540" i="1"/>
  <c r="AG540" i="1"/>
  <c r="AH540" i="1"/>
  <c r="AI540" i="1"/>
  <c r="AC541" i="1"/>
  <c r="AD541" i="1"/>
  <c r="AE541" i="1"/>
  <c r="AF541" i="1"/>
  <c r="AG541" i="1"/>
  <c r="AH541" i="1"/>
  <c r="AI541" i="1"/>
  <c r="AC542" i="1"/>
  <c r="AD542" i="1"/>
  <c r="AE542" i="1"/>
  <c r="AF542" i="1"/>
  <c r="AG542" i="1"/>
  <c r="AH542" i="1"/>
  <c r="AI542" i="1"/>
  <c r="AC543" i="1"/>
  <c r="AD543" i="1"/>
  <c r="AE543" i="1"/>
  <c r="AF543" i="1"/>
  <c r="AG543" i="1"/>
  <c r="AH543" i="1"/>
  <c r="AI543" i="1"/>
  <c r="AC544" i="1"/>
  <c r="AD544" i="1"/>
  <c r="AE544" i="1"/>
  <c r="AF544" i="1"/>
  <c r="AG544" i="1"/>
  <c r="AH544" i="1"/>
  <c r="AI544" i="1"/>
  <c r="AC545" i="1"/>
  <c r="AD545" i="1"/>
  <c r="AE545" i="1"/>
  <c r="AF545" i="1"/>
  <c r="AG545" i="1"/>
  <c r="AH545" i="1"/>
  <c r="AI545" i="1"/>
  <c r="AC546" i="1"/>
  <c r="AD546" i="1"/>
  <c r="AE546" i="1"/>
  <c r="AF546" i="1"/>
  <c r="AG546" i="1"/>
  <c r="AH546" i="1"/>
  <c r="AI546" i="1"/>
  <c r="AC547" i="1"/>
  <c r="AD547" i="1"/>
  <c r="AE547" i="1"/>
  <c r="AF547" i="1"/>
  <c r="AG547" i="1"/>
  <c r="AH547" i="1"/>
  <c r="AI547" i="1"/>
  <c r="AC548" i="1"/>
  <c r="AD548" i="1"/>
  <c r="AE548" i="1"/>
  <c r="AF548" i="1"/>
  <c r="AG548" i="1"/>
  <c r="AH548" i="1"/>
  <c r="AI548" i="1"/>
  <c r="AC549" i="1"/>
  <c r="AD549" i="1"/>
  <c r="AE549" i="1"/>
  <c r="AF549" i="1"/>
  <c r="AG549" i="1"/>
  <c r="AH549" i="1"/>
  <c r="AI549" i="1"/>
  <c r="AC550" i="1"/>
  <c r="AD550" i="1"/>
  <c r="AE550" i="1"/>
  <c r="AF550" i="1"/>
  <c r="AG550" i="1"/>
  <c r="AH550" i="1"/>
  <c r="AI550" i="1"/>
  <c r="AC551" i="1"/>
  <c r="AD551" i="1"/>
  <c r="AE551" i="1"/>
  <c r="AF551" i="1"/>
  <c r="AG551" i="1"/>
  <c r="AH551" i="1"/>
  <c r="AI551" i="1"/>
  <c r="AC552" i="1"/>
  <c r="AD552" i="1"/>
  <c r="AE552" i="1"/>
  <c r="AF552" i="1"/>
  <c r="AG552" i="1"/>
  <c r="AH552" i="1"/>
  <c r="AI552" i="1"/>
  <c r="AC553" i="1"/>
  <c r="AD553" i="1"/>
  <c r="AE553" i="1"/>
  <c r="AF553" i="1"/>
  <c r="AG553" i="1"/>
  <c r="AH553" i="1"/>
  <c r="AI553" i="1"/>
  <c r="AC554" i="1"/>
  <c r="AD554" i="1"/>
  <c r="AE554" i="1"/>
  <c r="AF554" i="1"/>
  <c r="AG554" i="1"/>
  <c r="AH554" i="1"/>
  <c r="AI554" i="1"/>
  <c r="AC555" i="1"/>
  <c r="AD555" i="1"/>
  <c r="AE555" i="1"/>
  <c r="AF555" i="1"/>
  <c r="AG555" i="1"/>
  <c r="AH555" i="1"/>
  <c r="AI555" i="1"/>
  <c r="AC556" i="1"/>
  <c r="AD556" i="1"/>
  <c r="AE556" i="1"/>
  <c r="AF556" i="1"/>
  <c r="AG556" i="1"/>
  <c r="AH556" i="1"/>
  <c r="AI556" i="1"/>
  <c r="AC557" i="1"/>
  <c r="AD557" i="1"/>
  <c r="AE557" i="1"/>
  <c r="AF557" i="1"/>
  <c r="AG557" i="1"/>
  <c r="AH557" i="1"/>
  <c r="AI557" i="1"/>
  <c r="AC558" i="1"/>
  <c r="AD558" i="1"/>
  <c r="AE558" i="1"/>
  <c r="AF558" i="1"/>
  <c r="AG558" i="1"/>
  <c r="AH558" i="1"/>
  <c r="AI558" i="1"/>
  <c r="AC559" i="1"/>
  <c r="AD559" i="1"/>
  <c r="AE559" i="1"/>
  <c r="AF559" i="1"/>
  <c r="AG559" i="1"/>
  <c r="AH559" i="1"/>
  <c r="AI559" i="1"/>
  <c r="AC560" i="1"/>
  <c r="AD560" i="1"/>
  <c r="AE560" i="1"/>
  <c r="AF560" i="1"/>
  <c r="AG560" i="1"/>
  <c r="AH560" i="1"/>
  <c r="AI560" i="1"/>
  <c r="AC561" i="1"/>
  <c r="AD561" i="1"/>
  <c r="AE561" i="1"/>
  <c r="AF561" i="1"/>
  <c r="AG561" i="1"/>
  <c r="AH561" i="1"/>
  <c r="AI561" i="1"/>
  <c r="AC562" i="1"/>
  <c r="AD562" i="1"/>
  <c r="AE562" i="1"/>
  <c r="AF562" i="1"/>
  <c r="AG562" i="1"/>
  <c r="AH562" i="1"/>
  <c r="AI562" i="1"/>
  <c r="AC563" i="1"/>
  <c r="AD563" i="1"/>
  <c r="AE563" i="1"/>
  <c r="AF563" i="1"/>
  <c r="AG563" i="1"/>
  <c r="AH563" i="1"/>
  <c r="AI563" i="1"/>
  <c r="AC564" i="1"/>
  <c r="AD564" i="1"/>
  <c r="AE564" i="1"/>
  <c r="AF564" i="1"/>
  <c r="AG564" i="1"/>
  <c r="AH564" i="1"/>
  <c r="AI564" i="1"/>
  <c r="AC565" i="1"/>
  <c r="AD565" i="1"/>
  <c r="AE565" i="1"/>
  <c r="AF565" i="1"/>
  <c r="AG565" i="1"/>
  <c r="AH565" i="1"/>
  <c r="AI565" i="1"/>
  <c r="AC566" i="1"/>
  <c r="AD566" i="1"/>
  <c r="AE566" i="1"/>
  <c r="AF566" i="1"/>
  <c r="AG566" i="1"/>
  <c r="AH566" i="1"/>
  <c r="AI566" i="1"/>
  <c r="AC567" i="1"/>
  <c r="AD567" i="1"/>
  <c r="AE567" i="1"/>
  <c r="AF567" i="1"/>
  <c r="AG567" i="1"/>
  <c r="AH567" i="1"/>
  <c r="AI567" i="1"/>
  <c r="AC568" i="1"/>
  <c r="AD568" i="1"/>
  <c r="AE568" i="1"/>
  <c r="AF568" i="1"/>
  <c r="AG568" i="1"/>
  <c r="AH568" i="1"/>
  <c r="AI568" i="1"/>
  <c r="AC569" i="1"/>
  <c r="AD569" i="1"/>
  <c r="AE569" i="1"/>
  <c r="AF569" i="1"/>
  <c r="AG569" i="1"/>
  <c r="AH569" i="1"/>
  <c r="AI569" i="1"/>
  <c r="AC570" i="1"/>
  <c r="AD570" i="1"/>
  <c r="AE570" i="1"/>
  <c r="AF570" i="1"/>
  <c r="AG570" i="1"/>
  <c r="AH570" i="1"/>
  <c r="AI570" i="1"/>
  <c r="AC571" i="1"/>
  <c r="AD571" i="1"/>
  <c r="AE571" i="1"/>
  <c r="AF571" i="1"/>
  <c r="AG571" i="1"/>
  <c r="AH571" i="1"/>
  <c r="AI571" i="1"/>
  <c r="AC572" i="1"/>
  <c r="AD572" i="1"/>
  <c r="AE572" i="1"/>
  <c r="AF572" i="1"/>
  <c r="AG572" i="1"/>
  <c r="AH572" i="1"/>
  <c r="AI572" i="1"/>
  <c r="AC573" i="1"/>
  <c r="AD573" i="1"/>
  <c r="AE573" i="1"/>
  <c r="AF573" i="1"/>
  <c r="AG573" i="1"/>
  <c r="AH573" i="1"/>
  <c r="AI573" i="1"/>
  <c r="AC574" i="1"/>
  <c r="AD574" i="1"/>
  <c r="AE574" i="1"/>
  <c r="AF574" i="1"/>
  <c r="AG574" i="1"/>
  <c r="AH574" i="1"/>
  <c r="AI574" i="1"/>
  <c r="AC575" i="1"/>
  <c r="AD575" i="1"/>
  <c r="AE575" i="1"/>
  <c r="AF575" i="1"/>
  <c r="AG575" i="1"/>
  <c r="AH575" i="1"/>
  <c r="AI575" i="1"/>
  <c r="AC576" i="1"/>
  <c r="AD576" i="1"/>
  <c r="AE576" i="1"/>
  <c r="AF576" i="1"/>
  <c r="AG576" i="1"/>
  <c r="AH576" i="1"/>
  <c r="AI576" i="1"/>
  <c r="AC577" i="1"/>
  <c r="AD577" i="1"/>
  <c r="AE577" i="1"/>
  <c r="AF577" i="1"/>
  <c r="AG577" i="1"/>
  <c r="AH577" i="1"/>
  <c r="AI577" i="1"/>
  <c r="AC578" i="1"/>
  <c r="AD578" i="1"/>
  <c r="AE578" i="1"/>
  <c r="AF578" i="1"/>
  <c r="AG578" i="1"/>
  <c r="AH578" i="1"/>
  <c r="AI578" i="1"/>
  <c r="AC579" i="1"/>
  <c r="AD579" i="1"/>
  <c r="AE579" i="1"/>
  <c r="AF579" i="1"/>
  <c r="AG579" i="1"/>
  <c r="AH579" i="1"/>
  <c r="AI579" i="1"/>
  <c r="AC580" i="1"/>
  <c r="AD580" i="1"/>
  <c r="AE580" i="1"/>
  <c r="AF580" i="1"/>
  <c r="AG580" i="1"/>
  <c r="AH580" i="1"/>
  <c r="AI580" i="1"/>
  <c r="AC581" i="1"/>
  <c r="AD581" i="1"/>
  <c r="AE581" i="1"/>
  <c r="AF581" i="1"/>
  <c r="AG581" i="1"/>
  <c r="AH581" i="1"/>
  <c r="AI581" i="1"/>
  <c r="AC582" i="1"/>
  <c r="AD582" i="1"/>
  <c r="AE582" i="1"/>
  <c r="AF582" i="1"/>
  <c r="AG582" i="1"/>
  <c r="AH582" i="1"/>
  <c r="AI582" i="1"/>
  <c r="AC583" i="1"/>
  <c r="AD583" i="1"/>
  <c r="AE583" i="1"/>
  <c r="AF583" i="1"/>
  <c r="AG583" i="1"/>
  <c r="AH583" i="1"/>
  <c r="AI583" i="1"/>
  <c r="AC584" i="1"/>
  <c r="AD584" i="1"/>
  <c r="AE584" i="1"/>
  <c r="AF584" i="1"/>
  <c r="AG584" i="1"/>
  <c r="AH584" i="1"/>
  <c r="AI584" i="1"/>
  <c r="AC585" i="1"/>
  <c r="AD585" i="1"/>
  <c r="AE585" i="1"/>
  <c r="AF585" i="1"/>
  <c r="AG585" i="1"/>
  <c r="AH585" i="1"/>
  <c r="AI585" i="1"/>
  <c r="AC586" i="1"/>
  <c r="AD586" i="1"/>
  <c r="AE586" i="1"/>
  <c r="AF586" i="1"/>
  <c r="AG586" i="1"/>
  <c r="AH586" i="1"/>
  <c r="AI586" i="1"/>
  <c r="AC587" i="1"/>
  <c r="AD587" i="1"/>
  <c r="AE587" i="1"/>
  <c r="AF587" i="1"/>
  <c r="AG587" i="1"/>
  <c r="AH587" i="1"/>
  <c r="AI587" i="1"/>
  <c r="AC588" i="1"/>
  <c r="AD588" i="1"/>
  <c r="AE588" i="1"/>
  <c r="AF588" i="1"/>
  <c r="AG588" i="1"/>
  <c r="AH588" i="1"/>
  <c r="AI588" i="1"/>
  <c r="AC589" i="1"/>
  <c r="AD589" i="1"/>
  <c r="AE589" i="1"/>
  <c r="AF589" i="1"/>
  <c r="AG589" i="1"/>
  <c r="AH589" i="1"/>
  <c r="AI589" i="1"/>
  <c r="AC590" i="1"/>
  <c r="AD590" i="1"/>
  <c r="AE590" i="1"/>
  <c r="AF590" i="1"/>
  <c r="AG590" i="1"/>
  <c r="AH590" i="1"/>
  <c r="AI590" i="1"/>
  <c r="AC591" i="1"/>
  <c r="AD591" i="1"/>
  <c r="AE591" i="1"/>
  <c r="AF591" i="1"/>
  <c r="AG591" i="1"/>
  <c r="AH591" i="1"/>
  <c r="AI591" i="1"/>
  <c r="AC592" i="1"/>
  <c r="AD592" i="1"/>
  <c r="AE592" i="1"/>
  <c r="AF592" i="1"/>
  <c r="AG592" i="1"/>
  <c r="AH592" i="1"/>
  <c r="AI592" i="1"/>
  <c r="AC593" i="1"/>
  <c r="AD593" i="1"/>
  <c r="AE593" i="1"/>
  <c r="AF593" i="1"/>
  <c r="AG593" i="1"/>
  <c r="AH593" i="1"/>
  <c r="AI593" i="1"/>
  <c r="AC594" i="1"/>
  <c r="AD594" i="1"/>
  <c r="AE594" i="1"/>
  <c r="AF594" i="1"/>
  <c r="AG594" i="1"/>
  <c r="AH594" i="1"/>
  <c r="AI594" i="1"/>
  <c r="AC595" i="1"/>
  <c r="AD595" i="1"/>
  <c r="AE595" i="1"/>
  <c r="AF595" i="1"/>
  <c r="AG595" i="1"/>
  <c r="AH595" i="1"/>
  <c r="AI595" i="1"/>
  <c r="AC596" i="1"/>
  <c r="AD596" i="1"/>
  <c r="AE596" i="1"/>
  <c r="AF596" i="1"/>
  <c r="AG596" i="1"/>
  <c r="AH596" i="1"/>
  <c r="AI596" i="1"/>
  <c r="AC597" i="1"/>
  <c r="AD597" i="1"/>
  <c r="AE597" i="1"/>
  <c r="AF597" i="1"/>
  <c r="AG597" i="1"/>
  <c r="AH597" i="1"/>
  <c r="AI597" i="1"/>
  <c r="AC598" i="1"/>
  <c r="AD598" i="1"/>
  <c r="AE598" i="1"/>
  <c r="AF598" i="1"/>
  <c r="AG598" i="1"/>
  <c r="AH598" i="1"/>
  <c r="AI598" i="1"/>
  <c r="AC599" i="1"/>
  <c r="AD599" i="1"/>
  <c r="AE599" i="1"/>
  <c r="AF599" i="1"/>
  <c r="AG599" i="1"/>
  <c r="AH599" i="1"/>
  <c r="AI599" i="1"/>
  <c r="AC600" i="1"/>
  <c r="AD600" i="1"/>
  <c r="AE600" i="1"/>
  <c r="AF600" i="1"/>
  <c r="AG600" i="1"/>
  <c r="AH600" i="1"/>
  <c r="AI600" i="1"/>
  <c r="AC601" i="1"/>
  <c r="AD601" i="1"/>
  <c r="AE601" i="1"/>
  <c r="AF601" i="1"/>
  <c r="AG601" i="1"/>
  <c r="AH601" i="1"/>
  <c r="AI601" i="1"/>
  <c r="AC602" i="1"/>
  <c r="AD602" i="1"/>
  <c r="AE602" i="1"/>
  <c r="AF602" i="1"/>
  <c r="AG602" i="1"/>
  <c r="AH602" i="1"/>
  <c r="AI602" i="1"/>
  <c r="AC603" i="1"/>
  <c r="AD603" i="1"/>
  <c r="AE603" i="1"/>
  <c r="AF603" i="1"/>
  <c r="AG603" i="1"/>
  <c r="AH603" i="1"/>
  <c r="AI603" i="1"/>
  <c r="AC604" i="1"/>
  <c r="AD604" i="1"/>
  <c r="AE604" i="1"/>
  <c r="AF604" i="1"/>
  <c r="AG604" i="1"/>
  <c r="AH604" i="1"/>
  <c r="AI604" i="1"/>
  <c r="AC605" i="1"/>
  <c r="AD605" i="1"/>
  <c r="AE605" i="1"/>
  <c r="AF605" i="1"/>
  <c r="AG605" i="1"/>
  <c r="AH605" i="1"/>
  <c r="AI605" i="1"/>
  <c r="AC606" i="1"/>
  <c r="AD606" i="1"/>
  <c r="AE606" i="1"/>
  <c r="AF606" i="1"/>
  <c r="AG606" i="1"/>
  <c r="AH606" i="1"/>
  <c r="AI606" i="1"/>
  <c r="AC607" i="1"/>
  <c r="AD607" i="1"/>
  <c r="AE607" i="1"/>
  <c r="AF607" i="1"/>
  <c r="AG607" i="1"/>
  <c r="AH607" i="1"/>
  <c r="AI607" i="1"/>
  <c r="AC608" i="1"/>
  <c r="AD608" i="1"/>
  <c r="AE608" i="1"/>
  <c r="AF608" i="1"/>
  <c r="AG608" i="1"/>
  <c r="AH608" i="1"/>
  <c r="AI608" i="1"/>
  <c r="AC609" i="1"/>
  <c r="AD609" i="1"/>
  <c r="AE609" i="1"/>
  <c r="AF609" i="1"/>
  <c r="AG609" i="1"/>
  <c r="AH609" i="1"/>
  <c r="AI609" i="1"/>
  <c r="AC610" i="1"/>
  <c r="AD610" i="1"/>
  <c r="AE610" i="1"/>
  <c r="AF610" i="1"/>
  <c r="AG610" i="1"/>
  <c r="AH610" i="1"/>
  <c r="AI610" i="1"/>
  <c r="AC611" i="1"/>
  <c r="AD611" i="1"/>
  <c r="AE611" i="1"/>
  <c r="AF611" i="1"/>
  <c r="AG611" i="1"/>
  <c r="AH611" i="1"/>
  <c r="AI611" i="1"/>
  <c r="AC612" i="1"/>
  <c r="AD612" i="1"/>
  <c r="AE612" i="1"/>
  <c r="AF612" i="1"/>
  <c r="AG612" i="1"/>
  <c r="AH612" i="1"/>
  <c r="AI612" i="1"/>
  <c r="AC613" i="1"/>
  <c r="AD613" i="1"/>
  <c r="AE613" i="1"/>
  <c r="AF613" i="1"/>
  <c r="AG613" i="1"/>
  <c r="AH613" i="1"/>
  <c r="AI613" i="1"/>
  <c r="AC614" i="1"/>
  <c r="AD614" i="1"/>
  <c r="AE614" i="1"/>
  <c r="AF614" i="1"/>
  <c r="AG614" i="1"/>
  <c r="AH614" i="1"/>
  <c r="AI614" i="1"/>
  <c r="AC615" i="1"/>
  <c r="AD615" i="1"/>
  <c r="AE615" i="1"/>
  <c r="AF615" i="1"/>
  <c r="AG615" i="1"/>
  <c r="AH615" i="1"/>
  <c r="AI615" i="1"/>
  <c r="AC616" i="1"/>
  <c r="AD616" i="1"/>
  <c r="AE616" i="1"/>
  <c r="AF616" i="1"/>
  <c r="AG616" i="1"/>
  <c r="AH616" i="1"/>
  <c r="AI616" i="1"/>
  <c r="AC617" i="1"/>
  <c r="AD617" i="1"/>
  <c r="AE617" i="1"/>
  <c r="AF617" i="1"/>
  <c r="AG617" i="1"/>
  <c r="AH617" i="1"/>
  <c r="AI617" i="1"/>
  <c r="AC618" i="1"/>
  <c r="AD618" i="1"/>
  <c r="AE618" i="1"/>
  <c r="AF618" i="1"/>
  <c r="AG618" i="1"/>
  <c r="AH618" i="1"/>
  <c r="AI618" i="1"/>
  <c r="AC619" i="1"/>
  <c r="AD619" i="1"/>
  <c r="AE619" i="1"/>
  <c r="AF619" i="1"/>
  <c r="AG619" i="1"/>
  <c r="AH619" i="1"/>
  <c r="AI619" i="1"/>
  <c r="AC620" i="1"/>
  <c r="AD620" i="1"/>
  <c r="AE620" i="1"/>
  <c r="AF620" i="1"/>
  <c r="AG620" i="1"/>
  <c r="AH620" i="1"/>
  <c r="AI620" i="1"/>
  <c r="AC621" i="1"/>
  <c r="AD621" i="1"/>
  <c r="AE621" i="1"/>
  <c r="AF621" i="1"/>
  <c r="AG621" i="1"/>
  <c r="AH621" i="1"/>
  <c r="AI621" i="1"/>
  <c r="AC622" i="1"/>
  <c r="AD622" i="1"/>
  <c r="AE622" i="1"/>
  <c r="AF622" i="1"/>
  <c r="AG622" i="1"/>
  <c r="AH622" i="1"/>
  <c r="AI622" i="1"/>
  <c r="AC623" i="1"/>
  <c r="AD623" i="1"/>
  <c r="AE623" i="1"/>
  <c r="AF623" i="1"/>
  <c r="AG623" i="1"/>
  <c r="AH623" i="1"/>
  <c r="AI623" i="1"/>
  <c r="AC624" i="1"/>
  <c r="AD624" i="1"/>
  <c r="AE624" i="1"/>
  <c r="AF624" i="1"/>
  <c r="AG624" i="1"/>
  <c r="AH624" i="1"/>
  <c r="AI624" i="1"/>
  <c r="AC625" i="1"/>
  <c r="AD625" i="1"/>
  <c r="AE625" i="1"/>
  <c r="AF625" i="1"/>
  <c r="AG625" i="1"/>
  <c r="AH625" i="1"/>
  <c r="AI625" i="1"/>
  <c r="AC626" i="1"/>
  <c r="AD626" i="1"/>
  <c r="AE626" i="1"/>
  <c r="AF626" i="1"/>
  <c r="AG626" i="1"/>
  <c r="AH626" i="1"/>
  <c r="AI626" i="1"/>
  <c r="AC627" i="1"/>
  <c r="AD627" i="1"/>
  <c r="AE627" i="1"/>
  <c r="AF627" i="1"/>
  <c r="AG627" i="1"/>
  <c r="AH627" i="1"/>
  <c r="AI627" i="1"/>
  <c r="AC628" i="1"/>
  <c r="AD628" i="1"/>
  <c r="AE628" i="1"/>
  <c r="AF628" i="1"/>
  <c r="AG628" i="1"/>
  <c r="AH628" i="1"/>
  <c r="AI628" i="1"/>
  <c r="AC629" i="1"/>
  <c r="AD629" i="1"/>
  <c r="AE629" i="1"/>
  <c r="AF629" i="1"/>
  <c r="AG629" i="1"/>
  <c r="AH629" i="1"/>
  <c r="AI629" i="1"/>
  <c r="AC630" i="1"/>
  <c r="AD630" i="1"/>
  <c r="AE630" i="1"/>
  <c r="AF630" i="1"/>
  <c r="AG630" i="1"/>
  <c r="AH630" i="1"/>
  <c r="AI630" i="1"/>
  <c r="AC631" i="1"/>
  <c r="AD631" i="1"/>
  <c r="AE631" i="1"/>
  <c r="AF631" i="1"/>
  <c r="AG631" i="1"/>
  <c r="AH631" i="1"/>
  <c r="AI631" i="1"/>
  <c r="AC632" i="1"/>
  <c r="AD632" i="1"/>
  <c r="AE632" i="1"/>
  <c r="AF632" i="1"/>
  <c r="AG632" i="1"/>
  <c r="AH632" i="1"/>
  <c r="AI632" i="1"/>
  <c r="AC633" i="1"/>
  <c r="AD633" i="1"/>
  <c r="AE633" i="1"/>
  <c r="AF633" i="1"/>
  <c r="AG633" i="1"/>
  <c r="AH633" i="1"/>
  <c r="AI633" i="1"/>
  <c r="AC634" i="1"/>
  <c r="AD634" i="1"/>
  <c r="AE634" i="1"/>
  <c r="AF634" i="1"/>
  <c r="AG634" i="1"/>
  <c r="AH634" i="1"/>
  <c r="AI634" i="1"/>
  <c r="AC635" i="1"/>
  <c r="AD635" i="1"/>
  <c r="AE635" i="1"/>
  <c r="AF635" i="1"/>
  <c r="AG635" i="1"/>
  <c r="AH635" i="1"/>
  <c r="AI635" i="1"/>
  <c r="AC636" i="1"/>
  <c r="AD636" i="1"/>
  <c r="AE636" i="1"/>
  <c r="AF636" i="1"/>
  <c r="AG636" i="1"/>
  <c r="AH636" i="1"/>
  <c r="AI636" i="1"/>
  <c r="AC637" i="1"/>
  <c r="AD637" i="1"/>
  <c r="AE637" i="1"/>
  <c r="AF637" i="1"/>
  <c r="AG637" i="1"/>
  <c r="AH637" i="1"/>
  <c r="AI637" i="1"/>
  <c r="AC638" i="1"/>
  <c r="AD638" i="1"/>
  <c r="AE638" i="1"/>
  <c r="AF638" i="1"/>
  <c r="AG638" i="1"/>
  <c r="AH638" i="1"/>
  <c r="AI638" i="1"/>
  <c r="AC639" i="1"/>
  <c r="AD639" i="1"/>
  <c r="AE639" i="1"/>
  <c r="AF639" i="1"/>
  <c r="AG639" i="1"/>
  <c r="AH639" i="1"/>
  <c r="AI639" i="1"/>
  <c r="AC640" i="1"/>
  <c r="AD640" i="1"/>
  <c r="AE640" i="1"/>
  <c r="AF640" i="1"/>
  <c r="AG640" i="1"/>
  <c r="AH640" i="1"/>
  <c r="AI640" i="1"/>
  <c r="AC641" i="1"/>
  <c r="AD641" i="1"/>
  <c r="AE641" i="1"/>
  <c r="AF641" i="1"/>
  <c r="AG641" i="1"/>
  <c r="AH641" i="1"/>
  <c r="AI641" i="1"/>
  <c r="AC642" i="1"/>
  <c r="AD642" i="1"/>
  <c r="AE642" i="1"/>
  <c r="AF642" i="1"/>
  <c r="AG642" i="1"/>
  <c r="AH642" i="1"/>
  <c r="AI642" i="1"/>
  <c r="AC643" i="1"/>
  <c r="AD643" i="1"/>
  <c r="AE643" i="1"/>
  <c r="AF643" i="1"/>
  <c r="AG643" i="1"/>
  <c r="AH643" i="1"/>
  <c r="AI643" i="1"/>
  <c r="AC644" i="1"/>
  <c r="AD644" i="1"/>
  <c r="AE644" i="1"/>
  <c r="AF644" i="1"/>
  <c r="AG644" i="1"/>
  <c r="AH644" i="1"/>
  <c r="AI644" i="1"/>
  <c r="AC645" i="1"/>
  <c r="AD645" i="1"/>
  <c r="AE645" i="1"/>
  <c r="AF645" i="1"/>
  <c r="AG645" i="1"/>
  <c r="AH645" i="1"/>
  <c r="AI645" i="1"/>
  <c r="AC646" i="1"/>
  <c r="AD646" i="1"/>
  <c r="AE646" i="1"/>
  <c r="AF646" i="1"/>
  <c r="AG646" i="1"/>
  <c r="AH646" i="1"/>
  <c r="AI646" i="1"/>
  <c r="AC647" i="1"/>
  <c r="AD647" i="1"/>
  <c r="AE647" i="1"/>
  <c r="AF647" i="1"/>
  <c r="AG647" i="1"/>
  <c r="AH647" i="1"/>
  <c r="AI647" i="1"/>
  <c r="AC648" i="1"/>
  <c r="AD648" i="1"/>
  <c r="AE648" i="1"/>
  <c r="AF648" i="1"/>
  <c r="AG648" i="1"/>
  <c r="AH648" i="1"/>
  <c r="AI648" i="1"/>
  <c r="AC649" i="1"/>
  <c r="AD649" i="1"/>
  <c r="AE649" i="1"/>
  <c r="AF649" i="1"/>
  <c r="AG649" i="1"/>
  <c r="AH649" i="1"/>
  <c r="AI649" i="1"/>
  <c r="AC650" i="1"/>
  <c r="AD650" i="1"/>
  <c r="AE650" i="1"/>
  <c r="AF650" i="1"/>
  <c r="AG650" i="1"/>
  <c r="AH650" i="1"/>
  <c r="AI650" i="1"/>
  <c r="AC651" i="1"/>
  <c r="AD651" i="1"/>
  <c r="AE651" i="1"/>
  <c r="AF651" i="1"/>
  <c r="AG651" i="1"/>
  <c r="AH651" i="1"/>
  <c r="AI651" i="1"/>
  <c r="AC652" i="1"/>
  <c r="AD652" i="1"/>
  <c r="AE652" i="1"/>
  <c r="AF652" i="1"/>
  <c r="AG652" i="1"/>
  <c r="AH652" i="1"/>
  <c r="AI652" i="1"/>
  <c r="AC653" i="1"/>
  <c r="AD653" i="1"/>
  <c r="AE653" i="1"/>
  <c r="AF653" i="1"/>
  <c r="AG653" i="1"/>
  <c r="AH653" i="1"/>
  <c r="AI653" i="1"/>
  <c r="AC654" i="1"/>
  <c r="AD654" i="1"/>
  <c r="AE654" i="1"/>
  <c r="AF654" i="1"/>
  <c r="AG654" i="1"/>
  <c r="AH654" i="1"/>
  <c r="AI654" i="1"/>
  <c r="AC655" i="1"/>
  <c r="AD655" i="1"/>
  <c r="AE655" i="1"/>
  <c r="AF655" i="1"/>
  <c r="AG655" i="1"/>
  <c r="AH655" i="1"/>
  <c r="AI655" i="1"/>
  <c r="AC656" i="1"/>
  <c r="AD656" i="1"/>
  <c r="AE656" i="1"/>
  <c r="AF656" i="1"/>
  <c r="AG656" i="1"/>
  <c r="AH656" i="1"/>
  <c r="AI656" i="1"/>
  <c r="AC657" i="1"/>
  <c r="AD657" i="1"/>
  <c r="AE657" i="1"/>
  <c r="AF657" i="1"/>
  <c r="AG657" i="1"/>
  <c r="AH657" i="1"/>
  <c r="AI657" i="1"/>
  <c r="AC658" i="1"/>
  <c r="AD658" i="1"/>
  <c r="AE658" i="1"/>
  <c r="AF658" i="1"/>
  <c r="AG658" i="1"/>
  <c r="AH658" i="1"/>
  <c r="AI658" i="1"/>
  <c r="AC659" i="1"/>
  <c r="AD659" i="1"/>
  <c r="AE659" i="1"/>
  <c r="AF659" i="1"/>
  <c r="AG659" i="1"/>
  <c r="AH659" i="1"/>
  <c r="AI659" i="1"/>
  <c r="AC660" i="1"/>
  <c r="AD660" i="1"/>
  <c r="AE660" i="1"/>
  <c r="AF660" i="1"/>
  <c r="AG660" i="1"/>
  <c r="AH660" i="1"/>
  <c r="AI660" i="1"/>
  <c r="AC661" i="1"/>
  <c r="AD661" i="1"/>
  <c r="AE661" i="1"/>
  <c r="AF661" i="1"/>
  <c r="AG661" i="1"/>
  <c r="AH661" i="1"/>
  <c r="AI661" i="1"/>
  <c r="AC662" i="1"/>
  <c r="AD662" i="1"/>
  <c r="AE662" i="1"/>
  <c r="AF662" i="1"/>
  <c r="AG662" i="1"/>
  <c r="AH662" i="1"/>
  <c r="AI662" i="1"/>
  <c r="AC663" i="1"/>
  <c r="AD663" i="1"/>
  <c r="AE663" i="1"/>
  <c r="AF663" i="1"/>
  <c r="AG663" i="1"/>
  <c r="AH663" i="1"/>
  <c r="AI663" i="1"/>
  <c r="AC664" i="1"/>
  <c r="AD664" i="1"/>
  <c r="AE664" i="1"/>
  <c r="AF664" i="1"/>
  <c r="AG664" i="1"/>
  <c r="AH664" i="1"/>
  <c r="AI664" i="1"/>
  <c r="AC665" i="1"/>
  <c r="AD665" i="1"/>
  <c r="AE665" i="1"/>
  <c r="AF665" i="1"/>
  <c r="AG665" i="1"/>
  <c r="AH665" i="1"/>
  <c r="AI665" i="1"/>
  <c r="AC666" i="1"/>
  <c r="AD666" i="1"/>
  <c r="AE666" i="1"/>
  <c r="AF666" i="1"/>
  <c r="AG666" i="1"/>
  <c r="AH666" i="1"/>
  <c r="AI666" i="1"/>
  <c r="AC667" i="1"/>
  <c r="AD667" i="1"/>
  <c r="AE667" i="1"/>
  <c r="AF667" i="1"/>
  <c r="AG667" i="1"/>
  <c r="AH667" i="1"/>
  <c r="AI667" i="1"/>
  <c r="AC668" i="1"/>
  <c r="AD668" i="1"/>
  <c r="AE668" i="1"/>
  <c r="AF668" i="1"/>
  <c r="AG668" i="1"/>
  <c r="AH668" i="1"/>
  <c r="AI668" i="1"/>
  <c r="AC669" i="1"/>
  <c r="AD669" i="1"/>
  <c r="AE669" i="1"/>
  <c r="AF669" i="1"/>
  <c r="AG669" i="1"/>
  <c r="AH669" i="1"/>
  <c r="AI669" i="1"/>
  <c r="AC670" i="1"/>
  <c r="AD670" i="1"/>
  <c r="AE670" i="1"/>
  <c r="AF670" i="1"/>
  <c r="AG670" i="1"/>
  <c r="AH670" i="1"/>
  <c r="AI670" i="1"/>
  <c r="AC671" i="1"/>
  <c r="AD671" i="1"/>
  <c r="AE671" i="1"/>
  <c r="AF671" i="1"/>
  <c r="AG671" i="1"/>
  <c r="AH671" i="1"/>
  <c r="AI671" i="1"/>
  <c r="AC672" i="1"/>
  <c r="AD672" i="1"/>
  <c r="AE672" i="1"/>
  <c r="AF672" i="1"/>
  <c r="AG672" i="1"/>
  <c r="AH672" i="1"/>
  <c r="AI672" i="1"/>
  <c r="AC673" i="1"/>
  <c r="AD673" i="1"/>
  <c r="AE673" i="1"/>
  <c r="AF673" i="1"/>
  <c r="AG673" i="1"/>
  <c r="AH673" i="1"/>
  <c r="AI673" i="1"/>
  <c r="AC674" i="1"/>
  <c r="AD674" i="1"/>
  <c r="AE674" i="1"/>
  <c r="AF674" i="1"/>
  <c r="AG674" i="1"/>
  <c r="AH674" i="1"/>
  <c r="AI674" i="1"/>
  <c r="AC675" i="1"/>
  <c r="AD675" i="1"/>
  <c r="AE675" i="1"/>
  <c r="AF675" i="1"/>
  <c r="AG675" i="1"/>
  <c r="AH675" i="1"/>
  <c r="AI675" i="1"/>
  <c r="AC676" i="1"/>
  <c r="AD676" i="1"/>
  <c r="AE676" i="1"/>
  <c r="AF676" i="1"/>
  <c r="AG676" i="1"/>
  <c r="AH676" i="1"/>
  <c r="AI676" i="1"/>
  <c r="AC677" i="1"/>
  <c r="AD677" i="1"/>
  <c r="AE677" i="1"/>
  <c r="AF677" i="1"/>
  <c r="AG677" i="1"/>
  <c r="AH677" i="1"/>
  <c r="AI677" i="1"/>
  <c r="AC678" i="1"/>
  <c r="AD678" i="1"/>
  <c r="AE678" i="1"/>
  <c r="AF678" i="1"/>
  <c r="AG678" i="1"/>
  <c r="AH678" i="1"/>
  <c r="AI678" i="1"/>
  <c r="AC679" i="1"/>
  <c r="AD679" i="1"/>
  <c r="AE679" i="1"/>
  <c r="AF679" i="1"/>
  <c r="AG679" i="1"/>
  <c r="AH679" i="1"/>
  <c r="AI679" i="1"/>
  <c r="AC680" i="1"/>
  <c r="AD680" i="1"/>
  <c r="AE680" i="1"/>
  <c r="AF680" i="1"/>
  <c r="AG680" i="1"/>
  <c r="AH680" i="1"/>
  <c r="AI680" i="1"/>
  <c r="AC681" i="1"/>
  <c r="AD681" i="1"/>
  <c r="AE681" i="1"/>
  <c r="AF681" i="1"/>
  <c r="AG681" i="1"/>
  <c r="AH681" i="1"/>
  <c r="AI681" i="1"/>
  <c r="AC682" i="1"/>
  <c r="AD682" i="1"/>
  <c r="AE682" i="1"/>
  <c r="AF682" i="1"/>
  <c r="AG682" i="1"/>
  <c r="AH682" i="1"/>
  <c r="AI682" i="1"/>
  <c r="AC683" i="1"/>
  <c r="AD683" i="1"/>
  <c r="AE683" i="1"/>
  <c r="AF683" i="1"/>
  <c r="AG683" i="1"/>
  <c r="AH683" i="1"/>
  <c r="AI683" i="1"/>
  <c r="AC684" i="1"/>
  <c r="AD684" i="1"/>
  <c r="AE684" i="1"/>
  <c r="AF684" i="1"/>
  <c r="AG684" i="1"/>
  <c r="AH684" i="1"/>
  <c r="AI684" i="1"/>
  <c r="AC685" i="1"/>
  <c r="AD685" i="1"/>
  <c r="AE685" i="1"/>
  <c r="AF685" i="1"/>
  <c r="AG685" i="1"/>
  <c r="AH685" i="1"/>
  <c r="AI685" i="1"/>
  <c r="AC686" i="1"/>
  <c r="AD686" i="1"/>
  <c r="AE686" i="1"/>
  <c r="AF686" i="1"/>
  <c r="AG686" i="1"/>
  <c r="AH686" i="1"/>
  <c r="AI686" i="1"/>
  <c r="AC687" i="1"/>
  <c r="AD687" i="1"/>
  <c r="AE687" i="1"/>
  <c r="AF687" i="1"/>
  <c r="AG687" i="1"/>
  <c r="AH687" i="1"/>
  <c r="AI687" i="1"/>
  <c r="AC688" i="1"/>
  <c r="AD688" i="1"/>
  <c r="AE688" i="1"/>
  <c r="AF688" i="1"/>
  <c r="AG688" i="1"/>
  <c r="AH688" i="1"/>
  <c r="AI688" i="1"/>
  <c r="AC689" i="1"/>
  <c r="AD689" i="1"/>
  <c r="AE689" i="1"/>
  <c r="AF689" i="1"/>
  <c r="AG689" i="1"/>
  <c r="AH689" i="1"/>
  <c r="AI689" i="1"/>
  <c r="AC690" i="1"/>
  <c r="AD690" i="1"/>
  <c r="AE690" i="1"/>
  <c r="AF690" i="1"/>
  <c r="AG690" i="1"/>
  <c r="AH690" i="1"/>
  <c r="AI690" i="1"/>
  <c r="AC691" i="1"/>
  <c r="AD691" i="1"/>
  <c r="AE691" i="1"/>
  <c r="AF691" i="1"/>
  <c r="AG691" i="1"/>
  <c r="AH691" i="1"/>
  <c r="AI691" i="1"/>
  <c r="AC692" i="1"/>
  <c r="AD692" i="1"/>
  <c r="AE692" i="1"/>
  <c r="AF692" i="1"/>
  <c r="AG692" i="1"/>
  <c r="AH692" i="1"/>
  <c r="AI692" i="1"/>
  <c r="AC693" i="1"/>
  <c r="AD693" i="1"/>
  <c r="AE693" i="1"/>
  <c r="AF693" i="1"/>
  <c r="AG693" i="1"/>
  <c r="AH693" i="1"/>
  <c r="AI693" i="1"/>
  <c r="AC694" i="1"/>
  <c r="AD694" i="1"/>
  <c r="AE694" i="1"/>
  <c r="AF694" i="1"/>
  <c r="AG694" i="1"/>
  <c r="AH694" i="1"/>
  <c r="AI694" i="1"/>
  <c r="AC695" i="1"/>
  <c r="AD695" i="1"/>
  <c r="AE695" i="1"/>
  <c r="AF695" i="1"/>
  <c r="AG695" i="1"/>
  <c r="AH695" i="1"/>
  <c r="AI695" i="1"/>
  <c r="AC696" i="1"/>
  <c r="AD696" i="1"/>
  <c r="AE696" i="1"/>
  <c r="AF696" i="1"/>
  <c r="AG696" i="1"/>
  <c r="AH696" i="1"/>
  <c r="AI696" i="1"/>
  <c r="AC697" i="1"/>
  <c r="AD697" i="1"/>
  <c r="AE697" i="1"/>
  <c r="AF697" i="1"/>
  <c r="AG697" i="1"/>
  <c r="AH697" i="1"/>
  <c r="AI697" i="1"/>
  <c r="AC698" i="1"/>
  <c r="AD698" i="1"/>
  <c r="AE698" i="1"/>
  <c r="AF698" i="1"/>
  <c r="AG698" i="1"/>
  <c r="AH698" i="1"/>
  <c r="AI698" i="1"/>
  <c r="AC699" i="1"/>
  <c r="AD699" i="1"/>
  <c r="AE699" i="1"/>
  <c r="AF699" i="1"/>
  <c r="AG699" i="1"/>
  <c r="AH699" i="1"/>
  <c r="AI699" i="1"/>
  <c r="AC700" i="1"/>
  <c r="AD700" i="1"/>
  <c r="AE700" i="1"/>
  <c r="AF700" i="1"/>
  <c r="AG700" i="1"/>
  <c r="AH700" i="1"/>
  <c r="AI700" i="1"/>
  <c r="AC701" i="1"/>
  <c r="AD701" i="1"/>
  <c r="AE701" i="1"/>
  <c r="AF701" i="1"/>
  <c r="AG701" i="1"/>
  <c r="AH701" i="1"/>
  <c r="AI701" i="1"/>
  <c r="AC702" i="1"/>
  <c r="AD702" i="1"/>
  <c r="AE702" i="1"/>
  <c r="AF702" i="1"/>
  <c r="AG702" i="1"/>
  <c r="AH702" i="1"/>
  <c r="AI702" i="1"/>
  <c r="AC703" i="1"/>
  <c r="AD703" i="1"/>
  <c r="AE703" i="1"/>
  <c r="AF703" i="1"/>
  <c r="AG703" i="1"/>
  <c r="AH703" i="1"/>
  <c r="AI703" i="1"/>
  <c r="AC704" i="1"/>
  <c r="AD704" i="1"/>
  <c r="AE704" i="1"/>
  <c r="AF704" i="1"/>
  <c r="AG704" i="1"/>
  <c r="AH704" i="1"/>
  <c r="AI704" i="1"/>
  <c r="AC705" i="1"/>
  <c r="AD705" i="1"/>
  <c r="AE705" i="1"/>
  <c r="AF705" i="1"/>
  <c r="AG705" i="1"/>
  <c r="AH705" i="1"/>
  <c r="AI705" i="1"/>
  <c r="AC706" i="1"/>
  <c r="AD706" i="1"/>
  <c r="AE706" i="1"/>
  <c r="AF706" i="1"/>
  <c r="AG706" i="1"/>
  <c r="AH706" i="1"/>
  <c r="AI706" i="1"/>
  <c r="AC707" i="1"/>
  <c r="AD707" i="1"/>
  <c r="AE707" i="1"/>
  <c r="AF707" i="1"/>
  <c r="AG707" i="1"/>
  <c r="AH707" i="1"/>
  <c r="AI707" i="1"/>
  <c r="AC708" i="1"/>
  <c r="AD708" i="1"/>
  <c r="AE708" i="1"/>
  <c r="AF708" i="1"/>
  <c r="AG708" i="1"/>
  <c r="AH708" i="1"/>
  <c r="AI708" i="1"/>
  <c r="AC709" i="1"/>
  <c r="AD709" i="1"/>
  <c r="AE709" i="1"/>
  <c r="AF709" i="1"/>
  <c r="AG709" i="1"/>
  <c r="AH709" i="1"/>
  <c r="AI709" i="1"/>
  <c r="AC710" i="1"/>
  <c r="AD710" i="1"/>
  <c r="AE710" i="1"/>
  <c r="AF710" i="1"/>
  <c r="AG710" i="1"/>
  <c r="AH710" i="1"/>
  <c r="AI710" i="1"/>
  <c r="AC711" i="1"/>
  <c r="AD711" i="1"/>
  <c r="AE711" i="1"/>
  <c r="AF711" i="1"/>
  <c r="AG711" i="1"/>
  <c r="AH711" i="1"/>
  <c r="AI711" i="1"/>
  <c r="AC712" i="1"/>
  <c r="AD712" i="1"/>
  <c r="AE712" i="1"/>
  <c r="AF712" i="1"/>
  <c r="AG712" i="1"/>
  <c r="AH712" i="1"/>
  <c r="AI712" i="1"/>
  <c r="AC713" i="1"/>
  <c r="AD713" i="1"/>
  <c r="AE713" i="1"/>
  <c r="AF713" i="1"/>
  <c r="AG713" i="1"/>
  <c r="AH713" i="1"/>
  <c r="AI713" i="1"/>
  <c r="AC714" i="1"/>
  <c r="AD714" i="1"/>
  <c r="AE714" i="1"/>
  <c r="AF714" i="1"/>
  <c r="AG714" i="1"/>
  <c r="AH714" i="1"/>
  <c r="AI714" i="1"/>
  <c r="AC715" i="1"/>
  <c r="AD715" i="1"/>
  <c r="AE715" i="1"/>
  <c r="AF715" i="1"/>
  <c r="AG715" i="1"/>
  <c r="AH715" i="1"/>
  <c r="AI715" i="1"/>
  <c r="AC716" i="1"/>
  <c r="AD716" i="1"/>
  <c r="AE716" i="1"/>
  <c r="AF716" i="1"/>
  <c r="AG716" i="1"/>
  <c r="AH716" i="1"/>
  <c r="AI716" i="1"/>
  <c r="AC717" i="1"/>
  <c r="AD717" i="1"/>
  <c r="AE717" i="1"/>
  <c r="AF717" i="1"/>
  <c r="AG717" i="1"/>
  <c r="AH717" i="1"/>
  <c r="AI717" i="1"/>
  <c r="AC718" i="1"/>
  <c r="AD718" i="1"/>
  <c r="AE718" i="1"/>
  <c r="AF718" i="1"/>
  <c r="AG718" i="1"/>
  <c r="AH718" i="1"/>
  <c r="AI718" i="1"/>
  <c r="AC719" i="1"/>
  <c r="AD719" i="1"/>
  <c r="AE719" i="1"/>
  <c r="AF719" i="1"/>
  <c r="AG719" i="1"/>
  <c r="AH719" i="1"/>
  <c r="AI719" i="1"/>
  <c r="AC720" i="1"/>
  <c r="AD720" i="1"/>
  <c r="AE720" i="1"/>
  <c r="AF720" i="1"/>
  <c r="AG720" i="1"/>
  <c r="AH720" i="1"/>
  <c r="AI720" i="1"/>
  <c r="AC721" i="1"/>
  <c r="AD721" i="1"/>
  <c r="AE721" i="1"/>
  <c r="AF721" i="1"/>
  <c r="AG721" i="1"/>
  <c r="AH721" i="1"/>
  <c r="AI721" i="1"/>
  <c r="AC722" i="1"/>
  <c r="AD722" i="1"/>
  <c r="AE722" i="1"/>
  <c r="AF722" i="1"/>
  <c r="AG722" i="1"/>
  <c r="AH722" i="1"/>
  <c r="AI722" i="1"/>
  <c r="AC723" i="1"/>
  <c r="AD723" i="1"/>
  <c r="AE723" i="1"/>
  <c r="AF723" i="1"/>
  <c r="AG723" i="1"/>
  <c r="AH723" i="1"/>
  <c r="AI723" i="1"/>
  <c r="AC724" i="1"/>
  <c r="AD724" i="1"/>
  <c r="AE724" i="1"/>
  <c r="AF724" i="1"/>
  <c r="AG724" i="1"/>
  <c r="AH724" i="1"/>
  <c r="AI724" i="1"/>
  <c r="AC725" i="1"/>
  <c r="AD725" i="1"/>
  <c r="AE725" i="1"/>
  <c r="AF725" i="1"/>
  <c r="AG725" i="1"/>
  <c r="AH725" i="1"/>
  <c r="AI725" i="1"/>
  <c r="AC726" i="1"/>
  <c r="AD726" i="1"/>
  <c r="AE726" i="1"/>
  <c r="AF726" i="1"/>
  <c r="AG726" i="1"/>
  <c r="AH726" i="1"/>
  <c r="AI726" i="1"/>
  <c r="AC727" i="1"/>
  <c r="AD727" i="1"/>
  <c r="AE727" i="1"/>
  <c r="AF727" i="1"/>
  <c r="AG727" i="1"/>
  <c r="AH727" i="1"/>
  <c r="AI727" i="1"/>
  <c r="AC728" i="1"/>
  <c r="AD728" i="1"/>
  <c r="AE728" i="1"/>
  <c r="AF728" i="1"/>
  <c r="AG728" i="1"/>
  <c r="AH728" i="1"/>
  <c r="AI728" i="1"/>
  <c r="AC729" i="1"/>
  <c r="AD729" i="1"/>
  <c r="AE729" i="1"/>
  <c r="AF729" i="1"/>
  <c r="AG729" i="1"/>
  <c r="AH729" i="1"/>
  <c r="AI729" i="1"/>
  <c r="AC730" i="1"/>
  <c r="AD730" i="1"/>
  <c r="AE730" i="1"/>
  <c r="AF730" i="1"/>
  <c r="AG730" i="1"/>
  <c r="AH730" i="1"/>
  <c r="AI730" i="1"/>
  <c r="AC731" i="1"/>
  <c r="AD731" i="1"/>
  <c r="AE731" i="1"/>
  <c r="AF731" i="1"/>
  <c r="AG731" i="1"/>
  <c r="AH731" i="1"/>
  <c r="AI731" i="1"/>
  <c r="AC732" i="1"/>
  <c r="AD732" i="1"/>
  <c r="AE732" i="1"/>
  <c r="AF732" i="1"/>
  <c r="AG732" i="1"/>
  <c r="AH732" i="1"/>
  <c r="AI732" i="1"/>
  <c r="AC733" i="1"/>
  <c r="AD733" i="1"/>
  <c r="AE733" i="1"/>
  <c r="AF733" i="1"/>
  <c r="AG733" i="1"/>
  <c r="AH733" i="1"/>
  <c r="AI733" i="1"/>
  <c r="AC734" i="1"/>
  <c r="AD734" i="1"/>
  <c r="AE734" i="1"/>
  <c r="AF734" i="1"/>
  <c r="AG734" i="1"/>
  <c r="AH734" i="1"/>
  <c r="AI734" i="1"/>
  <c r="AC735" i="1"/>
  <c r="AD735" i="1"/>
  <c r="AE735" i="1"/>
  <c r="AF735" i="1"/>
  <c r="AG735" i="1"/>
  <c r="AH735" i="1"/>
  <c r="AI735" i="1"/>
  <c r="AC736" i="1"/>
  <c r="AD736" i="1"/>
  <c r="AE736" i="1"/>
  <c r="AF736" i="1"/>
  <c r="AG736" i="1"/>
  <c r="AH736" i="1"/>
  <c r="AI736" i="1"/>
  <c r="AC737" i="1"/>
  <c r="AD737" i="1"/>
  <c r="AE737" i="1"/>
  <c r="AF737" i="1"/>
  <c r="AG737" i="1"/>
  <c r="AH737" i="1"/>
  <c r="AI737" i="1"/>
  <c r="AC738" i="1"/>
  <c r="AD738" i="1"/>
  <c r="AE738" i="1"/>
  <c r="AF738" i="1"/>
  <c r="AG738" i="1"/>
  <c r="AH738" i="1"/>
  <c r="AI738" i="1"/>
  <c r="AC739" i="1"/>
  <c r="AD739" i="1"/>
  <c r="AE739" i="1"/>
  <c r="AF739" i="1"/>
  <c r="AG739" i="1"/>
  <c r="AH739" i="1"/>
  <c r="AI739" i="1"/>
  <c r="AC740" i="1"/>
  <c r="AD740" i="1"/>
  <c r="AE740" i="1"/>
  <c r="AF740" i="1"/>
  <c r="AG740" i="1"/>
  <c r="AH740" i="1"/>
  <c r="AI740" i="1"/>
  <c r="AC741" i="1"/>
  <c r="AD741" i="1"/>
  <c r="AE741" i="1"/>
  <c r="AF741" i="1"/>
  <c r="AG741" i="1"/>
  <c r="AH741" i="1"/>
  <c r="AI741" i="1"/>
  <c r="AC742" i="1"/>
  <c r="AD742" i="1"/>
  <c r="AE742" i="1"/>
  <c r="AF742" i="1"/>
  <c r="AG742" i="1"/>
  <c r="AH742" i="1"/>
  <c r="AI742" i="1"/>
  <c r="AC743" i="1"/>
  <c r="AD743" i="1"/>
  <c r="AE743" i="1"/>
  <c r="AF743" i="1"/>
  <c r="AG743" i="1"/>
  <c r="AH743" i="1"/>
  <c r="AI743" i="1"/>
  <c r="AC744" i="1"/>
  <c r="AD744" i="1"/>
  <c r="AE744" i="1"/>
  <c r="AF744" i="1"/>
  <c r="AG744" i="1"/>
  <c r="AH744" i="1"/>
  <c r="AI744" i="1"/>
  <c r="AC745" i="1"/>
  <c r="AD745" i="1"/>
  <c r="AE745" i="1"/>
  <c r="AF745" i="1"/>
  <c r="AG745" i="1"/>
  <c r="AH745" i="1"/>
  <c r="AI745" i="1"/>
  <c r="AC746" i="1"/>
  <c r="AD746" i="1"/>
  <c r="AE746" i="1"/>
  <c r="AF746" i="1"/>
  <c r="AG746" i="1"/>
  <c r="AH746" i="1"/>
  <c r="AI746" i="1"/>
  <c r="AC747" i="1"/>
  <c r="AD747" i="1"/>
  <c r="AE747" i="1"/>
  <c r="AF747" i="1"/>
  <c r="AG747" i="1"/>
  <c r="AH747" i="1"/>
  <c r="AI747" i="1"/>
  <c r="AC748" i="1"/>
  <c r="AD748" i="1"/>
  <c r="AE748" i="1"/>
  <c r="AF748" i="1"/>
  <c r="AG748" i="1"/>
  <c r="AH748" i="1"/>
  <c r="AI748" i="1"/>
  <c r="AC749" i="1"/>
  <c r="AD749" i="1"/>
  <c r="AE749" i="1"/>
  <c r="AF749" i="1"/>
  <c r="AG749" i="1"/>
  <c r="AH749" i="1"/>
  <c r="AI749" i="1"/>
  <c r="AC750" i="1"/>
  <c r="AD750" i="1"/>
  <c r="AE750" i="1"/>
  <c r="AF750" i="1"/>
  <c r="AG750" i="1"/>
  <c r="AH750" i="1"/>
  <c r="AI750" i="1"/>
  <c r="AC751" i="1"/>
  <c r="AD751" i="1"/>
  <c r="AE751" i="1"/>
  <c r="AF751" i="1"/>
  <c r="AG751" i="1"/>
  <c r="AH751" i="1"/>
  <c r="AI751" i="1"/>
  <c r="AC752" i="1"/>
  <c r="AD752" i="1"/>
  <c r="AE752" i="1"/>
  <c r="AF752" i="1"/>
  <c r="AG752" i="1"/>
  <c r="AH752" i="1"/>
  <c r="AI752" i="1"/>
  <c r="AC753" i="1"/>
  <c r="AD753" i="1"/>
  <c r="AE753" i="1"/>
  <c r="AF753" i="1"/>
  <c r="AG753" i="1"/>
  <c r="AH753" i="1"/>
  <c r="AI753" i="1"/>
  <c r="AC754" i="1"/>
  <c r="AD754" i="1"/>
  <c r="AE754" i="1"/>
  <c r="AF754" i="1"/>
  <c r="AG754" i="1"/>
  <c r="AH754" i="1"/>
  <c r="AI754" i="1"/>
  <c r="AC755" i="1"/>
  <c r="AD755" i="1"/>
  <c r="AE755" i="1"/>
  <c r="AF755" i="1"/>
  <c r="AG755" i="1"/>
  <c r="AH755" i="1"/>
  <c r="AI755" i="1"/>
  <c r="AC756" i="1"/>
  <c r="AD756" i="1"/>
  <c r="AE756" i="1"/>
  <c r="AF756" i="1"/>
  <c r="AG756" i="1"/>
  <c r="AH756" i="1"/>
  <c r="AI756" i="1"/>
  <c r="AC757" i="1"/>
  <c r="AD757" i="1"/>
  <c r="AE757" i="1"/>
  <c r="AF757" i="1"/>
  <c r="AG757" i="1"/>
  <c r="AH757" i="1"/>
  <c r="AI757" i="1"/>
  <c r="AC758" i="1"/>
  <c r="AD758" i="1"/>
  <c r="AE758" i="1"/>
  <c r="AF758" i="1"/>
  <c r="AG758" i="1"/>
  <c r="AH758" i="1"/>
  <c r="AI758" i="1"/>
  <c r="AC759" i="1"/>
  <c r="AD759" i="1"/>
  <c r="AE759" i="1"/>
  <c r="AF759" i="1"/>
  <c r="AG759" i="1"/>
  <c r="AH759" i="1"/>
  <c r="AI759" i="1"/>
  <c r="AC760" i="1"/>
  <c r="AD760" i="1"/>
  <c r="AE760" i="1"/>
  <c r="AF760" i="1"/>
  <c r="AG760" i="1"/>
  <c r="AH760" i="1"/>
  <c r="AI760" i="1"/>
  <c r="AC761" i="1"/>
  <c r="AD761" i="1"/>
  <c r="AE761" i="1"/>
  <c r="AF761" i="1"/>
  <c r="AG761" i="1"/>
  <c r="AH761" i="1"/>
  <c r="AI761" i="1"/>
  <c r="AC762" i="1"/>
  <c r="AD762" i="1"/>
  <c r="AE762" i="1"/>
  <c r="AF762" i="1"/>
  <c r="AG762" i="1"/>
  <c r="AH762" i="1"/>
  <c r="AI762" i="1"/>
  <c r="AC763" i="1"/>
  <c r="AD763" i="1"/>
  <c r="AE763" i="1"/>
  <c r="AF763" i="1"/>
  <c r="AG763" i="1"/>
  <c r="AH763" i="1"/>
  <c r="AI763" i="1"/>
  <c r="AC764" i="1"/>
  <c r="AD764" i="1"/>
  <c r="AE764" i="1"/>
  <c r="AF764" i="1"/>
  <c r="AG764" i="1"/>
  <c r="AH764" i="1"/>
  <c r="AI764" i="1"/>
  <c r="AC765" i="1"/>
  <c r="AD765" i="1"/>
  <c r="AE765" i="1"/>
  <c r="AF765" i="1"/>
  <c r="AG765" i="1"/>
  <c r="AH765" i="1"/>
  <c r="AI765" i="1"/>
  <c r="AC766" i="1"/>
  <c r="AD766" i="1"/>
  <c r="AE766" i="1"/>
  <c r="AF766" i="1"/>
  <c r="AG766" i="1"/>
  <c r="AH766" i="1"/>
  <c r="AI766" i="1"/>
  <c r="AC767" i="1"/>
  <c r="AD767" i="1"/>
  <c r="AE767" i="1"/>
  <c r="AF767" i="1"/>
  <c r="AG767" i="1"/>
  <c r="AH767" i="1"/>
  <c r="AI767" i="1"/>
  <c r="AC768" i="1"/>
  <c r="AD768" i="1"/>
  <c r="AE768" i="1"/>
  <c r="AF768" i="1"/>
  <c r="AG768" i="1"/>
  <c r="AH768" i="1"/>
  <c r="AI768" i="1"/>
  <c r="AC769" i="1"/>
  <c r="AD769" i="1"/>
  <c r="AE769" i="1"/>
  <c r="AF769" i="1"/>
  <c r="AG769" i="1"/>
  <c r="AH769" i="1"/>
  <c r="AI769" i="1"/>
  <c r="AC770" i="1"/>
  <c r="AD770" i="1"/>
  <c r="AE770" i="1"/>
  <c r="AF770" i="1"/>
  <c r="AG770" i="1"/>
  <c r="AH770" i="1"/>
  <c r="AI770" i="1"/>
  <c r="AC771" i="1"/>
  <c r="AD771" i="1"/>
  <c r="AE771" i="1"/>
  <c r="AF771" i="1"/>
  <c r="AG771" i="1"/>
  <c r="AH771" i="1"/>
  <c r="AI771" i="1"/>
  <c r="AC772" i="1"/>
  <c r="AD772" i="1"/>
  <c r="AE772" i="1"/>
  <c r="AF772" i="1"/>
  <c r="AG772" i="1"/>
  <c r="AH772" i="1"/>
  <c r="AI772" i="1"/>
  <c r="AC773" i="1"/>
  <c r="AD773" i="1"/>
  <c r="AE773" i="1"/>
  <c r="AF773" i="1"/>
  <c r="AG773" i="1"/>
  <c r="AH773" i="1"/>
  <c r="AI773" i="1"/>
  <c r="AC774" i="1"/>
  <c r="AD774" i="1"/>
  <c r="AE774" i="1"/>
  <c r="AF774" i="1"/>
  <c r="AG774" i="1"/>
  <c r="AH774" i="1"/>
  <c r="AI774" i="1"/>
  <c r="AC775" i="1"/>
  <c r="AD775" i="1"/>
  <c r="AE775" i="1"/>
  <c r="AF775" i="1"/>
  <c r="AG775" i="1"/>
  <c r="AH775" i="1"/>
  <c r="AI775" i="1"/>
  <c r="AC776" i="1"/>
  <c r="AD776" i="1"/>
  <c r="AE776" i="1"/>
  <c r="AF776" i="1"/>
  <c r="AG776" i="1"/>
  <c r="AH776" i="1"/>
  <c r="AI776" i="1"/>
  <c r="AC777" i="1"/>
  <c r="AD777" i="1"/>
  <c r="AE777" i="1"/>
  <c r="AF777" i="1"/>
  <c r="AG777" i="1"/>
  <c r="AH777" i="1"/>
  <c r="AI777" i="1"/>
  <c r="AC778" i="1"/>
  <c r="AD778" i="1"/>
  <c r="AE778" i="1"/>
  <c r="AF778" i="1"/>
  <c r="AG778" i="1"/>
  <c r="AH778" i="1"/>
  <c r="AI778" i="1"/>
  <c r="AC779" i="1"/>
  <c r="AD779" i="1"/>
  <c r="AE779" i="1"/>
  <c r="AF779" i="1"/>
  <c r="AG779" i="1"/>
  <c r="AH779" i="1"/>
  <c r="AI779" i="1"/>
  <c r="AC780" i="1"/>
  <c r="AD780" i="1"/>
  <c r="AE780" i="1"/>
  <c r="AF780" i="1"/>
  <c r="AG780" i="1"/>
  <c r="AH780" i="1"/>
  <c r="AI780" i="1"/>
  <c r="AC781" i="1"/>
  <c r="AD781" i="1"/>
  <c r="AE781" i="1"/>
  <c r="AF781" i="1"/>
  <c r="AG781" i="1"/>
  <c r="AH781" i="1"/>
  <c r="AI781" i="1"/>
  <c r="AC782" i="1"/>
  <c r="AD782" i="1"/>
  <c r="AE782" i="1"/>
  <c r="AF782" i="1"/>
  <c r="AG782" i="1"/>
  <c r="AH782" i="1"/>
  <c r="AI782" i="1"/>
  <c r="AC783" i="1"/>
  <c r="AD783" i="1"/>
  <c r="AE783" i="1"/>
  <c r="AF783" i="1"/>
  <c r="AG783" i="1"/>
  <c r="AH783" i="1"/>
  <c r="AI783" i="1"/>
  <c r="AC784" i="1"/>
  <c r="AD784" i="1"/>
  <c r="AE784" i="1"/>
  <c r="AF784" i="1"/>
  <c r="AG784" i="1"/>
  <c r="AH784" i="1"/>
  <c r="AI784" i="1"/>
  <c r="AC785" i="1"/>
  <c r="AD785" i="1"/>
  <c r="AE785" i="1"/>
  <c r="AF785" i="1"/>
  <c r="AG785" i="1"/>
  <c r="AH785" i="1"/>
  <c r="AI785" i="1"/>
  <c r="AC786" i="1"/>
  <c r="AD786" i="1"/>
  <c r="AE786" i="1"/>
  <c r="AF786" i="1"/>
  <c r="AG786" i="1"/>
  <c r="AH786" i="1"/>
  <c r="AI786" i="1"/>
  <c r="AC787" i="1"/>
  <c r="AD787" i="1"/>
  <c r="AE787" i="1"/>
  <c r="AF787" i="1"/>
  <c r="AG787" i="1"/>
  <c r="AH787" i="1"/>
  <c r="AI787" i="1"/>
  <c r="AC788" i="1"/>
  <c r="AD788" i="1"/>
  <c r="AE788" i="1"/>
  <c r="AF788" i="1"/>
  <c r="AG788" i="1"/>
  <c r="AH788" i="1"/>
  <c r="AI788" i="1"/>
  <c r="AC789" i="1"/>
  <c r="AD789" i="1"/>
  <c r="AE789" i="1"/>
  <c r="AF789" i="1"/>
  <c r="AG789" i="1"/>
  <c r="AH789" i="1"/>
  <c r="AI789" i="1"/>
  <c r="AC790" i="1"/>
  <c r="AD790" i="1"/>
  <c r="AE790" i="1"/>
  <c r="AF790" i="1"/>
  <c r="AG790" i="1"/>
  <c r="AH790" i="1"/>
  <c r="AI790" i="1"/>
  <c r="AC791" i="1"/>
  <c r="AD791" i="1"/>
  <c r="AE791" i="1"/>
  <c r="AF791" i="1"/>
  <c r="AG791" i="1"/>
  <c r="AH791" i="1"/>
  <c r="AI791" i="1"/>
  <c r="AC792" i="1"/>
  <c r="AD792" i="1"/>
  <c r="AE792" i="1"/>
  <c r="AF792" i="1"/>
  <c r="AG792" i="1"/>
  <c r="AH792" i="1"/>
  <c r="AI792" i="1"/>
  <c r="AC793" i="1"/>
  <c r="AD793" i="1"/>
  <c r="AE793" i="1"/>
  <c r="AF793" i="1"/>
  <c r="AG793" i="1"/>
  <c r="AH793" i="1"/>
  <c r="AI793" i="1"/>
  <c r="AC794" i="1"/>
  <c r="AD794" i="1"/>
  <c r="AE794" i="1"/>
  <c r="AF794" i="1"/>
  <c r="AG794" i="1"/>
  <c r="AH794" i="1"/>
  <c r="AI794" i="1"/>
  <c r="AC795" i="1"/>
  <c r="AD795" i="1"/>
  <c r="AE795" i="1"/>
  <c r="AF795" i="1"/>
  <c r="AG795" i="1"/>
  <c r="AH795" i="1"/>
  <c r="AI795" i="1"/>
  <c r="AC796" i="1"/>
  <c r="AD796" i="1"/>
  <c r="AE796" i="1"/>
  <c r="AF796" i="1"/>
  <c r="AG796" i="1"/>
  <c r="AH796" i="1"/>
  <c r="AI796" i="1"/>
  <c r="AC797" i="1"/>
  <c r="AD797" i="1"/>
  <c r="AE797" i="1"/>
  <c r="AF797" i="1"/>
  <c r="AG797" i="1"/>
  <c r="AH797" i="1"/>
  <c r="AI797" i="1"/>
  <c r="AC798" i="1"/>
  <c r="AD798" i="1"/>
  <c r="AE798" i="1"/>
  <c r="AF798" i="1"/>
  <c r="AG798" i="1"/>
  <c r="AH798" i="1"/>
  <c r="AI798" i="1"/>
  <c r="AC799" i="1"/>
  <c r="AD799" i="1"/>
  <c r="AE799" i="1"/>
  <c r="AF799" i="1"/>
  <c r="AG799" i="1"/>
  <c r="AH799" i="1"/>
  <c r="AI799" i="1"/>
  <c r="AC800" i="1"/>
  <c r="AD800" i="1"/>
  <c r="AE800" i="1"/>
  <c r="AF800" i="1"/>
  <c r="AG800" i="1"/>
  <c r="AH800" i="1"/>
  <c r="AI800" i="1"/>
  <c r="AC801" i="1"/>
  <c r="AD801" i="1"/>
  <c r="AE801" i="1"/>
  <c r="AF801" i="1"/>
  <c r="AG801" i="1"/>
  <c r="AH801" i="1"/>
  <c r="AI801" i="1"/>
  <c r="AC802" i="1"/>
  <c r="AD802" i="1"/>
  <c r="AE802" i="1"/>
  <c r="AF802" i="1"/>
  <c r="AG802" i="1"/>
  <c r="AH802" i="1"/>
  <c r="AI802" i="1"/>
  <c r="AC803" i="1"/>
  <c r="AD803" i="1"/>
  <c r="AE803" i="1"/>
  <c r="AF803" i="1"/>
  <c r="AG803" i="1"/>
  <c r="AH803" i="1"/>
  <c r="AI803" i="1"/>
  <c r="AC804" i="1"/>
  <c r="AD804" i="1"/>
  <c r="AE804" i="1"/>
  <c r="AF804" i="1"/>
  <c r="AG804" i="1"/>
  <c r="AH804" i="1"/>
  <c r="AI804" i="1"/>
  <c r="AC805" i="1"/>
  <c r="AD805" i="1"/>
  <c r="AE805" i="1"/>
  <c r="AF805" i="1"/>
  <c r="AG805" i="1"/>
  <c r="AH805" i="1"/>
  <c r="AI805" i="1"/>
  <c r="AC806" i="1"/>
  <c r="AD806" i="1"/>
  <c r="AE806" i="1"/>
  <c r="AF806" i="1"/>
  <c r="AG806" i="1"/>
  <c r="AH806" i="1"/>
  <c r="AI806" i="1"/>
  <c r="AC807" i="1"/>
  <c r="AD807" i="1"/>
  <c r="AE807" i="1"/>
  <c r="AF807" i="1"/>
  <c r="AG807" i="1"/>
  <c r="AH807" i="1"/>
  <c r="AI807" i="1"/>
  <c r="AC808" i="1"/>
  <c r="AD808" i="1"/>
  <c r="AE808" i="1"/>
  <c r="AF808" i="1"/>
  <c r="AG808" i="1"/>
  <c r="AH808" i="1"/>
  <c r="AI808" i="1"/>
  <c r="AC809" i="1"/>
  <c r="AD809" i="1"/>
  <c r="AE809" i="1"/>
  <c r="AF809" i="1"/>
  <c r="AG809" i="1"/>
  <c r="AH809" i="1"/>
  <c r="AI809" i="1"/>
  <c r="AC810" i="1"/>
  <c r="AD810" i="1"/>
  <c r="AE810" i="1"/>
  <c r="AF810" i="1"/>
  <c r="AG810" i="1"/>
  <c r="AH810" i="1"/>
  <c r="AI810" i="1"/>
  <c r="AC811" i="1"/>
  <c r="AD811" i="1"/>
  <c r="AE811" i="1"/>
  <c r="AF811" i="1"/>
  <c r="AG811" i="1"/>
  <c r="AH811" i="1"/>
  <c r="AI811" i="1"/>
  <c r="AC812" i="1"/>
  <c r="AD812" i="1"/>
  <c r="AE812" i="1"/>
  <c r="AF812" i="1"/>
  <c r="AG812" i="1"/>
  <c r="AH812" i="1"/>
  <c r="AI812" i="1"/>
  <c r="AC813" i="1"/>
  <c r="AD813" i="1"/>
  <c r="AE813" i="1"/>
  <c r="AF813" i="1"/>
  <c r="AG813" i="1"/>
  <c r="AH813" i="1"/>
  <c r="AI813" i="1"/>
  <c r="AC814" i="1"/>
  <c r="AD814" i="1"/>
  <c r="AE814" i="1"/>
  <c r="AF814" i="1"/>
  <c r="AG814" i="1"/>
  <c r="AH814" i="1"/>
  <c r="AI814" i="1"/>
  <c r="AC815" i="1"/>
  <c r="AD815" i="1"/>
  <c r="AE815" i="1"/>
  <c r="AF815" i="1"/>
  <c r="AG815" i="1"/>
  <c r="AH815" i="1"/>
  <c r="AI815" i="1"/>
  <c r="AC816" i="1"/>
  <c r="AD816" i="1"/>
  <c r="AE816" i="1"/>
  <c r="AF816" i="1"/>
  <c r="AG816" i="1"/>
  <c r="AH816" i="1"/>
  <c r="AI816" i="1"/>
  <c r="AC817" i="1"/>
  <c r="AD817" i="1"/>
  <c r="AE817" i="1"/>
  <c r="AF817" i="1"/>
  <c r="AG817" i="1"/>
  <c r="AH817" i="1"/>
  <c r="AI817" i="1"/>
  <c r="AC818" i="1"/>
  <c r="AD818" i="1"/>
  <c r="AE818" i="1"/>
  <c r="AF818" i="1"/>
  <c r="AG818" i="1"/>
  <c r="AH818" i="1"/>
  <c r="AI818" i="1"/>
  <c r="AC819" i="1"/>
  <c r="AD819" i="1"/>
  <c r="AE819" i="1"/>
  <c r="AF819" i="1"/>
  <c r="AG819" i="1"/>
  <c r="AH819" i="1"/>
  <c r="AI819" i="1"/>
  <c r="AC820" i="1"/>
  <c r="AD820" i="1"/>
  <c r="AE820" i="1"/>
  <c r="AF820" i="1"/>
  <c r="AG820" i="1"/>
  <c r="AH820" i="1"/>
  <c r="AI820" i="1"/>
  <c r="AC821" i="1"/>
  <c r="AD821" i="1"/>
  <c r="AE821" i="1"/>
  <c r="AF821" i="1"/>
  <c r="AG821" i="1"/>
  <c r="AH821" i="1"/>
  <c r="AI821" i="1"/>
  <c r="AC822" i="1"/>
  <c r="AD822" i="1"/>
  <c r="AE822" i="1"/>
  <c r="AF822" i="1"/>
  <c r="AG822" i="1"/>
  <c r="AH822" i="1"/>
  <c r="AI822" i="1"/>
  <c r="AC823" i="1"/>
  <c r="AD823" i="1"/>
  <c r="AE823" i="1"/>
  <c r="AF823" i="1"/>
  <c r="AG823" i="1"/>
  <c r="AH823" i="1"/>
  <c r="AI823" i="1"/>
  <c r="AC824" i="1"/>
  <c r="AD824" i="1"/>
  <c r="AE824" i="1"/>
  <c r="AF824" i="1"/>
  <c r="AG824" i="1"/>
  <c r="AH824" i="1"/>
  <c r="AI824" i="1"/>
  <c r="AC825" i="1"/>
  <c r="AD825" i="1"/>
  <c r="AE825" i="1"/>
  <c r="AF825" i="1"/>
  <c r="AG825" i="1"/>
  <c r="AH825" i="1"/>
  <c r="AI825" i="1"/>
  <c r="AC826" i="1"/>
  <c r="AD826" i="1"/>
  <c r="AE826" i="1"/>
  <c r="AF826" i="1"/>
  <c r="AG826" i="1"/>
  <c r="AH826" i="1"/>
  <c r="AI826" i="1"/>
  <c r="AC827" i="1"/>
  <c r="AD827" i="1"/>
  <c r="AE827" i="1"/>
  <c r="AF827" i="1"/>
  <c r="AG827" i="1"/>
  <c r="AH827" i="1"/>
  <c r="AI827" i="1"/>
  <c r="AC828" i="1"/>
  <c r="AD828" i="1"/>
  <c r="AE828" i="1"/>
  <c r="AF828" i="1"/>
  <c r="AG828" i="1"/>
  <c r="AH828" i="1"/>
  <c r="AI828" i="1"/>
  <c r="AC829" i="1"/>
  <c r="AD829" i="1"/>
  <c r="AE829" i="1"/>
  <c r="AF829" i="1"/>
  <c r="AG829" i="1"/>
  <c r="AH829" i="1"/>
  <c r="AI829" i="1"/>
  <c r="AC830" i="1"/>
  <c r="AD830" i="1"/>
  <c r="AE830" i="1"/>
  <c r="AF830" i="1"/>
  <c r="AG830" i="1"/>
  <c r="AH830" i="1"/>
  <c r="AI830" i="1"/>
  <c r="AC831" i="1"/>
  <c r="AD831" i="1"/>
  <c r="AE831" i="1"/>
  <c r="AF831" i="1"/>
  <c r="AG831" i="1"/>
  <c r="AH831" i="1"/>
  <c r="AI831" i="1"/>
  <c r="AC832" i="1"/>
  <c r="AD832" i="1"/>
  <c r="AE832" i="1"/>
  <c r="AF832" i="1"/>
  <c r="AG832" i="1"/>
  <c r="AH832" i="1"/>
  <c r="AI832" i="1"/>
  <c r="AC833" i="1"/>
  <c r="AD833" i="1"/>
  <c r="AE833" i="1"/>
  <c r="AF833" i="1"/>
  <c r="AG833" i="1"/>
  <c r="AH833" i="1"/>
  <c r="AI833" i="1"/>
  <c r="AC834" i="1"/>
  <c r="AD834" i="1"/>
  <c r="AE834" i="1"/>
  <c r="AF834" i="1"/>
  <c r="AG834" i="1"/>
  <c r="AH834" i="1"/>
  <c r="AI834" i="1"/>
  <c r="AC835" i="1"/>
  <c r="AD835" i="1"/>
  <c r="AE835" i="1"/>
  <c r="AF835" i="1"/>
  <c r="AG835" i="1"/>
  <c r="AH835" i="1"/>
  <c r="AI835" i="1"/>
  <c r="AC836" i="1"/>
  <c r="AD836" i="1"/>
  <c r="AE836" i="1"/>
  <c r="AF836" i="1"/>
  <c r="AG836" i="1"/>
  <c r="AH836" i="1"/>
  <c r="AI836" i="1"/>
  <c r="AC837" i="1"/>
  <c r="AD837" i="1"/>
  <c r="AE837" i="1"/>
  <c r="AF837" i="1"/>
  <c r="AG837" i="1"/>
  <c r="AH837" i="1"/>
  <c r="AI837" i="1"/>
  <c r="AC838" i="1"/>
  <c r="AD838" i="1"/>
  <c r="AE838" i="1"/>
  <c r="AF838" i="1"/>
  <c r="AG838" i="1"/>
  <c r="AH838" i="1"/>
  <c r="AI838" i="1"/>
  <c r="AC839" i="1"/>
  <c r="AD839" i="1"/>
  <c r="AE839" i="1"/>
  <c r="AF839" i="1"/>
  <c r="AG839" i="1"/>
  <c r="AH839" i="1"/>
  <c r="AI839" i="1"/>
  <c r="AC840" i="1"/>
  <c r="AD840" i="1"/>
  <c r="AE840" i="1"/>
  <c r="AF840" i="1"/>
  <c r="AG840" i="1"/>
  <c r="AH840" i="1"/>
  <c r="AI840" i="1"/>
  <c r="AC841" i="1"/>
  <c r="AD841" i="1"/>
  <c r="AE841" i="1"/>
  <c r="AF841" i="1"/>
  <c r="AG841" i="1"/>
  <c r="AH841" i="1"/>
  <c r="AI841" i="1"/>
  <c r="AC842" i="1"/>
  <c r="AD842" i="1"/>
  <c r="AE842" i="1"/>
  <c r="AF842" i="1"/>
  <c r="AG842" i="1"/>
  <c r="AH842" i="1"/>
  <c r="AI842" i="1"/>
  <c r="AC843" i="1"/>
  <c r="AD843" i="1"/>
  <c r="AE843" i="1"/>
  <c r="AF843" i="1"/>
  <c r="AG843" i="1"/>
  <c r="AH843" i="1"/>
  <c r="AI843" i="1"/>
  <c r="AC844" i="1"/>
  <c r="AD844" i="1"/>
  <c r="AE844" i="1"/>
  <c r="AF844" i="1"/>
  <c r="AG844" i="1"/>
  <c r="AH844" i="1"/>
  <c r="AI844" i="1"/>
  <c r="AC845" i="1"/>
  <c r="AD845" i="1"/>
  <c r="AE845" i="1"/>
  <c r="AF845" i="1"/>
  <c r="AG845" i="1"/>
  <c r="AH845" i="1"/>
  <c r="AI845" i="1"/>
  <c r="AC846" i="1"/>
  <c r="AD846" i="1"/>
  <c r="AE846" i="1"/>
  <c r="AF846" i="1"/>
  <c r="AG846" i="1"/>
  <c r="AH846" i="1"/>
  <c r="AI846" i="1"/>
  <c r="AC847" i="1"/>
  <c r="AD847" i="1"/>
  <c r="AE847" i="1"/>
  <c r="AF847" i="1"/>
  <c r="AG847" i="1"/>
  <c r="AH847" i="1"/>
  <c r="AI847" i="1"/>
  <c r="AC848" i="1"/>
  <c r="AD848" i="1"/>
  <c r="AE848" i="1"/>
  <c r="AF848" i="1"/>
  <c r="AG848" i="1"/>
  <c r="AH848" i="1"/>
  <c r="AI848" i="1"/>
  <c r="AC849" i="1"/>
  <c r="AD849" i="1"/>
  <c r="AE849" i="1"/>
  <c r="AF849" i="1"/>
  <c r="AG849" i="1"/>
  <c r="AH849" i="1"/>
  <c r="AI849" i="1"/>
  <c r="AC850" i="1"/>
  <c r="AD850" i="1"/>
  <c r="AE850" i="1"/>
  <c r="AF850" i="1"/>
  <c r="AG850" i="1"/>
  <c r="AH850" i="1"/>
  <c r="AI850" i="1"/>
  <c r="AC851" i="1"/>
  <c r="AD851" i="1"/>
  <c r="AE851" i="1"/>
  <c r="AF851" i="1"/>
  <c r="AG851" i="1"/>
  <c r="AH851" i="1"/>
  <c r="AI851" i="1"/>
  <c r="AC852" i="1"/>
  <c r="AD852" i="1"/>
  <c r="AE852" i="1"/>
  <c r="AF852" i="1"/>
  <c r="AG852" i="1"/>
  <c r="AH852" i="1"/>
  <c r="AI852" i="1"/>
  <c r="AC853" i="1"/>
  <c r="AD853" i="1"/>
  <c r="AE853" i="1"/>
  <c r="AF853" i="1"/>
  <c r="AG853" i="1"/>
  <c r="AH853" i="1"/>
  <c r="AI853" i="1"/>
  <c r="AC854" i="1"/>
  <c r="AD854" i="1"/>
  <c r="AE854" i="1"/>
  <c r="AF854" i="1"/>
  <c r="AG854" i="1"/>
  <c r="AH854" i="1"/>
  <c r="AI854" i="1"/>
  <c r="AC855" i="1"/>
  <c r="AD855" i="1"/>
  <c r="AE855" i="1"/>
  <c r="AF855" i="1"/>
  <c r="AG855" i="1"/>
  <c r="AH855" i="1"/>
  <c r="AI855" i="1"/>
  <c r="AC856" i="1"/>
  <c r="AD856" i="1"/>
  <c r="AE856" i="1"/>
  <c r="AF856" i="1"/>
  <c r="AG856" i="1"/>
  <c r="AH856" i="1"/>
  <c r="AI856" i="1"/>
  <c r="AC857" i="1"/>
  <c r="AD857" i="1"/>
  <c r="AE857" i="1"/>
  <c r="AF857" i="1"/>
  <c r="AG857" i="1"/>
  <c r="AH857" i="1"/>
  <c r="AI857" i="1"/>
  <c r="AC858" i="1"/>
  <c r="AD858" i="1"/>
  <c r="AE858" i="1"/>
  <c r="AF858" i="1"/>
  <c r="AG858" i="1"/>
  <c r="AH858" i="1"/>
  <c r="AI858" i="1"/>
  <c r="AC859" i="1"/>
  <c r="AD859" i="1"/>
  <c r="AE859" i="1"/>
  <c r="AF859" i="1"/>
  <c r="AG859" i="1"/>
  <c r="AH859" i="1"/>
  <c r="AI859" i="1"/>
  <c r="AC860" i="1"/>
  <c r="AD860" i="1"/>
  <c r="AE860" i="1"/>
  <c r="AF860" i="1"/>
  <c r="AG860" i="1"/>
  <c r="AH860" i="1"/>
  <c r="AI860" i="1"/>
  <c r="AC861" i="1"/>
  <c r="AD861" i="1"/>
  <c r="AE861" i="1"/>
  <c r="AF861" i="1"/>
  <c r="AG861" i="1"/>
  <c r="AH861" i="1"/>
  <c r="AI861" i="1"/>
  <c r="AC862" i="1"/>
  <c r="AD862" i="1"/>
  <c r="AE862" i="1"/>
  <c r="AF862" i="1"/>
  <c r="AG862" i="1"/>
  <c r="AH862" i="1"/>
  <c r="AI862" i="1"/>
  <c r="AC863" i="1"/>
  <c r="AD863" i="1"/>
  <c r="AE863" i="1"/>
  <c r="AF863" i="1"/>
  <c r="AG863" i="1"/>
  <c r="AH863" i="1"/>
  <c r="AI863" i="1"/>
  <c r="AC864" i="1"/>
  <c r="AD864" i="1"/>
  <c r="AE864" i="1"/>
  <c r="AF864" i="1"/>
  <c r="AG864" i="1"/>
  <c r="AH864" i="1"/>
  <c r="AI864" i="1"/>
  <c r="AC865" i="1"/>
  <c r="AD865" i="1"/>
  <c r="AE865" i="1"/>
  <c r="AF865" i="1"/>
  <c r="AG865" i="1"/>
  <c r="AH865" i="1"/>
  <c r="AI865" i="1"/>
  <c r="AC866" i="1"/>
  <c r="AD866" i="1"/>
  <c r="AE866" i="1"/>
  <c r="AF866" i="1"/>
  <c r="AG866" i="1"/>
  <c r="AH866" i="1"/>
  <c r="AI866" i="1"/>
  <c r="AC867" i="1"/>
  <c r="AD867" i="1"/>
  <c r="AE867" i="1"/>
  <c r="AF867" i="1"/>
  <c r="AG867" i="1"/>
  <c r="AH867" i="1"/>
  <c r="AI867" i="1"/>
  <c r="AC868" i="1"/>
  <c r="AD868" i="1"/>
  <c r="AE868" i="1"/>
  <c r="AF868" i="1"/>
  <c r="AG868" i="1"/>
  <c r="AH868" i="1"/>
  <c r="AI868" i="1"/>
  <c r="AC869" i="1"/>
  <c r="AD869" i="1"/>
  <c r="AE869" i="1"/>
  <c r="AF869" i="1"/>
  <c r="AG869" i="1"/>
  <c r="AH869" i="1"/>
  <c r="AI869" i="1"/>
  <c r="AC870" i="1"/>
  <c r="AD870" i="1"/>
  <c r="AE870" i="1"/>
  <c r="AF870" i="1"/>
  <c r="AG870" i="1"/>
  <c r="AH870" i="1"/>
  <c r="AI870" i="1"/>
  <c r="AC871" i="1"/>
  <c r="AD871" i="1"/>
  <c r="AE871" i="1"/>
  <c r="AF871" i="1"/>
  <c r="AG871" i="1"/>
  <c r="AH871" i="1"/>
  <c r="AI871" i="1"/>
  <c r="AC872" i="1"/>
  <c r="AD872" i="1"/>
  <c r="AE872" i="1"/>
  <c r="AF872" i="1"/>
  <c r="AG872" i="1"/>
  <c r="AH872" i="1"/>
  <c r="AI872" i="1"/>
  <c r="AC873" i="1"/>
  <c r="AD873" i="1"/>
  <c r="AE873" i="1"/>
  <c r="AF873" i="1"/>
  <c r="AG873" i="1"/>
  <c r="AH873" i="1"/>
  <c r="AI873" i="1"/>
  <c r="AC874" i="1"/>
  <c r="AD874" i="1"/>
  <c r="AE874" i="1"/>
  <c r="AF874" i="1"/>
  <c r="AG874" i="1"/>
  <c r="AH874" i="1"/>
  <c r="AI874" i="1"/>
  <c r="AC875" i="1"/>
  <c r="AD875" i="1"/>
  <c r="AE875" i="1"/>
  <c r="AF875" i="1"/>
  <c r="AG875" i="1"/>
  <c r="AH875" i="1"/>
  <c r="AI875" i="1"/>
  <c r="AC876" i="1"/>
  <c r="AD876" i="1"/>
  <c r="AE876" i="1"/>
  <c r="AF876" i="1"/>
  <c r="AG876" i="1"/>
  <c r="AH876" i="1"/>
  <c r="AI876" i="1"/>
  <c r="AC877" i="1"/>
  <c r="AD877" i="1"/>
  <c r="AE877" i="1"/>
  <c r="AF877" i="1"/>
  <c r="AG877" i="1"/>
  <c r="AH877" i="1"/>
  <c r="AI877" i="1"/>
  <c r="AC878" i="1"/>
  <c r="AD878" i="1"/>
  <c r="AE878" i="1"/>
  <c r="AF878" i="1"/>
  <c r="AG878" i="1"/>
  <c r="AH878" i="1"/>
  <c r="AI878" i="1"/>
  <c r="AC879" i="1"/>
  <c r="AD879" i="1"/>
  <c r="AE879" i="1"/>
  <c r="AF879" i="1"/>
  <c r="AG879" i="1"/>
  <c r="AH879" i="1"/>
  <c r="AI879" i="1"/>
  <c r="AC880" i="1"/>
  <c r="AD880" i="1"/>
  <c r="AE880" i="1"/>
  <c r="AF880" i="1"/>
  <c r="AG880" i="1"/>
  <c r="AH880" i="1"/>
  <c r="AI880" i="1"/>
  <c r="AC881" i="1"/>
  <c r="AD881" i="1"/>
  <c r="AE881" i="1"/>
  <c r="AF881" i="1"/>
  <c r="AG881" i="1"/>
  <c r="AH881" i="1"/>
  <c r="AI881" i="1"/>
  <c r="AC882" i="1"/>
  <c r="AD882" i="1"/>
  <c r="AE882" i="1"/>
  <c r="AF882" i="1"/>
  <c r="AG882" i="1"/>
  <c r="AH882" i="1"/>
  <c r="AI882" i="1"/>
  <c r="AC883" i="1"/>
  <c r="AD883" i="1"/>
  <c r="AE883" i="1"/>
  <c r="AF883" i="1"/>
  <c r="AG883" i="1"/>
  <c r="AH883" i="1"/>
  <c r="AI883" i="1"/>
  <c r="AC884" i="1"/>
  <c r="AD884" i="1"/>
  <c r="AE884" i="1"/>
  <c r="AF884" i="1"/>
  <c r="AG884" i="1"/>
  <c r="AH884" i="1"/>
  <c r="AI884" i="1"/>
  <c r="AC885" i="1"/>
  <c r="AD885" i="1"/>
  <c r="AE885" i="1"/>
  <c r="AF885" i="1"/>
  <c r="AG885" i="1"/>
  <c r="AH885" i="1"/>
  <c r="AI885" i="1"/>
  <c r="AC886" i="1"/>
  <c r="AD886" i="1"/>
  <c r="AE886" i="1"/>
  <c r="AF886" i="1"/>
  <c r="AG886" i="1"/>
  <c r="AH886" i="1"/>
  <c r="AI886" i="1"/>
  <c r="AC887" i="1"/>
  <c r="AD887" i="1"/>
  <c r="AE887" i="1"/>
  <c r="AF887" i="1"/>
  <c r="AG887" i="1"/>
  <c r="AH887" i="1"/>
  <c r="AI887" i="1"/>
  <c r="AC888" i="1"/>
  <c r="AD888" i="1"/>
  <c r="AE888" i="1"/>
  <c r="AF888" i="1"/>
  <c r="AG888" i="1"/>
  <c r="AH888" i="1"/>
  <c r="AI888" i="1"/>
  <c r="AC889" i="1"/>
  <c r="AD889" i="1"/>
  <c r="AE889" i="1"/>
  <c r="AF889" i="1"/>
  <c r="AG889" i="1"/>
  <c r="AH889" i="1"/>
  <c r="AI889" i="1"/>
  <c r="AC890" i="1"/>
  <c r="AD890" i="1"/>
  <c r="AE890" i="1"/>
  <c r="AF890" i="1"/>
  <c r="AG890" i="1"/>
  <c r="AH890" i="1"/>
  <c r="AI890" i="1"/>
  <c r="AC891" i="1"/>
  <c r="AD891" i="1"/>
  <c r="AE891" i="1"/>
  <c r="AF891" i="1"/>
  <c r="AG891" i="1"/>
  <c r="AH891" i="1"/>
  <c r="AI891" i="1"/>
  <c r="AC892" i="1"/>
  <c r="AD892" i="1"/>
  <c r="AE892" i="1"/>
  <c r="AF892" i="1"/>
  <c r="AG892" i="1"/>
  <c r="AH892" i="1"/>
  <c r="AI892" i="1"/>
  <c r="AC893" i="1"/>
  <c r="AD893" i="1"/>
  <c r="AE893" i="1"/>
  <c r="AF893" i="1"/>
  <c r="AG893" i="1"/>
  <c r="AH893" i="1"/>
  <c r="AI893" i="1"/>
  <c r="AC894" i="1"/>
  <c r="AD894" i="1"/>
  <c r="AE894" i="1"/>
  <c r="AF894" i="1"/>
  <c r="AG894" i="1"/>
  <c r="AH894" i="1"/>
  <c r="AI894" i="1"/>
  <c r="AC895" i="1"/>
  <c r="AD895" i="1"/>
  <c r="AE895" i="1"/>
  <c r="AF895" i="1"/>
  <c r="AG895" i="1"/>
  <c r="AH895" i="1"/>
  <c r="AI895" i="1"/>
  <c r="AC896" i="1"/>
  <c r="AD896" i="1"/>
  <c r="AE896" i="1"/>
  <c r="AF896" i="1"/>
  <c r="AG896" i="1"/>
  <c r="AH896" i="1"/>
  <c r="AI896" i="1"/>
  <c r="AC897" i="1"/>
  <c r="AD897" i="1"/>
  <c r="AE897" i="1"/>
  <c r="AF897" i="1"/>
  <c r="AG897" i="1"/>
  <c r="AH897" i="1"/>
  <c r="AI897" i="1"/>
  <c r="AC898" i="1"/>
  <c r="AD898" i="1"/>
  <c r="AE898" i="1"/>
  <c r="AF898" i="1"/>
  <c r="AG898" i="1"/>
  <c r="AH898" i="1"/>
  <c r="AI898" i="1"/>
  <c r="AC899" i="1"/>
  <c r="AD899" i="1"/>
  <c r="AE899" i="1"/>
  <c r="AF899" i="1"/>
  <c r="AG899" i="1"/>
  <c r="AH899" i="1"/>
  <c r="AI899" i="1"/>
  <c r="AC900" i="1"/>
  <c r="AD900" i="1"/>
  <c r="AE900" i="1"/>
  <c r="AF900" i="1"/>
  <c r="AG900" i="1"/>
  <c r="AH900" i="1"/>
  <c r="AI900" i="1"/>
  <c r="AC901" i="1"/>
  <c r="AD901" i="1"/>
  <c r="AE901" i="1"/>
  <c r="AF901" i="1"/>
  <c r="AG901" i="1"/>
  <c r="AH901" i="1"/>
  <c r="AI901" i="1"/>
  <c r="AC902" i="1"/>
  <c r="AD902" i="1"/>
  <c r="AE902" i="1"/>
  <c r="AF902" i="1"/>
  <c r="AG902" i="1"/>
  <c r="AH902" i="1"/>
  <c r="AI902" i="1"/>
  <c r="AC903" i="1"/>
  <c r="AD903" i="1"/>
  <c r="AE903" i="1"/>
  <c r="AF903" i="1"/>
  <c r="AG903" i="1"/>
  <c r="AH903" i="1"/>
  <c r="AI903" i="1"/>
  <c r="AC904" i="1"/>
  <c r="AD904" i="1"/>
  <c r="AE904" i="1"/>
  <c r="AF904" i="1"/>
  <c r="AG904" i="1"/>
  <c r="AH904" i="1"/>
  <c r="AI904" i="1"/>
  <c r="AC905" i="1"/>
  <c r="AD905" i="1"/>
  <c r="AE905" i="1"/>
  <c r="AF905" i="1"/>
  <c r="AG905" i="1"/>
  <c r="AH905" i="1"/>
  <c r="AI905" i="1"/>
  <c r="AC906" i="1"/>
  <c r="AD906" i="1"/>
  <c r="AE906" i="1"/>
  <c r="AF906" i="1"/>
  <c r="AG906" i="1"/>
  <c r="AH906" i="1"/>
  <c r="AI906" i="1"/>
  <c r="AC907" i="1"/>
  <c r="AD907" i="1"/>
  <c r="AE907" i="1"/>
  <c r="AF907" i="1"/>
  <c r="AG907" i="1"/>
  <c r="AH907" i="1"/>
  <c r="AI907" i="1"/>
  <c r="AC908" i="1"/>
  <c r="AD908" i="1"/>
  <c r="AE908" i="1"/>
  <c r="AF908" i="1"/>
  <c r="AG908" i="1"/>
  <c r="AH908" i="1"/>
  <c r="AI908" i="1"/>
  <c r="AC909" i="1"/>
  <c r="AD909" i="1"/>
  <c r="AE909" i="1"/>
  <c r="AF909" i="1"/>
  <c r="AG909" i="1"/>
  <c r="AH909" i="1"/>
  <c r="AI909" i="1"/>
  <c r="AC910" i="1"/>
  <c r="AD910" i="1"/>
  <c r="AE910" i="1"/>
  <c r="AF910" i="1"/>
  <c r="AG910" i="1"/>
  <c r="AH910" i="1"/>
  <c r="AI910" i="1"/>
  <c r="AC911" i="1"/>
  <c r="AD911" i="1"/>
  <c r="AE911" i="1"/>
  <c r="AF911" i="1"/>
  <c r="AG911" i="1"/>
  <c r="AH911" i="1"/>
  <c r="AI911" i="1"/>
  <c r="AC912" i="1"/>
  <c r="AD912" i="1"/>
  <c r="AE912" i="1"/>
  <c r="AF912" i="1"/>
  <c r="AG912" i="1"/>
  <c r="AH912" i="1"/>
  <c r="AI912" i="1"/>
  <c r="AC913" i="1"/>
  <c r="AD913" i="1"/>
  <c r="AE913" i="1"/>
  <c r="AF913" i="1"/>
  <c r="AG913" i="1"/>
  <c r="AH913" i="1"/>
  <c r="AI913" i="1"/>
  <c r="AC914" i="1"/>
  <c r="AD914" i="1"/>
  <c r="AE914" i="1"/>
  <c r="AF914" i="1"/>
  <c r="AG914" i="1"/>
  <c r="AH914" i="1"/>
  <c r="AI914" i="1"/>
  <c r="AC915" i="1"/>
  <c r="AD915" i="1"/>
  <c r="AE915" i="1"/>
  <c r="AF915" i="1"/>
  <c r="AG915" i="1"/>
  <c r="AH915" i="1"/>
  <c r="AI915" i="1"/>
  <c r="AC916" i="1"/>
  <c r="AD916" i="1"/>
  <c r="AE916" i="1"/>
  <c r="AF916" i="1"/>
  <c r="AG916" i="1"/>
  <c r="AH916" i="1"/>
  <c r="AI916" i="1"/>
  <c r="AC917" i="1"/>
  <c r="AD917" i="1"/>
  <c r="AE917" i="1"/>
  <c r="AF917" i="1"/>
  <c r="AG917" i="1"/>
  <c r="AH917" i="1"/>
  <c r="AI917" i="1"/>
  <c r="AC918" i="1"/>
  <c r="AD918" i="1"/>
  <c r="AE918" i="1"/>
  <c r="AF918" i="1"/>
  <c r="AG918" i="1"/>
  <c r="AH918" i="1"/>
  <c r="AI918" i="1"/>
  <c r="AC919" i="1"/>
  <c r="AD919" i="1"/>
  <c r="AE919" i="1"/>
  <c r="AF919" i="1"/>
  <c r="AG919" i="1"/>
  <c r="AH919" i="1"/>
  <c r="AI919" i="1"/>
  <c r="AC920" i="1"/>
  <c r="AD920" i="1"/>
  <c r="AE920" i="1"/>
  <c r="AF920" i="1"/>
  <c r="AG920" i="1"/>
  <c r="AH920" i="1"/>
  <c r="AI920" i="1"/>
  <c r="AC921" i="1"/>
  <c r="AD921" i="1"/>
  <c r="AE921" i="1"/>
  <c r="AF921" i="1"/>
  <c r="AG921" i="1"/>
  <c r="AH921" i="1"/>
  <c r="AI921" i="1"/>
  <c r="AC922" i="1"/>
  <c r="AD922" i="1"/>
  <c r="AE922" i="1"/>
  <c r="AF922" i="1"/>
  <c r="AG922" i="1"/>
  <c r="AH922" i="1"/>
  <c r="AI922" i="1"/>
  <c r="AC923" i="1"/>
  <c r="AD923" i="1"/>
  <c r="AE923" i="1"/>
  <c r="AF923" i="1"/>
  <c r="AG923" i="1"/>
  <c r="AH923" i="1"/>
  <c r="AI923" i="1"/>
  <c r="AC924" i="1"/>
  <c r="AD924" i="1"/>
  <c r="AE924" i="1"/>
  <c r="AF924" i="1"/>
  <c r="AG924" i="1"/>
  <c r="AH924" i="1"/>
  <c r="AI924" i="1"/>
  <c r="AC925" i="1"/>
  <c r="AD925" i="1"/>
  <c r="AE925" i="1"/>
  <c r="AF925" i="1"/>
  <c r="AG925" i="1"/>
  <c r="AH925" i="1"/>
  <c r="AI925" i="1"/>
  <c r="AC926" i="1"/>
  <c r="AD926" i="1"/>
  <c r="AE926" i="1"/>
  <c r="AF926" i="1"/>
  <c r="AG926" i="1"/>
  <c r="AH926" i="1"/>
  <c r="AI926" i="1"/>
  <c r="AC927" i="1"/>
  <c r="AD927" i="1"/>
  <c r="AE927" i="1"/>
  <c r="AF927" i="1"/>
  <c r="AG927" i="1"/>
  <c r="AH927" i="1"/>
  <c r="AI927" i="1"/>
  <c r="AC928" i="1"/>
  <c r="AD928" i="1"/>
  <c r="AE928" i="1"/>
  <c r="AF928" i="1"/>
  <c r="AG928" i="1"/>
  <c r="AH928" i="1"/>
  <c r="AI928" i="1"/>
  <c r="AC929" i="1"/>
  <c r="AD929" i="1"/>
  <c r="AE929" i="1"/>
  <c r="AF929" i="1"/>
  <c r="AG929" i="1"/>
  <c r="AH929" i="1"/>
  <c r="AI929" i="1"/>
  <c r="AC930" i="1"/>
  <c r="AD930" i="1"/>
  <c r="AE930" i="1"/>
  <c r="AF930" i="1"/>
  <c r="AG930" i="1"/>
  <c r="AH930" i="1"/>
  <c r="AI930" i="1"/>
  <c r="AC931" i="1"/>
  <c r="AD931" i="1"/>
  <c r="AE931" i="1"/>
  <c r="AF931" i="1"/>
  <c r="AG931" i="1"/>
  <c r="AH931" i="1"/>
  <c r="AI931" i="1"/>
  <c r="AC932" i="1"/>
  <c r="AD932" i="1"/>
  <c r="AE932" i="1"/>
  <c r="AF932" i="1"/>
  <c r="AG932" i="1"/>
  <c r="AH932" i="1"/>
  <c r="AI932" i="1"/>
  <c r="AC933" i="1"/>
  <c r="AD933" i="1"/>
  <c r="AE933" i="1"/>
  <c r="AF933" i="1"/>
  <c r="AG933" i="1"/>
  <c r="AH933" i="1"/>
  <c r="AI933" i="1"/>
  <c r="AC934" i="1"/>
  <c r="AD934" i="1"/>
  <c r="AE934" i="1"/>
  <c r="AF934" i="1"/>
  <c r="AG934" i="1"/>
  <c r="AH934" i="1"/>
  <c r="AI934" i="1"/>
  <c r="AC935" i="1"/>
  <c r="AD935" i="1"/>
  <c r="AE935" i="1"/>
  <c r="AF935" i="1"/>
  <c r="AG935" i="1"/>
  <c r="AH935" i="1"/>
  <c r="AI935" i="1"/>
  <c r="AC936" i="1"/>
  <c r="AD936" i="1"/>
  <c r="AE936" i="1"/>
  <c r="AF936" i="1"/>
  <c r="AG936" i="1"/>
  <c r="AH936" i="1"/>
  <c r="AI936" i="1"/>
  <c r="AC937" i="1"/>
  <c r="AD937" i="1"/>
  <c r="AE937" i="1"/>
  <c r="AF937" i="1"/>
  <c r="AG937" i="1"/>
  <c r="AH937" i="1"/>
  <c r="AI937" i="1"/>
  <c r="AC938" i="1"/>
  <c r="AD938" i="1"/>
  <c r="AE938" i="1"/>
  <c r="AF938" i="1"/>
  <c r="AG938" i="1"/>
  <c r="AH938" i="1"/>
  <c r="AI938" i="1"/>
  <c r="AC939" i="1"/>
  <c r="AD939" i="1"/>
  <c r="AE939" i="1"/>
  <c r="AF939" i="1"/>
  <c r="AG939" i="1"/>
  <c r="AH939" i="1"/>
  <c r="AI939" i="1"/>
  <c r="AC940" i="1"/>
  <c r="AD940" i="1"/>
  <c r="AE940" i="1"/>
  <c r="AF940" i="1"/>
  <c r="AG940" i="1"/>
  <c r="AH940" i="1"/>
  <c r="AI940" i="1"/>
  <c r="AC941" i="1"/>
  <c r="AD941" i="1"/>
  <c r="AE941" i="1"/>
  <c r="AF941" i="1"/>
  <c r="AG941" i="1"/>
  <c r="AH941" i="1"/>
  <c r="AI941" i="1"/>
  <c r="AC942" i="1"/>
  <c r="AD942" i="1"/>
  <c r="AE942" i="1"/>
  <c r="AF942" i="1"/>
  <c r="AG942" i="1"/>
  <c r="AH942" i="1"/>
  <c r="AI942" i="1"/>
  <c r="AC943" i="1"/>
  <c r="AD943" i="1"/>
  <c r="AE943" i="1"/>
  <c r="AF943" i="1"/>
  <c r="AG943" i="1"/>
  <c r="AH943" i="1"/>
  <c r="AI943" i="1"/>
  <c r="AC944" i="1"/>
  <c r="AD944" i="1"/>
  <c r="AE944" i="1"/>
  <c r="AF944" i="1"/>
  <c r="AG944" i="1"/>
  <c r="AH944" i="1"/>
  <c r="AI944" i="1"/>
  <c r="AC945" i="1"/>
  <c r="AD945" i="1"/>
  <c r="AE945" i="1"/>
  <c r="AF945" i="1"/>
  <c r="AG945" i="1"/>
  <c r="AH945" i="1"/>
  <c r="AI945" i="1"/>
  <c r="AC946" i="1"/>
  <c r="AD946" i="1"/>
  <c r="AE946" i="1"/>
  <c r="AF946" i="1"/>
  <c r="AG946" i="1"/>
  <c r="AH946" i="1"/>
  <c r="AI946" i="1"/>
  <c r="AC947" i="1"/>
  <c r="AD947" i="1"/>
  <c r="AE947" i="1"/>
  <c r="AF947" i="1"/>
  <c r="AG947" i="1"/>
  <c r="AH947" i="1"/>
  <c r="AI947" i="1"/>
  <c r="AC948" i="1"/>
  <c r="AD948" i="1"/>
  <c r="AE948" i="1"/>
  <c r="AF948" i="1"/>
  <c r="AG948" i="1"/>
  <c r="AH948" i="1"/>
  <c r="AI948" i="1"/>
  <c r="AC949" i="1"/>
  <c r="AD949" i="1"/>
  <c r="AE949" i="1"/>
  <c r="AF949" i="1"/>
  <c r="AG949" i="1"/>
  <c r="AH949" i="1"/>
  <c r="AI949" i="1"/>
  <c r="AC950" i="1"/>
  <c r="AD950" i="1"/>
  <c r="AE950" i="1"/>
  <c r="AF950" i="1"/>
  <c r="AG950" i="1"/>
  <c r="AH950" i="1"/>
  <c r="AI950" i="1"/>
  <c r="AC951" i="1"/>
  <c r="AD951" i="1"/>
  <c r="AE951" i="1"/>
  <c r="AF951" i="1"/>
  <c r="AG951" i="1"/>
  <c r="AH951" i="1"/>
  <c r="AI951" i="1"/>
  <c r="AC952" i="1"/>
  <c r="AD952" i="1"/>
  <c r="AE952" i="1"/>
  <c r="AF952" i="1"/>
  <c r="AG952" i="1"/>
  <c r="AH952" i="1"/>
  <c r="AI952" i="1"/>
  <c r="AC953" i="1"/>
  <c r="AD953" i="1"/>
  <c r="AE953" i="1"/>
  <c r="AF953" i="1"/>
  <c r="AG953" i="1"/>
  <c r="AH953" i="1"/>
  <c r="AI953" i="1"/>
  <c r="AC954" i="1"/>
  <c r="AD954" i="1"/>
  <c r="AE954" i="1"/>
  <c r="AF954" i="1"/>
  <c r="AG954" i="1"/>
  <c r="AH954" i="1"/>
  <c r="AI954" i="1"/>
  <c r="AC955" i="1"/>
  <c r="AD955" i="1"/>
  <c r="AE955" i="1"/>
  <c r="AF955" i="1"/>
  <c r="AG955" i="1"/>
  <c r="AH955" i="1"/>
  <c r="AI955" i="1"/>
  <c r="AC956" i="1"/>
  <c r="AD956" i="1"/>
  <c r="AE956" i="1"/>
  <c r="AF956" i="1"/>
  <c r="AG956" i="1"/>
  <c r="AH956" i="1"/>
  <c r="AI956" i="1"/>
  <c r="AC957" i="1"/>
  <c r="AD957" i="1"/>
  <c r="AE957" i="1"/>
  <c r="AF957" i="1"/>
  <c r="AG957" i="1"/>
  <c r="AH957" i="1"/>
  <c r="AI957" i="1"/>
  <c r="AC958" i="1"/>
  <c r="AD958" i="1"/>
  <c r="AE958" i="1"/>
  <c r="AF958" i="1"/>
  <c r="AG958" i="1"/>
  <c r="AH958" i="1"/>
  <c r="AI958" i="1"/>
  <c r="AC959" i="1"/>
  <c r="AD959" i="1"/>
  <c r="AE959" i="1"/>
  <c r="AF959" i="1"/>
  <c r="AG959" i="1"/>
  <c r="AH959" i="1"/>
  <c r="AI959" i="1"/>
  <c r="AC960" i="1"/>
  <c r="AD960" i="1"/>
  <c r="AE960" i="1"/>
  <c r="AF960" i="1"/>
  <c r="AG960" i="1"/>
  <c r="AH960" i="1"/>
  <c r="AI960" i="1"/>
  <c r="AC961" i="1"/>
  <c r="AD961" i="1"/>
  <c r="AE961" i="1"/>
  <c r="AF961" i="1"/>
  <c r="AG961" i="1"/>
  <c r="AH961" i="1"/>
  <c r="AI961" i="1"/>
  <c r="AC962" i="1"/>
  <c r="AD962" i="1"/>
  <c r="AE962" i="1"/>
  <c r="AF962" i="1"/>
  <c r="AG962" i="1"/>
  <c r="AH962" i="1"/>
  <c r="AI962" i="1"/>
  <c r="AC963" i="1"/>
  <c r="AD963" i="1"/>
  <c r="AE963" i="1"/>
  <c r="AF963" i="1"/>
  <c r="AG963" i="1"/>
  <c r="AH963" i="1"/>
  <c r="AI963" i="1"/>
  <c r="AC964" i="1"/>
  <c r="AD964" i="1"/>
  <c r="AE964" i="1"/>
  <c r="AF964" i="1"/>
  <c r="AG964" i="1"/>
  <c r="AH964" i="1"/>
  <c r="AI964" i="1"/>
  <c r="AC965" i="1"/>
  <c r="AD965" i="1"/>
  <c r="AE965" i="1"/>
  <c r="AF965" i="1"/>
  <c r="AG965" i="1"/>
  <c r="AH965" i="1"/>
  <c r="AI965" i="1"/>
  <c r="AC966" i="1"/>
  <c r="AD966" i="1"/>
  <c r="AE966" i="1"/>
  <c r="AF966" i="1"/>
  <c r="AG966" i="1"/>
  <c r="AH966" i="1"/>
  <c r="AI966" i="1"/>
  <c r="AC967" i="1"/>
  <c r="AD967" i="1"/>
  <c r="AE967" i="1"/>
  <c r="AF967" i="1"/>
  <c r="AG967" i="1"/>
  <c r="AH967" i="1"/>
  <c r="AI967" i="1"/>
  <c r="AC968" i="1"/>
  <c r="AD968" i="1"/>
  <c r="AE968" i="1"/>
  <c r="AF968" i="1"/>
  <c r="AG968" i="1"/>
  <c r="AH968" i="1"/>
  <c r="AI968" i="1"/>
  <c r="AC969" i="1"/>
  <c r="AD969" i="1"/>
  <c r="AE969" i="1"/>
  <c r="AF969" i="1"/>
  <c r="AG969" i="1"/>
  <c r="AH969" i="1"/>
  <c r="AI969" i="1"/>
  <c r="AC970" i="1"/>
  <c r="AD970" i="1"/>
  <c r="AE970" i="1"/>
  <c r="AF970" i="1"/>
  <c r="AG970" i="1"/>
  <c r="AH970" i="1"/>
  <c r="AI970" i="1"/>
  <c r="AC971" i="1"/>
  <c r="AD971" i="1"/>
  <c r="AE971" i="1"/>
  <c r="AF971" i="1"/>
  <c r="AG971" i="1"/>
  <c r="AH971" i="1"/>
  <c r="AI971" i="1"/>
  <c r="AC972" i="1"/>
  <c r="AD972" i="1"/>
  <c r="AE972" i="1"/>
  <c r="AF972" i="1"/>
  <c r="AG972" i="1"/>
  <c r="AH972" i="1"/>
  <c r="AI972" i="1"/>
  <c r="AC973" i="1"/>
  <c r="AD973" i="1"/>
  <c r="AE973" i="1"/>
  <c r="AF973" i="1"/>
  <c r="AG973" i="1"/>
  <c r="AH973" i="1"/>
  <c r="AI973" i="1"/>
  <c r="AC974" i="1"/>
  <c r="AD974" i="1"/>
  <c r="AE974" i="1"/>
  <c r="AF974" i="1"/>
  <c r="AG974" i="1"/>
  <c r="AH974" i="1"/>
  <c r="AI974" i="1"/>
  <c r="AC975" i="1"/>
  <c r="AD975" i="1"/>
  <c r="AE975" i="1"/>
  <c r="AF975" i="1"/>
  <c r="AG975" i="1"/>
  <c r="AH975" i="1"/>
  <c r="AI975" i="1"/>
  <c r="AC976" i="1"/>
  <c r="AD976" i="1"/>
  <c r="AE976" i="1"/>
  <c r="AF976" i="1"/>
  <c r="AG976" i="1"/>
  <c r="AH976" i="1"/>
  <c r="AI976" i="1"/>
  <c r="AC977" i="1"/>
  <c r="AD977" i="1"/>
  <c r="AE977" i="1"/>
  <c r="AF977" i="1"/>
  <c r="AG977" i="1"/>
  <c r="AH977" i="1"/>
  <c r="AI977" i="1"/>
  <c r="AC978" i="1"/>
  <c r="AD978" i="1"/>
  <c r="AE978" i="1"/>
  <c r="AF978" i="1"/>
  <c r="AG978" i="1"/>
  <c r="AH978" i="1"/>
  <c r="AI978" i="1"/>
  <c r="AC979" i="1"/>
  <c r="AD979" i="1"/>
  <c r="AE979" i="1"/>
  <c r="AF979" i="1"/>
  <c r="AG979" i="1"/>
  <c r="AH979" i="1"/>
  <c r="AI979" i="1"/>
  <c r="AC980" i="1"/>
  <c r="AD980" i="1"/>
  <c r="AE980" i="1"/>
  <c r="AF980" i="1"/>
  <c r="AG980" i="1"/>
  <c r="AH980" i="1"/>
  <c r="AI980" i="1"/>
  <c r="AC981" i="1"/>
  <c r="AD981" i="1"/>
  <c r="AE981" i="1"/>
  <c r="AF981" i="1"/>
  <c r="AG981" i="1"/>
  <c r="AH981" i="1"/>
  <c r="AI981" i="1"/>
  <c r="AC982" i="1"/>
  <c r="AD982" i="1"/>
  <c r="AE982" i="1"/>
  <c r="AF982" i="1"/>
  <c r="AG982" i="1"/>
  <c r="AH982" i="1"/>
  <c r="AI982" i="1"/>
  <c r="AC983" i="1"/>
  <c r="AD983" i="1"/>
  <c r="AE983" i="1"/>
  <c r="AF983" i="1"/>
  <c r="AG983" i="1"/>
  <c r="AH983" i="1"/>
  <c r="AI983" i="1"/>
  <c r="AC984" i="1"/>
  <c r="AD984" i="1"/>
  <c r="AE984" i="1"/>
  <c r="AF984" i="1"/>
  <c r="AG984" i="1"/>
  <c r="AH984" i="1"/>
  <c r="AI984" i="1"/>
  <c r="AC985" i="1"/>
  <c r="AD985" i="1"/>
  <c r="AE985" i="1"/>
  <c r="AF985" i="1"/>
  <c r="AG985" i="1"/>
  <c r="AH985" i="1"/>
  <c r="AI985" i="1"/>
  <c r="AC986" i="1"/>
  <c r="AD986" i="1"/>
  <c r="AE986" i="1"/>
  <c r="AF986" i="1"/>
  <c r="AG986" i="1"/>
  <c r="AH986" i="1"/>
  <c r="AI986" i="1"/>
  <c r="AC987" i="1"/>
  <c r="AD987" i="1"/>
  <c r="AE987" i="1"/>
  <c r="AF987" i="1"/>
  <c r="AG987" i="1"/>
  <c r="AH987" i="1"/>
  <c r="AI987" i="1"/>
  <c r="AC988" i="1"/>
  <c r="AD988" i="1"/>
  <c r="AE988" i="1"/>
  <c r="AF988" i="1"/>
  <c r="AG988" i="1"/>
  <c r="AH988" i="1"/>
  <c r="AI988" i="1"/>
  <c r="AC989" i="1"/>
  <c r="AD989" i="1"/>
  <c r="AE989" i="1"/>
  <c r="AF989" i="1"/>
  <c r="AG989" i="1"/>
  <c r="AH989" i="1"/>
  <c r="AI989" i="1"/>
  <c r="AC990" i="1"/>
  <c r="AD990" i="1"/>
  <c r="AE990" i="1"/>
  <c r="AF990" i="1"/>
  <c r="AG990" i="1"/>
  <c r="AH990" i="1"/>
  <c r="AI990" i="1"/>
  <c r="AC991" i="1"/>
  <c r="AD991" i="1"/>
  <c r="AE991" i="1"/>
  <c r="AF991" i="1"/>
  <c r="AG991" i="1"/>
  <c r="AH991" i="1"/>
  <c r="AI991" i="1"/>
  <c r="AC992" i="1"/>
  <c r="AD992" i="1"/>
  <c r="AE992" i="1"/>
  <c r="AF992" i="1"/>
  <c r="AG992" i="1"/>
  <c r="AH992" i="1"/>
  <c r="AI992" i="1"/>
  <c r="AC993" i="1"/>
  <c r="AD993" i="1"/>
  <c r="AE993" i="1"/>
  <c r="AF993" i="1"/>
  <c r="AG993" i="1"/>
  <c r="AH993" i="1"/>
  <c r="AI993" i="1"/>
  <c r="AC994" i="1"/>
  <c r="AD994" i="1"/>
  <c r="AE994" i="1"/>
  <c r="AF994" i="1"/>
  <c r="AG994" i="1"/>
  <c r="AH994" i="1"/>
  <c r="AI994" i="1"/>
  <c r="AC995" i="1"/>
  <c r="AD995" i="1"/>
  <c r="AE995" i="1"/>
  <c r="AF995" i="1"/>
  <c r="AG995" i="1"/>
  <c r="AH995" i="1"/>
  <c r="AI995" i="1"/>
  <c r="AC996" i="1"/>
  <c r="AD996" i="1"/>
  <c r="AE996" i="1"/>
  <c r="AF996" i="1"/>
  <c r="AG996" i="1"/>
  <c r="AH996" i="1"/>
  <c r="AI996" i="1"/>
  <c r="AC997" i="1"/>
  <c r="AD997" i="1"/>
  <c r="AE997" i="1"/>
  <c r="AF997" i="1"/>
  <c r="AG997" i="1"/>
  <c r="AH997" i="1"/>
  <c r="AI997" i="1"/>
  <c r="AC998" i="1"/>
  <c r="AD998" i="1"/>
  <c r="AE998" i="1"/>
  <c r="AF998" i="1"/>
  <c r="AG998" i="1"/>
  <c r="AH998" i="1"/>
  <c r="AI998" i="1"/>
  <c r="AC999" i="1"/>
  <c r="AD999" i="1"/>
  <c r="AE999" i="1"/>
  <c r="AF999" i="1"/>
  <c r="AG999" i="1"/>
  <c r="AH999" i="1"/>
  <c r="AI999" i="1"/>
  <c r="AC1000" i="1"/>
  <c r="AD1000" i="1"/>
  <c r="AE1000" i="1"/>
  <c r="AF1000" i="1"/>
  <c r="AG1000" i="1"/>
  <c r="AH1000" i="1"/>
  <c r="AI1000" i="1"/>
  <c r="AC1001" i="1"/>
  <c r="AD1001" i="1"/>
  <c r="AE1001" i="1"/>
  <c r="AF1001" i="1"/>
  <c r="AG1001" i="1"/>
  <c r="AH1001" i="1"/>
  <c r="AI1001" i="1"/>
  <c r="AC1002" i="1"/>
  <c r="AD1002" i="1"/>
  <c r="AE1002" i="1"/>
  <c r="AF1002" i="1"/>
  <c r="AG1002" i="1"/>
  <c r="AH1002" i="1"/>
  <c r="AI1002" i="1"/>
  <c r="AC1003" i="1"/>
  <c r="AD1003" i="1"/>
  <c r="AE1003" i="1"/>
  <c r="AF1003" i="1"/>
  <c r="AG1003" i="1"/>
  <c r="AH1003" i="1"/>
  <c r="AI1003" i="1"/>
  <c r="AC1004" i="1"/>
  <c r="AD1004" i="1"/>
  <c r="AE1004" i="1"/>
  <c r="AF1004" i="1"/>
  <c r="AG1004" i="1"/>
  <c r="AH1004" i="1"/>
  <c r="AI1004" i="1"/>
  <c r="AC1005" i="1"/>
  <c r="AD1005" i="1"/>
  <c r="AE1005" i="1"/>
  <c r="AF1005" i="1"/>
  <c r="AG1005" i="1"/>
  <c r="AH1005" i="1"/>
  <c r="AI1005" i="1"/>
  <c r="AC1006" i="1"/>
  <c r="AD1006" i="1"/>
  <c r="AE1006" i="1"/>
  <c r="AF1006" i="1"/>
  <c r="AG1006" i="1"/>
  <c r="AH1006" i="1"/>
  <c r="AI1006" i="1"/>
  <c r="AC1007" i="1"/>
  <c r="AD1007" i="1"/>
  <c r="AE1007" i="1"/>
  <c r="AF1007" i="1"/>
  <c r="AG1007" i="1"/>
  <c r="AH1007" i="1"/>
  <c r="AI1007" i="1"/>
  <c r="AC1008" i="1"/>
  <c r="AD1008" i="1"/>
  <c r="AE1008" i="1"/>
  <c r="AF1008" i="1"/>
  <c r="AG1008" i="1"/>
  <c r="AH1008" i="1"/>
  <c r="AI1008" i="1"/>
  <c r="AC1009" i="1"/>
  <c r="AD1009" i="1"/>
  <c r="AE1009" i="1"/>
  <c r="AF1009" i="1"/>
  <c r="AG1009" i="1"/>
  <c r="AH1009" i="1"/>
  <c r="AI1009" i="1"/>
  <c r="AC1010" i="1"/>
  <c r="AD1010" i="1"/>
  <c r="AE1010" i="1"/>
  <c r="AF1010" i="1"/>
  <c r="AG1010" i="1"/>
  <c r="AH1010" i="1"/>
  <c r="AI1010" i="1"/>
  <c r="AC1011" i="1"/>
  <c r="AD1011" i="1"/>
  <c r="AE1011" i="1"/>
  <c r="AF1011" i="1"/>
  <c r="AG1011" i="1"/>
  <c r="AH1011" i="1"/>
  <c r="AI1011" i="1"/>
  <c r="AC1012" i="1"/>
  <c r="AD1012" i="1"/>
  <c r="AE1012" i="1"/>
  <c r="AF1012" i="1"/>
  <c r="AG1012" i="1"/>
  <c r="AH1012" i="1"/>
  <c r="AI1012" i="1"/>
  <c r="AC1013" i="1"/>
  <c r="AD1013" i="1"/>
  <c r="AE1013" i="1"/>
  <c r="AF1013" i="1"/>
  <c r="AG1013" i="1"/>
  <c r="AH1013" i="1"/>
  <c r="AI1013" i="1"/>
  <c r="AC1014" i="1"/>
  <c r="AD1014" i="1"/>
  <c r="AE1014" i="1"/>
  <c r="AF1014" i="1"/>
  <c r="AG1014" i="1"/>
  <c r="AH1014" i="1"/>
  <c r="AI1014" i="1"/>
  <c r="AC1015" i="1"/>
  <c r="AD1015" i="1"/>
  <c r="AE1015" i="1"/>
  <c r="AF1015" i="1"/>
  <c r="AG1015" i="1"/>
  <c r="AH1015" i="1"/>
  <c r="AI1015" i="1"/>
  <c r="AC1016" i="1"/>
  <c r="AD1016" i="1"/>
  <c r="AE1016" i="1"/>
  <c r="AF1016" i="1"/>
  <c r="AG1016" i="1"/>
  <c r="AH1016" i="1"/>
  <c r="AI1016" i="1"/>
  <c r="AC1017" i="1"/>
  <c r="AD1017" i="1"/>
  <c r="AE1017" i="1"/>
  <c r="AF1017" i="1"/>
  <c r="AG1017" i="1"/>
  <c r="AH1017" i="1"/>
  <c r="AI1017" i="1"/>
  <c r="AC1018" i="1"/>
  <c r="AD1018" i="1"/>
  <c r="AE1018" i="1"/>
  <c r="AF1018" i="1"/>
  <c r="AG1018" i="1"/>
  <c r="AH1018" i="1"/>
  <c r="AI1018" i="1"/>
  <c r="AC1019" i="1"/>
  <c r="AD1019" i="1"/>
  <c r="AE1019" i="1"/>
  <c r="AF1019" i="1"/>
  <c r="AG1019" i="1"/>
  <c r="AH1019" i="1"/>
  <c r="AI1019" i="1"/>
  <c r="AC1020" i="1"/>
  <c r="AD1020" i="1"/>
  <c r="AE1020" i="1"/>
  <c r="AF1020" i="1"/>
  <c r="AG1020" i="1"/>
  <c r="AH1020" i="1"/>
  <c r="AI1020" i="1"/>
  <c r="AC1021" i="1"/>
  <c r="AD1021" i="1"/>
  <c r="AE1021" i="1"/>
  <c r="AF1021" i="1"/>
  <c r="AG1021" i="1"/>
  <c r="AH1021" i="1"/>
  <c r="AI1021" i="1"/>
  <c r="AC1022" i="1"/>
  <c r="AD1022" i="1"/>
  <c r="AE1022" i="1"/>
  <c r="AF1022" i="1"/>
  <c r="AG1022" i="1"/>
  <c r="AH1022" i="1"/>
  <c r="AI1022" i="1"/>
  <c r="AC1023" i="1"/>
  <c r="AD1023" i="1"/>
  <c r="AE1023" i="1"/>
  <c r="AF1023" i="1"/>
  <c r="AG1023" i="1"/>
  <c r="AH1023" i="1"/>
  <c r="AI1023" i="1"/>
  <c r="AC1024" i="1"/>
  <c r="AD1024" i="1"/>
  <c r="AE1024" i="1"/>
  <c r="AF1024" i="1"/>
  <c r="AG1024" i="1"/>
  <c r="AH1024" i="1"/>
  <c r="AI1024" i="1"/>
  <c r="AC1025" i="1"/>
  <c r="AD1025" i="1"/>
  <c r="AE1025" i="1"/>
  <c r="AF1025" i="1"/>
  <c r="AG1025" i="1"/>
  <c r="AH1025" i="1"/>
  <c r="AI1025" i="1"/>
  <c r="AC1026" i="1"/>
  <c r="AD1026" i="1"/>
  <c r="AE1026" i="1"/>
  <c r="AF1026" i="1"/>
  <c r="AG1026" i="1"/>
  <c r="AH1026" i="1"/>
  <c r="AI1026" i="1"/>
  <c r="AC1027" i="1"/>
  <c r="AD1027" i="1"/>
  <c r="AE1027" i="1"/>
  <c r="AF1027" i="1"/>
  <c r="AG1027" i="1"/>
  <c r="AH1027" i="1"/>
  <c r="AI1027" i="1"/>
  <c r="AC1028" i="1"/>
  <c r="AD1028" i="1"/>
  <c r="AE1028" i="1"/>
  <c r="AF1028" i="1"/>
  <c r="AG1028" i="1"/>
  <c r="AH1028" i="1"/>
  <c r="AI1028" i="1"/>
  <c r="AC1029" i="1"/>
  <c r="AD1029" i="1"/>
  <c r="AE1029" i="1"/>
  <c r="AF1029" i="1"/>
  <c r="AG1029" i="1"/>
  <c r="AH1029" i="1"/>
  <c r="AI1029" i="1"/>
  <c r="AC1030" i="1"/>
  <c r="AD1030" i="1"/>
  <c r="AE1030" i="1"/>
  <c r="AF1030" i="1"/>
  <c r="AG1030" i="1"/>
  <c r="AH1030" i="1"/>
  <c r="AI1030" i="1"/>
  <c r="AC1031" i="1"/>
  <c r="AD1031" i="1"/>
  <c r="AE1031" i="1"/>
  <c r="AF1031" i="1"/>
  <c r="AG1031" i="1"/>
  <c r="AH1031" i="1"/>
  <c r="AI1031" i="1"/>
  <c r="AC1032" i="1"/>
  <c r="AD1032" i="1"/>
  <c r="AE1032" i="1"/>
  <c r="AF1032" i="1"/>
  <c r="AG1032" i="1"/>
  <c r="AH1032" i="1"/>
  <c r="AI1032" i="1"/>
  <c r="AC1033" i="1"/>
  <c r="AD1033" i="1"/>
  <c r="AE1033" i="1"/>
  <c r="AF1033" i="1"/>
  <c r="AG1033" i="1"/>
  <c r="AH1033" i="1"/>
  <c r="AI1033" i="1"/>
  <c r="AC1034" i="1"/>
  <c r="AD1034" i="1"/>
  <c r="AE1034" i="1"/>
  <c r="AF1034" i="1"/>
  <c r="AG1034" i="1"/>
  <c r="AH1034" i="1"/>
  <c r="AI1034" i="1"/>
  <c r="AC1035" i="1"/>
  <c r="AD1035" i="1"/>
  <c r="AE1035" i="1"/>
  <c r="AF1035" i="1"/>
  <c r="AG1035" i="1"/>
  <c r="AH1035" i="1"/>
  <c r="AI1035" i="1"/>
  <c r="AC1036" i="1"/>
  <c r="AD1036" i="1"/>
  <c r="AE1036" i="1"/>
  <c r="AF1036" i="1"/>
  <c r="AG1036" i="1"/>
  <c r="AH1036" i="1"/>
  <c r="AI1036" i="1"/>
  <c r="AC1037" i="1"/>
  <c r="AD1037" i="1"/>
  <c r="AE1037" i="1"/>
  <c r="AF1037" i="1"/>
  <c r="AG1037" i="1"/>
  <c r="AH1037" i="1"/>
  <c r="AI1037" i="1"/>
  <c r="AC1038" i="1"/>
  <c r="AD1038" i="1"/>
  <c r="AE1038" i="1"/>
  <c r="AF1038" i="1"/>
  <c r="AG1038" i="1"/>
  <c r="AH1038" i="1"/>
  <c r="AI1038" i="1"/>
  <c r="AC1039" i="1"/>
  <c r="AD1039" i="1"/>
  <c r="AE1039" i="1"/>
  <c r="AF1039" i="1"/>
  <c r="AG1039" i="1"/>
  <c r="AH1039" i="1"/>
  <c r="AI1039" i="1"/>
  <c r="AC1040" i="1"/>
  <c r="AD1040" i="1"/>
  <c r="AE1040" i="1"/>
  <c r="AF1040" i="1"/>
  <c r="AG1040" i="1"/>
  <c r="AH1040" i="1"/>
  <c r="AI1040" i="1"/>
  <c r="AC1041" i="1"/>
  <c r="AD1041" i="1"/>
  <c r="AE1041" i="1"/>
  <c r="AF1041" i="1"/>
  <c r="AG1041" i="1"/>
  <c r="AH1041" i="1"/>
  <c r="AI1041" i="1"/>
  <c r="AC1042" i="1"/>
  <c r="AD1042" i="1"/>
  <c r="AE1042" i="1"/>
  <c r="AF1042" i="1"/>
  <c r="AG1042" i="1"/>
  <c r="AH1042" i="1"/>
  <c r="AI1042" i="1"/>
  <c r="AC1043" i="1"/>
  <c r="AD1043" i="1"/>
  <c r="AE1043" i="1"/>
  <c r="AF1043" i="1"/>
  <c r="AG1043" i="1"/>
  <c r="AH1043" i="1"/>
  <c r="AI1043" i="1"/>
  <c r="AC1044" i="1"/>
  <c r="AD1044" i="1"/>
  <c r="AE1044" i="1"/>
  <c r="AF1044" i="1"/>
  <c r="AG1044" i="1"/>
  <c r="AH1044" i="1"/>
  <c r="AI1044" i="1"/>
  <c r="AC1045" i="1"/>
  <c r="AD1045" i="1"/>
  <c r="AE1045" i="1"/>
  <c r="AF1045" i="1"/>
  <c r="AG1045" i="1"/>
  <c r="AH1045" i="1"/>
  <c r="AI1045" i="1"/>
  <c r="AC1046" i="1"/>
  <c r="AD1046" i="1"/>
  <c r="AE1046" i="1"/>
  <c r="AF1046" i="1"/>
  <c r="AG1046" i="1"/>
  <c r="AH1046" i="1"/>
  <c r="AI1046" i="1"/>
  <c r="AC1047" i="1"/>
  <c r="AD1047" i="1"/>
  <c r="AE1047" i="1"/>
  <c r="AF1047" i="1"/>
  <c r="AG1047" i="1"/>
  <c r="AH1047" i="1"/>
  <c r="AI1047" i="1"/>
  <c r="AC1048" i="1"/>
  <c r="AD1048" i="1"/>
  <c r="AE1048" i="1"/>
  <c r="AF1048" i="1"/>
  <c r="AG1048" i="1"/>
  <c r="AH1048" i="1"/>
  <c r="AI1048" i="1"/>
  <c r="AC1049" i="1"/>
  <c r="AD1049" i="1"/>
  <c r="AE1049" i="1"/>
  <c r="AF1049" i="1"/>
  <c r="AG1049" i="1"/>
  <c r="AH1049" i="1"/>
  <c r="AI1049" i="1"/>
  <c r="AC1050" i="1"/>
  <c r="AD1050" i="1"/>
  <c r="AE1050" i="1"/>
  <c r="AF1050" i="1"/>
  <c r="AG1050" i="1"/>
  <c r="AH1050" i="1"/>
  <c r="AI1050" i="1"/>
  <c r="AC1051" i="1"/>
  <c r="AD1051" i="1"/>
  <c r="AE1051" i="1"/>
  <c r="AF1051" i="1"/>
  <c r="AG1051" i="1"/>
  <c r="AH1051" i="1"/>
  <c r="AI1051" i="1"/>
  <c r="AC1052" i="1"/>
  <c r="AD1052" i="1"/>
  <c r="AE1052" i="1"/>
  <c r="AF1052" i="1"/>
  <c r="AG1052" i="1"/>
  <c r="AH1052" i="1"/>
  <c r="AI1052" i="1"/>
  <c r="AC1053" i="1"/>
  <c r="AD1053" i="1"/>
  <c r="AE1053" i="1"/>
  <c r="AF1053" i="1"/>
  <c r="AG1053" i="1"/>
  <c r="AH1053" i="1"/>
  <c r="AI1053" i="1"/>
  <c r="AC1054" i="1"/>
  <c r="AD1054" i="1"/>
  <c r="AE1054" i="1"/>
  <c r="AF1054" i="1"/>
  <c r="AG1054" i="1"/>
  <c r="AH1054" i="1"/>
  <c r="AI1054" i="1"/>
  <c r="AC1055" i="1"/>
  <c r="AD1055" i="1"/>
  <c r="AE1055" i="1"/>
  <c r="AF1055" i="1"/>
  <c r="AG1055" i="1"/>
  <c r="AH1055" i="1"/>
  <c r="AI1055" i="1"/>
  <c r="AC1056" i="1"/>
  <c r="AD1056" i="1"/>
  <c r="AE1056" i="1"/>
  <c r="AF1056" i="1"/>
  <c r="AG1056" i="1"/>
  <c r="AH1056" i="1"/>
  <c r="AI1056" i="1"/>
  <c r="AC1057" i="1"/>
  <c r="AD1057" i="1"/>
  <c r="AE1057" i="1"/>
  <c r="AF1057" i="1"/>
  <c r="AG1057" i="1"/>
  <c r="AH1057" i="1"/>
  <c r="AI1057" i="1"/>
  <c r="AC1058" i="1"/>
  <c r="AD1058" i="1"/>
  <c r="AE1058" i="1"/>
  <c r="AF1058" i="1"/>
  <c r="AG1058" i="1"/>
  <c r="AH1058" i="1"/>
  <c r="AI1058" i="1"/>
  <c r="AC1059" i="1"/>
  <c r="AD1059" i="1"/>
  <c r="AE1059" i="1"/>
  <c r="AF1059" i="1"/>
  <c r="AG1059" i="1"/>
  <c r="AH1059" i="1"/>
  <c r="AI1059" i="1"/>
  <c r="AC1060" i="1"/>
  <c r="AD1060" i="1"/>
  <c r="AE1060" i="1"/>
  <c r="AF1060" i="1"/>
  <c r="AG1060" i="1"/>
  <c r="AH1060" i="1"/>
  <c r="AI1060" i="1"/>
  <c r="AC1061" i="1"/>
  <c r="AD1061" i="1"/>
  <c r="AE1061" i="1"/>
  <c r="AF1061" i="1"/>
  <c r="AG1061" i="1"/>
  <c r="AH1061" i="1"/>
  <c r="AI1061" i="1"/>
  <c r="AC1062" i="1"/>
  <c r="AD1062" i="1"/>
  <c r="AE1062" i="1"/>
  <c r="AF1062" i="1"/>
  <c r="AG1062" i="1"/>
  <c r="AH1062" i="1"/>
  <c r="AI1062" i="1"/>
  <c r="AC1063" i="1"/>
  <c r="AD1063" i="1"/>
  <c r="AE1063" i="1"/>
  <c r="AF1063" i="1"/>
  <c r="AG1063" i="1"/>
  <c r="AH1063" i="1"/>
  <c r="AI1063" i="1"/>
  <c r="AC1064" i="1"/>
  <c r="AD1064" i="1"/>
  <c r="AE1064" i="1"/>
  <c r="AF1064" i="1"/>
  <c r="AG1064" i="1"/>
  <c r="AH1064" i="1"/>
  <c r="AI1064" i="1"/>
  <c r="AC1065" i="1"/>
  <c r="AD1065" i="1"/>
  <c r="AE1065" i="1"/>
  <c r="AF1065" i="1"/>
  <c r="AG1065" i="1"/>
  <c r="AH1065" i="1"/>
  <c r="AI1065" i="1"/>
  <c r="AC1066" i="1"/>
  <c r="AD1066" i="1"/>
  <c r="AE1066" i="1"/>
  <c r="AF1066" i="1"/>
  <c r="AG1066" i="1"/>
  <c r="AH1066" i="1"/>
  <c r="AI1066" i="1"/>
  <c r="AC1067" i="1"/>
  <c r="AD1067" i="1"/>
  <c r="AE1067" i="1"/>
  <c r="AF1067" i="1"/>
  <c r="AG1067" i="1"/>
  <c r="AH1067" i="1"/>
  <c r="AI1067" i="1"/>
  <c r="AC1068" i="1"/>
  <c r="AD1068" i="1"/>
  <c r="AE1068" i="1"/>
  <c r="AF1068" i="1"/>
  <c r="AG1068" i="1"/>
  <c r="AH1068" i="1"/>
  <c r="AI1068" i="1"/>
  <c r="AC1069" i="1"/>
  <c r="AD1069" i="1"/>
  <c r="AE1069" i="1"/>
  <c r="AF1069" i="1"/>
  <c r="AG1069" i="1"/>
  <c r="AH1069" i="1"/>
  <c r="AI1069" i="1"/>
  <c r="AC1070" i="1"/>
  <c r="AD1070" i="1"/>
  <c r="AE1070" i="1"/>
  <c r="AF1070" i="1"/>
  <c r="AG1070" i="1"/>
  <c r="AH1070" i="1"/>
  <c r="AI1070" i="1"/>
  <c r="AC1071" i="1"/>
  <c r="AD1071" i="1"/>
  <c r="AE1071" i="1"/>
  <c r="AF1071" i="1"/>
  <c r="AG1071" i="1"/>
  <c r="AH1071" i="1"/>
  <c r="AI1071" i="1"/>
  <c r="AC1072" i="1"/>
  <c r="AD1072" i="1"/>
  <c r="AE1072" i="1"/>
  <c r="AF1072" i="1"/>
  <c r="AG1072" i="1"/>
  <c r="AH1072" i="1"/>
  <c r="AI1072" i="1"/>
  <c r="AC1073" i="1"/>
  <c r="AD1073" i="1"/>
  <c r="AE1073" i="1"/>
  <c r="AF1073" i="1"/>
  <c r="AG1073" i="1"/>
  <c r="AH1073" i="1"/>
  <c r="AI1073" i="1"/>
  <c r="AC1074" i="1"/>
  <c r="AD1074" i="1"/>
  <c r="AE1074" i="1"/>
  <c r="AF1074" i="1"/>
  <c r="AG1074" i="1"/>
  <c r="AH1074" i="1"/>
  <c r="AI1074" i="1"/>
  <c r="AC1075" i="1"/>
  <c r="AD1075" i="1"/>
  <c r="AE1075" i="1"/>
  <c r="AF1075" i="1"/>
  <c r="AG1075" i="1"/>
  <c r="AH1075" i="1"/>
  <c r="AI1075" i="1"/>
  <c r="AC1076" i="1"/>
  <c r="AD1076" i="1"/>
  <c r="AE1076" i="1"/>
  <c r="AF1076" i="1"/>
  <c r="AG1076" i="1"/>
  <c r="AH1076" i="1"/>
  <c r="AI1076" i="1"/>
  <c r="AC1077" i="1"/>
  <c r="AD1077" i="1"/>
  <c r="AE1077" i="1"/>
  <c r="AF1077" i="1"/>
  <c r="AG1077" i="1"/>
  <c r="AH1077" i="1"/>
  <c r="AI1077" i="1"/>
  <c r="AC1078" i="1"/>
  <c r="AD1078" i="1"/>
  <c r="AE1078" i="1"/>
  <c r="AF1078" i="1"/>
  <c r="AG1078" i="1"/>
  <c r="AH1078" i="1"/>
  <c r="AI1078" i="1"/>
  <c r="AC1079" i="1"/>
  <c r="AD1079" i="1"/>
  <c r="AE1079" i="1"/>
  <c r="AF1079" i="1"/>
  <c r="AG1079" i="1"/>
  <c r="AH1079" i="1"/>
  <c r="AI1079" i="1"/>
  <c r="AC1080" i="1"/>
  <c r="AD1080" i="1"/>
  <c r="AE1080" i="1"/>
  <c r="AF1080" i="1"/>
  <c r="AG1080" i="1"/>
  <c r="AH1080" i="1"/>
  <c r="AI1080" i="1"/>
  <c r="AC1081" i="1"/>
  <c r="AD1081" i="1"/>
  <c r="AE1081" i="1"/>
  <c r="AF1081" i="1"/>
  <c r="AG1081" i="1"/>
  <c r="AH1081" i="1"/>
  <c r="AI1081" i="1"/>
  <c r="AC1082" i="1"/>
  <c r="AD1082" i="1"/>
  <c r="AE1082" i="1"/>
  <c r="AF1082" i="1"/>
  <c r="AG1082" i="1"/>
  <c r="AH1082" i="1"/>
  <c r="AI1082" i="1"/>
  <c r="AC1083" i="1"/>
  <c r="AD1083" i="1"/>
  <c r="AE1083" i="1"/>
  <c r="AF1083" i="1"/>
  <c r="AG1083" i="1"/>
  <c r="AH1083" i="1"/>
  <c r="AI1083" i="1"/>
  <c r="AC1084" i="1"/>
  <c r="AD1084" i="1"/>
  <c r="AE1084" i="1"/>
  <c r="AF1084" i="1"/>
  <c r="AG1084" i="1"/>
  <c r="AH1084" i="1"/>
  <c r="AI1084" i="1"/>
  <c r="AC1085" i="1"/>
  <c r="AD1085" i="1"/>
  <c r="AE1085" i="1"/>
  <c r="AF1085" i="1"/>
  <c r="AG1085" i="1"/>
  <c r="AH1085" i="1"/>
  <c r="AI1085" i="1"/>
  <c r="AC1086" i="1"/>
  <c r="AD1086" i="1"/>
  <c r="AE1086" i="1"/>
  <c r="AF1086" i="1"/>
  <c r="AG1086" i="1"/>
  <c r="AH1086" i="1"/>
  <c r="AI1086" i="1"/>
  <c r="AC1087" i="1"/>
  <c r="AD1087" i="1"/>
  <c r="AE1087" i="1"/>
  <c r="AF1087" i="1"/>
  <c r="AG1087" i="1"/>
  <c r="AH1087" i="1"/>
  <c r="AI1087" i="1"/>
  <c r="AC1088" i="1"/>
  <c r="AD1088" i="1"/>
  <c r="AE1088" i="1"/>
  <c r="AF1088" i="1"/>
  <c r="AG1088" i="1"/>
  <c r="AH1088" i="1"/>
  <c r="AI1088" i="1"/>
  <c r="AC1089" i="1"/>
  <c r="AD1089" i="1"/>
  <c r="AE1089" i="1"/>
  <c r="AF1089" i="1"/>
  <c r="AG1089" i="1"/>
  <c r="AH1089" i="1"/>
  <c r="AI1089" i="1"/>
  <c r="AC1090" i="1"/>
  <c r="AD1090" i="1"/>
  <c r="AE1090" i="1"/>
  <c r="AF1090" i="1"/>
  <c r="AG1090" i="1"/>
  <c r="AH1090" i="1"/>
  <c r="AI1090" i="1"/>
  <c r="AC1091" i="1"/>
  <c r="AD1091" i="1"/>
  <c r="AE1091" i="1"/>
  <c r="AF1091" i="1"/>
  <c r="AG1091" i="1"/>
  <c r="AH1091" i="1"/>
  <c r="AI1091" i="1"/>
  <c r="AC1092" i="1"/>
  <c r="AD1092" i="1"/>
  <c r="AE1092" i="1"/>
  <c r="AF1092" i="1"/>
  <c r="AG1092" i="1"/>
  <c r="AH1092" i="1"/>
  <c r="AI1092" i="1"/>
  <c r="AC1093" i="1"/>
  <c r="AD1093" i="1"/>
  <c r="AE1093" i="1"/>
  <c r="AF1093" i="1"/>
  <c r="AG1093" i="1"/>
  <c r="AH1093" i="1"/>
  <c r="AI1093" i="1"/>
  <c r="AC1094" i="1"/>
  <c r="AD1094" i="1"/>
  <c r="AE1094" i="1"/>
  <c r="AF1094" i="1"/>
  <c r="AG1094" i="1"/>
  <c r="AH1094" i="1"/>
  <c r="AI1094" i="1"/>
  <c r="AC1095" i="1"/>
  <c r="AD1095" i="1"/>
  <c r="AE1095" i="1"/>
  <c r="AF1095" i="1"/>
  <c r="AG1095" i="1"/>
  <c r="AH1095" i="1"/>
  <c r="AI1095" i="1"/>
  <c r="AC1096" i="1"/>
  <c r="AD1096" i="1"/>
  <c r="AE1096" i="1"/>
  <c r="AF1096" i="1"/>
  <c r="AG1096" i="1"/>
  <c r="AH1096" i="1"/>
  <c r="AI1096" i="1"/>
  <c r="AC1097" i="1"/>
  <c r="AD1097" i="1"/>
  <c r="AE1097" i="1"/>
  <c r="AF1097" i="1"/>
  <c r="AG1097" i="1"/>
  <c r="AH1097" i="1"/>
  <c r="AI1097" i="1"/>
  <c r="AC1098" i="1"/>
  <c r="AD1098" i="1"/>
  <c r="AE1098" i="1"/>
  <c r="AF1098" i="1"/>
  <c r="AG1098" i="1"/>
  <c r="AH1098" i="1"/>
  <c r="AI1098" i="1"/>
  <c r="AC1099" i="1"/>
  <c r="AD1099" i="1"/>
  <c r="AE1099" i="1"/>
  <c r="AF1099" i="1"/>
  <c r="AG1099" i="1"/>
  <c r="AH1099" i="1"/>
  <c r="AI1099" i="1"/>
  <c r="AC1100" i="1"/>
  <c r="AD1100" i="1"/>
  <c r="AE1100" i="1"/>
  <c r="AF1100" i="1"/>
  <c r="AG1100" i="1"/>
  <c r="AH1100" i="1"/>
  <c r="AI1100" i="1"/>
  <c r="AC1101" i="1"/>
  <c r="AD1101" i="1"/>
  <c r="AE1101" i="1"/>
  <c r="AF1101" i="1"/>
  <c r="AG1101" i="1"/>
  <c r="AH1101" i="1"/>
  <c r="AI1101" i="1"/>
  <c r="AC1102" i="1"/>
  <c r="AD1102" i="1"/>
  <c r="AE1102" i="1"/>
  <c r="AF1102" i="1"/>
  <c r="AG1102" i="1"/>
  <c r="AH1102" i="1"/>
  <c r="AI1102" i="1"/>
  <c r="AC1103" i="1"/>
  <c r="AD1103" i="1"/>
  <c r="AE1103" i="1"/>
  <c r="AF1103" i="1"/>
  <c r="AG1103" i="1"/>
  <c r="AH1103" i="1"/>
  <c r="AI1103" i="1"/>
  <c r="AC1104" i="1"/>
  <c r="AD1104" i="1"/>
  <c r="AE1104" i="1"/>
  <c r="AF1104" i="1"/>
  <c r="AG1104" i="1"/>
  <c r="AH1104" i="1"/>
  <c r="AI1104" i="1"/>
  <c r="AC1105" i="1"/>
  <c r="AD1105" i="1"/>
  <c r="AE1105" i="1"/>
  <c r="AF1105" i="1"/>
  <c r="AG1105" i="1"/>
  <c r="AH1105" i="1"/>
  <c r="AI1105" i="1"/>
  <c r="AC1106" i="1"/>
  <c r="AD1106" i="1"/>
  <c r="AE1106" i="1"/>
  <c r="AF1106" i="1"/>
  <c r="AG1106" i="1"/>
  <c r="AH1106" i="1"/>
  <c r="AI1106" i="1"/>
  <c r="AC1107" i="1"/>
  <c r="AD1107" i="1"/>
  <c r="AE1107" i="1"/>
  <c r="AF1107" i="1"/>
  <c r="AG1107" i="1"/>
  <c r="AH1107" i="1"/>
  <c r="AI1107" i="1"/>
  <c r="AC1108" i="1"/>
  <c r="AD1108" i="1"/>
  <c r="AE1108" i="1"/>
  <c r="AF1108" i="1"/>
  <c r="AG1108" i="1"/>
  <c r="AH1108" i="1"/>
  <c r="AI1108" i="1"/>
  <c r="AC1109" i="1"/>
  <c r="AD1109" i="1"/>
  <c r="AE1109" i="1"/>
  <c r="AF1109" i="1"/>
  <c r="AG1109" i="1"/>
  <c r="AH1109" i="1"/>
  <c r="AI1109" i="1"/>
  <c r="AC1110" i="1"/>
  <c r="AD1110" i="1"/>
  <c r="AE1110" i="1"/>
  <c r="AF1110" i="1"/>
  <c r="AG1110" i="1"/>
  <c r="AH1110" i="1"/>
  <c r="AI1110" i="1"/>
  <c r="AC1111" i="1"/>
  <c r="AD1111" i="1"/>
  <c r="AE1111" i="1"/>
  <c r="AF1111" i="1"/>
  <c r="AG1111" i="1"/>
  <c r="AH1111" i="1"/>
  <c r="AI1111" i="1"/>
  <c r="AC1112" i="1"/>
  <c r="AD1112" i="1"/>
  <c r="AE1112" i="1"/>
  <c r="AF1112" i="1"/>
  <c r="AG1112" i="1"/>
  <c r="AH1112" i="1"/>
  <c r="AI1112" i="1"/>
  <c r="AC1113" i="1"/>
  <c r="AD1113" i="1"/>
  <c r="AE1113" i="1"/>
  <c r="AF1113" i="1"/>
  <c r="AG1113" i="1"/>
  <c r="AH1113" i="1"/>
  <c r="AI1113" i="1"/>
  <c r="AC1114" i="1"/>
  <c r="AD1114" i="1"/>
  <c r="AE1114" i="1"/>
  <c r="AF1114" i="1"/>
  <c r="AG1114" i="1"/>
  <c r="AH1114" i="1"/>
  <c r="AI1114" i="1"/>
  <c r="AC1115" i="1"/>
  <c r="AD1115" i="1"/>
  <c r="AE1115" i="1"/>
  <c r="AF1115" i="1"/>
  <c r="AG1115" i="1"/>
  <c r="AH1115" i="1"/>
  <c r="AI1115" i="1"/>
  <c r="AC1116" i="1"/>
  <c r="AD1116" i="1"/>
  <c r="AE1116" i="1"/>
  <c r="AF1116" i="1"/>
  <c r="AG1116" i="1"/>
  <c r="AH1116" i="1"/>
  <c r="AI1116" i="1"/>
  <c r="AC1117" i="1"/>
  <c r="AD1117" i="1"/>
  <c r="AE1117" i="1"/>
  <c r="AF1117" i="1"/>
  <c r="AG1117" i="1"/>
  <c r="AH1117" i="1"/>
  <c r="AI1117" i="1"/>
  <c r="AC1118" i="1"/>
  <c r="AD1118" i="1"/>
  <c r="AE1118" i="1"/>
  <c r="AF1118" i="1"/>
  <c r="AG1118" i="1"/>
  <c r="AH1118" i="1"/>
  <c r="AI1118" i="1"/>
  <c r="AC1119" i="1"/>
  <c r="AD1119" i="1"/>
  <c r="AE1119" i="1"/>
  <c r="AF1119" i="1"/>
  <c r="AG1119" i="1"/>
  <c r="AH1119" i="1"/>
  <c r="AI1119" i="1"/>
  <c r="AC1120" i="1"/>
  <c r="AD1120" i="1"/>
  <c r="AE1120" i="1"/>
  <c r="AF1120" i="1"/>
  <c r="AG1120" i="1"/>
  <c r="AH1120" i="1"/>
  <c r="AI1120" i="1"/>
  <c r="AC1121" i="1"/>
  <c r="AD1121" i="1"/>
  <c r="AE1121" i="1"/>
  <c r="AF1121" i="1"/>
  <c r="AG1121" i="1"/>
  <c r="AH1121" i="1"/>
  <c r="AI1121" i="1"/>
  <c r="AC1122" i="1"/>
  <c r="AD1122" i="1"/>
  <c r="AE1122" i="1"/>
  <c r="AF1122" i="1"/>
  <c r="AG1122" i="1"/>
  <c r="AH1122" i="1"/>
  <c r="AI1122" i="1"/>
  <c r="AC1123" i="1"/>
  <c r="AD1123" i="1"/>
  <c r="AE1123" i="1"/>
  <c r="AF1123" i="1"/>
  <c r="AG1123" i="1"/>
  <c r="AH1123" i="1"/>
  <c r="AI1123" i="1"/>
  <c r="AC1124" i="1"/>
  <c r="AD1124" i="1"/>
  <c r="AE1124" i="1"/>
  <c r="AF1124" i="1"/>
  <c r="AG1124" i="1"/>
  <c r="AH1124" i="1"/>
  <c r="AI1124" i="1"/>
  <c r="AC1125" i="1"/>
  <c r="AD1125" i="1"/>
  <c r="AE1125" i="1"/>
  <c r="AF1125" i="1"/>
  <c r="AG1125" i="1"/>
  <c r="AH1125" i="1"/>
  <c r="AI1125" i="1"/>
  <c r="AC1126" i="1"/>
  <c r="AD1126" i="1"/>
  <c r="AE1126" i="1"/>
  <c r="AF1126" i="1"/>
  <c r="AG1126" i="1"/>
  <c r="AH1126" i="1"/>
  <c r="AI1126" i="1"/>
  <c r="AC1127" i="1"/>
  <c r="AD1127" i="1"/>
  <c r="AE1127" i="1"/>
  <c r="AF1127" i="1"/>
  <c r="AG1127" i="1"/>
  <c r="AH1127" i="1"/>
  <c r="AI1127" i="1"/>
  <c r="AC1128" i="1"/>
  <c r="AD1128" i="1"/>
  <c r="AE1128" i="1"/>
  <c r="AF1128" i="1"/>
  <c r="AG1128" i="1"/>
  <c r="AH1128" i="1"/>
  <c r="AI1128" i="1"/>
  <c r="AC1129" i="1"/>
  <c r="AD1129" i="1"/>
  <c r="AE1129" i="1"/>
  <c r="AF1129" i="1"/>
  <c r="AG1129" i="1"/>
  <c r="AH1129" i="1"/>
  <c r="AI1129" i="1"/>
  <c r="AC1130" i="1"/>
  <c r="AD1130" i="1"/>
  <c r="AE1130" i="1"/>
  <c r="AF1130" i="1"/>
  <c r="AG1130" i="1"/>
  <c r="AH1130" i="1"/>
  <c r="AI1130" i="1"/>
  <c r="AC1131" i="1"/>
  <c r="AD1131" i="1"/>
  <c r="AE1131" i="1"/>
  <c r="AF1131" i="1"/>
  <c r="AG1131" i="1"/>
  <c r="AH1131" i="1"/>
  <c r="AI1131" i="1"/>
  <c r="AC1132" i="1"/>
  <c r="AD1132" i="1"/>
  <c r="AE1132" i="1"/>
  <c r="AF1132" i="1"/>
  <c r="AG1132" i="1"/>
  <c r="AH1132" i="1"/>
  <c r="AI1132" i="1"/>
  <c r="AC1133" i="1"/>
  <c r="AD1133" i="1"/>
  <c r="AE1133" i="1"/>
  <c r="AF1133" i="1"/>
  <c r="AG1133" i="1"/>
  <c r="AH1133" i="1"/>
  <c r="AI1133" i="1"/>
  <c r="AC1134" i="1"/>
  <c r="AD1134" i="1"/>
  <c r="AE1134" i="1"/>
  <c r="AF1134" i="1"/>
  <c r="AG1134" i="1"/>
  <c r="AH1134" i="1"/>
  <c r="AI1134" i="1"/>
  <c r="AC1135" i="1"/>
  <c r="AD1135" i="1"/>
  <c r="AE1135" i="1"/>
  <c r="AF1135" i="1"/>
  <c r="AG1135" i="1"/>
  <c r="AH1135" i="1"/>
  <c r="AI1135" i="1"/>
  <c r="AC1136" i="1"/>
  <c r="AD1136" i="1"/>
  <c r="AE1136" i="1"/>
  <c r="AF1136" i="1"/>
  <c r="AG1136" i="1"/>
  <c r="AH1136" i="1"/>
  <c r="AI1136" i="1"/>
  <c r="AC1137" i="1"/>
  <c r="AD1137" i="1"/>
  <c r="AE1137" i="1"/>
  <c r="AF1137" i="1"/>
  <c r="AG1137" i="1"/>
  <c r="AH1137" i="1"/>
  <c r="AI1137" i="1"/>
  <c r="AC1138" i="1"/>
  <c r="AD1138" i="1"/>
  <c r="AE1138" i="1"/>
  <c r="AF1138" i="1"/>
  <c r="AG1138" i="1"/>
  <c r="AH1138" i="1"/>
  <c r="AI1138" i="1"/>
  <c r="AC1139" i="1"/>
  <c r="AD1139" i="1"/>
  <c r="AE1139" i="1"/>
  <c r="AF1139" i="1"/>
  <c r="AG1139" i="1"/>
  <c r="AH1139" i="1"/>
  <c r="AI1139" i="1"/>
  <c r="AC1140" i="1"/>
  <c r="AD1140" i="1"/>
  <c r="AE1140" i="1"/>
  <c r="AF1140" i="1"/>
  <c r="AG1140" i="1"/>
  <c r="AH1140" i="1"/>
  <c r="AI1140" i="1"/>
  <c r="AC1141" i="1"/>
  <c r="AD1141" i="1"/>
  <c r="AE1141" i="1"/>
  <c r="AF1141" i="1"/>
  <c r="AG1141" i="1"/>
  <c r="AH1141" i="1"/>
  <c r="AI1141" i="1"/>
  <c r="AC1142" i="1"/>
  <c r="AD1142" i="1"/>
  <c r="AE1142" i="1"/>
  <c r="AF1142" i="1"/>
  <c r="AG1142" i="1"/>
  <c r="AH1142" i="1"/>
  <c r="AI1142" i="1"/>
  <c r="AC1143" i="1"/>
  <c r="AD1143" i="1"/>
  <c r="AE1143" i="1"/>
  <c r="AF1143" i="1"/>
  <c r="AG1143" i="1"/>
  <c r="AH1143" i="1"/>
  <c r="AI1143" i="1"/>
  <c r="AC1144" i="1"/>
  <c r="AD1144" i="1"/>
  <c r="AE1144" i="1"/>
  <c r="AF1144" i="1"/>
  <c r="AG1144" i="1"/>
  <c r="AH1144" i="1"/>
  <c r="AI1144" i="1"/>
  <c r="AC1145" i="1"/>
  <c r="AD1145" i="1"/>
  <c r="AE1145" i="1"/>
  <c r="AF1145" i="1"/>
  <c r="AG1145" i="1"/>
  <c r="AH1145" i="1"/>
  <c r="AI1145" i="1"/>
  <c r="AC1146" i="1"/>
  <c r="AD1146" i="1"/>
  <c r="AE1146" i="1"/>
  <c r="AF1146" i="1"/>
  <c r="AG1146" i="1"/>
  <c r="AH1146" i="1"/>
  <c r="AI1146" i="1"/>
  <c r="AC1147" i="1"/>
  <c r="AD1147" i="1"/>
  <c r="AE1147" i="1"/>
  <c r="AF1147" i="1"/>
  <c r="AG1147" i="1"/>
  <c r="AH1147" i="1"/>
  <c r="AI1147" i="1"/>
  <c r="AC1148" i="1"/>
  <c r="AD1148" i="1"/>
  <c r="AE1148" i="1"/>
  <c r="AF1148" i="1"/>
  <c r="AG1148" i="1"/>
  <c r="AH1148" i="1"/>
  <c r="AI1148" i="1"/>
  <c r="AC1149" i="1"/>
  <c r="AD1149" i="1"/>
  <c r="AE1149" i="1"/>
  <c r="AF1149" i="1"/>
  <c r="AG1149" i="1"/>
  <c r="AH1149" i="1"/>
  <c r="AI1149" i="1"/>
  <c r="AC1150" i="1"/>
  <c r="AD1150" i="1"/>
  <c r="AE1150" i="1"/>
  <c r="AF1150" i="1"/>
  <c r="AG1150" i="1"/>
  <c r="AH1150" i="1"/>
  <c r="AI1150" i="1"/>
  <c r="AC1151" i="1"/>
  <c r="AD1151" i="1"/>
  <c r="AE1151" i="1"/>
  <c r="AF1151" i="1"/>
  <c r="AG1151" i="1"/>
  <c r="AH1151" i="1"/>
  <c r="AI1151" i="1"/>
  <c r="AC1152" i="1"/>
  <c r="AD1152" i="1"/>
  <c r="AE1152" i="1"/>
  <c r="AF1152" i="1"/>
  <c r="AG1152" i="1"/>
  <c r="AH1152" i="1"/>
  <c r="AI1152" i="1"/>
  <c r="AC1153" i="1"/>
  <c r="AD1153" i="1"/>
  <c r="AE1153" i="1"/>
  <c r="AF1153" i="1"/>
  <c r="AG1153" i="1"/>
  <c r="AH1153" i="1"/>
  <c r="AI1153" i="1"/>
  <c r="AC1154" i="1"/>
  <c r="AD1154" i="1"/>
  <c r="AE1154" i="1"/>
  <c r="AF1154" i="1"/>
  <c r="AG1154" i="1"/>
  <c r="AH1154" i="1"/>
  <c r="AI1154" i="1"/>
  <c r="AC1155" i="1"/>
  <c r="AD1155" i="1"/>
  <c r="AE1155" i="1"/>
  <c r="AF1155" i="1"/>
  <c r="AG1155" i="1"/>
  <c r="AH1155" i="1"/>
  <c r="AI1155" i="1"/>
  <c r="AC1156" i="1"/>
  <c r="AD1156" i="1"/>
  <c r="AE1156" i="1"/>
  <c r="AF1156" i="1"/>
  <c r="AG1156" i="1"/>
  <c r="AH1156" i="1"/>
  <c r="AI1156" i="1"/>
  <c r="AC1157" i="1"/>
  <c r="AD1157" i="1"/>
  <c r="AE1157" i="1"/>
  <c r="AF1157" i="1"/>
  <c r="AG1157" i="1"/>
  <c r="AH1157" i="1"/>
  <c r="AI1157" i="1"/>
  <c r="AC1158" i="1"/>
  <c r="AD1158" i="1"/>
  <c r="AE1158" i="1"/>
  <c r="AF1158" i="1"/>
  <c r="AG1158" i="1"/>
  <c r="AH1158" i="1"/>
  <c r="AI1158" i="1"/>
  <c r="AC1159" i="1"/>
  <c r="AD1159" i="1"/>
  <c r="AE1159" i="1"/>
  <c r="AF1159" i="1"/>
  <c r="AG1159" i="1"/>
  <c r="AH1159" i="1"/>
  <c r="AI1159" i="1"/>
  <c r="AC1160" i="1"/>
  <c r="AD1160" i="1"/>
  <c r="AE1160" i="1"/>
  <c r="AF1160" i="1"/>
  <c r="AG1160" i="1"/>
  <c r="AH1160" i="1"/>
  <c r="AI1160" i="1"/>
  <c r="AC1161" i="1"/>
  <c r="AD1161" i="1"/>
  <c r="AE1161" i="1"/>
  <c r="AF1161" i="1"/>
  <c r="AG1161" i="1"/>
  <c r="AH1161" i="1"/>
  <c r="AI1161" i="1"/>
  <c r="AC1162" i="1"/>
  <c r="AD1162" i="1"/>
  <c r="AE1162" i="1"/>
  <c r="AF1162" i="1"/>
  <c r="AG1162" i="1"/>
  <c r="AH1162" i="1"/>
  <c r="AI1162" i="1"/>
  <c r="AC1163" i="1"/>
  <c r="AD1163" i="1"/>
  <c r="AE1163" i="1"/>
  <c r="AF1163" i="1"/>
  <c r="AG1163" i="1"/>
  <c r="AH1163" i="1"/>
  <c r="AI1163" i="1"/>
  <c r="AC1164" i="1"/>
  <c r="AD1164" i="1"/>
  <c r="AE1164" i="1"/>
  <c r="AF1164" i="1"/>
  <c r="AG1164" i="1"/>
  <c r="AH1164" i="1"/>
  <c r="AI1164" i="1"/>
  <c r="AC1165" i="1"/>
  <c r="AD1165" i="1"/>
  <c r="AE1165" i="1"/>
  <c r="AF1165" i="1"/>
  <c r="AG1165" i="1"/>
  <c r="AH1165" i="1"/>
  <c r="AI1165" i="1"/>
  <c r="AC1166" i="1"/>
  <c r="AD1166" i="1"/>
  <c r="AE1166" i="1"/>
  <c r="AF1166" i="1"/>
  <c r="AG1166" i="1"/>
  <c r="AH1166" i="1"/>
  <c r="AI1166" i="1"/>
  <c r="AC1167" i="1"/>
  <c r="AD1167" i="1"/>
  <c r="AE1167" i="1"/>
  <c r="AF1167" i="1"/>
  <c r="AG1167" i="1"/>
  <c r="AH1167" i="1"/>
  <c r="AI1167" i="1"/>
  <c r="AC1168" i="1"/>
  <c r="AD1168" i="1"/>
  <c r="AE1168" i="1"/>
  <c r="AF1168" i="1"/>
  <c r="AG1168" i="1"/>
  <c r="AH1168" i="1"/>
  <c r="AI1168" i="1"/>
  <c r="AC1169" i="1"/>
  <c r="AD1169" i="1"/>
  <c r="AE1169" i="1"/>
  <c r="AF1169" i="1"/>
  <c r="AG1169" i="1"/>
  <c r="AH1169" i="1"/>
  <c r="AI1169" i="1"/>
  <c r="AC1170" i="1"/>
  <c r="AD1170" i="1"/>
  <c r="AE1170" i="1"/>
  <c r="AF1170" i="1"/>
  <c r="AG1170" i="1"/>
  <c r="AH1170" i="1"/>
  <c r="AI1170" i="1"/>
  <c r="AC1171" i="1"/>
  <c r="AD1171" i="1"/>
  <c r="AE1171" i="1"/>
  <c r="AF1171" i="1"/>
  <c r="AG1171" i="1"/>
  <c r="AH1171" i="1"/>
  <c r="AI1171" i="1"/>
  <c r="AC1172" i="1"/>
  <c r="AD1172" i="1"/>
  <c r="AE1172" i="1"/>
  <c r="AF1172" i="1"/>
  <c r="AG1172" i="1"/>
  <c r="AH1172" i="1"/>
  <c r="AI1172" i="1"/>
  <c r="AC1173" i="1"/>
  <c r="AD1173" i="1"/>
  <c r="AE1173" i="1"/>
  <c r="AF1173" i="1"/>
  <c r="AG1173" i="1"/>
  <c r="AH1173" i="1"/>
  <c r="AI1173" i="1"/>
  <c r="AC1174" i="1"/>
  <c r="AD1174" i="1"/>
  <c r="AE1174" i="1"/>
  <c r="AF1174" i="1"/>
  <c r="AG1174" i="1"/>
  <c r="AH1174" i="1"/>
  <c r="AI1174" i="1"/>
  <c r="AC1175" i="1"/>
  <c r="AD1175" i="1"/>
  <c r="AE1175" i="1"/>
  <c r="AF1175" i="1"/>
  <c r="AG1175" i="1"/>
  <c r="AH1175" i="1"/>
  <c r="AI1175" i="1"/>
  <c r="AC1176" i="1"/>
  <c r="AD1176" i="1"/>
  <c r="AE1176" i="1"/>
  <c r="AF1176" i="1"/>
  <c r="AG1176" i="1"/>
  <c r="AH1176" i="1"/>
  <c r="AI1176" i="1"/>
  <c r="AC1177" i="1"/>
  <c r="AD1177" i="1"/>
  <c r="AE1177" i="1"/>
  <c r="AF1177" i="1"/>
  <c r="AG1177" i="1"/>
  <c r="AH1177" i="1"/>
  <c r="AI1177" i="1"/>
  <c r="AC1178" i="1"/>
  <c r="AD1178" i="1"/>
  <c r="AE1178" i="1"/>
  <c r="AF1178" i="1"/>
  <c r="AG1178" i="1"/>
  <c r="AH1178" i="1"/>
  <c r="AI1178" i="1"/>
  <c r="AC1179" i="1"/>
  <c r="AD1179" i="1"/>
  <c r="AE1179" i="1"/>
  <c r="AF1179" i="1"/>
  <c r="AG1179" i="1"/>
  <c r="AH1179" i="1"/>
  <c r="AI1179" i="1"/>
  <c r="AC1180" i="1"/>
  <c r="AD1180" i="1"/>
  <c r="AE1180" i="1"/>
  <c r="AF1180" i="1"/>
  <c r="AG1180" i="1"/>
  <c r="AH1180" i="1"/>
  <c r="AI1180" i="1"/>
  <c r="AC1181" i="1"/>
  <c r="AD1181" i="1"/>
  <c r="AE1181" i="1"/>
  <c r="AF1181" i="1"/>
  <c r="AG1181" i="1"/>
  <c r="AH1181" i="1"/>
  <c r="AI1181" i="1"/>
  <c r="AC1182" i="1"/>
  <c r="AD1182" i="1"/>
  <c r="AE1182" i="1"/>
  <c r="AF1182" i="1"/>
  <c r="AG1182" i="1"/>
  <c r="AH1182" i="1"/>
  <c r="AI1182" i="1"/>
  <c r="AC1183" i="1"/>
  <c r="AD1183" i="1"/>
  <c r="AE1183" i="1"/>
  <c r="AF1183" i="1"/>
  <c r="AG1183" i="1"/>
  <c r="AH1183" i="1"/>
  <c r="AI1183" i="1"/>
  <c r="AC1184" i="1"/>
  <c r="AD1184" i="1"/>
  <c r="AE1184" i="1"/>
  <c r="AF1184" i="1"/>
  <c r="AG1184" i="1"/>
  <c r="AH1184" i="1"/>
  <c r="AI1184" i="1"/>
  <c r="AC1185" i="1"/>
  <c r="AD1185" i="1"/>
  <c r="AE1185" i="1"/>
  <c r="AF1185" i="1"/>
  <c r="AG1185" i="1"/>
  <c r="AH1185" i="1"/>
  <c r="AI1185" i="1"/>
  <c r="AC1186" i="1"/>
  <c r="AD1186" i="1"/>
  <c r="AE1186" i="1"/>
  <c r="AF1186" i="1"/>
  <c r="AG1186" i="1"/>
  <c r="AH1186" i="1"/>
  <c r="AI1186" i="1"/>
  <c r="AC1187" i="1"/>
  <c r="AD1187" i="1"/>
  <c r="AE1187" i="1"/>
  <c r="AF1187" i="1"/>
  <c r="AG1187" i="1"/>
  <c r="AH1187" i="1"/>
  <c r="AI1187" i="1"/>
  <c r="AC1188" i="1"/>
  <c r="AD1188" i="1"/>
  <c r="AE1188" i="1"/>
  <c r="AF1188" i="1"/>
  <c r="AG1188" i="1"/>
  <c r="AH1188" i="1"/>
  <c r="AI1188" i="1"/>
  <c r="AC1189" i="1"/>
  <c r="AD1189" i="1"/>
  <c r="AE1189" i="1"/>
  <c r="AF1189" i="1"/>
  <c r="AG1189" i="1"/>
  <c r="AH1189" i="1"/>
  <c r="AI1189" i="1"/>
  <c r="AC1190" i="1"/>
  <c r="AD1190" i="1"/>
  <c r="AE1190" i="1"/>
  <c r="AF1190" i="1"/>
  <c r="AG1190" i="1"/>
  <c r="AH1190" i="1"/>
  <c r="AI1190" i="1"/>
  <c r="AC1191" i="1"/>
  <c r="AD1191" i="1"/>
  <c r="AE1191" i="1"/>
  <c r="AF1191" i="1"/>
  <c r="AG1191" i="1"/>
  <c r="AH1191" i="1"/>
  <c r="AI1191" i="1"/>
  <c r="AC1192" i="1"/>
  <c r="AD1192" i="1"/>
  <c r="AE1192" i="1"/>
  <c r="AF1192" i="1"/>
  <c r="AG1192" i="1"/>
  <c r="AH1192" i="1"/>
  <c r="AI1192" i="1"/>
  <c r="AC1193" i="1"/>
  <c r="AD1193" i="1"/>
  <c r="AE1193" i="1"/>
  <c r="AF1193" i="1"/>
  <c r="AG1193" i="1"/>
  <c r="AH1193" i="1"/>
  <c r="AI1193" i="1"/>
  <c r="AC1194" i="1"/>
  <c r="AD1194" i="1"/>
  <c r="AE1194" i="1"/>
  <c r="AF1194" i="1"/>
  <c r="AG1194" i="1"/>
  <c r="AH1194" i="1"/>
  <c r="AI1194" i="1"/>
  <c r="AC1195" i="1"/>
  <c r="AD1195" i="1"/>
  <c r="AE1195" i="1"/>
  <c r="AF1195" i="1"/>
  <c r="AG1195" i="1"/>
  <c r="AH1195" i="1"/>
  <c r="AI1195" i="1"/>
  <c r="AC1196" i="1"/>
  <c r="AD1196" i="1"/>
  <c r="AE1196" i="1"/>
  <c r="AF1196" i="1"/>
  <c r="AG1196" i="1"/>
  <c r="AH1196" i="1"/>
  <c r="AI1196" i="1"/>
  <c r="AC1197" i="1"/>
  <c r="AD1197" i="1"/>
  <c r="AE1197" i="1"/>
  <c r="AF1197" i="1"/>
  <c r="AG1197" i="1"/>
  <c r="AH1197" i="1"/>
  <c r="AI1197" i="1"/>
  <c r="AC1198" i="1"/>
  <c r="AD1198" i="1"/>
  <c r="AE1198" i="1"/>
  <c r="AF1198" i="1"/>
  <c r="AG1198" i="1"/>
  <c r="AH1198" i="1"/>
  <c r="AI1198" i="1"/>
  <c r="AC1199" i="1"/>
  <c r="AD1199" i="1"/>
  <c r="AE1199" i="1"/>
  <c r="AF1199" i="1"/>
  <c r="AG1199" i="1"/>
  <c r="AH1199" i="1"/>
  <c r="AI1199" i="1"/>
  <c r="AC1200" i="1"/>
  <c r="AD1200" i="1"/>
  <c r="AE1200" i="1"/>
  <c r="AF1200" i="1"/>
  <c r="AG1200" i="1"/>
  <c r="AH1200" i="1"/>
  <c r="AI1200" i="1"/>
  <c r="AC1201" i="1"/>
  <c r="AD1201" i="1"/>
  <c r="AE1201" i="1"/>
  <c r="AF1201" i="1"/>
  <c r="AG1201" i="1"/>
  <c r="AH1201" i="1"/>
  <c r="AI1201" i="1"/>
  <c r="AC1202" i="1"/>
  <c r="AD1202" i="1"/>
  <c r="AE1202" i="1"/>
  <c r="AF1202" i="1"/>
  <c r="AG1202" i="1"/>
  <c r="AH1202" i="1"/>
  <c r="AI1202" i="1"/>
  <c r="AC1203" i="1"/>
  <c r="AD1203" i="1"/>
  <c r="AE1203" i="1"/>
  <c r="AF1203" i="1"/>
  <c r="AG1203" i="1"/>
  <c r="AH1203" i="1"/>
  <c r="AI1203" i="1"/>
  <c r="AC1204" i="1"/>
  <c r="AD1204" i="1"/>
  <c r="AE1204" i="1"/>
  <c r="AF1204" i="1"/>
  <c r="AG1204" i="1"/>
  <c r="AH1204" i="1"/>
  <c r="AI1204" i="1"/>
  <c r="AC1205" i="1"/>
  <c r="AD1205" i="1"/>
  <c r="AE1205" i="1"/>
  <c r="AF1205" i="1"/>
  <c r="AG1205" i="1"/>
  <c r="AH1205" i="1"/>
  <c r="AI1205" i="1"/>
  <c r="AC1206" i="1"/>
  <c r="AD1206" i="1"/>
  <c r="AE1206" i="1"/>
  <c r="AF1206" i="1"/>
  <c r="AG1206" i="1"/>
  <c r="AH1206" i="1"/>
  <c r="AI1206" i="1"/>
  <c r="AC1207" i="1"/>
  <c r="AD1207" i="1"/>
  <c r="AE1207" i="1"/>
  <c r="AF1207" i="1"/>
  <c r="AG1207" i="1"/>
  <c r="AH1207" i="1"/>
  <c r="AI1207" i="1"/>
  <c r="AC1208" i="1"/>
  <c r="AD1208" i="1"/>
  <c r="AE1208" i="1"/>
  <c r="AF1208" i="1"/>
  <c r="AG1208" i="1"/>
  <c r="AH1208" i="1"/>
  <c r="AI1208" i="1"/>
  <c r="AC1209" i="1"/>
  <c r="AD1209" i="1"/>
  <c r="AE1209" i="1"/>
  <c r="AF1209" i="1"/>
  <c r="AG1209" i="1"/>
  <c r="AH1209" i="1"/>
  <c r="AI1209" i="1"/>
  <c r="AC1210" i="1"/>
  <c r="AD1210" i="1"/>
  <c r="AE1210" i="1"/>
  <c r="AF1210" i="1"/>
  <c r="AG1210" i="1"/>
  <c r="AH1210" i="1"/>
  <c r="AI1210" i="1"/>
  <c r="AC1211" i="1"/>
  <c r="AD1211" i="1"/>
  <c r="AE1211" i="1"/>
  <c r="AF1211" i="1"/>
  <c r="AG1211" i="1"/>
  <c r="AH1211" i="1"/>
  <c r="AI1211" i="1"/>
  <c r="AC1212" i="1"/>
  <c r="AD1212" i="1"/>
  <c r="AE1212" i="1"/>
  <c r="AF1212" i="1"/>
  <c r="AG1212" i="1"/>
  <c r="AH1212" i="1"/>
  <c r="AI1212" i="1"/>
  <c r="AC1213" i="1"/>
  <c r="AD1213" i="1"/>
  <c r="AE1213" i="1"/>
  <c r="AF1213" i="1"/>
  <c r="AG1213" i="1"/>
  <c r="AH1213" i="1"/>
  <c r="AI1213" i="1"/>
  <c r="AC1214" i="1"/>
  <c r="AD1214" i="1"/>
  <c r="AE1214" i="1"/>
  <c r="AF1214" i="1"/>
  <c r="AG1214" i="1"/>
  <c r="AH1214" i="1"/>
  <c r="AI1214" i="1"/>
  <c r="AC1215" i="1"/>
  <c r="AD1215" i="1"/>
  <c r="AE1215" i="1"/>
  <c r="AF1215" i="1"/>
  <c r="AG1215" i="1"/>
  <c r="AH1215" i="1"/>
  <c r="AI1215" i="1"/>
  <c r="AC1216" i="1"/>
  <c r="AD1216" i="1"/>
  <c r="AE1216" i="1"/>
  <c r="AF1216" i="1"/>
  <c r="AG1216" i="1"/>
  <c r="AH1216" i="1"/>
  <c r="AI1216" i="1"/>
  <c r="AC1217" i="1"/>
  <c r="AD1217" i="1"/>
  <c r="AE1217" i="1"/>
  <c r="AF1217" i="1"/>
  <c r="AG1217" i="1"/>
  <c r="AH1217" i="1"/>
  <c r="AI1217" i="1"/>
  <c r="AC1218" i="1"/>
  <c r="AD1218" i="1"/>
  <c r="AE1218" i="1"/>
  <c r="AF1218" i="1"/>
  <c r="AG1218" i="1"/>
  <c r="AH1218" i="1"/>
  <c r="AI1218" i="1"/>
  <c r="AC1219" i="1"/>
  <c r="AD1219" i="1"/>
  <c r="AE1219" i="1"/>
  <c r="AF1219" i="1"/>
  <c r="AG1219" i="1"/>
  <c r="AH1219" i="1"/>
  <c r="AI1219" i="1"/>
  <c r="AC1220" i="1"/>
  <c r="AD1220" i="1"/>
  <c r="AE1220" i="1"/>
  <c r="AF1220" i="1"/>
  <c r="AG1220" i="1"/>
  <c r="AH1220" i="1"/>
  <c r="AI1220" i="1"/>
  <c r="AC1221" i="1"/>
  <c r="AD1221" i="1"/>
  <c r="AE1221" i="1"/>
  <c r="AF1221" i="1"/>
  <c r="AG1221" i="1"/>
  <c r="AH1221" i="1"/>
  <c r="AI1221" i="1"/>
  <c r="AC1222" i="1"/>
  <c r="AD1222" i="1"/>
  <c r="AE1222" i="1"/>
  <c r="AF1222" i="1"/>
  <c r="AG1222" i="1"/>
  <c r="AH1222" i="1"/>
  <c r="AI1222" i="1"/>
  <c r="AC1223" i="1"/>
  <c r="AD1223" i="1"/>
  <c r="AE1223" i="1"/>
  <c r="AF1223" i="1"/>
  <c r="AG1223" i="1"/>
  <c r="AH1223" i="1"/>
  <c r="AI1223" i="1"/>
  <c r="AC1224" i="1"/>
  <c r="AD1224" i="1"/>
  <c r="AE1224" i="1"/>
  <c r="AF1224" i="1"/>
  <c r="AG1224" i="1"/>
  <c r="AH1224" i="1"/>
  <c r="AI1224" i="1"/>
  <c r="AC1225" i="1"/>
  <c r="AD1225" i="1"/>
  <c r="AE1225" i="1"/>
  <c r="AF1225" i="1"/>
  <c r="AG1225" i="1"/>
  <c r="AH1225" i="1"/>
  <c r="AI1225" i="1"/>
  <c r="AC1226" i="1"/>
  <c r="AD1226" i="1"/>
  <c r="AE1226" i="1"/>
  <c r="AF1226" i="1"/>
  <c r="AG1226" i="1"/>
  <c r="AH1226" i="1"/>
  <c r="AI1226" i="1"/>
  <c r="AC1227" i="1"/>
  <c r="AD1227" i="1"/>
  <c r="AE1227" i="1"/>
  <c r="AF1227" i="1"/>
  <c r="AG1227" i="1"/>
  <c r="AH1227" i="1"/>
  <c r="AI1227" i="1"/>
  <c r="AC1228" i="1"/>
  <c r="AD1228" i="1"/>
  <c r="AE1228" i="1"/>
  <c r="AF1228" i="1"/>
  <c r="AG1228" i="1"/>
  <c r="AH1228" i="1"/>
  <c r="AI1228" i="1"/>
  <c r="AC1229" i="1"/>
  <c r="AD1229" i="1"/>
  <c r="AE1229" i="1"/>
  <c r="AF1229" i="1"/>
  <c r="AG1229" i="1"/>
  <c r="AH1229" i="1"/>
  <c r="AI1229" i="1"/>
  <c r="AC1230" i="1"/>
  <c r="AD1230" i="1"/>
  <c r="AE1230" i="1"/>
  <c r="AF1230" i="1"/>
  <c r="AG1230" i="1"/>
  <c r="AH1230" i="1"/>
  <c r="AI1230" i="1"/>
  <c r="AC1231" i="1"/>
  <c r="AD1231" i="1"/>
  <c r="AE1231" i="1"/>
  <c r="AF1231" i="1"/>
  <c r="AG1231" i="1"/>
  <c r="AH1231" i="1"/>
  <c r="AI1231" i="1"/>
  <c r="AC1232" i="1"/>
  <c r="AD1232" i="1"/>
  <c r="AE1232" i="1"/>
  <c r="AF1232" i="1"/>
  <c r="AG1232" i="1"/>
  <c r="AH1232" i="1"/>
  <c r="AI1232" i="1"/>
  <c r="AC1233" i="1"/>
  <c r="AD1233" i="1"/>
  <c r="AE1233" i="1"/>
  <c r="AF1233" i="1"/>
  <c r="AG1233" i="1"/>
  <c r="AH1233" i="1"/>
  <c r="AI1233" i="1"/>
  <c r="AC1234" i="1"/>
  <c r="AD1234" i="1"/>
  <c r="AE1234" i="1"/>
  <c r="AF1234" i="1"/>
  <c r="AG1234" i="1"/>
  <c r="AH1234" i="1"/>
  <c r="AI1234" i="1"/>
  <c r="AC1235" i="1"/>
  <c r="AD1235" i="1"/>
  <c r="AE1235" i="1"/>
  <c r="AF1235" i="1"/>
  <c r="AG1235" i="1"/>
  <c r="AH1235" i="1"/>
  <c r="AI1235" i="1"/>
  <c r="AC1236" i="1"/>
  <c r="AD1236" i="1"/>
  <c r="AE1236" i="1"/>
  <c r="AF1236" i="1"/>
  <c r="AG1236" i="1"/>
  <c r="AH1236" i="1"/>
  <c r="AI1236" i="1"/>
  <c r="AC1237" i="1"/>
  <c r="AD1237" i="1"/>
  <c r="AE1237" i="1"/>
  <c r="AF1237" i="1"/>
  <c r="AG1237" i="1"/>
  <c r="AH1237" i="1"/>
  <c r="AI1237" i="1"/>
  <c r="AC1238" i="1"/>
  <c r="AD1238" i="1"/>
  <c r="AE1238" i="1"/>
  <c r="AF1238" i="1"/>
  <c r="AG1238" i="1"/>
  <c r="AH1238" i="1"/>
  <c r="AI1238" i="1"/>
  <c r="AC1239" i="1"/>
  <c r="AD1239" i="1"/>
  <c r="AE1239" i="1"/>
  <c r="AF1239" i="1"/>
  <c r="AG1239" i="1"/>
  <c r="AH1239" i="1"/>
  <c r="AI1239" i="1"/>
  <c r="AC1240" i="1"/>
  <c r="AD1240" i="1"/>
  <c r="AE1240" i="1"/>
  <c r="AF1240" i="1"/>
  <c r="AG1240" i="1"/>
  <c r="AH1240" i="1"/>
  <c r="AI1240" i="1"/>
  <c r="AC1241" i="1"/>
  <c r="AD1241" i="1"/>
  <c r="AE1241" i="1"/>
  <c r="AF1241" i="1"/>
  <c r="AG1241" i="1"/>
  <c r="AH1241" i="1"/>
  <c r="AI1241" i="1"/>
  <c r="AC1242" i="1"/>
  <c r="AD1242" i="1"/>
  <c r="AE1242" i="1"/>
  <c r="AF1242" i="1"/>
  <c r="AG1242" i="1"/>
  <c r="AH1242" i="1"/>
  <c r="AI1242" i="1"/>
  <c r="AC1243" i="1"/>
  <c r="AD1243" i="1"/>
  <c r="AE1243" i="1"/>
  <c r="AF1243" i="1"/>
  <c r="AG1243" i="1"/>
  <c r="AH1243" i="1"/>
  <c r="AI1243" i="1"/>
  <c r="AC1244" i="1"/>
  <c r="AD1244" i="1"/>
  <c r="AE1244" i="1"/>
  <c r="AF1244" i="1"/>
  <c r="AG1244" i="1"/>
  <c r="AH1244" i="1"/>
  <c r="AI1244" i="1"/>
  <c r="AC1245" i="1"/>
  <c r="AD1245" i="1"/>
  <c r="AE1245" i="1"/>
  <c r="AF1245" i="1"/>
  <c r="AG1245" i="1"/>
  <c r="AH1245" i="1"/>
  <c r="AI1245" i="1"/>
  <c r="AC1246" i="1"/>
  <c r="AD1246" i="1"/>
  <c r="AE1246" i="1"/>
  <c r="AF1246" i="1"/>
  <c r="AG1246" i="1"/>
  <c r="AH1246" i="1"/>
  <c r="AI1246" i="1"/>
  <c r="AC1247" i="1"/>
  <c r="AD1247" i="1"/>
  <c r="AE1247" i="1"/>
  <c r="AF1247" i="1"/>
  <c r="AG1247" i="1"/>
  <c r="AH1247" i="1"/>
  <c r="AI1247" i="1"/>
  <c r="AC1248" i="1"/>
  <c r="AD1248" i="1"/>
  <c r="AE1248" i="1"/>
  <c r="AF1248" i="1"/>
  <c r="AG1248" i="1"/>
  <c r="AH1248" i="1"/>
  <c r="AI1248" i="1"/>
  <c r="AC1249" i="1"/>
  <c r="AD1249" i="1"/>
  <c r="AE1249" i="1"/>
  <c r="AF1249" i="1"/>
  <c r="AG1249" i="1"/>
  <c r="AH1249" i="1"/>
  <c r="AI1249" i="1"/>
  <c r="AC1250" i="1"/>
  <c r="AD1250" i="1"/>
  <c r="AE1250" i="1"/>
  <c r="AF1250" i="1"/>
  <c r="AG1250" i="1"/>
  <c r="AH1250" i="1"/>
  <c r="AI1250" i="1"/>
  <c r="AC1251" i="1"/>
  <c r="AD1251" i="1"/>
  <c r="AE1251" i="1"/>
  <c r="AF1251" i="1"/>
  <c r="AG1251" i="1"/>
  <c r="AH1251" i="1"/>
  <c r="AI1251" i="1"/>
  <c r="AC1252" i="1"/>
  <c r="AD1252" i="1"/>
  <c r="AE1252" i="1"/>
  <c r="AF1252" i="1"/>
  <c r="AG1252" i="1"/>
  <c r="AH1252" i="1"/>
  <c r="AI1252" i="1"/>
  <c r="AC1253" i="1"/>
  <c r="AD1253" i="1"/>
  <c r="AE1253" i="1"/>
  <c r="AF1253" i="1"/>
  <c r="AG1253" i="1"/>
  <c r="AH1253" i="1"/>
  <c r="AI1253" i="1"/>
  <c r="AC1254" i="1"/>
  <c r="AD1254" i="1"/>
  <c r="AE1254" i="1"/>
  <c r="AF1254" i="1"/>
  <c r="AG1254" i="1"/>
  <c r="AH1254" i="1"/>
  <c r="AI1254" i="1"/>
  <c r="AC1255" i="1"/>
  <c r="AD1255" i="1"/>
  <c r="AE1255" i="1"/>
  <c r="AF1255" i="1"/>
  <c r="AG1255" i="1"/>
  <c r="AH1255" i="1"/>
  <c r="AI1255" i="1"/>
  <c r="AC1256" i="1"/>
  <c r="AD1256" i="1"/>
  <c r="AE1256" i="1"/>
  <c r="AF1256" i="1"/>
  <c r="AG1256" i="1"/>
  <c r="AH1256" i="1"/>
  <c r="AI1256" i="1"/>
  <c r="AC1257" i="1"/>
  <c r="AD1257" i="1"/>
  <c r="AE1257" i="1"/>
  <c r="AF1257" i="1"/>
  <c r="AG1257" i="1"/>
  <c r="AH1257" i="1"/>
  <c r="AI1257" i="1"/>
  <c r="AC1258" i="1"/>
  <c r="AD1258" i="1"/>
  <c r="AE1258" i="1"/>
  <c r="AF1258" i="1"/>
  <c r="AG1258" i="1"/>
  <c r="AH1258" i="1"/>
  <c r="AI1258" i="1"/>
  <c r="AC1259" i="1"/>
  <c r="AD1259" i="1"/>
  <c r="AE1259" i="1"/>
  <c r="AF1259" i="1"/>
  <c r="AG1259" i="1"/>
  <c r="AH1259" i="1"/>
  <c r="AI1259" i="1"/>
  <c r="AC1260" i="1"/>
  <c r="AD1260" i="1"/>
  <c r="AE1260" i="1"/>
  <c r="AF1260" i="1"/>
  <c r="AG1260" i="1"/>
  <c r="AH1260" i="1"/>
  <c r="AI1260" i="1"/>
  <c r="AC1261" i="1"/>
  <c r="AD1261" i="1"/>
  <c r="AE1261" i="1"/>
  <c r="AF1261" i="1"/>
  <c r="AG1261" i="1"/>
  <c r="AH1261" i="1"/>
  <c r="AI1261" i="1"/>
  <c r="AC1262" i="1"/>
  <c r="AD1262" i="1"/>
  <c r="AE1262" i="1"/>
  <c r="AF1262" i="1"/>
  <c r="AG1262" i="1"/>
  <c r="AH1262" i="1"/>
  <c r="AI1262" i="1"/>
  <c r="AC1263" i="1"/>
  <c r="AD1263" i="1"/>
  <c r="AE1263" i="1"/>
  <c r="AF1263" i="1"/>
  <c r="AG1263" i="1"/>
  <c r="AH1263" i="1"/>
  <c r="AI1263" i="1"/>
  <c r="AC1264" i="1"/>
  <c r="AD1264" i="1"/>
  <c r="AE1264" i="1"/>
  <c r="AF1264" i="1"/>
  <c r="AG1264" i="1"/>
  <c r="AH1264" i="1"/>
  <c r="AI1264" i="1"/>
  <c r="AC1265" i="1"/>
  <c r="AD1265" i="1"/>
  <c r="AE1265" i="1"/>
  <c r="AF1265" i="1"/>
  <c r="AG1265" i="1"/>
  <c r="AH1265" i="1"/>
  <c r="AI1265" i="1"/>
  <c r="AC1266" i="1"/>
  <c r="AD1266" i="1"/>
  <c r="AE1266" i="1"/>
  <c r="AF1266" i="1"/>
  <c r="AG1266" i="1"/>
  <c r="AH1266" i="1"/>
  <c r="AI1266" i="1"/>
  <c r="AC1267" i="1"/>
  <c r="AD1267" i="1"/>
  <c r="AE1267" i="1"/>
  <c r="AF1267" i="1"/>
  <c r="AG1267" i="1"/>
  <c r="AH1267" i="1"/>
  <c r="AI1267" i="1"/>
  <c r="AC1268" i="1"/>
  <c r="AD1268" i="1"/>
  <c r="AE1268" i="1"/>
  <c r="AF1268" i="1"/>
  <c r="AG1268" i="1"/>
  <c r="AH1268" i="1"/>
  <c r="AI1268" i="1"/>
  <c r="AC1269" i="1"/>
  <c r="AD1269" i="1"/>
  <c r="AE1269" i="1"/>
  <c r="AF1269" i="1"/>
  <c r="AG1269" i="1"/>
  <c r="AH1269" i="1"/>
  <c r="AI1269" i="1"/>
  <c r="AC1270" i="1"/>
  <c r="AD1270" i="1"/>
  <c r="AE1270" i="1"/>
  <c r="AF1270" i="1"/>
  <c r="AG1270" i="1"/>
  <c r="AH1270" i="1"/>
  <c r="AI1270" i="1"/>
  <c r="AC1271" i="1"/>
  <c r="AD1271" i="1"/>
  <c r="AE1271" i="1"/>
  <c r="AF1271" i="1"/>
  <c r="AG1271" i="1"/>
  <c r="AH1271" i="1"/>
  <c r="AI1271" i="1"/>
  <c r="AC1272" i="1"/>
  <c r="AD1272" i="1"/>
  <c r="AE1272" i="1"/>
  <c r="AF1272" i="1"/>
  <c r="AG1272" i="1"/>
  <c r="AH1272" i="1"/>
  <c r="AI1272" i="1"/>
  <c r="AC1273" i="1"/>
  <c r="AD1273" i="1"/>
  <c r="AE1273" i="1"/>
  <c r="AF1273" i="1"/>
  <c r="AG1273" i="1"/>
  <c r="AH1273" i="1"/>
  <c r="AI1273" i="1"/>
  <c r="AC1274" i="1"/>
  <c r="AD1274" i="1"/>
  <c r="AE1274" i="1"/>
  <c r="AF1274" i="1"/>
  <c r="AG1274" i="1"/>
  <c r="AH1274" i="1"/>
  <c r="AI1274" i="1"/>
  <c r="AC1275" i="1"/>
  <c r="AD1275" i="1"/>
  <c r="AE1275" i="1"/>
  <c r="AF1275" i="1"/>
  <c r="AG1275" i="1"/>
  <c r="AH1275" i="1"/>
  <c r="AI1275" i="1"/>
  <c r="AC1276" i="1"/>
  <c r="AD1276" i="1"/>
  <c r="AE1276" i="1"/>
  <c r="AF1276" i="1"/>
  <c r="AG1276" i="1"/>
  <c r="AH1276" i="1"/>
  <c r="AI1276" i="1"/>
  <c r="AC1277" i="1"/>
  <c r="AD1277" i="1"/>
  <c r="AE1277" i="1"/>
  <c r="AF1277" i="1"/>
  <c r="AG1277" i="1"/>
  <c r="AH1277" i="1"/>
  <c r="AI1277" i="1"/>
  <c r="AC1278" i="1"/>
  <c r="AD1278" i="1"/>
  <c r="AE1278" i="1"/>
  <c r="AF1278" i="1"/>
  <c r="AG1278" i="1"/>
  <c r="AH1278" i="1"/>
  <c r="AI1278" i="1"/>
  <c r="AC1279" i="1"/>
  <c r="AD1279" i="1"/>
  <c r="AE1279" i="1"/>
  <c r="AF1279" i="1"/>
  <c r="AG1279" i="1"/>
  <c r="AH1279" i="1"/>
  <c r="AI1279" i="1"/>
  <c r="AC1280" i="1"/>
  <c r="AD1280" i="1"/>
  <c r="AE1280" i="1"/>
  <c r="AF1280" i="1"/>
  <c r="AG1280" i="1"/>
  <c r="AH1280" i="1"/>
  <c r="AI1280" i="1"/>
  <c r="AC1281" i="1"/>
  <c r="AD1281" i="1"/>
  <c r="AE1281" i="1"/>
  <c r="AF1281" i="1"/>
  <c r="AG1281" i="1"/>
  <c r="AH1281" i="1"/>
  <c r="AI1281" i="1"/>
  <c r="AC1282" i="1"/>
  <c r="AD1282" i="1"/>
  <c r="AE1282" i="1"/>
  <c r="AF1282" i="1"/>
  <c r="AG1282" i="1"/>
  <c r="AH1282" i="1"/>
  <c r="AI1282" i="1"/>
  <c r="AC1283" i="1"/>
  <c r="AD1283" i="1"/>
  <c r="AE1283" i="1"/>
  <c r="AF1283" i="1"/>
  <c r="AG1283" i="1"/>
  <c r="AH1283" i="1"/>
  <c r="AI1283" i="1"/>
  <c r="AC1284" i="1"/>
  <c r="AD1284" i="1"/>
  <c r="AE1284" i="1"/>
  <c r="AF1284" i="1"/>
  <c r="AG1284" i="1"/>
  <c r="AH1284" i="1"/>
  <c r="AI1284" i="1"/>
  <c r="AC1285" i="1"/>
  <c r="AD1285" i="1"/>
  <c r="AE1285" i="1"/>
  <c r="AF1285" i="1"/>
  <c r="AG1285" i="1"/>
  <c r="AH1285" i="1"/>
  <c r="AI1285" i="1"/>
  <c r="AC1286" i="1"/>
  <c r="AD1286" i="1"/>
  <c r="AE1286" i="1"/>
  <c r="AF1286" i="1"/>
  <c r="AG1286" i="1"/>
  <c r="AH1286" i="1"/>
  <c r="AI1286" i="1"/>
  <c r="AC1287" i="1"/>
  <c r="AD1287" i="1"/>
  <c r="AE1287" i="1"/>
  <c r="AF1287" i="1"/>
  <c r="AG1287" i="1"/>
  <c r="AH1287" i="1"/>
  <c r="AI1287" i="1"/>
  <c r="AC1288" i="1"/>
  <c r="AD1288" i="1"/>
  <c r="AE1288" i="1"/>
  <c r="AF1288" i="1"/>
  <c r="AG1288" i="1"/>
  <c r="AH1288" i="1"/>
  <c r="AI1288" i="1"/>
  <c r="AC1289" i="1"/>
  <c r="AD1289" i="1"/>
  <c r="AE1289" i="1"/>
  <c r="AF1289" i="1"/>
  <c r="AG1289" i="1"/>
  <c r="AH1289" i="1"/>
  <c r="AI1289" i="1"/>
  <c r="AC1290" i="1"/>
  <c r="AD1290" i="1"/>
  <c r="AE1290" i="1"/>
  <c r="AF1290" i="1"/>
  <c r="AG1290" i="1"/>
  <c r="AH1290" i="1"/>
  <c r="AI1290" i="1"/>
  <c r="AC1291" i="1"/>
  <c r="AD1291" i="1"/>
  <c r="AE1291" i="1"/>
  <c r="AF1291" i="1"/>
  <c r="AG1291" i="1"/>
  <c r="AH1291" i="1"/>
  <c r="AI1291" i="1"/>
  <c r="AC1292" i="1"/>
  <c r="AD1292" i="1"/>
  <c r="AE1292" i="1"/>
  <c r="AF1292" i="1"/>
  <c r="AG1292" i="1"/>
  <c r="AH1292" i="1"/>
  <c r="AI1292" i="1"/>
  <c r="AC1293" i="1"/>
  <c r="AD1293" i="1"/>
  <c r="AE1293" i="1"/>
  <c r="AF1293" i="1"/>
  <c r="AG1293" i="1"/>
  <c r="AH1293" i="1"/>
  <c r="AI1293" i="1"/>
  <c r="AC1294" i="1"/>
  <c r="AD1294" i="1"/>
  <c r="AE1294" i="1"/>
  <c r="AF1294" i="1"/>
  <c r="AG1294" i="1"/>
  <c r="AH1294" i="1"/>
  <c r="AI1294" i="1"/>
  <c r="AC1295" i="1"/>
  <c r="AD1295" i="1"/>
  <c r="AE1295" i="1"/>
  <c r="AF1295" i="1"/>
  <c r="AG1295" i="1"/>
  <c r="AH1295" i="1"/>
  <c r="AI1295" i="1"/>
  <c r="AC1296" i="1"/>
  <c r="AD1296" i="1"/>
  <c r="AE1296" i="1"/>
  <c r="AF1296" i="1"/>
  <c r="AG1296" i="1"/>
  <c r="AH1296" i="1"/>
  <c r="AI1296" i="1"/>
  <c r="AC1297" i="1"/>
  <c r="AD1297" i="1"/>
  <c r="AE1297" i="1"/>
  <c r="AF1297" i="1"/>
  <c r="AG1297" i="1"/>
  <c r="AH1297" i="1"/>
  <c r="AI1297" i="1"/>
  <c r="AC1298" i="1"/>
  <c r="AD1298" i="1"/>
  <c r="AE1298" i="1"/>
  <c r="AF1298" i="1"/>
  <c r="AG1298" i="1"/>
  <c r="AH1298" i="1"/>
  <c r="AI1298" i="1"/>
  <c r="AC1299" i="1"/>
  <c r="AD1299" i="1"/>
  <c r="AE1299" i="1"/>
  <c r="AF1299" i="1"/>
  <c r="AG1299" i="1"/>
  <c r="AH1299" i="1"/>
  <c r="AI1299" i="1"/>
  <c r="AC1300" i="1"/>
  <c r="AD1300" i="1"/>
  <c r="AE1300" i="1"/>
  <c r="AF1300" i="1"/>
  <c r="AG1300" i="1"/>
  <c r="AH1300" i="1"/>
  <c r="AI1300" i="1"/>
  <c r="AC1301" i="1"/>
  <c r="AD1301" i="1"/>
  <c r="AE1301" i="1"/>
  <c r="AF1301" i="1"/>
  <c r="AG1301" i="1"/>
  <c r="AH1301" i="1"/>
  <c r="AI1301" i="1"/>
  <c r="AC1302" i="1"/>
  <c r="AD1302" i="1"/>
  <c r="AE1302" i="1"/>
  <c r="AF1302" i="1"/>
  <c r="AG1302" i="1"/>
  <c r="AH1302" i="1"/>
  <c r="AI1302" i="1"/>
  <c r="AC1303" i="1"/>
  <c r="AD1303" i="1"/>
  <c r="AE1303" i="1"/>
  <c r="AF1303" i="1"/>
  <c r="AG1303" i="1"/>
  <c r="AH1303" i="1"/>
  <c r="AI1303" i="1"/>
  <c r="AC1304" i="1"/>
  <c r="AD1304" i="1"/>
  <c r="AE1304" i="1"/>
  <c r="AF1304" i="1"/>
  <c r="AG1304" i="1"/>
  <c r="AH1304" i="1"/>
  <c r="AI1304" i="1"/>
  <c r="AC1305" i="1"/>
  <c r="AD1305" i="1"/>
  <c r="AE1305" i="1"/>
  <c r="AF1305" i="1"/>
  <c r="AG1305" i="1"/>
  <c r="AH1305" i="1"/>
  <c r="AI1305" i="1"/>
  <c r="AC1306" i="1"/>
  <c r="AD1306" i="1"/>
  <c r="AE1306" i="1"/>
  <c r="AF1306" i="1"/>
  <c r="AG1306" i="1"/>
  <c r="AH1306" i="1"/>
  <c r="AI1306" i="1"/>
  <c r="AC1307" i="1"/>
  <c r="AD1307" i="1"/>
  <c r="AE1307" i="1"/>
  <c r="AF1307" i="1"/>
  <c r="AG1307" i="1"/>
  <c r="AH1307" i="1"/>
  <c r="AI1307" i="1"/>
  <c r="AC1308" i="1"/>
  <c r="AD1308" i="1"/>
  <c r="AE1308" i="1"/>
  <c r="AF1308" i="1"/>
  <c r="AG1308" i="1"/>
  <c r="AH1308" i="1"/>
  <c r="AI1308" i="1"/>
  <c r="AC1309" i="1"/>
  <c r="AD1309" i="1"/>
  <c r="AE1309" i="1"/>
  <c r="AF1309" i="1"/>
  <c r="AG1309" i="1"/>
  <c r="AH1309" i="1"/>
  <c r="AI1309" i="1"/>
  <c r="AC1310" i="1"/>
  <c r="AD1310" i="1"/>
  <c r="AE1310" i="1"/>
  <c r="AF1310" i="1"/>
  <c r="AG1310" i="1"/>
  <c r="AH1310" i="1"/>
  <c r="AI1310" i="1"/>
  <c r="AC1311" i="1"/>
  <c r="AD1311" i="1"/>
  <c r="AE1311" i="1"/>
  <c r="AF1311" i="1"/>
  <c r="AG1311" i="1"/>
  <c r="AH1311" i="1"/>
  <c r="AI1311" i="1"/>
  <c r="AC1312" i="1"/>
  <c r="AD1312" i="1"/>
  <c r="AE1312" i="1"/>
  <c r="AF1312" i="1"/>
  <c r="AG1312" i="1"/>
  <c r="AH1312" i="1"/>
  <c r="AI1312" i="1"/>
  <c r="AC1313" i="1"/>
  <c r="AD1313" i="1"/>
  <c r="AE1313" i="1"/>
  <c r="AF1313" i="1"/>
  <c r="AG1313" i="1"/>
  <c r="AH1313" i="1"/>
  <c r="AI1313" i="1"/>
  <c r="AC1314" i="1"/>
  <c r="AD1314" i="1"/>
  <c r="AE1314" i="1"/>
  <c r="AF1314" i="1"/>
  <c r="AG1314" i="1"/>
  <c r="AH1314" i="1"/>
  <c r="AI1314" i="1"/>
  <c r="AC1315" i="1"/>
  <c r="AD1315" i="1"/>
  <c r="AE1315" i="1"/>
  <c r="AF1315" i="1"/>
  <c r="AG1315" i="1"/>
  <c r="AH1315" i="1"/>
  <c r="AI1315" i="1"/>
  <c r="AC1316" i="1"/>
  <c r="AD1316" i="1"/>
  <c r="AE1316" i="1"/>
  <c r="AF1316" i="1"/>
  <c r="AG1316" i="1"/>
  <c r="AH1316" i="1"/>
  <c r="AI1316" i="1"/>
  <c r="AC1317" i="1"/>
  <c r="AD1317" i="1"/>
  <c r="AE1317" i="1"/>
  <c r="AF1317" i="1"/>
  <c r="AG1317" i="1"/>
  <c r="AH1317" i="1"/>
  <c r="AI1317" i="1"/>
  <c r="AC1318" i="1"/>
  <c r="AD1318" i="1"/>
  <c r="AE1318" i="1"/>
  <c r="AF1318" i="1"/>
  <c r="AG1318" i="1"/>
  <c r="AH1318" i="1"/>
  <c r="AI1318" i="1"/>
  <c r="AC1319" i="1"/>
  <c r="AD1319" i="1"/>
  <c r="AE1319" i="1"/>
  <c r="AF1319" i="1"/>
  <c r="AG1319" i="1"/>
  <c r="AH1319" i="1"/>
  <c r="AI1319" i="1"/>
  <c r="AC1320" i="1"/>
  <c r="AD1320" i="1"/>
  <c r="AE1320" i="1"/>
  <c r="AF1320" i="1"/>
  <c r="AG1320" i="1"/>
  <c r="AH1320" i="1"/>
  <c r="AI1320" i="1"/>
  <c r="AC1321" i="1"/>
  <c r="AD1321" i="1"/>
  <c r="AE1321" i="1"/>
  <c r="AF1321" i="1"/>
  <c r="AG1321" i="1"/>
  <c r="AH1321" i="1"/>
  <c r="AI1321" i="1"/>
  <c r="AC1322" i="1"/>
  <c r="AD1322" i="1"/>
  <c r="AE1322" i="1"/>
  <c r="AF1322" i="1"/>
  <c r="AG1322" i="1"/>
  <c r="AH1322" i="1"/>
  <c r="AI1322" i="1"/>
  <c r="AC1323" i="1"/>
  <c r="AD1323" i="1"/>
  <c r="AE1323" i="1"/>
  <c r="AF1323" i="1"/>
  <c r="AG1323" i="1"/>
  <c r="AH1323" i="1"/>
  <c r="AI1323" i="1"/>
  <c r="AC1324" i="1"/>
  <c r="AD1324" i="1"/>
  <c r="AE1324" i="1"/>
  <c r="AF1324" i="1"/>
  <c r="AG1324" i="1"/>
  <c r="AH1324" i="1"/>
  <c r="AI1324" i="1"/>
  <c r="AC1325" i="1"/>
  <c r="AD1325" i="1"/>
  <c r="AE1325" i="1"/>
  <c r="AF1325" i="1"/>
  <c r="AG1325" i="1"/>
  <c r="AH1325" i="1"/>
  <c r="AI1325" i="1"/>
  <c r="AC1326" i="1"/>
  <c r="AD1326" i="1"/>
  <c r="AE1326" i="1"/>
  <c r="AF1326" i="1"/>
  <c r="AG1326" i="1"/>
  <c r="AH1326" i="1"/>
  <c r="AI1326" i="1"/>
  <c r="AC1327" i="1"/>
  <c r="AD1327" i="1"/>
  <c r="AE1327" i="1"/>
  <c r="AF1327" i="1"/>
  <c r="AG1327" i="1"/>
  <c r="AH1327" i="1"/>
  <c r="AI1327" i="1"/>
  <c r="AC1328" i="1"/>
  <c r="AD1328" i="1"/>
  <c r="AE1328" i="1"/>
  <c r="AF1328" i="1"/>
  <c r="AG1328" i="1"/>
  <c r="AH1328" i="1"/>
  <c r="AI1328" i="1"/>
  <c r="AC1329" i="1"/>
  <c r="AD1329" i="1"/>
  <c r="AE1329" i="1"/>
  <c r="AF1329" i="1"/>
  <c r="AG1329" i="1"/>
  <c r="AH1329" i="1"/>
  <c r="AI1329" i="1"/>
  <c r="AC1330" i="1"/>
  <c r="AD1330" i="1"/>
  <c r="AE1330" i="1"/>
  <c r="AF1330" i="1"/>
  <c r="AG1330" i="1"/>
  <c r="AH1330" i="1"/>
  <c r="AI1330" i="1"/>
  <c r="AC1331" i="1"/>
  <c r="AD1331" i="1"/>
  <c r="AE1331" i="1"/>
  <c r="AF1331" i="1"/>
  <c r="AG1331" i="1"/>
  <c r="AH1331" i="1"/>
  <c r="AI1331" i="1"/>
  <c r="AC1332" i="1"/>
  <c r="AD1332" i="1"/>
  <c r="AE1332" i="1"/>
  <c r="AF1332" i="1"/>
  <c r="AG1332" i="1"/>
  <c r="AH1332" i="1"/>
  <c r="AI1332" i="1"/>
  <c r="AC1333" i="1"/>
  <c r="AD1333" i="1"/>
  <c r="AE1333" i="1"/>
  <c r="AF1333" i="1"/>
  <c r="AG1333" i="1"/>
  <c r="AH1333" i="1"/>
  <c r="AI1333" i="1"/>
  <c r="AC1334" i="1"/>
  <c r="AD1334" i="1"/>
  <c r="AE1334" i="1"/>
  <c r="AF1334" i="1"/>
  <c r="AG1334" i="1"/>
  <c r="AH1334" i="1"/>
  <c r="AI1334" i="1"/>
  <c r="AC1335" i="1"/>
  <c r="AD1335" i="1"/>
  <c r="AE1335" i="1"/>
  <c r="AF1335" i="1"/>
  <c r="AG1335" i="1"/>
  <c r="AH1335" i="1"/>
  <c r="AI1335" i="1"/>
  <c r="AC1336" i="1"/>
  <c r="AD1336" i="1"/>
  <c r="AE1336" i="1"/>
  <c r="AF1336" i="1"/>
  <c r="AG1336" i="1"/>
  <c r="AH1336" i="1"/>
  <c r="AI1336" i="1"/>
  <c r="AC1337" i="1"/>
  <c r="AD1337" i="1"/>
  <c r="AE1337" i="1"/>
  <c r="AF1337" i="1"/>
  <c r="AG1337" i="1"/>
  <c r="AH1337" i="1"/>
  <c r="AI1337" i="1"/>
  <c r="AC1338" i="1"/>
  <c r="AD1338" i="1"/>
  <c r="AE1338" i="1"/>
  <c r="AF1338" i="1"/>
  <c r="AG1338" i="1"/>
  <c r="AH1338" i="1"/>
  <c r="AI1338" i="1"/>
  <c r="AC1339" i="1"/>
  <c r="AD1339" i="1"/>
  <c r="AE1339" i="1"/>
  <c r="AF1339" i="1"/>
  <c r="AG1339" i="1"/>
  <c r="AH1339" i="1"/>
  <c r="AI1339" i="1"/>
  <c r="AC1340" i="1"/>
  <c r="AD1340" i="1"/>
  <c r="AE1340" i="1"/>
  <c r="AF1340" i="1"/>
  <c r="AG1340" i="1"/>
  <c r="AH1340" i="1"/>
  <c r="AI1340" i="1"/>
  <c r="AC1341" i="1"/>
  <c r="AD1341" i="1"/>
  <c r="AE1341" i="1"/>
  <c r="AF1341" i="1"/>
  <c r="AG1341" i="1"/>
  <c r="AH1341" i="1"/>
  <c r="AI1341" i="1"/>
  <c r="AC1342" i="1"/>
  <c r="AD1342" i="1"/>
  <c r="AE1342" i="1"/>
  <c r="AF1342" i="1"/>
  <c r="AG1342" i="1"/>
  <c r="AH1342" i="1"/>
  <c r="AI1342" i="1"/>
  <c r="AC1343" i="1"/>
  <c r="AD1343" i="1"/>
  <c r="AE1343" i="1"/>
  <c r="AF1343" i="1"/>
  <c r="AG1343" i="1"/>
  <c r="AH1343" i="1"/>
  <c r="AI1343" i="1"/>
  <c r="AC1344" i="1"/>
  <c r="AD1344" i="1"/>
  <c r="AE1344" i="1"/>
  <c r="AF1344" i="1"/>
  <c r="AG1344" i="1"/>
  <c r="AH1344" i="1"/>
  <c r="AI1344" i="1"/>
  <c r="AC1345" i="1"/>
  <c r="AD1345" i="1"/>
  <c r="AE1345" i="1"/>
  <c r="AF1345" i="1"/>
  <c r="AG1345" i="1"/>
  <c r="AH1345" i="1"/>
  <c r="AI1345" i="1"/>
  <c r="AC1346" i="1"/>
  <c r="AD1346" i="1"/>
  <c r="AE1346" i="1"/>
  <c r="AF1346" i="1"/>
  <c r="AG1346" i="1"/>
  <c r="AH1346" i="1"/>
  <c r="AI1346" i="1"/>
  <c r="AC1347" i="1"/>
  <c r="AD1347" i="1"/>
  <c r="AE1347" i="1"/>
  <c r="AF1347" i="1"/>
  <c r="AG1347" i="1"/>
  <c r="AH1347" i="1"/>
  <c r="AI1347" i="1"/>
  <c r="AC1348" i="1"/>
  <c r="AD1348" i="1"/>
  <c r="AE1348" i="1"/>
  <c r="AF1348" i="1"/>
  <c r="AG1348" i="1"/>
  <c r="AH1348" i="1"/>
  <c r="AI1348" i="1"/>
  <c r="AC1349" i="1"/>
  <c r="AD1349" i="1"/>
  <c r="AE1349" i="1"/>
  <c r="AF1349" i="1"/>
  <c r="AG1349" i="1"/>
  <c r="AH1349" i="1"/>
  <c r="AI1349" i="1"/>
  <c r="AC1350" i="1"/>
  <c r="AD1350" i="1"/>
  <c r="AE1350" i="1"/>
  <c r="AF1350" i="1"/>
  <c r="AG1350" i="1"/>
  <c r="AH1350" i="1"/>
  <c r="AI1350" i="1"/>
  <c r="AC1351" i="1"/>
  <c r="AD1351" i="1"/>
  <c r="AE1351" i="1"/>
  <c r="AF1351" i="1"/>
  <c r="AG1351" i="1"/>
  <c r="AH1351" i="1"/>
  <c r="AI1351" i="1"/>
  <c r="AC1352" i="1"/>
  <c r="AD1352" i="1"/>
  <c r="AE1352" i="1"/>
  <c r="AF1352" i="1"/>
  <c r="AG1352" i="1"/>
  <c r="AH1352" i="1"/>
  <c r="AI1352" i="1"/>
  <c r="AC1353" i="1"/>
  <c r="AD1353" i="1"/>
  <c r="AE1353" i="1"/>
  <c r="AF1353" i="1"/>
  <c r="AG1353" i="1"/>
  <c r="AH1353" i="1"/>
  <c r="AI1353" i="1"/>
  <c r="AC1354" i="1"/>
  <c r="AD1354" i="1"/>
  <c r="AE1354" i="1"/>
  <c r="AF1354" i="1"/>
  <c r="AG1354" i="1"/>
  <c r="AH1354" i="1"/>
  <c r="AI1354" i="1"/>
  <c r="AC1355" i="1"/>
  <c r="AD1355" i="1"/>
  <c r="AE1355" i="1"/>
  <c r="AF1355" i="1"/>
  <c r="AG1355" i="1"/>
  <c r="AH1355" i="1"/>
  <c r="AI1355" i="1"/>
  <c r="AC1356" i="1"/>
  <c r="AD1356" i="1"/>
  <c r="AE1356" i="1"/>
  <c r="AF1356" i="1"/>
  <c r="AG1356" i="1"/>
  <c r="AH1356" i="1"/>
  <c r="AI1356" i="1"/>
  <c r="AC1357" i="1"/>
  <c r="AD1357" i="1"/>
  <c r="AE1357" i="1"/>
  <c r="AF1357" i="1"/>
  <c r="AG1357" i="1"/>
  <c r="AH1357" i="1"/>
  <c r="AI1357" i="1"/>
  <c r="AC1358" i="1"/>
  <c r="AD1358" i="1"/>
  <c r="AE1358" i="1"/>
  <c r="AF1358" i="1"/>
  <c r="AG1358" i="1"/>
  <c r="AH1358" i="1"/>
  <c r="AI1358" i="1"/>
  <c r="AC1359" i="1"/>
  <c r="AD1359" i="1"/>
  <c r="AE1359" i="1"/>
  <c r="AF1359" i="1"/>
  <c r="AG1359" i="1"/>
  <c r="AH1359" i="1"/>
  <c r="AI1359" i="1"/>
  <c r="AC1360" i="1"/>
  <c r="AD1360" i="1"/>
  <c r="AE1360" i="1"/>
  <c r="AF1360" i="1"/>
  <c r="AG1360" i="1"/>
  <c r="AH1360" i="1"/>
  <c r="AI1360" i="1"/>
  <c r="AC1361" i="1"/>
  <c r="AD1361" i="1"/>
  <c r="AE1361" i="1"/>
  <c r="AF1361" i="1"/>
  <c r="AG1361" i="1"/>
  <c r="AH1361" i="1"/>
  <c r="AI1361" i="1"/>
  <c r="AC1362" i="1"/>
  <c r="AD1362" i="1"/>
  <c r="AE1362" i="1"/>
  <c r="AF1362" i="1"/>
  <c r="AG1362" i="1"/>
  <c r="AH1362" i="1"/>
  <c r="AI1362" i="1"/>
  <c r="AC1363" i="1"/>
  <c r="AD1363" i="1"/>
  <c r="AE1363" i="1"/>
  <c r="AF1363" i="1"/>
  <c r="AG1363" i="1"/>
  <c r="AH1363" i="1"/>
  <c r="AI1363" i="1"/>
  <c r="AC1364" i="1"/>
  <c r="AD1364" i="1"/>
  <c r="AE1364" i="1"/>
  <c r="AF1364" i="1"/>
  <c r="AG1364" i="1"/>
  <c r="AH1364" i="1"/>
  <c r="AI1364" i="1"/>
  <c r="AC1365" i="1"/>
  <c r="AD1365" i="1"/>
  <c r="AE1365" i="1"/>
  <c r="AF1365" i="1"/>
  <c r="AG1365" i="1"/>
  <c r="AH1365" i="1"/>
  <c r="AI1365" i="1"/>
  <c r="AC1366" i="1"/>
  <c r="AD1366" i="1"/>
  <c r="AE1366" i="1"/>
  <c r="AF1366" i="1"/>
  <c r="AG1366" i="1"/>
  <c r="AH1366" i="1"/>
  <c r="AI1366" i="1"/>
  <c r="AC1367" i="1"/>
  <c r="AD1367" i="1"/>
  <c r="AE1367" i="1"/>
  <c r="AF1367" i="1"/>
  <c r="AG1367" i="1"/>
  <c r="AH1367" i="1"/>
  <c r="AI1367" i="1"/>
  <c r="AC1368" i="1"/>
  <c r="AD1368" i="1"/>
  <c r="AE1368" i="1"/>
  <c r="AF1368" i="1"/>
  <c r="AG1368" i="1"/>
  <c r="AH1368" i="1"/>
  <c r="AI1368" i="1"/>
  <c r="AC1369" i="1"/>
  <c r="AD1369" i="1"/>
  <c r="AE1369" i="1"/>
  <c r="AF1369" i="1"/>
  <c r="AG1369" i="1"/>
  <c r="AH1369" i="1"/>
  <c r="AI1369" i="1"/>
  <c r="AC1370" i="1"/>
  <c r="AD1370" i="1"/>
  <c r="AE1370" i="1"/>
  <c r="AF1370" i="1"/>
  <c r="AG1370" i="1"/>
  <c r="AH1370" i="1"/>
  <c r="AI1370" i="1"/>
  <c r="AC1371" i="1"/>
  <c r="AD1371" i="1"/>
  <c r="AE1371" i="1"/>
  <c r="AF1371" i="1"/>
  <c r="AG1371" i="1"/>
  <c r="AH1371" i="1"/>
  <c r="AI1371" i="1"/>
  <c r="AC1372" i="1"/>
  <c r="AD1372" i="1"/>
  <c r="AE1372" i="1"/>
  <c r="AF1372" i="1"/>
  <c r="AG1372" i="1"/>
  <c r="AH1372" i="1"/>
  <c r="AI1372" i="1"/>
  <c r="AC1373" i="1"/>
  <c r="AD1373" i="1"/>
  <c r="AE1373" i="1"/>
  <c r="AF1373" i="1"/>
  <c r="AG1373" i="1"/>
  <c r="AH1373" i="1"/>
  <c r="AI1373" i="1"/>
  <c r="AC1374" i="1"/>
  <c r="AD1374" i="1"/>
  <c r="AE1374" i="1"/>
  <c r="AF1374" i="1"/>
  <c r="AG1374" i="1"/>
  <c r="AH1374" i="1"/>
  <c r="AI1374" i="1"/>
  <c r="AC1375" i="1"/>
  <c r="AD1375" i="1"/>
  <c r="AE1375" i="1"/>
  <c r="AF1375" i="1"/>
  <c r="AG1375" i="1"/>
  <c r="AH1375" i="1"/>
  <c r="AI1375" i="1"/>
  <c r="AC1376" i="1"/>
  <c r="AD1376" i="1"/>
  <c r="AE1376" i="1"/>
  <c r="AF1376" i="1"/>
  <c r="AG1376" i="1"/>
  <c r="AH1376" i="1"/>
  <c r="AI1376" i="1"/>
  <c r="AC1377" i="1"/>
  <c r="AD1377" i="1"/>
  <c r="AE1377" i="1"/>
  <c r="AF1377" i="1"/>
  <c r="AG1377" i="1"/>
  <c r="AH1377" i="1"/>
  <c r="AI1377" i="1"/>
  <c r="AC1378" i="1"/>
  <c r="AD1378" i="1"/>
  <c r="AE1378" i="1"/>
  <c r="AF1378" i="1"/>
  <c r="AG1378" i="1"/>
  <c r="AH1378" i="1"/>
  <c r="AI1378" i="1"/>
  <c r="AC1379" i="1"/>
  <c r="AD1379" i="1"/>
  <c r="AE1379" i="1"/>
  <c r="AF1379" i="1"/>
  <c r="AG1379" i="1"/>
  <c r="AH1379" i="1"/>
  <c r="AI1379" i="1"/>
  <c r="AC1380" i="1"/>
  <c r="AD1380" i="1"/>
  <c r="AE1380" i="1"/>
  <c r="AF1380" i="1"/>
  <c r="AG1380" i="1"/>
  <c r="AH1380" i="1"/>
  <c r="AI1380" i="1"/>
  <c r="AC1381" i="1"/>
  <c r="AD1381" i="1"/>
  <c r="AE1381" i="1"/>
  <c r="AF1381" i="1"/>
  <c r="AG1381" i="1"/>
  <c r="AH1381" i="1"/>
  <c r="AI1381" i="1"/>
  <c r="AC1382" i="1"/>
  <c r="AD1382" i="1"/>
  <c r="AE1382" i="1"/>
  <c r="AF1382" i="1"/>
  <c r="AG1382" i="1"/>
  <c r="AH1382" i="1"/>
  <c r="AI1382" i="1"/>
  <c r="AC1383" i="1"/>
  <c r="AD1383" i="1"/>
  <c r="AE1383" i="1"/>
  <c r="AF1383" i="1"/>
  <c r="AG1383" i="1"/>
  <c r="AH1383" i="1"/>
  <c r="AI1383" i="1"/>
  <c r="AC1384" i="1"/>
  <c r="AD1384" i="1"/>
  <c r="AE1384" i="1"/>
  <c r="AF1384" i="1"/>
  <c r="AG1384" i="1"/>
  <c r="AH1384" i="1"/>
  <c r="AI1384" i="1"/>
  <c r="AC1385" i="1"/>
  <c r="AD1385" i="1"/>
  <c r="AE1385" i="1"/>
  <c r="AF1385" i="1"/>
  <c r="AG1385" i="1"/>
  <c r="AH1385" i="1"/>
  <c r="AI1385" i="1"/>
  <c r="AC1386" i="1"/>
  <c r="AD1386" i="1"/>
  <c r="AE1386" i="1"/>
  <c r="AF1386" i="1"/>
  <c r="AG1386" i="1"/>
  <c r="AH1386" i="1"/>
  <c r="AI1386" i="1"/>
  <c r="AC1387" i="1"/>
  <c r="AD1387" i="1"/>
  <c r="AE1387" i="1"/>
  <c r="AF1387" i="1"/>
  <c r="AG1387" i="1"/>
  <c r="AH1387" i="1"/>
  <c r="AI1387" i="1"/>
  <c r="AC1388" i="1"/>
  <c r="AD1388" i="1"/>
  <c r="AE1388" i="1"/>
  <c r="AF1388" i="1"/>
  <c r="AG1388" i="1"/>
  <c r="AH1388" i="1"/>
  <c r="AI1388" i="1"/>
  <c r="AC1389" i="1"/>
  <c r="AD1389" i="1"/>
  <c r="AE1389" i="1"/>
  <c r="AF1389" i="1"/>
  <c r="AG1389" i="1"/>
  <c r="AH1389" i="1"/>
  <c r="AI1389" i="1"/>
  <c r="AC1390" i="1"/>
  <c r="AD1390" i="1"/>
  <c r="AE1390" i="1"/>
  <c r="AF1390" i="1"/>
  <c r="AG1390" i="1"/>
  <c r="AH1390" i="1"/>
  <c r="AI1390" i="1"/>
  <c r="AC1391" i="1"/>
  <c r="AD1391" i="1"/>
  <c r="AE1391" i="1"/>
  <c r="AF1391" i="1"/>
  <c r="AG1391" i="1"/>
  <c r="AH1391" i="1"/>
  <c r="AI1391" i="1"/>
  <c r="AC1392" i="1"/>
  <c r="AD1392" i="1"/>
  <c r="AE1392" i="1"/>
  <c r="AF1392" i="1"/>
  <c r="AG1392" i="1"/>
  <c r="AH1392" i="1"/>
  <c r="AI1392" i="1"/>
  <c r="AC1393" i="1"/>
  <c r="AD1393" i="1"/>
  <c r="AE1393" i="1"/>
  <c r="AF1393" i="1"/>
  <c r="AG1393" i="1"/>
  <c r="AH1393" i="1"/>
  <c r="AI1393" i="1"/>
  <c r="AC1394" i="1"/>
  <c r="AD1394" i="1"/>
  <c r="AE1394" i="1"/>
  <c r="AF1394" i="1"/>
  <c r="AG1394" i="1"/>
  <c r="AH1394" i="1"/>
  <c r="AI1394" i="1"/>
  <c r="AC1395" i="1"/>
  <c r="AD1395" i="1"/>
  <c r="AE1395" i="1"/>
  <c r="AF1395" i="1"/>
  <c r="AG1395" i="1"/>
  <c r="AH1395" i="1"/>
  <c r="AI1395" i="1"/>
  <c r="AC1396" i="1"/>
  <c r="AD1396" i="1"/>
  <c r="AE1396" i="1"/>
  <c r="AF1396" i="1"/>
  <c r="AG1396" i="1"/>
  <c r="AH1396" i="1"/>
  <c r="AI1396" i="1"/>
  <c r="AC1397" i="1"/>
  <c r="AD1397" i="1"/>
  <c r="AE1397" i="1"/>
  <c r="AF1397" i="1"/>
  <c r="AG1397" i="1"/>
  <c r="AH1397" i="1"/>
  <c r="AI1397" i="1"/>
  <c r="AC1398" i="1"/>
  <c r="AD1398" i="1"/>
  <c r="AE1398" i="1"/>
  <c r="AF1398" i="1"/>
  <c r="AG1398" i="1"/>
  <c r="AH1398" i="1"/>
  <c r="AI1398" i="1"/>
  <c r="AC1399" i="1"/>
  <c r="AD1399" i="1"/>
  <c r="AE1399" i="1"/>
  <c r="AF1399" i="1"/>
  <c r="AG1399" i="1"/>
  <c r="AH1399" i="1"/>
  <c r="AI1399" i="1"/>
  <c r="AC1400" i="1"/>
  <c r="AD1400" i="1"/>
  <c r="AE1400" i="1"/>
  <c r="AF1400" i="1"/>
  <c r="AG1400" i="1"/>
  <c r="AH1400" i="1"/>
  <c r="AI1400" i="1"/>
  <c r="AC1401" i="1"/>
  <c r="AD1401" i="1"/>
  <c r="AE1401" i="1"/>
  <c r="AF1401" i="1"/>
  <c r="AG1401" i="1"/>
  <c r="AH1401" i="1"/>
  <c r="AI1401" i="1"/>
  <c r="AC1402" i="1"/>
  <c r="AD1402" i="1"/>
  <c r="AE1402" i="1"/>
  <c r="AF1402" i="1"/>
  <c r="AG1402" i="1"/>
  <c r="AH1402" i="1"/>
  <c r="AI1402" i="1"/>
  <c r="AC1403" i="1"/>
  <c r="AD1403" i="1"/>
  <c r="AE1403" i="1"/>
  <c r="AF1403" i="1"/>
  <c r="AG1403" i="1"/>
  <c r="AH1403" i="1"/>
  <c r="AI1403" i="1"/>
  <c r="AC1404" i="1"/>
  <c r="AD1404" i="1"/>
  <c r="AE1404" i="1"/>
  <c r="AF1404" i="1"/>
  <c r="AG1404" i="1"/>
  <c r="AH1404" i="1"/>
  <c r="AI1404" i="1"/>
  <c r="AC1405" i="1"/>
  <c r="AD1405" i="1"/>
  <c r="AE1405" i="1"/>
  <c r="AF1405" i="1"/>
  <c r="AG1405" i="1"/>
  <c r="AH1405" i="1"/>
  <c r="AI1405" i="1"/>
  <c r="AC1406" i="1"/>
  <c r="AD1406" i="1"/>
  <c r="AE1406" i="1"/>
  <c r="AF1406" i="1"/>
  <c r="AG1406" i="1"/>
  <c r="AH1406" i="1"/>
  <c r="AI1406" i="1"/>
  <c r="AC1407" i="1"/>
  <c r="AD1407" i="1"/>
  <c r="AE1407" i="1"/>
  <c r="AF1407" i="1"/>
  <c r="AG1407" i="1"/>
  <c r="AH1407" i="1"/>
  <c r="AI1407" i="1"/>
  <c r="AC1408" i="1"/>
  <c r="AD1408" i="1"/>
  <c r="AE1408" i="1"/>
  <c r="AF1408" i="1"/>
  <c r="AG1408" i="1"/>
  <c r="AH1408" i="1"/>
  <c r="AI1408" i="1"/>
  <c r="AC1409" i="1"/>
  <c r="AD1409" i="1"/>
  <c r="AE1409" i="1"/>
  <c r="AF1409" i="1"/>
  <c r="AG1409" i="1"/>
  <c r="AH1409" i="1"/>
  <c r="AI1409" i="1"/>
  <c r="AC1410" i="1"/>
  <c r="AD1410" i="1"/>
  <c r="AE1410" i="1"/>
  <c r="AF1410" i="1"/>
  <c r="AG1410" i="1"/>
  <c r="AH1410" i="1"/>
  <c r="AI1410" i="1"/>
  <c r="AC1411" i="1"/>
  <c r="AD1411" i="1"/>
  <c r="AE1411" i="1"/>
  <c r="AF1411" i="1"/>
  <c r="AG1411" i="1"/>
  <c r="AH1411" i="1"/>
  <c r="AI1411" i="1"/>
  <c r="AC1412" i="1"/>
  <c r="AD1412" i="1"/>
  <c r="AE1412" i="1"/>
  <c r="AF1412" i="1"/>
  <c r="AG1412" i="1"/>
  <c r="AH1412" i="1"/>
  <c r="AI1412" i="1"/>
  <c r="AC1413" i="1"/>
  <c r="AD1413" i="1"/>
  <c r="AE1413" i="1"/>
  <c r="AF1413" i="1"/>
  <c r="AG1413" i="1"/>
  <c r="AH1413" i="1"/>
  <c r="AI1413" i="1"/>
  <c r="AC1414" i="1"/>
  <c r="AD1414" i="1"/>
  <c r="AE1414" i="1"/>
  <c r="AF1414" i="1"/>
  <c r="AG1414" i="1"/>
  <c r="AH1414" i="1"/>
  <c r="AI1414" i="1"/>
  <c r="AC1415" i="1"/>
  <c r="AD1415" i="1"/>
  <c r="AE1415" i="1"/>
  <c r="AF1415" i="1"/>
  <c r="AG1415" i="1"/>
  <c r="AH1415" i="1"/>
  <c r="AI1415" i="1"/>
  <c r="AC1416" i="1"/>
  <c r="AD1416" i="1"/>
  <c r="AE1416" i="1"/>
  <c r="AF1416" i="1"/>
  <c r="AG1416" i="1"/>
  <c r="AH1416" i="1"/>
  <c r="AI1416" i="1"/>
  <c r="AC1417" i="1"/>
  <c r="AD1417" i="1"/>
  <c r="AE1417" i="1"/>
  <c r="AF1417" i="1"/>
  <c r="AG1417" i="1"/>
  <c r="AH1417" i="1"/>
  <c r="AI1417" i="1"/>
  <c r="AC1418" i="1"/>
  <c r="AD1418" i="1"/>
  <c r="AE1418" i="1"/>
  <c r="AF1418" i="1"/>
  <c r="AG1418" i="1"/>
  <c r="AH1418" i="1"/>
  <c r="AI1418" i="1"/>
  <c r="AC1419" i="1"/>
  <c r="AD1419" i="1"/>
  <c r="AE1419" i="1"/>
  <c r="AF1419" i="1"/>
  <c r="AG1419" i="1"/>
  <c r="AH1419" i="1"/>
  <c r="AI1419" i="1"/>
  <c r="AC1420" i="1"/>
  <c r="AD1420" i="1"/>
  <c r="AE1420" i="1"/>
  <c r="AF1420" i="1"/>
  <c r="AG1420" i="1"/>
  <c r="AH1420" i="1"/>
  <c r="AI1420" i="1"/>
  <c r="AC1421" i="1"/>
  <c r="AD1421" i="1"/>
  <c r="AE1421" i="1"/>
  <c r="AF1421" i="1"/>
  <c r="AG1421" i="1"/>
  <c r="AH1421" i="1"/>
  <c r="AI1421" i="1"/>
  <c r="AC1422" i="1"/>
  <c r="AD1422" i="1"/>
  <c r="AE1422" i="1"/>
  <c r="AF1422" i="1"/>
  <c r="AG1422" i="1"/>
  <c r="AH1422" i="1"/>
  <c r="AI1422" i="1"/>
  <c r="AC1423" i="1"/>
  <c r="AD1423" i="1"/>
  <c r="AE1423" i="1"/>
  <c r="AF1423" i="1"/>
  <c r="AG1423" i="1"/>
  <c r="AH1423" i="1"/>
  <c r="AI1423" i="1"/>
  <c r="AC1424" i="1"/>
  <c r="AD1424" i="1"/>
  <c r="AE1424" i="1"/>
  <c r="AF1424" i="1"/>
  <c r="AG1424" i="1"/>
  <c r="AH1424" i="1"/>
  <c r="AI1424" i="1"/>
  <c r="AC1425" i="1"/>
  <c r="AD1425" i="1"/>
  <c r="AE1425" i="1"/>
  <c r="AF1425" i="1"/>
  <c r="AG1425" i="1"/>
  <c r="AH1425" i="1"/>
  <c r="AI1425" i="1"/>
  <c r="AC1426" i="1"/>
  <c r="AD1426" i="1"/>
  <c r="AE1426" i="1"/>
  <c r="AF1426" i="1"/>
  <c r="AG1426" i="1"/>
  <c r="AH1426" i="1"/>
  <c r="AI1426" i="1"/>
  <c r="AC1427" i="1"/>
  <c r="AD1427" i="1"/>
  <c r="AE1427" i="1"/>
  <c r="AF1427" i="1"/>
  <c r="AG1427" i="1"/>
  <c r="AH1427" i="1"/>
  <c r="AI1427" i="1"/>
  <c r="AC1428" i="1"/>
  <c r="AD1428" i="1"/>
  <c r="AE1428" i="1"/>
  <c r="AF1428" i="1"/>
  <c r="AG1428" i="1"/>
  <c r="AH1428" i="1"/>
  <c r="AI1428" i="1"/>
  <c r="AC1429" i="1"/>
  <c r="AD1429" i="1"/>
  <c r="AE1429" i="1"/>
  <c r="AF1429" i="1"/>
  <c r="AG1429" i="1"/>
  <c r="AH1429" i="1"/>
  <c r="AI1429" i="1"/>
  <c r="AC1430" i="1"/>
  <c r="AD1430" i="1"/>
  <c r="AE1430" i="1"/>
  <c r="AF1430" i="1"/>
  <c r="AG1430" i="1"/>
  <c r="AH1430" i="1"/>
  <c r="AI1430" i="1"/>
  <c r="AC1431" i="1"/>
  <c r="AD1431" i="1"/>
  <c r="AE1431" i="1"/>
  <c r="AF1431" i="1"/>
  <c r="AG1431" i="1"/>
  <c r="AH1431" i="1"/>
  <c r="AI1431" i="1"/>
  <c r="AC1432" i="1"/>
  <c r="AD1432" i="1"/>
  <c r="AE1432" i="1"/>
  <c r="AF1432" i="1"/>
  <c r="AG1432" i="1"/>
  <c r="AH1432" i="1"/>
  <c r="AI1432" i="1"/>
  <c r="AC1433" i="1"/>
  <c r="AD1433" i="1"/>
  <c r="AE1433" i="1"/>
  <c r="AF1433" i="1"/>
  <c r="AG1433" i="1"/>
  <c r="AH1433" i="1"/>
  <c r="AI1433" i="1"/>
  <c r="AC1434" i="1"/>
  <c r="AD1434" i="1"/>
  <c r="AE1434" i="1"/>
  <c r="AF1434" i="1"/>
  <c r="AG1434" i="1"/>
  <c r="AH1434" i="1"/>
  <c r="AI1434" i="1"/>
  <c r="AC1435" i="1"/>
  <c r="AD1435" i="1"/>
  <c r="AE1435" i="1"/>
  <c r="AF1435" i="1"/>
  <c r="AG1435" i="1"/>
  <c r="AH1435" i="1"/>
  <c r="AI1435" i="1"/>
  <c r="AC1436" i="1"/>
  <c r="AD1436" i="1"/>
  <c r="AE1436" i="1"/>
  <c r="AF1436" i="1"/>
  <c r="AG1436" i="1"/>
  <c r="AH1436" i="1"/>
  <c r="AI1436" i="1"/>
  <c r="AD1437" i="1"/>
  <c r="AE1437" i="1"/>
  <c r="AF1437" i="1"/>
  <c r="AG1437" i="1"/>
  <c r="AH1437" i="1"/>
  <c r="AI1437" i="1"/>
  <c r="AC1438" i="1"/>
  <c r="AD1438" i="1"/>
  <c r="AE1438" i="1"/>
  <c r="AF1438" i="1"/>
  <c r="AG1438" i="1"/>
  <c r="AH1438" i="1"/>
  <c r="AI1438" i="1"/>
  <c r="AC1439" i="1"/>
  <c r="AD1439" i="1"/>
  <c r="AE1439" i="1"/>
  <c r="AF1439" i="1"/>
  <c r="AG1439" i="1"/>
  <c r="AH1439" i="1"/>
  <c r="AI1439" i="1"/>
  <c r="AC1440" i="1"/>
  <c r="AD1440" i="1"/>
  <c r="AE1440" i="1"/>
  <c r="AF1440" i="1"/>
  <c r="AG1440" i="1"/>
  <c r="AH1440" i="1"/>
  <c r="AI1440" i="1"/>
  <c r="AC1441" i="1"/>
  <c r="AD1441" i="1"/>
  <c r="AE1441" i="1"/>
  <c r="AF1441" i="1"/>
  <c r="AG1441" i="1"/>
  <c r="AH1441" i="1"/>
  <c r="AI1441" i="1"/>
  <c r="AC1442" i="1"/>
  <c r="AD1442" i="1"/>
  <c r="AE1442" i="1"/>
  <c r="AF1442" i="1"/>
  <c r="AG1442" i="1"/>
  <c r="AH1442" i="1"/>
  <c r="AI1442" i="1"/>
  <c r="AC1443" i="1"/>
  <c r="AD1443" i="1"/>
  <c r="AE1443" i="1"/>
  <c r="AF1443" i="1"/>
  <c r="AG1443" i="1"/>
  <c r="AH1443" i="1"/>
  <c r="AI1443" i="1"/>
  <c r="AC1444" i="1"/>
  <c r="AD1444" i="1"/>
  <c r="AE1444" i="1"/>
  <c r="AF1444" i="1"/>
  <c r="AG1444" i="1"/>
  <c r="AH1444" i="1"/>
  <c r="AI1444" i="1"/>
  <c r="AC1445" i="1"/>
  <c r="AD1445" i="1"/>
  <c r="AE1445" i="1"/>
  <c r="AF1445" i="1"/>
  <c r="AG1445" i="1"/>
  <c r="AH1445" i="1"/>
  <c r="AI1445" i="1"/>
  <c r="AC1446" i="1"/>
  <c r="AD1446" i="1"/>
  <c r="AE1446" i="1"/>
  <c r="AF1446" i="1"/>
  <c r="AG1446" i="1"/>
  <c r="AH1446" i="1"/>
  <c r="AI1446" i="1"/>
  <c r="AC1447" i="1"/>
  <c r="AD1447" i="1"/>
  <c r="AE1447" i="1"/>
  <c r="AF1447" i="1"/>
  <c r="AG1447" i="1"/>
  <c r="AH1447" i="1"/>
  <c r="AI1447" i="1"/>
  <c r="AC1448" i="1"/>
  <c r="AD1448" i="1"/>
  <c r="AE1448" i="1"/>
  <c r="AF1448" i="1"/>
  <c r="AG1448" i="1"/>
  <c r="AH1448" i="1"/>
  <c r="AI1448" i="1"/>
  <c r="AC1449" i="1"/>
  <c r="AD1449" i="1"/>
  <c r="AE1449" i="1"/>
  <c r="AF1449" i="1"/>
  <c r="AG1449" i="1"/>
  <c r="AH1449" i="1"/>
  <c r="AI1449" i="1"/>
  <c r="AC1450" i="1"/>
  <c r="AD1450" i="1"/>
  <c r="AE1450" i="1"/>
  <c r="AF1450" i="1"/>
  <c r="AG1450" i="1"/>
  <c r="AH1450" i="1"/>
  <c r="AI1450" i="1"/>
  <c r="AC1451" i="1"/>
  <c r="AD1451" i="1"/>
  <c r="AE1451" i="1"/>
  <c r="AF1451" i="1"/>
  <c r="AG1451" i="1"/>
  <c r="AH1451" i="1"/>
  <c r="AI1451" i="1"/>
  <c r="AC1452" i="1"/>
  <c r="AD1452" i="1"/>
  <c r="AE1452" i="1"/>
  <c r="AF1452" i="1"/>
  <c r="AG1452" i="1"/>
  <c r="AH1452" i="1"/>
  <c r="AI1452" i="1"/>
  <c r="AC1453" i="1"/>
  <c r="AD1453" i="1"/>
  <c r="AE1453" i="1"/>
  <c r="AF1453" i="1"/>
  <c r="AG1453" i="1"/>
  <c r="AH1453" i="1"/>
  <c r="AI1453" i="1"/>
  <c r="AD18" i="1"/>
  <c r="AE18" i="1"/>
  <c r="AF18" i="1"/>
  <c r="AG18" i="1"/>
  <c r="AH18" i="1"/>
  <c r="AI18" i="1"/>
  <c r="AC18" i="1"/>
  <c r="V19" i="1"/>
  <c r="W19" i="1"/>
  <c r="X19" i="1"/>
  <c r="Y19" i="1"/>
  <c r="Z19" i="1"/>
  <c r="AA19" i="1"/>
  <c r="AB19" i="1"/>
  <c r="V20" i="1"/>
  <c r="W20" i="1"/>
  <c r="X20" i="1"/>
  <c r="Y20" i="1"/>
  <c r="Z20" i="1"/>
  <c r="AA20" i="1"/>
  <c r="AB20" i="1"/>
  <c r="V21" i="1"/>
  <c r="W21" i="1"/>
  <c r="X21" i="1"/>
  <c r="Y21" i="1"/>
  <c r="Z21" i="1"/>
  <c r="AA21" i="1"/>
  <c r="AB21" i="1"/>
  <c r="V22" i="1"/>
  <c r="W22" i="1"/>
  <c r="X22" i="1"/>
  <c r="Y22" i="1"/>
  <c r="Z22" i="1"/>
  <c r="AA22" i="1"/>
  <c r="AB22" i="1"/>
  <c r="V23" i="1"/>
  <c r="W23" i="1"/>
  <c r="X23" i="1"/>
  <c r="Y23" i="1"/>
  <c r="Z23" i="1"/>
  <c r="AA23" i="1"/>
  <c r="AB23" i="1"/>
  <c r="V24" i="1"/>
  <c r="W24" i="1"/>
  <c r="X24" i="1"/>
  <c r="Y24" i="1"/>
  <c r="Z24" i="1"/>
  <c r="AA24" i="1"/>
  <c r="AB24" i="1"/>
  <c r="V25" i="1"/>
  <c r="W25" i="1"/>
  <c r="X25" i="1"/>
  <c r="Y25" i="1"/>
  <c r="Z25" i="1"/>
  <c r="AA25" i="1"/>
  <c r="AB25" i="1"/>
  <c r="V26" i="1"/>
  <c r="W26" i="1"/>
  <c r="X26" i="1"/>
  <c r="Y26" i="1"/>
  <c r="Z26" i="1"/>
  <c r="AA26" i="1"/>
  <c r="AB26" i="1"/>
  <c r="V27" i="1"/>
  <c r="W27" i="1"/>
  <c r="X27" i="1"/>
  <c r="Y27" i="1"/>
  <c r="Z27" i="1"/>
  <c r="AA27" i="1"/>
  <c r="AB27" i="1"/>
  <c r="V28" i="1"/>
  <c r="W28" i="1"/>
  <c r="X28" i="1"/>
  <c r="Y28" i="1"/>
  <c r="Z28" i="1"/>
  <c r="AA28" i="1"/>
  <c r="AB28" i="1"/>
  <c r="V29" i="1"/>
  <c r="W29" i="1"/>
  <c r="X29" i="1"/>
  <c r="Y29" i="1"/>
  <c r="Z29" i="1"/>
  <c r="AA29" i="1"/>
  <c r="AB29" i="1"/>
  <c r="V30" i="1"/>
  <c r="W30" i="1"/>
  <c r="X30" i="1"/>
  <c r="Y30" i="1"/>
  <c r="Z30" i="1"/>
  <c r="AA30" i="1"/>
  <c r="AB30" i="1"/>
  <c r="V31" i="1"/>
  <c r="W31" i="1"/>
  <c r="X31" i="1"/>
  <c r="Y31" i="1"/>
  <c r="Z31" i="1"/>
  <c r="AA31" i="1"/>
  <c r="AB31" i="1"/>
  <c r="V32" i="1"/>
  <c r="W32" i="1"/>
  <c r="X32" i="1"/>
  <c r="Y32" i="1"/>
  <c r="Z32" i="1"/>
  <c r="AA32" i="1"/>
  <c r="AB32" i="1"/>
  <c r="V33" i="1"/>
  <c r="W33" i="1"/>
  <c r="X33" i="1"/>
  <c r="Y33" i="1"/>
  <c r="Z33" i="1"/>
  <c r="AA33" i="1"/>
  <c r="AB33" i="1"/>
  <c r="V34" i="1"/>
  <c r="W34" i="1"/>
  <c r="X34" i="1"/>
  <c r="Y34" i="1"/>
  <c r="Z34" i="1"/>
  <c r="AA34" i="1"/>
  <c r="AB34" i="1"/>
  <c r="V35" i="1"/>
  <c r="W35" i="1"/>
  <c r="X35" i="1"/>
  <c r="Y35" i="1"/>
  <c r="Z35" i="1"/>
  <c r="AA35" i="1"/>
  <c r="AB35" i="1"/>
  <c r="V36" i="1"/>
  <c r="W36" i="1"/>
  <c r="X36" i="1"/>
  <c r="Y36" i="1"/>
  <c r="Z36" i="1"/>
  <c r="AA36" i="1"/>
  <c r="AB36" i="1"/>
  <c r="V37" i="1"/>
  <c r="W37" i="1"/>
  <c r="X37" i="1"/>
  <c r="Y37" i="1"/>
  <c r="Z37" i="1"/>
  <c r="AA37" i="1"/>
  <c r="AB37" i="1"/>
  <c r="V38" i="1"/>
  <c r="W38" i="1"/>
  <c r="X38" i="1"/>
  <c r="Y38" i="1"/>
  <c r="Z38" i="1"/>
  <c r="AA38" i="1"/>
  <c r="AB38" i="1"/>
  <c r="V39" i="1"/>
  <c r="W39" i="1"/>
  <c r="X39" i="1"/>
  <c r="Y39" i="1"/>
  <c r="Z39" i="1"/>
  <c r="AA39" i="1"/>
  <c r="AB39" i="1"/>
  <c r="V40" i="1"/>
  <c r="W40" i="1"/>
  <c r="X40" i="1"/>
  <c r="Y40" i="1"/>
  <c r="Z40" i="1"/>
  <c r="AA40" i="1"/>
  <c r="AB40" i="1"/>
  <c r="V41" i="1"/>
  <c r="W41" i="1"/>
  <c r="X41" i="1"/>
  <c r="Y41" i="1"/>
  <c r="Z41" i="1"/>
  <c r="AA41" i="1"/>
  <c r="AB41" i="1"/>
  <c r="V42" i="1"/>
  <c r="W42" i="1"/>
  <c r="X42" i="1"/>
  <c r="Y42" i="1"/>
  <c r="Z42" i="1"/>
  <c r="AA42" i="1"/>
  <c r="AB42" i="1"/>
  <c r="V43" i="1"/>
  <c r="W43" i="1"/>
  <c r="X43" i="1"/>
  <c r="Y43" i="1"/>
  <c r="Z43" i="1"/>
  <c r="AA43" i="1"/>
  <c r="AB43" i="1"/>
  <c r="V44" i="1"/>
  <c r="W44" i="1"/>
  <c r="X44" i="1"/>
  <c r="Y44" i="1"/>
  <c r="Z44" i="1"/>
  <c r="AA44" i="1"/>
  <c r="AB44" i="1"/>
  <c r="V45" i="1"/>
  <c r="W45" i="1"/>
  <c r="X45" i="1"/>
  <c r="Y45" i="1"/>
  <c r="Z45" i="1"/>
  <c r="AA45" i="1"/>
  <c r="AB45" i="1"/>
  <c r="V46" i="1"/>
  <c r="W46" i="1"/>
  <c r="X46" i="1"/>
  <c r="Y46" i="1"/>
  <c r="Z46" i="1"/>
  <c r="AA46" i="1"/>
  <c r="AB46" i="1"/>
  <c r="V47" i="1"/>
  <c r="W47" i="1"/>
  <c r="X47" i="1"/>
  <c r="Y47" i="1"/>
  <c r="Z47" i="1"/>
  <c r="AA47" i="1"/>
  <c r="AB47" i="1"/>
  <c r="V48" i="1"/>
  <c r="W48" i="1"/>
  <c r="X48" i="1"/>
  <c r="Y48" i="1"/>
  <c r="Z48" i="1"/>
  <c r="AA48" i="1"/>
  <c r="AB48" i="1"/>
  <c r="V49" i="1"/>
  <c r="W49" i="1"/>
  <c r="X49" i="1"/>
  <c r="Y49" i="1"/>
  <c r="Z49" i="1"/>
  <c r="AA49" i="1"/>
  <c r="AB49" i="1"/>
  <c r="V50" i="1"/>
  <c r="W50" i="1"/>
  <c r="X50" i="1"/>
  <c r="Y50" i="1"/>
  <c r="Z50" i="1"/>
  <c r="AA50" i="1"/>
  <c r="AB50" i="1"/>
  <c r="V51" i="1"/>
  <c r="W51" i="1"/>
  <c r="X51" i="1"/>
  <c r="Y51" i="1"/>
  <c r="Z51" i="1"/>
  <c r="AA51" i="1"/>
  <c r="AB51" i="1"/>
  <c r="V52" i="1"/>
  <c r="W52" i="1"/>
  <c r="X52" i="1"/>
  <c r="Y52" i="1"/>
  <c r="Z52" i="1"/>
  <c r="AA52" i="1"/>
  <c r="AB52" i="1"/>
  <c r="V53" i="1"/>
  <c r="W53" i="1"/>
  <c r="X53" i="1"/>
  <c r="Y53" i="1"/>
  <c r="Z53" i="1"/>
  <c r="AA53" i="1"/>
  <c r="AB53" i="1"/>
  <c r="V54" i="1"/>
  <c r="W54" i="1"/>
  <c r="X54" i="1"/>
  <c r="Y54" i="1"/>
  <c r="Z54" i="1"/>
  <c r="AA54" i="1"/>
  <c r="AB54" i="1"/>
  <c r="V55" i="1"/>
  <c r="W55" i="1"/>
  <c r="X55" i="1"/>
  <c r="Y55" i="1"/>
  <c r="Z55" i="1"/>
  <c r="AA55" i="1"/>
  <c r="AB55" i="1"/>
  <c r="V56" i="1"/>
  <c r="W56" i="1"/>
  <c r="X56" i="1"/>
  <c r="Y56" i="1"/>
  <c r="Z56" i="1"/>
  <c r="AA56" i="1"/>
  <c r="AB56" i="1"/>
  <c r="V57" i="1"/>
  <c r="W57" i="1"/>
  <c r="X57" i="1"/>
  <c r="Y57" i="1"/>
  <c r="Z57" i="1"/>
  <c r="AA57" i="1"/>
  <c r="AB57" i="1"/>
  <c r="V58" i="1"/>
  <c r="W58" i="1"/>
  <c r="X58" i="1"/>
  <c r="Y58" i="1"/>
  <c r="Z58" i="1"/>
  <c r="AA58" i="1"/>
  <c r="AB58" i="1"/>
  <c r="V59" i="1"/>
  <c r="W59" i="1"/>
  <c r="X59" i="1"/>
  <c r="Y59" i="1"/>
  <c r="Z59" i="1"/>
  <c r="AA59" i="1"/>
  <c r="AB59" i="1"/>
  <c r="V60" i="1"/>
  <c r="W60" i="1"/>
  <c r="X60" i="1"/>
  <c r="Y60" i="1"/>
  <c r="Z60" i="1"/>
  <c r="AA60" i="1"/>
  <c r="AB60" i="1"/>
  <c r="V61" i="1"/>
  <c r="W61" i="1"/>
  <c r="X61" i="1"/>
  <c r="Y61" i="1"/>
  <c r="Z61" i="1"/>
  <c r="AA61" i="1"/>
  <c r="AB61" i="1"/>
  <c r="V62" i="1"/>
  <c r="W62" i="1"/>
  <c r="X62" i="1"/>
  <c r="Y62" i="1"/>
  <c r="Z62" i="1"/>
  <c r="AA62" i="1"/>
  <c r="AB62" i="1"/>
  <c r="V63" i="1"/>
  <c r="W63" i="1"/>
  <c r="X63" i="1"/>
  <c r="Y63" i="1"/>
  <c r="Z63" i="1"/>
  <c r="AA63" i="1"/>
  <c r="AB63" i="1"/>
  <c r="V64" i="1"/>
  <c r="W64" i="1"/>
  <c r="X64" i="1"/>
  <c r="Y64" i="1"/>
  <c r="Z64" i="1"/>
  <c r="AA64" i="1"/>
  <c r="AB64" i="1"/>
  <c r="V65" i="1"/>
  <c r="W65" i="1"/>
  <c r="X65" i="1"/>
  <c r="Y65" i="1"/>
  <c r="Z65" i="1"/>
  <c r="AA65" i="1"/>
  <c r="AB65" i="1"/>
  <c r="V66" i="1"/>
  <c r="W66" i="1"/>
  <c r="X66" i="1"/>
  <c r="Y66" i="1"/>
  <c r="Z66" i="1"/>
  <c r="AA66" i="1"/>
  <c r="AB66" i="1"/>
  <c r="V67" i="1"/>
  <c r="W67" i="1"/>
  <c r="X67" i="1"/>
  <c r="Y67" i="1"/>
  <c r="Z67" i="1"/>
  <c r="AA67" i="1"/>
  <c r="AB67" i="1"/>
  <c r="V68" i="1"/>
  <c r="W68" i="1"/>
  <c r="X68" i="1"/>
  <c r="Y68" i="1"/>
  <c r="Z68" i="1"/>
  <c r="AA68" i="1"/>
  <c r="AB68" i="1"/>
  <c r="V69" i="1"/>
  <c r="W69" i="1"/>
  <c r="X69" i="1"/>
  <c r="Y69" i="1"/>
  <c r="Z69" i="1"/>
  <c r="AA69" i="1"/>
  <c r="AB69" i="1"/>
  <c r="V70" i="1"/>
  <c r="W70" i="1"/>
  <c r="X70" i="1"/>
  <c r="Y70" i="1"/>
  <c r="Z70" i="1"/>
  <c r="AA70" i="1"/>
  <c r="AB70" i="1"/>
  <c r="V71" i="1"/>
  <c r="W71" i="1"/>
  <c r="X71" i="1"/>
  <c r="Y71" i="1"/>
  <c r="Z71" i="1"/>
  <c r="AA71" i="1"/>
  <c r="AB71" i="1"/>
  <c r="V72" i="1"/>
  <c r="W72" i="1"/>
  <c r="X72" i="1"/>
  <c r="Y72" i="1"/>
  <c r="Z72" i="1"/>
  <c r="AA72" i="1"/>
  <c r="AB72" i="1"/>
  <c r="V73" i="1"/>
  <c r="W73" i="1"/>
  <c r="X73" i="1"/>
  <c r="Y73" i="1"/>
  <c r="Z73" i="1"/>
  <c r="AA73" i="1"/>
  <c r="AB73" i="1"/>
  <c r="V74" i="1"/>
  <c r="W74" i="1"/>
  <c r="X74" i="1"/>
  <c r="Y74" i="1"/>
  <c r="Z74" i="1"/>
  <c r="AA74" i="1"/>
  <c r="AB74" i="1"/>
  <c r="V75" i="1"/>
  <c r="W75" i="1"/>
  <c r="X75" i="1"/>
  <c r="Y75" i="1"/>
  <c r="Z75" i="1"/>
  <c r="AA75" i="1"/>
  <c r="AB75" i="1"/>
  <c r="V76" i="1"/>
  <c r="W76" i="1"/>
  <c r="X76" i="1"/>
  <c r="Y76" i="1"/>
  <c r="Z76" i="1"/>
  <c r="AA76" i="1"/>
  <c r="AB76" i="1"/>
  <c r="V77" i="1"/>
  <c r="W77" i="1"/>
  <c r="X77" i="1"/>
  <c r="Y77" i="1"/>
  <c r="Z77" i="1"/>
  <c r="AA77" i="1"/>
  <c r="AB77" i="1"/>
  <c r="V78" i="1"/>
  <c r="W78" i="1"/>
  <c r="X78" i="1"/>
  <c r="Y78" i="1"/>
  <c r="Z78" i="1"/>
  <c r="AA78" i="1"/>
  <c r="AB78" i="1"/>
  <c r="V79" i="1"/>
  <c r="W79" i="1"/>
  <c r="X79" i="1"/>
  <c r="Y79" i="1"/>
  <c r="Z79" i="1"/>
  <c r="AA79" i="1"/>
  <c r="AB79" i="1"/>
  <c r="V80" i="1"/>
  <c r="W80" i="1"/>
  <c r="X80" i="1"/>
  <c r="Y80" i="1"/>
  <c r="Z80" i="1"/>
  <c r="AA80" i="1"/>
  <c r="AB80" i="1"/>
  <c r="V81" i="1"/>
  <c r="W81" i="1"/>
  <c r="X81" i="1"/>
  <c r="Y81" i="1"/>
  <c r="Z81" i="1"/>
  <c r="AA81" i="1"/>
  <c r="AB81" i="1"/>
  <c r="V82" i="1"/>
  <c r="W82" i="1"/>
  <c r="X82" i="1"/>
  <c r="Y82" i="1"/>
  <c r="Z82" i="1"/>
  <c r="AA82" i="1"/>
  <c r="AB82" i="1"/>
  <c r="V83" i="1"/>
  <c r="W83" i="1"/>
  <c r="X83" i="1"/>
  <c r="Y83" i="1"/>
  <c r="Z83" i="1"/>
  <c r="AA83" i="1"/>
  <c r="AB83" i="1"/>
  <c r="V84" i="1"/>
  <c r="W84" i="1"/>
  <c r="X84" i="1"/>
  <c r="Y84" i="1"/>
  <c r="Z84" i="1"/>
  <c r="AA84" i="1"/>
  <c r="AB84" i="1"/>
  <c r="V85" i="1"/>
  <c r="W85" i="1"/>
  <c r="X85" i="1"/>
  <c r="Y85" i="1"/>
  <c r="Z85" i="1"/>
  <c r="AA85" i="1"/>
  <c r="AB85" i="1"/>
  <c r="V86" i="1"/>
  <c r="W86" i="1"/>
  <c r="X86" i="1"/>
  <c r="Y86" i="1"/>
  <c r="Z86" i="1"/>
  <c r="AA86" i="1"/>
  <c r="AB86" i="1"/>
  <c r="V87" i="1"/>
  <c r="W87" i="1"/>
  <c r="X87" i="1"/>
  <c r="Y87" i="1"/>
  <c r="Z87" i="1"/>
  <c r="AA87" i="1"/>
  <c r="AB87" i="1"/>
  <c r="V88" i="1"/>
  <c r="W88" i="1"/>
  <c r="X88" i="1"/>
  <c r="Y88" i="1"/>
  <c r="Z88" i="1"/>
  <c r="AA88" i="1"/>
  <c r="AB88" i="1"/>
  <c r="V89" i="1"/>
  <c r="W89" i="1"/>
  <c r="X89" i="1"/>
  <c r="Y89" i="1"/>
  <c r="Z89" i="1"/>
  <c r="AA89" i="1"/>
  <c r="AB89" i="1"/>
  <c r="V90" i="1"/>
  <c r="W90" i="1"/>
  <c r="X90" i="1"/>
  <c r="Y90" i="1"/>
  <c r="Z90" i="1"/>
  <c r="AA90" i="1"/>
  <c r="AB90" i="1"/>
  <c r="V91" i="1"/>
  <c r="W91" i="1"/>
  <c r="X91" i="1"/>
  <c r="Y91" i="1"/>
  <c r="Z91" i="1"/>
  <c r="AA91" i="1"/>
  <c r="AB91" i="1"/>
  <c r="V92" i="1"/>
  <c r="W92" i="1"/>
  <c r="X92" i="1"/>
  <c r="Y92" i="1"/>
  <c r="Z92" i="1"/>
  <c r="AA92" i="1"/>
  <c r="AB92" i="1"/>
  <c r="V93" i="1"/>
  <c r="W93" i="1"/>
  <c r="X93" i="1"/>
  <c r="Y93" i="1"/>
  <c r="Z93" i="1"/>
  <c r="AA93" i="1"/>
  <c r="AB93" i="1"/>
  <c r="V94" i="1"/>
  <c r="W94" i="1"/>
  <c r="X94" i="1"/>
  <c r="Y94" i="1"/>
  <c r="Z94" i="1"/>
  <c r="AA94" i="1"/>
  <c r="AB94" i="1"/>
  <c r="V95" i="1"/>
  <c r="W95" i="1"/>
  <c r="X95" i="1"/>
  <c r="Y95" i="1"/>
  <c r="Z95" i="1"/>
  <c r="AA95" i="1"/>
  <c r="AB95" i="1"/>
  <c r="V96" i="1"/>
  <c r="W96" i="1"/>
  <c r="X96" i="1"/>
  <c r="Y96" i="1"/>
  <c r="Z96" i="1"/>
  <c r="AA96" i="1"/>
  <c r="AB96" i="1"/>
  <c r="V97" i="1"/>
  <c r="W97" i="1"/>
  <c r="X97" i="1"/>
  <c r="Y97" i="1"/>
  <c r="Z97" i="1"/>
  <c r="AA97" i="1"/>
  <c r="AB97" i="1"/>
  <c r="V98" i="1"/>
  <c r="W98" i="1"/>
  <c r="X98" i="1"/>
  <c r="Y98" i="1"/>
  <c r="Z98" i="1"/>
  <c r="AA98" i="1"/>
  <c r="AB98" i="1"/>
  <c r="V99" i="1"/>
  <c r="W99" i="1"/>
  <c r="X99" i="1"/>
  <c r="Y99" i="1"/>
  <c r="Z99" i="1"/>
  <c r="AA99" i="1"/>
  <c r="AB99" i="1"/>
  <c r="V100" i="1"/>
  <c r="W100" i="1"/>
  <c r="X100" i="1"/>
  <c r="Y100" i="1"/>
  <c r="Z100" i="1"/>
  <c r="AA100" i="1"/>
  <c r="AB100" i="1"/>
  <c r="V101" i="1"/>
  <c r="W101" i="1"/>
  <c r="X101" i="1"/>
  <c r="Y101" i="1"/>
  <c r="Z101" i="1"/>
  <c r="AA101" i="1"/>
  <c r="AB101" i="1"/>
  <c r="V102" i="1"/>
  <c r="W102" i="1"/>
  <c r="X102" i="1"/>
  <c r="Y102" i="1"/>
  <c r="Z102" i="1"/>
  <c r="AA102" i="1"/>
  <c r="AB102" i="1"/>
  <c r="V103" i="1"/>
  <c r="W103" i="1"/>
  <c r="X103" i="1"/>
  <c r="Y103" i="1"/>
  <c r="Z103" i="1"/>
  <c r="AA103" i="1"/>
  <c r="AB103" i="1"/>
  <c r="V104" i="1"/>
  <c r="W104" i="1"/>
  <c r="X104" i="1"/>
  <c r="Y104" i="1"/>
  <c r="Z104" i="1"/>
  <c r="AA104" i="1"/>
  <c r="AB104" i="1"/>
  <c r="V105" i="1"/>
  <c r="W105" i="1"/>
  <c r="X105" i="1"/>
  <c r="Y105" i="1"/>
  <c r="Z105" i="1"/>
  <c r="AA105" i="1"/>
  <c r="AB105" i="1"/>
  <c r="V106" i="1"/>
  <c r="W106" i="1"/>
  <c r="X106" i="1"/>
  <c r="Y106" i="1"/>
  <c r="Z106" i="1"/>
  <c r="AA106" i="1"/>
  <c r="AB106" i="1"/>
  <c r="V107" i="1"/>
  <c r="W107" i="1"/>
  <c r="X107" i="1"/>
  <c r="Y107" i="1"/>
  <c r="Z107" i="1"/>
  <c r="AA107" i="1"/>
  <c r="AB107" i="1"/>
  <c r="V108" i="1"/>
  <c r="W108" i="1"/>
  <c r="X108" i="1"/>
  <c r="Y108" i="1"/>
  <c r="Z108" i="1"/>
  <c r="AA108" i="1"/>
  <c r="AB108" i="1"/>
  <c r="V109" i="1"/>
  <c r="W109" i="1"/>
  <c r="X109" i="1"/>
  <c r="Y109" i="1"/>
  <c r="Z109" i="1"/>
  <c r="AA109" i="1"/>
  <c r="AB109" i="1"/>
  <c r="V110" i="1"/>
  <c r="W110" i="1"/>
  <c r="X110" i="1"/>
  <c r="Y110" i="1"/>
  <c r="Z110" i="1"/>
  <c r="AA110" i="1"/>
  <c r="AB110" i="1"/>
  <c r="V111" i="1"/>
  <c r="W111" i="1"/>
  <c r="X111" i="1"/>
  <c r="Y111" i="1"/>
  <c r="Z111" i="1"/>
  <c r="AA111" i="1"/>
  <c r="AB111" i="1"/>
  <c r="V112" i="1"/>
  <c r="W112" i="1"/>
  <c r="X112" i="1"/>
  <c r="Y112" i="1"/>
  <c r="Z112" i="1"/>
  <c r="AA112" i="1"/>
  <c r="AB112" i="1"/>
  <c r="V113" i="1"/>
  <c r="W113" i="1"/>
  <c r="X113" i="1"/>
  <c r="Y113" i="1"/>
  <c r="Z113" i="1"/>
  <c r="AA113" i="1"/>
  <c r="AB113" i="1"/>
  <c r="V114" i="1"/>
  <c r="W114" i="1"/>
  <c r="X114" i="1"/>
  <c r="Y114" i="1"/>
  <c r="Z114" i="1"/>
  <c r="AA114" i="1"/>
  <c r="AB114" i="1"/>
  <c r="V115" i="1"/>
  <c r="W115" i="1"/>
  <c r="X115" i="1"/>
  <c r="Y115" i="1"/>
  <c r="Z115" i="1"/>
  <c r="AA115" i="1"/>
  <c r="AB115" i="1"/>
  <c r="V116" i="1"/>
  <c r="W116" i="1"/>
  <c r="X116" i="1"/>
  <c r="Y116" i="1"/>
  <c r="Z116" i="1"/>
  <c r="AA116" i="1"/>
  <c r="AB116" i="1"/>
  <c r="V117" i="1"/>
  <c r="W117" i="1"/>
  <c r="X117" i="1"/>
  <c r="Y117" i="1"/>
  <c r="Z117" i="1"/>
  <c r="AA117" i="1"/>
  <c r="AB117" i="1"/>
  <c r="V118" i="1"/>
  <c r="W118" i="1"/>
  <c r="X118" i="1"/>
  <c r="Y118" i="1"/>
  <c r="Z118" i="1"/>
  <c r="AA118" i="1"/>
  <c r="AB118" i="1"/>
  <c r="V119" i="1"/>
  <c r="W119" i="1"/>
  <c r="X119" i="1"/>
  <c r="Y119" i="1"/>
  <c r="Z119" i="1"/>
  <c r="AA119" i="1"/>
  <c r="AB119" i="1"/>
  <c r="V120" i="1"/>
  <c r="W120" i="1"/>
  <c r="X120" i="1"/>
  <c r="Y120" i="1"/>
  <c r="Z120" i="1"/>
  <c r="AA120" i="1"/>
  <c r="AB120" i="1"/>
  <c r="V121" i="1"/>
  <c r="W121" i="1"/>
  <c r="X121" i="1"/>
  <c r="Y121" i="1"/>
  <c r="Z121" i="1"/>
  <c r="AA121" i="1"/>
  <c r="AB121" i="1"/>
  <c r="V122" i="1"/>
  <c r="W122" i="1"/>
  <c r="X122" i="1"/>
  <c r="Y122" i="1"/>
  <c r="Z122" i="1"/>
  <c r="AA122" i="1"/>
  <c r="AB122" i="1"/>
  <c r="V123" i="1"/>
  <c r="W123" i="1"/>
  <c r="X123" i="1"/>
  <c r="Y123" i="1"/>
  <c r="Z123" i="1"/>
  <c r="AA123" i="1"/>
  <c r="AB123" i="1"/>
  <c r="V124" i="1"/>
  <c r="W124" i="1"/>
  <c r="X124" i="1"/>
  <c r="Y124" i="1"/>
  <c r="Z124" i="1"/>
  <c r="AA124" i="1"/>
  <c r="AB124" i="1"/>
  <c r="V125" i="1"/>
  <c r="W125" i="1"/>
  <c r="X125" i="1"/>
  <c r="Y125" i="1"/>
  <c r="Z125" i="1"/>
  <c r="AA125" i="1"/>
  <c r="AB125" i="1"/>
  <c r="V126" i="1"/>
  <c r="W126" i="1"/>
  <c r="X126" i="1"/>
  <c r="Y126" i="1"/>
  <c r="Z126" i="1"/>
  <c r="AA126" i="1"/>
  <c r="AB126" i="1"/>
  <c r="V127" i="1"/>
  <c r="W127" i="1"/>
  <c r="X127" i="1"/>
  <c r="Y127" i="1"/>
  <c r="Z127" i="1"/>
  <c r="AA127" i="1"/>
  <c r="AB127" i="1"/>
  <c r="V128" i="1"/>
  <c r="W128" i="1"/>
  <c r="X128" i="1"/>
  <c r="Y128" i="1"/>
  <c r="Z128" i="1"/>
  <c r="AA128" i="1"/>
  <c r="AB128" i="1"/>
  <c r="V129" i="1"/>
  <c r="W129" i="1"/>
  <c r="X129" i="1"/>
  <c r="Y129" i="1"/>
  <c r="Z129" i="1"/>
  <c r="AA129" i="1"/>
  <c r="AB129" i="1"/>
  <c r="V130" i="1"/>
  <c r="W130" i="1"/>
  <c r="X130" i="1"/>
  <c r="Y130" i="1"/>
  <c r="Z130" i="1"/>
  <c r="AA130" i="1"/>
  <c r="AB130" i="1"/>
  <c r="V131" i="1"/>
  <c r="W131" i="1"/>
  <c r="X131" i="1"/>
  <c r="Y131" i="1"/>
  <c r="Z131" i="1"/>
  <c r="AA131" i="1"/>
  <c r="AB131" i="1"/>
  <c r="V132" i="1"/>
  <c r="W132" i="1"/>
  <c r="X132" i="1"/>
  <c r="Y132" i="1"/>
  <c r="Z132" i="1"/>
  <c r="AA132" i="1"/>
  <c r="AB132" i="1"/>
  <c r="V133" i="1"/>
  <c r="W133" i="1"/>
  <c r="X133" i="1"/>
  <c r="Y133" i="1"/>
  <c r="Z133" i="1"/>
  <c r="AA133" i="1"/>
  <c r="AB133" i="1"/>
  <c r="V134" i="1"/>
  <c r="W134" i="1"/>
  <c r="X134" i="1"/>
  <c r="Y134" i="1"/>
  <c r="Z134" i="1"/>
  <c r="AA134" i="1"/>
  <c r="AB134" i="1"/>
  <c r="V135" i="1"/>
  <c r="W135" i="1"/>
  <c r="X135" i="1"/>
  <c r="Y135" i="1"/>
  <c r="Z135" i="1"/>
  <c r="AA135" i="1"/>
  <c r="AB135" i="1"/>
  <c r="V136" i="1"/>
  <c r="W136" i="1"/>
  <c r="X136" i="1"/>
  <c r="Y136" i="1"/>
  <c r="Z136" i="1"/>
  <c r="AA136" i="1"/>
  <c r="AB136" i="1"/>
  <c r="V137" i="1"/>
  <c r="W137" i="1"/>
  <c r="X137" i="1"/>
  <c r="Y137" i="1"/>
  <c r="Z137" i="1"/>
  <c r="AA137" i="1"/>
  <c r="AB137" i="1"/>
  <c r="V138" i="1"/>
  <c r="W138" i="1"/>
  <c r="X138" i="1"/>
  <c r="Y138" i="1"/>
  <c r="Z138" i="1"/>
  <c r="AA138" i="1"/>
  <c r="AB138" i="1"/>
  <c r="V139" i="1"/>
  <c r="W139" i="1"/>
  <c r="X139" i="1"/>
  <c r="Y139" i="1"/>
  <c r="Z139" i="1"/>
  <c r="AA139" i="1"/>
  <c r="AB139" i="1"/>
  <c r="V140" i="1"/>
  <c r="W140" i="1"/>
  <c r="X140" i="1"/>
  <c r="Y140" i="1"/>
  <c r="Z140" i="1"/>
  <c r="AA140" i="1"/>
  <c r="AB140" i="1"/>
  <c r="V141" i="1"/>
  <c r="W141" i="1"/>
  <c r="X141" i="1"/>
  <c r="Y141" i="1"/>
  <c r="Z141" i="1"/>
  <c r="AA141" i="1"/>
  <c r="AB141" i="1"/>
  <c r="V142" i="1"/>
  <c r="W142" i="1"/>
  <c r="X142" i="1"/>
  <c r="Y142" i="1"/>
  <c r="Z142" i="1"/>
  <c r="AA142" i="1"/>
  <c r="AB142" i="1"/>
  <c r="V143" i="1"/>
  <c r="W143" i="1"/>
  <c r="X143" i="1"/>
  <c r="Y143" i="1"/>
  <c r="Z143" i="1"/>
  <c r="AA143" i="1"/>
  <c r="AB143" i="1"/>
  <c r="V144" i="1"/>
  <c r="W144" i="1"/>
  <c r="X144" i="1"/>
  <c r="Y144" i="1"/>
  <c r="Z144" i="1"/>
  <c r="AA144" i="1"/>
  <c r="AB144" i="1"/>
  <c r="V145" i="1"/>
  <c r="W145" i="1"/>
  <c r="X145" i="1"/>
  <c r="Y145" i="1"/>
  <c r="Z145" i="1"/>
  <c r="AA145" i="1"/>
  <c r="AB145" i="1"/>
  <c r="V146" i="1"/>
  <c r="W146" i="1"/>
  <c r="X146" i="1"/>
  <c r="Y146" i="1"/>
  <c r="Z146" i="1"/>
  <c r="AA146" i="1"/>
  <c r="AB146" i="1"/>
  <c r="V147" i="1"/>
  <c r="W147" i="1"/>
  <c r="X147" i="1"/>
  <c r="Y147" i="1"/>
  <c r="Z147" i="1"/>
  <c r="AA147" i="1"/>
  <c r="AB147" i="1"/>
  <c r="V148" i="1"/>
  <c r="W148" i="1"/>
  <c r="X148" i="1"/>
  <c r="Y148" i="1"/>
  <c r="Z148" i="1"/>
  <c r="AA148" i="1"/>
  <c r="AB148" i="1"/>
  <c r="V149" i="1"/>
  <c r="W149" i="1"/>
  <c r="X149" i="1"/>
  <c r="Y149" i="1"/>
  <c r="Z149" i="1"/>
  <c r="AA149" i="1"/>
  <c r="AB149" i="1"/>
  <c r="V150" i="1"/>
  <c r="W150" i="1"/>
  <c r="X150" i="1"/>
  <c r="Y150" i="1"/>
  <c r="Z150" i="1"/>
  <c r="AA150" i="1"/>
  <c r="AB150" i="1"/>
  <c r="V151" i="1"/>
  <c r="W151" i="1"/>
  <c r="X151" i="1"/>
  <c r="Y151" i="1"/>
  <c r="Z151" i="1"/>
  <c r="AA151" i="1"/>
  <c r="AB151" i="1"/>
  <c r="V152" i="1"/>
  <c r="W152" i="1"/>
  <c r="X152" i="1"/>
  <c r="Y152" i="1"/>
  <c r="Z152" i="1"/>
  <c r="AA152" i="1"/>
  <c r="AB152" i="1"/>
  <c r="V153" i="1"/>
  <c r="W153" i="1"/>
  <c r="X153" i="1"/>
  <c r="Y153" i="1"/>
  <c r="Z153" i="1"/>
  <c r="AA153" i="1"/>
  <c r="AB153" i="1"/>
  <c r="V154" i="1"/>
  <c r="W154" i="1"/>
  <c r="X154" i="1"/>
  <c r="Y154" i="1"/>
  <c r="Z154" i="1"/>
  <c r="AA154" i="1"/>
  <c r="AB154" i="1"/>
  <c r="V155" i="1"/>
  <c r="W155" i="1"/>
  <c r="X155" i="1"/>
  <c r="Y155" i="1"/>
  <c r="Z155" i="1"/>
  <c r="AA155" i="1"/>
  <c r="AB155" i="1"/>
  <c r="V156" i="1"/>
  <c r="W156" i="1"/>
  <c r="X156" i="1"/>
  <c r="Y156" i="1"/>
  <c r="Z156" i="1"/>
  <c r="AA156" i="1"/>
  <c r="AB156" i="1"/>
  <c r="V157" i="1"/>
  <c r="W157" i="1"/>
  <c r="X157" i="1"/>
  <c r="Y157" i="1"/>
  <c r="Z157" i="1"/>
  <c r="AA157" i="1"/>
  <c r="AB157" i="1"/>
  <c r="V158" i="1"/>
  <c r="W158" i="1"/>
  <c r="X158" i="1"/>
  <c r="Y158" i="1"/>
  <c r="Z158" i="1"/>
  <c r="AA158" i="1"/>
  <c r="AB158" i="1"/>
  <c r="V159" i="1"/>
  <c r="W159" i="1"/>
  <c r="X159" i="1"/>
  <c r="Y159" i="1"/>
  <c r="Z159" i="1"/>
  <c r="AA159" i="1"/>
  <c r="AB159" i="1"/>
  <c r="V160" i="1"/>
  <c r="W160" i="1"/>
  <c r="X160" i="1"/>
  <c r="Y160" i="1"/>
  <c r="Z160" i="1"/>
  <c r="AA160" i="1"/>
  <c r="AB160" i="1"/>
  <c r="V161" i="1"/>
  <c r="W161" i="1"/>
  <c r="X161" i="1"/>
  <c r="Y161" i="1"/>
  <c r="Z161" i="1"/>
  <c r="AA161" i="1"/>
  <c r="AB161" i="1"/>
  <c r="V162" i="1"/>
  <c r="W162" i="1"/>
  <c r="X162" i="1"/>
  <c r="Y162" i="1"/>
  <c r="Z162" i="1"/>
  <c r="AA162" i="1"/>
  <c r="AB162" i="1"/>
  <c r="V163" i="1"/>
  <c r="W163" i="1"/>
  <c r="X163" i="1"/>
  <c r="Y163" i="1"/>
  <c r="Z163" i="1"/>
  <c r="AA163" i="1"/>
  <c r="AB163" i="1"/>
  <c r="V164" i="1"/>
  <c r="W164" i="1"/>
  <c r="X164" i="1"/>
  <c r="Y164" i="1"/>
  <c r="Z164" i="1"/>
  <c r="AA164" i="1"/>
  <c r="AB164" i="1"/>
  <c r="V165" i="1"/>
  <c r="W165" i="1"/>
  <c r="X165" i="1"/>
  <c r="Y165" i="1"/>
  <c r="Z165" i="1"/>
  <c r="AA165" i="1"/>
  <c r="AB165" i="1"/>
  <c r="V166" i="1"/>
  <c r="W166" i="1"/>
  <c r="X166" i="1"/>
  <c r="Y166" i="1"/>
  <c r="Z166" i="1"/>
  <c r="AA166" i="1"/>
  <c r="AB166" i="1"/>
  <c r="V167" i="1"/>
  <c r="W167" i="1"/>
  <c r="X167" i="1"/>
  <c r="Y167" i="1"/>
  <c r="Z167" i="1"/>
  <c r="AA167" i="1"/>
  <c r="AB167" i="1"/>
  <c r="V168" i="1"/>
  <c r="W168" i="1"/>
  <c r="X168" i="1"/>
  <c r="Y168" i="1"/>
  <c r="Z168" i="1"/>
  <c r="AA168" i="1"/>
  <c r="AB168" i="1"/>
  <c r="V169" i="1"/>
  <c r="W169" i="1"/>
  <c r="X169" i="1"/>
  <c r="Y169" i="1"/>
  <c r="Z169" i="1"/>
  <c r="AA169" i="1"/>
  <c r="AB169" i="1"/>
  <c r="V170" i="1"/>
  <c r="W170" i="1"/>
  <c r="X170" i="1"/>
  <c r="Y170" i="1"/>
  <c r="Z170" i="1"/>
  <c r="AA170" i="1"/>
  <c r="AB170" i="1"/>
  <c r="V171" i="1"/>
  <c r="W171" i="1"/>
  <c r="X171" i="1"/>
  <c r="Y171" i="1"/>
  <c r="Z171" i="1"/>
  <c r="AA171" i="1"/>
  <c r="AB171" i="1"/>
  <c r="V172" i="1"/>
  <c r="W172" i="1"/>
  <c r="X172" i="1"/>
  <c r="Y172" i="1"/>
  <c r="Z172" i="1"/>
  <c r="AA172" i="1"/>
  <c r="AB172" i="1"/>
  <c r="V173" i="1"/>
  <c r="W173" i="1"/>
  <c r="X173" i="1"/>
  <c r="Y173" i="1"/>
  <c r="Z173" i="1"/>
  <c r="AA173" i="1"/>
  <c r="AB173" i="1"/>
  <c r="V174" i="1"/>
  <c r="W174" i="1"/>
  <c r="X174" i="1"/>
  <c r="Y174" i="1"/>
  <c r="Z174" i="1"/>
  <c r="AA174" i="1"/>
  <c r="AB174" i="1"/>
  <c r="V175" i="1"/>
  <c r="W175" i="1"/>
  <c r="X175" i="1"/>
  <c r="Y175" i="1"/>
  <c r="Z175" i="1"/>
  <c r="AA175" i="1"/>
  <c r="AB175" i="1"/>
  <c r="V176" i="1"/>
  <c r="W176" i="1"/>
  <c r="X176" i="1"/>
  <c r="Y176" i="1"/>
  <c r="Z176" i="1"/>
  <c r="AA176" i="1"/>
  <c r="AB176" i="1"/>
  <c r="V177" i="1"/>
  <c r="W177" i="1"/>
  <c r="X177" i="1"/>
  <c r="Y177" i="1"/>
  <c r="Z177" i="1"/>
  <c r="AA177" i="1"/>
  <c r="AB177" i="1"/>
  <c r="V178" i="1"/>
  <c r="W178" i="1"/>
  <c r="X178" i="1"/>
  <c r="Y178" i="1"/>
  <c r="Z178" i="1"/>
  <c r="AA178" i="1"/>
  <c r="AB178" i="1"/>
  <c r="V179" i="1"/>
  <c r="W179" i="1"/>
  <c r="X179" i="1"/>
  <c r="Y179" i="1"/>
  <c r="Z179" i="1"/>
  <c r="AA179" i="1"/>
  <c r="AB179" i="1"/>
  <c r="V180" i="1"/>
  <c r="W180" i="1"/>
  <c r="X180" i="1"/>
  <c r="Y180" i="1"/>
  <c r="Z180" i="1"/>
  <c r="AA180" i="1"/>
  <c r="AB180" i="1"/>
  <c r="V181" i="1"/>
  <c r="W181" i="1"/>
  <c r="X181" i="1"/>
  <c r="Y181" i="1"/>
  <c r="Z181" i="1"/>
  <c r="AA181" i="1"/>
  <c r="AB181" i="1"/>
  <c r="V182" i="1"/>
  <c r="W182" i="1"/>
  <c r="X182" i="1"/>
  <c r="Y182" i="1"/>
  <c r="Z182" i="1"/>
  <c r="AA182" i="1"/>
  <c r="AB182" i="1"/>
  <c r="V183" i="1"/>
  <c r="W183" i="1"/>
  <c r="X183" i="1"/>
  <c r="Y183" i="1"/>
  <c r="Z183" i="1"/>
  <c r="AA183" i="1"/>
  <c r="AB183" i="1"/>
  <c r="V184" i="1"/>
  <c r="W184" i="1"/>
  <c r="X184" i="1"/>
  <c r="Y184" i="1"/>
  <c r="Z184" i="1"/>
  <c r="AA184" i="1"/>
  <c r="AB184" i="1"/>
  <c r="V185" i="1"/>
  <c r="W185" i="1"/>
  <c r="X185" i="1"/>
  <c r="Y185" i="1"/>
  <c r="Z185" i="1"/>
  <c r="AA185" i="1"/>
  <c r="AB185" i="1"/>
  <c r="V186" i="1"/>
  <c r="W186" i="1"/>
  <c r="X186" i="1"/>
  <c r="Y186" i="1"/>
  <c r="Z186" i="1"/>
  <c r="AA186" i="1"/>
  <c r="AB186" i="1"/>
  <c r="V187" i="1"/>
  <c r="W187" i="1"/>
  <c r="X187" i="1"/>
  <c r="Y187" i="1"/>
  <c r="Z187" i="1"/>
  <c r="AA187" i="1"/>
  <c r="AB187" i="1"/>
  <c r="V188" i="1"/>
  <c r="W188" i="1"/>
  <c r="X188" i="1"/>
  <c r="Y188" i="1"/>
  <c r="Z188" i="1"/>
  <c r="AA188" i="1"/>
  <c r="AB188" i="1"/>
  <c r="V189" i="1"/>
  <c r="W189" i="1"/>
  <c r="X189" i="1"/>
  <c r="Y189" i="1"/>
  <c r="Z189" i="1"/>
  <c r="AA189" i="1"/>
  <c r="AB189" i="1"/>
  <c r="V190" i="1"/>
  <c r="W190" i="1"/>
  <c r="X190" i="1"/>
  <c r="Y190" i="1"/>
  <c r="Z190" i="1"/>
  <c r="AA190" i="1"/>
  <c r="AB190" i="1"/>
  <c r="V191" i="1"/>
  <c r="W191" i="1"/>
  <c r="X191" i="1"/>
  <c r="Y191" i="1"/>
  <c r="Z191" i="1"/>
  <c r="AA191" i="1"/>
  <c r="AB191" i="1"/>
  <c r="V192" i="1"/>
  <c r="W192" i="1"/>
  <c r="X192" i="1"/>
  <c r="Y192" i="1"/>
  <c r="Z192" i="1"/>
  <c r="AA192" i="1"/>
  <c r="AB192" i="1"/>
  <c r="V193" i="1"/>
  <c r="W193" i="1"/>
  <c r="X193" i="1"/>
  <c r="Y193" i="1"/>
  <c r="Z193" i="1"/>
  <c r="AA193" i="1"/>
  <c r="AB193" i="1"/>
  <c r="V194" i="1"/>
  <c r="W194" i="1"/>
  <c r="X194" i="1"/>
  <c r="Y194" i="1"/>
  <c r="Z194" i="1"/>
  <c r="AA194" i="1"/>
  <c r="AB194" i="1"/>
  <c r="V195" i="1"/>
  <c r="W195" i="1"/>
  <c r="X195" i="1"/>
  <c r="Y195" i="1"/>
  <c r="Z195" i="1"/>
  <c r="AA195" i="1"/>
  <c r="AB195" i="1"/>
  <c r="V196" i="1"/>
  <c r="W196" i="1"/>
  <c r="X196" i="1"/>
  <c r="Y196" i="1"/>
  <c r="Z196" i="1"/>
  <c r="AA196" i="1"/>
  <c r="AB196" i="1"/>
  <c r="V197" i="1"/>
  <c r="W197" i="1"/>
  <c r="X197" i="1"/>
  <c r="Y197" i="1"/>
  <c r="Z197" i="1"/>
  <c r="AA197" i="1"/>
  <c r="AB197" i="1"/>
  <c r="V198" i="1"/>
  <c r="W198" i="1"/>
  <c r="X198" i="1"/>
  <c r="Y198" i="1"/>
  <c r="Z198" i="1"/>
  <c r="AA198" i="1"/>
  <c r="AB198" i="1"/>
  <c r="V199" i="1"/>
  <c r="W199" i="1"/>
  <c r="X199" i="1"/>
  <c r="Y199" i="1"/>
  <c r="Z199" i="1"/>
  <c r="AA199" i="1"/>
  <c r="AB199" i="1"/>
  <c r="V200" i="1"/>
  <c r="W200" i="1"/>
  <c r="X200" i="1"/>
  <c r="Y200" i="1"/>
  <c r="Z200" i="1"/>
  <c r="AA200" i="1"/>
  <c r="AB200" i="1"/>
  <c r="V201" i="1"/>
  <c r="W201" i="1"/>
  <c r="X201" i="1"/>
  <c r="Y201" i="1"/>
  <c r="Z201" i="1"/>
  <c r="AA201" i="1"/>
  <c r="AB201" i="1"/>
  <c r="V202" i="1"/>
  <c r="W202" i="1"/>
  <c r="X202" i="1"/>
  <c r="Y202" i="1"/>
  <c r="Z202" i="1"/>
  <c r="AA202" i="1"/>
  <c r="AB202" i="1"/>
  <c r="V203" i="1"/>
  <c r="W203" i="1"/>
  <c r="X203" i="1"/>
  <c r="Y203" i="1"/>
  <c r="Z203" i="1"/>
  <c r="AA203" i="1"/>
  <c r="AB203" i="1"/>
  <c r="V204" i="1"/>
  <c r="W204" i="1"/>
  <c r="X204" i="1"/>
  <c r="Y204" i="1"/>
  <c r="Z204" i="1"/>
  <c r="AA204" i="1"/>
  <c r="AB204" i="1"/>
  <c r="V205" i="1"/>
  <c r="W205" i="1"/>
  <c r="X205" i="1"/>
  <c r="Y205" i="1"/>
  <c r="Z205" i="1"/>
  <c r="AA205" i="1"/>
  <c r="AB205" i="1"/>
  <c r="V206" i="1"/>
  <c r="W206" i="1"/>
  <c r="X206" i="1"/>
  <c r="Y206" i="1"/>
  <c r="Z206" i="1"/>
  <c r="AA206" i="1"/>
  <c r="AB206" i="1"/>
  <c r="V207" i="1"/>
  <c r="W207" i="1"/>
  <c r="X207" i="1"/>
  <c r="Y207" i="1"/>
  <c r="Z207" i="1"/>
  <c r="AA207" i="1"/>
  <c r="AB207" i="1"/>
  <c r="V208" i="1"/>
  <c r="W208" i="1"/>
  <c r="X208" i="1"/>
  <c r="Y208" i="1"/>
  <c r="Z208" i="1"/>
  <c r="AA208" i="1"/>
  <c r="AB208" i="1"/>
  <c r="V209" i="1"/>
  <c r="W209" i="1"/>
  <c r="X209" i="1"/>
  <c r="Y209" i="1"/>
  <c r="Z209" i="1"/>
  <c r="AA209" i="1"/>
  <c r="AB209" i="1"/>
  <c r="V210" i="1"/>
  <c r="W210" i="1"/>
  <c r="X210" i="1"/>
  <c r="Y210" i="1"/>
  <c r="Z210" i="1"/>
  <c r="AA210" i="1"/>
  <c r="AB210" i="1"/>
  <c r="V211" i="1"/>
  <c r="W211" i="1"/>
  <c r="X211" i="1"/>
  <c r="Y211" i="1"/>
  <c r="Z211" i="1"/>
  <c r="AA211" i="1"/>
  <c r="AB211" i="1"/>
  <c r="V212" i="1"/>
  <c r="W212" i="1"/>
  <c r="X212" i="1"/>
  <c r="Y212" i="1"/>
  <c r="Z212" i="1"/>
  <c r="AA212" i="1"/>
  <c r="AB212" i="1"/>
  <c r="V213" i="1"/>
  <c r="W213" i="1"/>
  <c r="X213" i="1"/>
  <c r="Y213" i="1"/>
  <c r="Z213" i="1"/>
  <c r="AA213" i="1"/>
  <c r="AB213" i="1"/>
  <c r="V214" i="1"/>
  <c r="W214" i="1"/>
  <c r="X214" i="1"/>
  <c r="Y214" i="1"/>
  <c r="Z214" i="1"/>
  <c r="AA214" i="1"/>
  <c r="AB214" i="1"/>
  <c r="V215" i="1"/>
  <c r="W215" i="1"/>
  <c r="X215" i="1"/>
  <c r="Y215" i="1"/>
  <c r="Z215" i="1"/>
  <c r="AA215" i="1"/>
  <c r="AB215" i="1"/>
  <c r="V216" i="1"/>
  <c r="W216" i="1"/>
  <c r="X216" i="1"/>
  <c r="Y216" i="1"/>
  <c r="Z216" i="1"/>
  <c r="AA216" i="1"/>
  <c r="AB216" i="1"/>
  <c r="V217" i="1"/>
  <c r="W217" i="1"/>
  <c r="X217" i="1"/>
  <c r="Y217" i="1"/>
  <c r="Z217" i="1"/>
  <c r="AA217" i="1"/>
  <c r="AB217" i="1"/>
  <c r="V218" i="1"/>
  <c r="W218" i="1"/>
  <c r="X218" i="1"/>
  <c r="Y218" i="1"/>
  <c r="Z218" i="1"/>
  <c r="AA218" i="1"/>
  <c r="AB218" i="1"/>
  <c r="V219" i="1"/>
  <c r="W219" i="1"/>
  <c r="X219" i="1"/>
  <c r="Y219" i="1"/>
  <c r="Z219" i="1"/>
  <c r="AA219" i="1"/>
  <c r="AB219" i="1"/>
  <c r="V220" i="1"/>
  <c r="W220" i="1"/>
  <c r="X220" i="1"/>
  <c r="Y220" i="1"/>
  <c r="Z220" i="1"/>
  <c r="AA220" i="1"/>
  <c r="AB220" i="1"/>
  <c r="V221" i="1"/>
  <c r="W221" i="1"/>
  <c r="X221" i="1"/>
  <c r="Y221" i="1"/>
  <c r="Z221" i="1"/>
  <c r="AA221" i="1"/>
  <c r="AB221" i="1"/>
  <c r="V222" i="1"/>
  <c r="W222" i="1"/>
  <c r="X222" i="1"/>
  <c r="Y222" i="1"/>
  <c r="Z222" i="1"/>
  <c r="AA222" i="1"/>
  <c r="AB222" i="1"/>
  <c r="V223" i="1"/>
  <c r="W223" i="1"/>
  <c r="X223" i="1"/>
  <c r="Y223" i="1"/>
  <c r="Z223" i="1"/>
  <c r="AA223" i="1"/>
  <c r="AB223" i="1"/>
  <c r="V224" i="1"/>
  <c r="W224" i="1"/>
  <c r="X224" i="1"/>
  <c r="Y224" i="1"/>
  <c r="Z224" i="1"/>
  <c r="AA224" i="1"/>
  <c r="AB224" i="1"/>
  <c r="V225" i="1"/>
  <c r="W225" i="1"/>
  <c r="X225" i="1"/>
  <c r="Y225" i="1"/>
  <c r="Z225" i="1"/>
  <c r="AA225" i="1"/>
  <c r="AB225" i="1"/>
  <c r="V226" i="1"/>
  <c r="W226" i="1"/>
  <c r="X226" i="1"/>
  <c r="Y226" i="1"/>
  <c r="Z226" i="1"/>
  <c r="AA226" i="1"/>
  <c r="AB226" i="1"/>
  <c r="V227" i="1"/>
  <c r="W227" i="1"/>
  <c r="X227" i="1"/>
  <c r="Y227" i="1"/>
  <c r="Z227" i="1"/>
  <c r="AA227" i="1"/>
  <c r="AB227" i="1"/>
  <c r="V228" i="1"/>
  <c r="W228" i="1"/>
  <c r="X228" i="1"/>
  <c r="Y228" i="1"/>
  <c r="Z228" i="1"/>
  <c r="AA228" i="1"/>
  <c r="AB228" i="1"/>
  <c r="V229" i="1"/>
  <c r="W229" i="1"/>
  <c r="X229" i="1"/>
  <c r="Y229" i="1"/>
  <c r="Z229" i="1"/>
  <c r="AA229" i="1"/>
  <c r="AB229" i="1"/>
  <c r="V230" i="1"/>
  <c r="W230" i="1"/>
  <c r="X230" i="1"/>
  <c r="Y230" i="1"/>
  <c r="Z230" i="1"/>
  <c r="AA230" i="1"/>
  <c r="AB230" i="1"/>
  <c r="V231" i="1"/>
  <c r="W231" i="1"/>
  <c r="X231" i="1"/>
  <c r="Y231" i="1"/>
  <c r="Z231" i="1"/>
  <c r="AA231" i="1"/>
  <c r="AB231" i="1"/>
  <c r="V232" i="1"/>
  <c r="W232" i="1"/>
  <c r="X232" i="1"/>
  <c r="Y232" i="1"/>
  <c r="Z232" i="1"/>
  <c r="AA232" i="1"/>
  <c r="AB232" i="1"/>
  <c r="V233" i="1"/>
  <c r="W233" i="1"/>
  <c r="X233" i="1"/>
  <c r="Y233" i="1"/>
  <c r="Z233" i="1"/>
  <c r="AA233" i="1"/>
  <c r="AB233" i="1"/>
  <c r="V234" i="1"/>
  <c r="W234" i="1"/>
  <c r="X234" i="1"/>
  <c r="Y234" i="1"/>
  <c r="Z234" i="1"/>
  <c r="AA234" i="1"/>
  <c r="AB234" i="1"/>
  <c r="V235" i="1"/>
  <c r="W235" i="1"/>
  <c r="X235" i="1"/>
  <c r="Y235" i="1"/>
  <c r="Z235" i="1"/>
  <c r="AA235" i="1"/>
  <c r="AB235" i="1"/>
  <c r="V236" i="1"/>
  <c r="W236" i="1"/>
  <c r="X236" i="1"/>
  <c r="Y236" i="1"/>
  <c r="Z236" i="1"/>
  <c r="AA236" i="1"/>
  <c r="AB236" i="1"/>
  <c r="V237" i="1"/>
  <c r="W237" i="1"/>
  <c r="X237" i="1"/>
  <c r="Y237" i="1"/>
  <c r="Z237" i="1"/>
  <c r="AA237" i="1"/>
  <c r="AB237" i="1"/>
  <c r="V238" i="1"/>
  <c r="W238" i="1"/>
  <c r="X238" i="1"/>
  <c r="Y238" i="1"/>
  <c r="Z238" i="1"/>
  <c r="AA238" i="1"/>
  <c r="AB238" i="1"/>
  <c r="V239" i="1"/>
  <c r="W239" i="1"/>
  <c r="X239" i="1"/>
  <c r="Y239" i="1"/>
  <c r="Z239" i="1"/>
  <c r="AA239" i="1"/>
  <c r="AB239" i="1"/>
  <c r="V240" i="1"/>
  <c r="W240" i="1"/>
  <c r="X240" i="1"/>
  <c r="Y240" i="1"/>
  <c r="Z240" i="1"/>
  <c r="AA240" i="1"/>
  <c r="AB240" i="1"/>
  <c r="V241" i="1"/>
  <c r="W241" i="1"/>
  <c r="X241" i="1"/>
  <c r="Y241" i="1"/>
  <c r="Z241" i="1"/>
  <c r="AA241" i="1"/>
  <c r="AB241" i="1"/>
  <c r="V242" i="1"/>
  <c r="W242" i="1"/>
  <c r="X242" i="1"/>
  <c r="Y242" i="1"/>
  <c r="Z242" i="1"/>
  <c r="AA242" i="1"/>
  <c r="AB242" i="1"/>
  <c r="V243" i="1"/>
  <c r="W243" i="1"/>
  <c r="X243" i="1"/>
  <c r="Y243" i="1"/>
  <c r="Z243" i="1"/>
  <c r="AA243" i="1"/>
  <c r="AB243" i="1"/>
  <c r="V244" i="1"/>
  <c r="W244" i="1"/>
  <c r="X244" i="1"/>
  <c r="Y244" i="1"/>
  <c r="Z244" i="1"/>
  <c r="AA244" i="1"/>
  <c r="AB244" i="1"/>
  <c r="V245" i="1"/>
  <c r="W245" i="1"/>
  <c r="X245" i="1"/>
  <c r="Y245" i="1"/>
  <c r="Z245" i="1"/>
  <c r="AA245" i="1"/>
  <c r="AB245" i="1"/>
  <c r="V246" i="1"/>
  <c r="W246" i="1"/>
  <c r="X246" i="1"/>
  <c r="Y246" i="1"/>
  <c r="Z246" i="1"/>
  <c r="AA246" i="1"/>
  <c r="AB246" i="1"/>
  <c r="V247" i="1"/>
  <c r="W247" i="1"/>
  <c r="X247" i="1"/>
  <c r="Y247" i="1"/>
  <c r="Z247" i="1"/>
  <c r="AA247" i="1"/>
  <c r="AB247" i="1"/>
  <c r="V248" i="1"/>
  <c r="W248" i="1"/>
  <c r="X248" i="1"/>
  <c r="Y248" i="1"/>
  <c r="Z248" i="1"/>
  <c r="AA248" i="1"/>
  <c r="AB248" i="1"/>
  <c r="V249" i="1"/>
  <c r="W249" i="1"/>
  <c r="X249" i="1"/>
  <c r="Y249" i="1"/>
  <c r="Z249" i="1"/>
  <c r="AA249" i="1"/>
  <c r="AB249" i="1"/>
  <c r="V250" i="1"/>
  <c r="W250" i="1"/>
  <c r="X250" i="1"/>
  <c r="Y250" i="1"/>
  <c r="Z250" i="1"/>
  <c r="AA250" i="1"/>
  <c r="AB250" i="1"/>
  <c r="V251" i="1"/>
  <c r="W251" i="1"/>
  <c r="X251" i="1"/>
  <c r="Y251" i="1"/>
  <c r="Z251" i="1"/>
  <c r="AA251" i="1"/>
  <c r="AB251" i="1"/>
  <c r="V252" i="1"/>
  <c r="W252" i="1"/>
  <c r="X252" i="1"/>
  <c r="Y252" i="1"/>
  <c r="Z252" i="1"/>
  <c r="AA252" i="1"/>
  <c r="AB252" i="1"/>
  <c r="V253" i="1"/>
  <c r="W253" i="1"/>
  <c r="X253" i="1"/>
  <c r="Y253" i="1"/>
  <c r="Z253" i="1"/>
  <c r="AA253" i="1"/>
  <c r="AB253" i="1"/>
  <c r="V254" i="1"/>
  <c r="W254" i="1"/>
  <c r="X254" i="1"/>
  <c r="Y254" i="1"/>
  <c r="Z254" i="1"/>
  <c r="AA254" i="1"/>
  <c r="AB254" i="1"/>
  <c r="V255" i="1"/>
  <c r="W255" i="1"/>
  <c r="X255" i="1"/>
  <c r="Y255" i="1"/>
  <c r="Z255" i="1"/>
  <c r="AA255" i="1"/>
  <c r="AB255" i="1"/>
  <c r="V256" i="1"/>
  <c r="W256" i="1"/>
  <c r="X256" i="1"/>
  <c r="Y256" i="1"/>
  <c r="Z256" i="1"/>
  <c r="AA256" i="1"/>
  <c r="AB256" i="1"/>
  <c r="V257" i="1"/>
  <c r="W257" i="1"/>
  <c r="X257" i="1"/>
  <c r="Y257" i="1"/>
  <c r="Z257" i="1"/>
  <c r="AA257" i="1"/>
  <c r="AB257" i="1"/>
  <c r="V258" i="1"/>
  <c r="W258" i="1"/>
  <c r="X258" i="1"/>
  <c r="Y258" i="1"/>
  <c r="Z258" i="1"/>
  <c r="AA258" i="1"/>
  <c r="AB258" i="1"/>
  <c r="V259" i="1"/>
  <c r="W259" i="1"/>
  <c r="X259" i="1"/>
  <c r="Y259" i="1"/>
  <c r="Z259" i="1"/>
  <c r="AA259" i="1"/>
  <c r="AB259" i="1"/>
  <c r="V260" i="1"/>
  <c r="W260" i="1"/>
  <c r="X260" i="1"/>
  <c r="Y260" i="1"/>
  <c r="Z260" i="1"/>
  <c r="AA260" i="1"/>
  <c r="AB260" i="1"/>
  <c r="V261" i="1"/>
  <c r="W261" i="1"/>
  <c r="X261" i="1"/>
  <c r="Y261" i="1"/>
  <c r="Z261" i="1"/>
  <c r="AA261" i="1"/>
  <c r="AB261" i="1"/>
  <c r="V262" i="1"/>
  <c r="W262" i="1"/>
  <c r="X262" i="1"/>
  <c r="Y262" i="1"/>
  <c r="Z262" i="1"/>
  <c r="AA262" i="1"/>
  <c r="AB262" i="1"/>
  <c r="V263" i="1"/>
  <c r="W263" i="1"/>
  <c r="X263" i="1"/>
  <c r="Y263" i="1"/>
  <c r="Z263" i="1"/>
  <c r="AA263" i="1"/>
  <c r="AB263" i="1"/>
  <c r="V264" i="1"/>
  <c r="W264" i="1"/>
  <c r="X264" i="1"/>
  <c r="Y264" i="1"/>
  <c r="Z264" i="1"/>
  <c r="AA264" i="1"/>
  <c r="AB264" i="1"/>
  <c r="V265" i="1"/>
  <c r="W265" i="1"/>
  <c r="X265" i="1"/>
  <c r="Y265" i="1"/>
  <c r="Z265" i="1"/>
  <c r="AA265" i="1"/>
  <c r="AB265" i="1"/>
  <c r="V266" i="1"/>
  <c r="W266" i="1"/>
  <c r="X266" i="1"/>
  <c r="Y266" i="1"/>
  <c r="Z266" i="1"/>
  <c r="AA266" i="1"/>
  <c r="AB266" i="1"/>
  <c r="V267" i="1"/>
  <c r="W267" i="1"/>
  <c r="X267" i="1"/>
  <c r="Y267" i="1"/>
  <c r="Z267" i="1"/>
  <c r="AA267" i="1"/>
  <c r="AB267" i="1"/>
  <c r="V268" i="1"/>
  <c r="W268" i="1"/>
  <c r="X268" i="1"/>
  <c r="Y268" i="1"/>
  <c r="Z268" i="1"/>
  <c r="AA268" i="1"/>
  <c r="AB268" i="1"/>
  <c r="V269" i="1"/>
  <c r="W269" i="1"/>
  <c r="X269" i="1"/>
  <c r="Y269" i="1"/>
  <c r="Z269" i="1"/>
  <c r="AA269" i="1"/>
  <c r="AB269" i="1"/>
  <c r="V270" i="1"/>
  <c r="W270" i="1"/>
  <c r="X270" i="1"/>
  <c r="Y270" i="1"/>
  <c r="Z270" i="1"/>
  <c r="AA270" i="1"/>
  <c r="AB270" i="1"/>
  <c r="V271" i="1"/>
  <c r="W271" i="1"/>
  <c r="X271" i="1"/>
  <c r="Y271" i="1"/>
  <c r="Z271" i="1"/>
  <c r="AA271" i="1"/>
  <c r="AB271" i="1"/>
  <c r="V272" i="1"/>
  <c r="W272" i="1"/>
  <c r="X272" i="1"/>
  <c r="Y272" i="1"/>
  <c r="Z272" i="1"/>
  <c r="AA272" i="1"/>
  <c r="AB272" i="1"/>
  <c r="V273" i="1"/>
  <c r="W273" i="1"/>
  <c r="X273" i="1"/>
  <c r="Y273" i="1"/>
  <c r="Z273" i="1"/>
  <c r="AA273" i="1"/>
  <c r="AB273" i="1"/>
  <c r="V274" i="1"/>
  <c r="W274" i="1"/>
  <c r="X274" i="1"/>
  <c r="Y274" i="1"/>
  <c r="Z274" i="1"/>
  <c r="AA274" i="1"/>
  <c r="AB274" i="1"/>
  <c r="V275" i="1"/>
  <c r="W275" i="1"/>
  <c r="X275" i="1"/>
  <c r="Y275" i="1"/>
  <c r="Z275" i="1"/>
  <c r="AA275" i="1"/>
  <c r="AB275" i="1"/>
  <c r="V276" i="1"/>
  <c r="W276" i="1"/>
  <c r="X276" i="1"/>
  <c r="Y276" i="1"/>
  <c r="Z276" i="1"/>
  <c r="AA276" i="1"/>
  <c r="AB276" i="1"/>
  <c r="V277" i="1"/>
  <c r="W277" i="1"/>
  <c r="X277" i="1"/>
  <c r="Y277" i="1"/>
  <c r="Z277" i="1"/>
  <c r="AA277" i="1"/>
  <c r="AB277" i="1"/>
  <c r="V278" i="1"/>
  <c r="W278" i="1"/>
  <c r="X278" i="1"/>
  <c r="Y278" i="1"/>
  <c r="Z278" i="1"/>
  <c r="AA278" i="1"/>
  <c r="AB278" i="1"/>
  <c r="V279" i="1"/>
  <c r="W279" i="1"/>
  <c r="X279" i="1"/>
  <c r="Y279" i="1"/>
  <c r="Z279" i="1"/>
  <c r="AA279" i="1"/>
  <c r="AB279" i="1"/>
  <c r="V280" i="1"/>
  <c r="W280" i="1"/>
  <c r="X280" i="1"/>
  <c r="Y280" i="1"/>
  <c r="Z280" i="1"/>
  <c r="AA280" i="1"/>
  <c r="AB280" i="1"/>
  <c r="V281" i="1"/>
  <c r="W281" i="1"/>
  <c r="X281" i="1"/>
  <c r="Y281" i="1"/>
  <c r="Z281" i="1"/>
  <c r="AA281" i="1"/>
  <c r="AB281" i="1"/>
  <c r="V282" i="1"/>
  <c r="W282" i="1"/>
  <c r="X282" i="1"/>
  <c r="Y282" i="1"/>
  <c r="Z282" i="1"/>
  <c r="AA282" i="1"/>
  <c r="AB282" i="1"/>
  <c r="V283" i="1"/>
  <c r="W283" i="1"/>
  <c r="X283" i="1"/>
  <c r="Y283" i="1"/>
  <c r="Z283" i="1"/>
  <c r="AA283" i="1"/>
  <c r="AB283" i="1"/>
  <c r="V284" i="1"/>
  <c r="W284" i="1"/>
  <c r="X284" i="1"/>
  <c r="Y284" i="1"/>
  <c r="Z284" i="1"/>
  <c r="AA284" i="1"/>
  <c r="AB284" i="1"/>
  <c r="V285" i="1"/>
  <c r="W285" i="1"/>
  <c r="X285" i="1"/>
  <c r="Y285" i="1"/>
  <c r="Z285" i="1"/>
  <c r="AA285" i="1"/>
  <c r="AB285" i="1"/>
  <c r="V286" i="1"/>
  <c r="W286" i="1"/>
  <c r="X286" i="1"/>
  <c r="Y286" i="1"/>
  <c r="Z286" i="1"/>
  <c r="AA286" i="1"/>
  <c r="AB286" i="1"/>
  <c r="V287" i="1"/>
  <c r="W287" i="1"/>
  <c r="X287" i="1"/>
  <c r="Y287" i="1"/>
  <c r="Z287" i="1"/>
  <c r="AA287" i="1"/>
  <c r="AB287" i="1"/>
  <c r="V288" i="1"/>
  <c r="W288" i="1"/>
  <c r="X288" i="1"/>
  <c r="Y288" i="1"/>
  <c r="Z288" i="1"/>
  <c r="AA288" i="1"/>
  <c r="AB288" i="1"/>
  <c r="V289" i="1"/>
  <c r="W289" i="1"/>
  <c r="X289" i="1"/>
  <c r="Y289" i="1"/>
  <c r="Z289" i="1"/>
  <c r="AA289" i="1"/>
  <c r="AB289" i="1"/>
  <c r="V290" i="1"/>
  <c r="W290" i="1"/>
  <c r="X290" i="1"/>
  <c r="Y290" i="1"/>
  <c r="Z290" i="1"/>
  <c r="AA290" i="1"/>
  <c r="AB290" i="1"/>
  <c r="V291" i="1"/>
  <c r="W291" i="1"/>
  <c r="X291" i="1"/>
  <c r="Y291" i="1"/>
  <c r="Z291" i="1"/>
  <c r="AA291" i="1"/>
  <c r="AB291" i="1"/>
  <c r="V292" i="1"/>
  <c r="W292" i="1"/>
  <c r="X292" i="1"/>
  <c r="Y292" i="1"/>
  <c r="Z292" i="1"/>
  <c r="AA292" i="1"/>
  <c r="AB292" i="1"/>
  <c r="V293" i="1"/>
  <c r="W293" i="1"/>
  <c r="X293" i="1"/>
  <c r="Y293" i="1"/>
  <c r="Z293" i="1"/>
  <c r="AA293" i="1"/>
  <c r="AB293" i="1"/>
  <c r="V294" i="1"/>
  <c r="W294" i="1"/>
  <c r="X294" i="1"/>
  <c r="Y294" i="1"/>
  <c r="Z294" i="1"/>
  <c r="AA294" i="1"/>
  <c r="AB294" i="1"/>
  <c r="V295" i="1"/>
  <c r="W295" i="1"/>
  <c r="X295" i="1"/>
  <c r="Y295" i="1"/>
  <c r="Z295" i="1"/>
  <c r="AA295" i="1"/>
  <c r="AB295" i="1"/>
  <c r="V296" i="1"/>
  <c r="W296" i="1"/>
  <c r="X296" i="1"/>
  <c r="Y296" i="1"/>
  <c r="Z296" i="1"/>
  <c r="AA296" i="1"/>
  <c r="AB296" i="1"/>
  <c r="V297" i="1"/>
  <c r="W297" i="1"/>
  <c r="X297" i="1"/>
  <c r="Y297" i="1"/>
  <c r="Z297" i="1"/>
  <c r="AA297" i="1"/>
  <c r="AB297" i="1"/>
  <c r="V298" i="1"/>
  <c r="W298" i="1"/>
  <c r="X298" i="1"/>
  <c r="Y298" i="1"/>
  <c r="Z298" i="1"/>
  <c r="AA298" i="1"/>
  <c r="AB298" i="1"/>
  <c r="V299" i="1"/>
  <c r="W299" i="1"/>
  <c r="X299" i="1"/>
  <c r="Y299" i="1"/>
  <c r="Z299" i="1"/>
  <c r="AA299" i="1"/>
  <c r="AB299" i="1"/>
  <c r="V300" i="1"/>
  <c r="W300" i="1"/>
  <c r="X300" i="1"/>
  <c r="Y300" i="1"/>
  <c r="Z300" i="1"/>
  <c r="AA300" i="1"/>
  <c r="AB300" i="1"/>
  <c r="V301" i="1"/>
  <c r="W301" i="1"/>
  <c r="X301" i="1"/>
  <c r="Y301" i="1"/>
  <c r="Z301" i="1"/>
  <c r="AA301" i="1"/>
  <c r="AB301" i="1"/>
  <c r="V302" i="1"/>
  <c r="W302" i="1"/>
  <c r="X302" i="1"/>
  <c r="Y302" i="1"/>
  <c r="Z302" i="1"/>
  <c r="AA302" i="1"/>
  <c r="AB302" i="1"/>
  <c r="V303" i="1"/>
  <c r="W303" i="1"/>
  <c r="X303" i="1"/>
  <c r="Y303" i="1"/>
  <c r="Z303" i="1"/>
  <c r="AA303" i="1"/>
  <c r="AB303" i="1"/>
  <c r="V304" i="1"/>
  <c r="W304" i="1"/>
  <c r="X304" i="1"/>
  <c r="Y304" i="1"/>
  <c r="Z304" i="1"/>
  <c r="AA304" i="1"/>
  <c r="AB304" i="1"/>
  <c r="V305" i="1"/>
  <c r="W305" i="1"/>
  <c r="X305" i="1"/>
  <c r="Y305" i="1"/>
  <c r="Z305" i="1"/>
  <c r="AA305" i="1"/>
  <c r="AB305" i="1"/>
  <c r="V306" i="1"/>
  <c r="W306" i="1"/>
  <c r="X306" i="1"/>
  <c r="Y306" i="1"/>
  <c r="Z306" i="1"/>
  <c r="AA306" i="1"/>
  <c r="AB306" i="1"/>
  <c r="V307" i="1"/>
  <c r="W307" i="1"/>
  <c r="X307" i="1"/>
  <c r="Y307" i="1"/>
  <c r="Z307" i="1"/>
  <c r="AA307" i="1"/>
  <c r="AB307" i="1"/>
  <c r="V308" i="1"/>
  <c r="W308" i="1"/>
  <c r="X308" i="1"/>
  <c r="Y308" i="1"/>
  <c r="Z308" i="1"/>
  <c r="AA308" i="1"/>
  <c r="AB308" i="1"/>
  <c r="V309" i="1"/>
  <c r="W309" i="1"/>
  <c r="X309" i="1"/>
  <c r="Y309" i="1"/>
  <c r="Z309" i="1"/>
  <c r="AA309" i="1"/>
  <c r="AB309" i="1"/>
  <c r="V310" i="1"/>
  <c r="W310" i="1"/>
  <c r="X310" i="1"/>
  <c r="Y310" i="1"/>
  <c r="Z310" i="1"/>
  <c r="AA310" i="1"/>
  <c r="AB310" i="1"/>
  <c r="V311" i="1"/>
  <c r="W311" i="1"/>
  <c r="X311" i="1"/>
  <c r="Y311" i="1"/>
  <c r="Z311" i="1"/>
  <c r="AA311" i="1"/>
  <c r="AB311" i="1"/>
  <c r="V312" i="1"/>
  <c r="W312" i="1"/>
  <c r="X312" i="1"/>
  <c r="Y312" i="1"/>
  <c r="Z312" i="1"/>
  <c r="AA312" i="1"/>
  <c r="AB312" i="1"/>
  <c r="V313" i="1"/>
  <c r="W313" i="1"/>
  <c r="X313" i="1"/>
  <c r="Y313" i="1"/>
  <c r="Z313" i="1"/>
  <c r="AA313" i="1"/>
  <c r="AB313" i="1"/>
  <c r="V314" i="1"/>
  <c r="W314" i="1"/>
  <c r="X314" i="1"/>
  <c r="Y314" i="1"/>
  <c r="Z314" i="1"/>
  <c r="AA314" i="1"/>
  <c r="AB314" i="1"/>
  <c r="V315" i="1"/>
  <c r="W315" i="1"/>
  <c r="X315" i="1"/>
  <c r="Y315" i="1"/>
  <c r="Z315" i="1"/>
  <c r="AA315" i="1"/>
  <c r="AB315" i="1"/>
  <c r="V316" i="1"/>
  <c r="W316" i="1"/>
  <c r="X316" i="1"/>
  <c r="Y316" i="1"/>
  <c r="Z316" i="1"/>
  <c r="AA316" i="1"/>
  <c r="AB316" i="1"/>
  <c r="V317" i="1"/>
  <c r="W317" i="1"/>
  <c r="X317" i="1"/>
  <c r="Y317" i="1"/>
  <c r="Z317" i="1"/>
  <c r="AA317" i="1"/>
  <c r="AB317" i="1"/>
  <c r="V318" i="1"/>
  <c r="W318" i="1"/>
  <c r="X318" i="1"/>
  <c r="Y318" i="1"/>
  <c r="Z318" i="1"/>
  <c r="AA318" i="1"/>
  <c r="AB318" i="1"/>
  <c r="V319" i="1"/>
  <c r="W319" i="1"/>
  <c r="X319" i="1"/>
  <c r="Y319" i="1"/>
  <c r="Z319" i="1"/>
  <c r="AA319" i="1"/>
  <c r="AB319" i="1"/>
  <c r="V320" i="1"/>
  <c r="W320" i="1"/>
  <c r="X320" i="1"/>
  <c r="Y320" i="1"/>
  <c r="Z320" i="1"/>
  <c r="AA320" i="1"/>
  <c r="AB320" i="1"/>
  <c r="V321" i="1"/>
  <c r="W321" i="1"/>
  <c r="X321" i="1"/>
  <c r="Y321" i="1"/>
  <c r="Z321" i="1"/>
  <c r="AA321" i="1"/>
  <c r="AB321" i="1"/>
  <c r="V322" i="1"/>
  <c r="W322" i="1"/>
  <c r="X322" i="1"/>
  <c r="Y322" i="1"/>
  <c r="Z322" i="1"/>
  <c r="AA322" i="1"/>
  <c r="AB322" i="1"/>
  <c r="V323" i="1"/>
  <c r="W323" i="1"/>
  <c r="X323" i="1"/>
  <c r="Y323" i="1"/>
  <c r="Z323" i="1"/>
  <c r="AA323" i="1"/>
  <c r="AB323" i="1"/>
  <c r="V324" i="1"/>
  <c r="W324" i="1"/>
  <c r="X324" i="1"/>
  <c r="Y324" i="1"/>
  <c r="Z324" i="1"/>
  <c r="AA324" i="1"/>
  <c r="AB324" i="1"/>
  <c r="V325" i="1"/>
  <c r="W325" i="1"/>
  <c r="X325" i="1"/>
  <c r="Y325" i="1"/>
  <c r="Z325" i="1"/>
  <c r="AA325" i="1"/>
  <c r="AB325" i="1"/>
  <c r="V326" i="1"/>
  <c r="W326" i="1"/>
  <c r="X326" i="1"/>
  <c r="Y326" i="1"/>
  <c r="Z326" i="1"/>
  <c r="AA326" i="1"/>
  <c r="AB326" i="1"/>
  <c r="V327" i="1"/>
  <c r="W327" i="1"/>
  <c r="X327" i="1"/>
  <c r="Y327" i="1"/>
  <c r="Z327" i="1"/>
  <c r="AA327" i="1"/>
  <c r="AB327" i="1"/>
  <c r="V328" i="1"/>
  <c r="W328" i="1"/>
  <c r="X328" i="1"/>
  <c r="Y328" i="1"/>
  <c r="Z328" i="1"/>
  <c r="AA328" i="1"/>
  <c r="AB328" i="1"/>
  <c r="V329" i="1"/>
  <c r="W329" i="1"/>
  <c r="X329" i="1"/>
  <c r="Y329" i="1"/>
  <c r="Z329" i="1"/>
  <c r="AA329" i="1"/>
  <c r="AB329" i="1"/>
  <c r="V330" i="1"/>
  <c r="W330" i="1"/>
  <c r="X330" i="1"/>
  <c r="Y330" i="1"/>
  <c r="Z330" i="1"/>
  <c r="AA330" i="1"/>
  <c r="AB330" i="1"/>
  <c r="V331" i="1"/>
  <c r="W331" i="1"/>
  <c r="X331" i="1"/>
  <c r="Y331" i="1"/>
  <c r="Z331" i="1"/>
  <c r="AA331" i="1"/>
  <c r="AB331" i="1"/>
  <c r="V332" i="1"/>
  <c r="W332" i="1"/>
  <c r="X332" i="1"/>
  <c r="Y332" i="1"/>
  <c r="Z332" i="1"/>
  <c r="AA332" i="1"/>
  <c r="AB332" i="1"/>
  <c r="V333" i="1"/>
  <c r="W333" i="1"/>
  <c r="X333" i="1"/>
  <c r="Y333" i="1"/>
  <c r="Z333" i="1"/>
  <c r="AA333" i="1"/>
  <c r="AB333" i="1"/>
  <c r="V334" i="1"/>
  <c r="W334" i="1"/>
  <c r="X334" i="1"/>
  <c r="Y334" i="1"/>
  <c r="Z334" i="1"/>
  <c r="AA334" i="1"/>
  <c r="AB334" i="1"/>
  <c r="V335" i="1"/>
  <c r="W335" i="1"/>
  <c r="X335" i="1"/>
  <c r="Y335" i="1"/>
  <c r="Z335" i="1"/>
  <c r="AA335" i="1"/>
  <c r="AB335" i="1"/>
  <c r="V336" i="1"/>
  <c r="W336" i="1"/>
  <c r="X336" i="1"/>
  <c r="Y336" i="1"/>
  <c r="Z336" i="1"/>
  <c r="AA336" i="1"/>
  <c r="AB336" i="1"/>
  <c r="V337" i="1"/>
  <c r="W337" i="1"/>
  <c r="X337" i="1"/>
  <c r="Y337" i="1"/>
  <c r="Z337" i="1"/>
  <c r="AA337" i="1"/>
  <c r="AB337" i="1"/>
  <c r="V338" i="1"/>
  <c r="W338" i="1"/>
  <c r="X338" i="1"/>
  <c r="Y338" i="1"/>
  <c r="Z338" i="1"/>
  <c r="AA338" i="1"/>
  <c r="AB338" i="1"/>
  <c r="V339" i="1"/>
  <c r="W339" i="1"/>
  <c r="X339" i="1"/>
  <c r="Y339" i="1"/>
  <c r="Z339" i="1"/>
  <c r="AA339" i="1"/>
  <c r="AB339" i="1"/>
  <c r="V340" i="1"/>
  <c r="W340" i="1"/>
  <c r="X340" i="1"/>
  <c r="Y340" i="1"/>
  <c r="Z340" i="1"/>
  <c r="AA340" i="1"/>
  <c r="AB340" i="1"/>
  <c r="V341" i="1"/>
  <c r="W341" i="1"/>
  <c r="X341" i="1"/>
  <c r="Y341" i="1"/>
  <c r="Z341" i="1"/>
  <c r="AA341" i="1"/>
  <c r="AB341" i="1"/>
  <c r="V342" i="1"/>
  <c r="W342" i="1"/>
  <c r="X342" i="1"/>
  <c r="Y342" i="1"/>
  <c r="Z342" i="1"/>
  <c r="AA342" i="1"/>
  <c r="AB342" i="1"/>
  <c r="V343" i="1"/>
  <c r="W343" i="1"/>
  <c r="X343" i="1"/>
  <c r="Y343" i="1"/>
  <c r="Z343" i="1"/>
  <c r="AA343" i="1"/>
  <c r="AB343" i="1"/>
  <c r="V344" i="1"/>
  <c r="W344" i="1"/>
  <c r="X344" i="1"/>
  <c r="Y344" i="1"/>
  <c r="Z344" i="1"/>
  <c r="AA344" i="1"/>
  <c r="AB344" i="1"/>
  <c r="V345" i="1"/>
  <c r="W345" i="1"/>
  <c r="X345" i="1"/>
  <c r="Y345" i="1"/>
  <c r="Z345" i="1"/>
  <c r="AA345" i="1"/>
  <c r="AB345" i="1"/>
  <c r="V346" i="1"/>
  <c r="W346" i="1"/>
  <c r="X346" i="1"/>
  <c r="Y346" i="1"/>
  <c r="Z346" i="1"/>
  <c r="AA346" i="1"/>
  <c r="AB346" i="1"/>
  <c r="V347" i="1"/>
  <c r="W347" i="1"/>
  <c r="X347" i="1"/>
  <c r="Y347" i="1"/>
  <c r="Z347" i="1"/>
  <c r="AA347" i="1"/>
  <c r="AB347" i="1"/>
  <c r="V348" i="1"/>
  <c r="W348" i="1"/>
  <c r="X348" i="1"/>
  <c r="Y348" i="1"/>
  <c r="Z348" i="1"/>
  <c r="AA348" i="1"/>
  <c r="AB348" i="1"/>
  <c r="V349" i="1"/>
  <c r="W349" i="1"/>
  <c r="X349" i="1"/>
  <c r="Y349" i="1"/>
  <c r="Z349" i="1"/>
  <c r="AA349" i="1"/>
  <c r="AB349" i="1"/>
  <c r="V350" i="1"/>
  <c r="W350" i="1"/>
  <c r="X350" i="1"/>
  <c r="Y350" i="1"/>
  <c r="Z350" i="1"/>
  <c r="AA350" i="1"/>
  <c r="AB350" i="1"/>
  <c r="V351" i="1"/>
  <c r="W351" i="1"/>
  <c r="X351" i="1"/>
  <c r="Y351" i="1"/>
  <c r="Z351" i="1"/>
  <c r="AA351" i="1"/>
  <c r="AB351" i="1"/>
  <c r="V352" i="1"/>
  <c r="W352" i="1"/>
  <c r="X352" i="1"/>
  <c r="Y352" i="1"/>
  <c r="Z352" i="1"/>
  <c r="AA352" i="1"/>
  <c r="AB352" i="1"/>
  <c r="V353" i="1"/>
  <c r="W353" i="1"/>
  <c r="X353" i="1"/>
  <c r="Y353" i="1"/>
  <c r="Z353" i="1"/>
  <c r="AA353" i="1"/>
  <c r="AB353" i="1"/>
  <c r="V354" i="1"/>
  <c r="W354" i="1"/>
  <c r="X354" i="1"/>
  <c r="Y354" i="1"/>
  <c r="Z354" i="1"/>
  <c r="AA354" i="1"/>
  <c r="AB354" i="1"/>
  <c r="V355" i="1"/>
  <c r="W355" i="1"/>
  <c r="X355" i="1"/>
  <c r="Y355" i="1"/>
  <c r="Z355" i="1"/>
  <c r="AA355" i="1"/>
  <c r="AB355" i="1"/>
  <c r="V356" i="1"/>
  <c r="W356" i="1"/>
  <c r="X356" i="1"/>
  <c r="Y356" i="1"/>
  <c r="Z356" i="1"/>
  <c r="AA356" i="1"/>
  <c r="AB356" i="1"/>
  <c r="V357" i="1"/>
  <c r="W357" i="1"/>
  <c r="X357" i="1"/>
  <c r="Y357" i="1"/>
  <c r="Z357" i="1"/>
  <c r="AA357" i="1"/>
  <c r="AB357" i="1"/>
  <c r="V358" i="1"/>
  <c r="W358" i="1"/>
  <c r="X358" i="1"/>
  <c r="Y358" i="1"/>
  <c r="Z358" i="1"/>
  <c r="AA358" i="1"/>
  <c r="AB358" i="1"/>
  <c r="V359" i="1"/>
  <c r="W359" i="1"/>
  <c r="X359" i="1"/>
  <c r="Y359" i="1"/>
  <c r="Z359" i="1"/>
  <c r="AA359" i="1"/>
  <c r="AB359" i="1"/>
  <c r="V360" i="1"/>
  <c r="W360" i="1"/>
  <c r="X360" i="1"/>
  <c r="Y360" i="1"/>
  <c r="Z360" i="1"/>
  <c r="AA360" i="1"/>
  <c r="AB360" i="1"/>
  <c r="V361" i="1"/>
  <c r="W361" i="1"/>
  <c r="X361" i="1"/>
  <c r="Y361" i="1"/>
  <c r="Z361" i="1"/>
  <c r="AA361" i="1"/>
  <c r="AB361" i="1"/>
  <c r="V362" i="1"/>
  <c r="W362" i="1"/>
  <c r="X362" i="1"/>
  <c r="Y362" i="1"/>
  <c r="Z362" i="1"/>
  <c r="AA362" i="1"/>
  <c r="AB362" i="1"/>
  <c r="V363" i="1"/>
  <c r="W363" i="1"/>
  <c r="X363" i="1"/>
  <c r="Y363" i="1"/>
  <c r="Z363" i="1"/>
  <c r="AA363" i="1"/>
  <c r="AB363" i="1"/>
  <c r="V364" i="1"/>
  <c r="W364" i="1"/>
  <c r="X364" i="1"/>
  <c r="Y364" i="1"/>
  <c r="Z364" i="1"/>
  <c r="AA364" i="1"/>
  <c r="AB364" i="1"/>
  <c r="V365" i="1"/>
  <c r="W365" i="1"/>
  <c r="X365" i="1"/>
  <c r="Y365" i="1"/>
  <c r="Z365" i="1"/>
  <c r="AA365" i="1"/>
  <c r="AB365" i="1"/>
  <c r="V366" i="1"/>
  <c r="W366" i="1"/>
  <c r="X366" i="1"/>
  <c r="Y366" i="1"/>
  <c r="Z366" i="1"/>
  <c r="AA366" i="1"/>
  <c r="AB366" i="1"/>
  <c r="V367" i="1"/>
  <c r="W367" i="1"/>
  <c r="X367" i="1"/>
  <c r="Y367" i="1"/>
  <c r="Z367" i="1"/>
  <c r="AA367" i="1"/>
  <c r="AB367" i="1"/>
  <c r="V368" i="1"/>
  <c r="W368" i="1"/>
  <c r="X368" i="1"/>
  <c r="Y368" i="1"/>
  <c r="Z368" i="1"/>
  <c r="AA368" i="1"/>
  <c r="AB368" i="1"/>
  <c r="V369" i="1"/>
  <c r="W369" i="1"/>
  <c r="X369" i="1"/>
  <c r="Y369" i="1"/>
  <c r="Z369" i="1"/>
  <c r="AA369" i="1"/>
  <c r="AB369" i="1"/>
  <c r="V370" i="1"/>
  <c r="W370" i="1"/>
  <c r="X370" i="1"/>
  <c r="Y370" i="1"/>
  <c r="Z370" i="1"/>
  <c r="AA370" i="1"/>
  <c r="AB370" i="1"/>
  <c r="V371" i="1"/>
  <c r="W371" i="1"/>
  <c r="X371" i="1"/>
  <c r="Y371" i="1"/>
  <c r="Z371" i="1"/>
  <c r="AA371" i="1"/>
  <c r="AB371" i="1"/>
  <c r="V372" i="1"/>
  <c r="W372" i="1"/>
  <c r="X372" i="1"/>
  <c r="Y372" i="1"/>
  <c r="Z372" i="1"/>
  <c r="AA372" i="1"/>
  <c r="AB372" i="1"/>
  <c r="V373" i="1"/>
  <c r="W373" i="1"/>
  <c r="X373" i="1"/>
  <c r="Y373" i="1"/>
  <c r="Z373" i="1"/>
  <c r="AA373" i="1"/>
  <c r="AB373" i="1"/>
  <c r="V374" i="1"/>
  <c r="W374" i="1"/>
  <c r="X374" i="1"/>
  <c r="Y374" i="1"/>
  <c r="Z374" i="1"/>
  <c r="AA374" i="1"/>
  <c r="AB374" i="1"/>
  <c r="V375" i="1"/>
  <c r="W375" i="1"/>
  <c r="X375" i="1"/>
  <c r="Y375" i="1"/>
  <c r="Z375" i="1"/>
  <c r="AA375" i="1"/>
  <c r="AB375" i="1"/>
  <c r="V376" i="1"/>
  <c r="W376" i="1"/>
  <c r="X376" i="1"/>
  <c r="Y376" i="1"/>
  <c r="Z376" i="1"/>
  <c r="AA376" i="1"/>
  <c r="AB376" i="1"/>
  <c r="V377" i="1"/>
  <c r="W377" i="1"/>
  <c r="X377" i="1"/>
  <c r="Y377" i="1"/>
  <c r="Z377" i="1"/>
  <c r="AA377" i="1"/>
  <c r="AB377" i="1"/>
  <c r="V378" i="1"/>
  <c r="W378" i="1"/>
  <c r="X378" i="1"/>
  <c r="Y378" i="1"/>
  <c r="Z378" i="1"/>
  <c r="AA378" i="1"/>
  <c r="AB378" i="1"/>
  <c r="V379" i="1"/>
  <c r="W379" i="1"/>
  <c r="X379" i="1"/>
  <c r="Y379" i="1"/>
  <c r="Z379" i="1"/>
  <c r="AA379" i="1"/>
  <c r="AB379" i="1"/>
  <c r="V380" i="1"/>
  <c r="W380" i="1"/>
  <c r="X380" i="1"/>
  <c r="Y380" i="1"/>
  <c r="Z380" i="1"/>
  <c r="AA380" i="1"/>
  <c r="AB380" i="1"/>
  <c r="V381" i="1"/>
  <c r="W381" i="1"/>
  <c r="X381" i="1"/>
  <c r="Y381" i="1"/>
  <c r="Z381" i="1"/>
  <c r="AA381" i="1"/>
  <c r="AB381" i="1"/>
  <c r="V382" i="1"/>
  <c r="W382" i="1"/>
  <c r="X382" i="1"/>
  <c r="Y382" i="1"/>
  <c r="Z382" i="1"/>
  <c r="AA382" i="1"/>
  <c r="AB382" i="1"/>
  <c r="V383" i="1"/>
  <c r="W383" i="1"/>
  <c r="X383" i="1"/>
  <c r="Y383" i="1"/>
  <c r="Z383" i="1"/>
  <c r="AA383" i="1"/>
  <c r="AB383" i="1"/>
  <c r="V384" i="1"/>
  <c r="W384" i="1"/>
  <c r="X384" i="1"/>
  <c r="Y384" i="1"/>
  <c r="Z384" i="1"/>
  <c r="AA384" i="1"/>
  <c r="AB384" i="1"/>
  <c r="V385" i="1"/>
  <c r="W385" i="1"/>
  <c r="X385" i="1"/>
  <c r="Y385" i="1"/>
  <c r="Z385" i="1"/>
  <c r="AA385" i="1"/>
  <c r="AB385" i="1"/>
  <c r="V386" i="1"/>
  <c r="W386" i="1"/>
  <c r="X386" i="1"/>
  <c r="Y386" i="1"/>
  <c r="Z386" i="1"/>
  <c r="AA386" i="1"/>
  <c r="AB386" i="1"/>
  <c r="V387" i="1"/>
  <c r="W387" i="1"/>
  <c r="X387" i="1"/>
  <c r="Y387" i="1"/>
  <c r="Z387" i="1"/>
  <c r="AA387" i="1"/>
  <c r="AB387" i="1"/>
  <c r="V388" i="1"/>
  <c r="W388" i="1"/>
  <c r="X388" i="1"/>
  <c r="Y388" i="1"/>
  <c r="Z388" i="1"/>
  <c r="AA388" i="1"/>
  <c r="AB388" i="1"/>
  <c r="V389" i="1"/>
  <c r="W389" i="1"/>
  <c r="X389" i="1"/>
  <c r="Y389" i="1"/>
  <c r="Z389" i="1"/>
  <c r="AA389" i="1"/>
  <c r="AB389" i="1"/>
  <c r="V390" i="1"/>
  <c r="W390" i="1"/>
  <c r="X390" i="1"/>
  <c r="Y390" i="1"/>
  <c r="Z390" i="1"/>
  <c r="AA390" i="1"/>
  <c r="AB390" i="1"/>
  <c r="V391" i="1"/>
  <c r="W391" i="1"/>
  <c r="X391" i="1"/>
  <c r="Y391" i="1"/>
  <c r="Z391" i="1"/>
  <c r="AA391" i="1"/>
  <c r="AB391" i="1"/>
  <c r="V392" i="1"/>
  <c r="W392" i="1"/>
  <c r="X392" i="1"/>
  <c r="Y392" i="1"/>
  <c r="Z392" i="1"/>
  <c r="AA392" i="1"/>
  <c r="AB392" i="1"/>
  <c r="V393" i="1"/>
  <c r="W393" i="1"/>
  <c r="X393" i="1"/>
  <c r="Y393" i="1"/>
  <c r="Z393" i="1"/>
  <c r="AA393" i="1"/>
  <c r="AB393" i="1"/>
  <c r="V394" i="1"/>
  <c r="W394" i="1"/>
  <c r="X394" i="1"/>
  <c r="Y394" i="1"/>
  <c r="Z394" i="1"/>
  <c r="AA394" i="1"/>
  <c r="AB394" i="1"/>
  <c r="V395" i="1"/>
  <c r="W395" i="1"/>
  <c r="X395" i="1"/>
  <c r="Y395" i="1"/>
  <c r="Z395" i="1"/>
  <c r="AA395" i="1"/>
  <c r="AB395" i="1"/>
  <c r="V396" i="1"/>
  <c r="W396" i="1"/>
  <c r="X396" i="1"/>
  <c r="Y396" i="1"/>
  <c r="Z396" i="1"/>
  <c r="AA396" i="1"/>
  <c r="AB396" i="1"/>
  <c r="V397" i="1"/>
  <c r="W397" i="1"/>
  <c r="X397" i="1"/>
  <c r="Y397" i="1"/>
  <c r="Z397" i="1"/>
  <c r="AA397" i="1"/>
  <c r="AB397" i="1"/>
  <c r="V398" i="1"/>
  <c r="W398" i="1"/>
  <c r="X398" i="1"/>
  <c r="Y398" i="1"/>
  <c r="Z398" i="1"/>
  <c r="AA398" i="1"/>
  <c r="AB398" i="1"/>
  <c r="V399" i="1"/>
  <c r="W399" i="1"/>
  <c r="X399" i="1"/>
  <c r="Y399" i="1"/>
  <c r="Z399" i="1"/>
  <c r="AA399" i="1"/>
  <c r="AB399" i="1"/>
  <c r="V400" i="1"/>
  <c r="W400" i="1"/>
  <c r="X400" i="1"/>
  <c r="Y400" i="1"/>
  <c r="Z400" i="1"/>
  <c r="AA400" i="1"/>
  <c r="AB400" i="1"/>
  <c r="V401" i="1"/>
  <c r="W401" i="1"/>
  <c r="X401" i="1"/>
  <c r="Y401" i="1"/>
  <c r="Z401" i="1"/>
  <c r="AA401" i="1"/>
  <c r="AB401" i="1"/>
  <c r="V402" i="1"/>
  <c r="W402" i="1"/>
  <c r="X402" i="1"/>
  <c r="Y402" i="1"/>
  <c r="Z402" i="1"/>
  <c r="AA402" i="1"/>
  <c r="AB402" i="1"/>
  <c r="V403" i="1"/>
  <c r="W403" i="1"/>
  <c r="X403" i="1"/>
  <c r="Y403" i="1"/>
  <c r="Z403" i="1"/>
  <c r="AA403" i="1"/>
  <c r="AB403" i="1"/>
  <c r="V404" i="1"/>
  <c r="W404" i="1"/>
  <c r="X404" i="1"/>
  <c r="Y404" i="1"/>
  <c r="Z404" i="1"/>
  <c r="AA404" i="1"/>
  <c r="AB404" i="1"/>
  <c r="V405" i="1"/>
  <c r="W405" i="1"/>
  <c r="X405" i="1"/>
  <c r="Y405" i="1"/>
  <c r="Z405" i="1"/>
  <c r="AA405" i="1"/>
  <c r="AB405" i="1"/>
  <c r="V406" i="1"/>
  <c r="W406" i="1"/>
  <c r="X406" i="1"/>
  <c r="Y406" i="1"/>
  <c r="Z406" i="1"/>
  <c r="AA406" i="1"/>
  <c r="AB406" i="1"/>
  <c r="V407" i="1"/>
  <c r="W407" i="1"/>
  <c r="X407" i="1"/>
  <c r="Y407" i="1"/>
  <c r="Z407" i="1"/>
  <c r="AA407" i="1"/>
  <c r="AB407" i="1"/>
  <c r="V408" i="1"/>
  <c r="W408" i="1"/>
  <c r="X408" i="1"/>
  <c r="Y408" i="1"/>
  <c r="Z408" i="1"/>
  <c r="AA408" i="1"/>
  <c r="AB408" i="1"/>
  <c r="V409" i="1"/>
  <c r="W409" i="1"/>
  <c r="X409" i="1"/>
  <c r="Y409" i="1"/>
  <c r="Z409" i="1"/>
  <c r="AA409" i="1"/>
  <c r="AB409" i="1"/>
  <c r="V410" i="1"/>
  <c r="W410" i="1"/>
  <c r="X410" i="1"/>
  <c r="Y410" i="1"/>
  <c r="Z410" i="1"/>
  <c r="AA410" i="1"/>
  <c r="AB410" i="1"/>
  <c r="V411" i="1"/>
  <c r="W411" i="1"/>
  <c r="X411" i="1"/>
  <c r="Y411" i="1"/>
  <c r="Z411" i="1"/>
  <c r="AA411" i="1"/>
  <c r="AB411" i="1"/>
  <c r="V412" i="1"/>
  <c r="W412" i="1"/>
  <c r="X412" i="1"/>
  <c r="Y412" i="1"/>
  <c r="Z412" i="1"/>
  <c r="AA412" i="1"/>
  <c r="AB412" i="1"/>
  <c r="V413" i="1"/>
  <c r="W413" i="1"/>
  <c r="X413" i="1"/>
  <c r="Y413" i="1"/>
  <c r="Z413" i="1"/>
  <c r="AA413" i="1"/>
  <c r="AB413" i="1"/>
  <c r="V414" i="1"/>
  <c r="W414" i="1"/>
  <c r="X414" i="1"/>
  <c r="Y414" i="1"/>
  <c r="Z414" i="1"/>
  <c r="AA414" i="1"/>
  <c r="AB414" i="1"/>
  <c r="V415" i="1"/>
  <c r="W415" i="1"/>
  <c r="X415" i="1"/>
  <c r="Y415" i="1"/>
  <c r="Z415" i="1"/>
  <c r="AA415" i="1"/>
  <c r="AB415" i="1"/>
  <c r="V416" i="1"/>
  <c r="W416" i="1"/>
  <c r="X416" i="1"/>
  <c r="Y416" i="1"/>
  <c r="Z416" i="1"/>
  <c r="AA416" i="1"/>
  <c r="AB416" i="1"/>
  <c r="V417" i="1"/>
  <c r="W417" i="1"/>
  <c r="X417" i="1"/>
  <c r="Y417" i="1"/>
  <c r="Z417" i="1"/>
  <c r="AA417" i="1"/>
  <c r="AB417" i="1"/>
  <c r="V418" i="1"/>
  <c r="W418" i="1"/>
  <c r="X418" i="1"/>
  <c r="Y418" i="1"/>
  <c r="Z418" i="1"/>
  <c r="AA418" i="1"/>
  <c r="AB418" i="1"/>
  <c r="V419" i="1"/>
  <c r="W419" i="1"/>
  <c r="X419" i="1"/>
  <c r="Y419" i="1"/>
  <c r="Z419" i="1"/>
  <c r="AA419" i="1"/>
  <c r="AB419" i="1"/>
  <c r="V420" i="1"/>
  <c r="W420" i="1"/>
  <c r="X420" i="1"/>
  <c r="Y420" i="1"/>
  <c r="Z420" i="1"/>
  <c r="AA420" i="1"/>
  <c r="AB420" i="1"/>
  <c r="V421" i="1"/>
  <c r="W421" i="1"/>
  <c r="X421" i="1"/>
  <c r="Y421" i="1"/>
  <c r="Z421" i="1"/>
  <c r="AA421" i="1"/>
  <c r="AB421" i="1"/>
  <c r="V422" i="1"/>
  <c r="W422" i="1"/>
  <c r="X422" i="1"/>
  <c r="Y422" i="1"/>
  <c r="Z422" i="1"/>
  <c r="AA422" i="1"/>
  <c r="AB422" i="1"/>
  <c r="V423" i="1"/>
  <c r="W423" i="1"/>
  <c r="X423" i="1"/>
  <c r="Y423" i="1"/>
  <c r="Z423" i="1"/>
  <c r="AA423" i="1"/>
  <c r="AB423" i="1"/>
  <c r="V424" i="1"/>
  <c r="W424" i="1"/>
  <c r="X424" i="1"/>
  <c r="Y424" i="1"/>
  <c r="Z424" i="1"/>
  <c r="AA424" i="1"/>
  <c r="AB424" i="1"/>
  <c r="V425" i="1"/>
  <c r="W425" i="1"/>
  <c r="X425" i="1"/>
  <c r="Y425" i="1"/>
  <c r="Z425" i="1"/>
  <c r="AA425" i="1"/>
  <c r="AB425" i="1"/>
  <c r="V426" i="1"/>
  <c r="W426" i="1"/>
  <c r="X426" i="1"/>
  <c r="Y426" i="1"/>
  <c r="Z426" i="1"/>
  <c r="AA426" i="1"/>
  <c r="AB426" i="1"/>
  <c r="V427" i="1"/>
  <c r="W427" i="1"/>
  <c r="X427" i="1"/>
  <c r="Y427" i="1"/>
  <c r="Z427" i="1"/>
  <c r="AA427" i="1"/>
  <c r="AB427" i="1"/>
  <c r="V428" i="1"/>
  <c r="W428" i="1"/>
  <c r="X428" i="1"/>
  <c r="Y428" i="1"/>
  <c r="Z428" i="1"/>
  <c r="AA428" i="1"/>
  <c r="AB428" i="1"/>
  <c r="V429" i="1"/>
  <c r="W429" i="1"/>
  <c r="X429" i="1"/>
  <c r="Y429" i="1"/>
  <c r="Z429" i="1"/>
  <c r="AA429" i="1"/>
  <c r="AB429" i="1"/>
  <c r="V430" i="1"/>
  <c r="W430" i="1"/>
  <c r="X430" i="1"/>
  <c r="Y430" i="1"/>
  <c r="Z430" i="1"/>
  <c r="AA430" i="1"/>
  <c r="AB430" i="1"/>
  <c r="V431" i="1"/>
  <c r="W431" i="1"/>
  <c r="X431" i="1"/>
  <c r="Y431" i="1"/>
  <c r="Z431" i="1"/>
  <c r="AA431" i="1"/>
  <c r="AB431" i="1"/>
  <c r="V432" i="1"/>
  <c r="W432" i="1"/>
  <c r="X432" i="1"/>
  <c r="Y432" i="1"/>
  <c r="Z432" i="1"/>
  <c r="AA432" i="1"/>
  <c r="AB432" i="1"/>
  <c r="V433" i="1"/>
  <c r="W433" i="1"/>
  <c r="X433" i="1"/>
  <c r="Y433" i="1"/>
  <c r="Z433" i="1"/>
  <c r="AA433" i="1"/>
  <c r="AB433" i="1"/>
  <c r="V434" i="1"/>
  <c r="W434" i="1"/>
  <c r="X434" i="1"/>
  <c r="Y434" i="1"/>
  <c r="Z434" i="1"/>
  <c r="AA434" i="1"/>
  <c r="AB434" i="1"/>
  <c r="V435" i="1"/>
  <c r="W435" i="1"/>
  <c r="X435" i="1"/>
  <c r="Y435" i="1"/>
  <c r="Z435" i="1"/>
  <c r="AA435" i="1"/>
  <c r="AB435" i="1"/>
  <c r="V436" i="1"/>
  <c r="W436" i="1"/>
  <c r="X436" i="1"/>
  <c r="Y436" i="1"/>
  <c r="Z436" i="1"/>
  <c r="AA436" i="1"/>
  <c r="AB436" i="1"/>
  <c r="V437" i="1"/>
  <c r="W437" i="1"/>
  <c r="X437" i="1"/>
  <c r="Y437" i="1"/>
  <c r="Z437" i="1"/>
  <c r="AA437" i="1"/>
  <c r="AB437" i="1"/>
  <c r="V438" i="1"/>
  <c r="W438" i="1"/>
  <c r="X438" i="1"/>
  <c r="Y438" i="1"/>
  <c r="Z438" i="1"/>
  <c r="AA438" i="1"/>
  <c r="AB438" i="1"/>
  <c r="V439" i="1"/>
  <c r="W439" i="1"/>
  <c r="X439" i="1"/>
  <c r="Y439" i="1"/>
  <c r="Z439" i="1"/>
  <c r="AA439" i="1"/>
  <c r="AB439" i="1"/>
  <c r="V440" i="1"/>
  <c r="W440" i="1"/>
  <c r="X440" i="1"/>
  <c r="Y440" i="1"/>
  <c r="Z440" i="1"/>
  <c r="AA440" i="1"/>
  <c r="AB440" i="1"/>
  <c r="V441" i="1"/>
  <c r="W441" i="1"/>
  <c r="X441" i="1"/>
  <c r="Y441" i="1"/>
  <c r="Z441" i="1"/>
  <c r="AA441" i="1"/>
  <c r="AB441" i="1"/>
  <c r="V442" i="1"/>
  <c r="W442" i="1"/>
  <c r="X442" i="1"/>
  <c r="Y442" i="1"/>
  <c r="Z442" i="1"/>
  <c r="AA442" i="1"/>
  <c r="AB442" i="1"/>
  <c r="V443" i="1"/>
  <c r="W443" i="1"/>
  <c r="X443" i="1"/>
  <c r="Y443" i="1"/>
  <c r="Z443" i="1"/>
  <c r="AA443" i="1"/>
  <c r="AB443" i="1"/>
  <c r="V444" i="1"/>
  <c r="W444" i="1"/>
  <c r="X444" i="1"/>
  <c r="Y444" i="1"/>
  <c r="Z444" i="1"/>
  <c r="AA444" i="1"/>
  <c r="AB444" i="1"/>
  <c r="V445" i="1"/>
  <c r="W445" i="1"/>
  <c r="X445" i="1"/>
  <c r="Y445" i="1"/>
  <c r="Z445" i="1"/>
  <c r="AA445" i="1"/>
  <c r="AB445" i="1"/>
  <c r="V446" i="1"/>
  <c r="W446" i="1"/>
  <c r="X446" i="1"/>
  <c r="Y446" i="1"/>
  <c r="Z446" i="1"/>
  <c r="AA446" i="1"/>
  <c r="AB446" i="1"/>
  <c r="V447" i="1"/>
  <c r="W447" i="1"/>
  <c r="X447" i="1"/>
  <c r="Y447" i="1"/>
  <c r="Z447" i="1"/>
  <c r="AA447" i="1"/>
  <c r="AB447" i="1"/>
  <c r="V448" i="1"/>
  <c r="W448" i="1"/>
  <c r="X448" i="1"/>
  <c r="Y448" i="1"/>
  <c r="Z448" i="1"/>
  <c r="AA448" i="1"/>
  <c r="AB448" i="1"/>
  <c r="V449" i="1"/>
  <c r="W449" i="1"/>
  <c r="X449" i="1"/>
  <c r="Y449" i="1"/>
  <c r="Z449" i="1"/>
  <c r="AA449" i="1"/>
  <c r="AB449" i="1"/>
  <c r="V450" i="1"/>
  <c r="W450" i="1"/>
  <c r="X450" i="1"/>
  <c r="Y450" i="1"/>
  <c r="Z450" i="1"/>
  <c r="AA450" i="1"/>
  <c r="AB450" i="1"/>
  <c r="V451" i="1"/>
  <c r="W451" i="1"/>
  <c r="X451" i="1"/>
  <c r="Y451" i="1"/>
  <c r="Z451" i="1"/>
  <c r="AA451" i="1"/>
  <c r="AB451" i="1"/>
  <c r="V452" i="1"/>
  <c r="W452" i="1"/>
  <c r="X452" i="1"/>
  <c r="Y452" i="1"/>
  <c r="Z452" i="1"/>
  <c r="AA452" i="1"/>
  <c r="AB452" i="1"/>
  <c r="V453" i="1"/>
  <c r="W453" i="1"/>
  <c r="X453" i="1"/>
  <c r="Y453" i="1"/>
  <c r="Z453" i="1"/>
  <c r="AA453" i="1"/>
  <c r="AB453" i="1"/>
  <c r="V454" i="1"/>
  <c r="W454" i="1"/>
  <c r="X454" i="1"/>
  <c r="Y454" i="1"/>
  <c r="Z454" i="1"/>
  <c r="AA454" i="1"/>
  <c r="AB454" i="1"/>
  <c r="V455" i="1"/>
  <c r="W455" i="1"/>
  <c r="X455" i="1"/>
  <c r="Y455" i="1"/>
  <c r="Z455" i="1"/>
  <c r="AA455" i="1"/>
  <c r="AB455" i="1"/>
  <c r="V456" i="1"/>
  <c r="W456" i="1"/>
  <c r="X456" i="1"/>
  <c r="Y456" i="1"/>
  <c r="Z456" i="1"/>
  <c r="AA456" i="1"/>
  <c r="AB456" i="1"/>
  <c r="V457" i="1"/>
  <c r="W457" i="1"/>
  <c r="X457" i="1"/>
  <c r="Y457" i="1"/>
  <c r="Z457" i="1"/>
  <c r="AA457" i="1"/>
  <c r="AB457" i="1"/>
  <c r="V458" i="1"/>
  <c r="W458" i="1"/>
  <c r="X458" i="1"/>
  <c r="Y458" i="1"/>
  <c r="Z458" i="1"/>
  <c r="AA458" i="1"/>
  <c r="AB458" i="1"/>
  <c r="V459" i="1"/>
  <c r="W459" i="1"/>
  <c r="X459" i="1"/>
  <c r="Y459" i="1"/>
  <c r="Z459" i="1"/>
  <c r="AA459" i="1"/>
  <c r="AB459" i="1"/>
  <c r="V460" i="1"/>
  <c r="W460" i="1"/>
  <c r="X460" i="1"/>
  <c r="Y460" i="1"/>
  <c r="Z460" i="1"/>
  <c r="AA460" i="1"/>
  <c r="AB460" i="1"/>
  <c r="V461" i="1"/>
  <c r="W461" i="1"/>
  <c r="X461" i="1"/>
  <c r="Y461" i="1"/>
  <c r="Z461" i="1"/>
  <c r="AA461" i="1"/>
  <c r="AB461" i="1"/>
  <c r="V462" i="1"/>
  <c r="W462" i="1"/>
  <c r="X462" i="1"/>
  <c r="Y462" i="1"/>
  <c r="Z462" i="1"/>
  <c r="AA462" i="1"/>
  <c r="AB462" i="1"/>
  <c r="V463" i="1"/>
  <c r="W463" i="1"/>
  <c r="X463" i="1"/>
  <c r="Y463" i="1"/>
  <c r="Z463" i="1"/>
  <c r="AA463" i="1"/>
  <c r="AB463" i="1"/>
  <c r="V464" i="1"/>
  <c r="W464" i="1"/>
  <c r="X464" i="1"/>
  <c r="Y464" i="1"/>
  <c r="Z464" i="1"/>
  <c r="AA464" i="1"/>
  <c r="AB464" i="1"/>
  <c r="V465" i="1"/>
  <c r="W465" i="1"/>
  <c r="X465" i="1"/>
  <c r="Y465" i="1"/>
  <c r="Z465" i="1"/>
  <c r="AA465" i="1"/>
  <c r="AB465" i="1"/>
  <c r="V466" i="1"/>
  <c r="W466" i="1"/>
  <c r="X466" i="1"/>
  <c r="Y466" i="1"/>
  <c r="Z466" i="1"/>
  <c r="AA466" i="1"/>
  <c r="AB466" i="1"/>
  <c r="V467" i="1"/>
  <c r="W467" i="1"/>
  <c r="X467" i="1"/>
  <c r="Y467" i="1"/>
  <c r="Z467" i="1"/>
  <c r="AA467" i="1"/>
  <c r="AB467" i="1"/>
  <c r="V468" i="1"/>
  <c r="W468" i="1"/>
  <c r="X468" i="1"/>
  <c r="Y468" i="1"/>
  <c r="Z468" i="1"/>
  <c r="AA468" i="1"/>
  <c r="AB468" i="1"/>
  <c r="V469" i="1"/>
  <c r="W469" i="1"/>
  <c r="X469" i="1"/>
  <c r="Y469" i="1"/>
  <c r="Z469" i="1"/>
  <c r="AA469" i="1"/>
  <c r="AB469" i="1"/>
  <c r="V470" i="1"/>
  <c r="W470" i="1"/>
  <c r="X470" i="1"/>
  <c r="Y470" i="1"/>
  <c r="Z470" i="1"/>
  <c r="AA470" i="1"/>
  <c r="AB470" i="1"/>
  <c r="V471" i="1"/>
  <c r="W471" i="1"/>
  <c r="X471" i="1"/>
  <c r="Y471" i="1"/>
  <c r="Z471" i="1"/>
  <c r="AA471" i="1"/>
  <c r="AB471" i="1"/>
  <c r="V472" i="1"/>
  <c r="W472" i="1"/>
  <c r="X472" i="1"/>
  <c r="Y472" i="1"/>
  <c r="Z472" i="1"/>
  <c r="AA472" i="1"/>
  <c r="AB472" i="1"/>
  <c r="V473" i="1"/>
  <c r="W473" i="1"/>
  <c r="X473" i="1"/>
  <c r="Y473" i="1"/>
  <c r="Z473" i="1"/>
  <c r="AA473" i="1"/>
  <c r="AB473" i="1"/>
  <c r="V474" i="1"/>
  <c r="W474" i="1"/>
  <c r="X474" i="1"/>
  <c r="Y474" i="1"/>
  <c r="Z474" i="1"/>
  <c r="AA474" i="1"/>
  <c r="AB474" i="1"/>
  <c r="V475" i="1"/>
  <c r="W475" i="1"/>
  <c r="X475" i="1"/>
  <c r="Y475" i="1"/>
  <c r="Z475" i="1"/>
  <c r="AA475" i="1"/>
  <c r="AB475" i="1"/>
  <c r="V476" i="1"/>
  <c r="W476" i="1"/>
  <c r="X476" i="1"/>
  <c r="Y476" i="1"/>
  <c r="Z476" i="1"/>
  <c r="AA476" i="1"/>
  <c r="AB476" i="1"/>
  <c r="V477" i="1"/>
  <c r="W477" i="1"/>
  <c r="X477" i="1"/>
  <c r="Y477" i="1"/>
  <c r="Z477" i="1"/>
  <c r="AA477" i="1"/>
  <c r="AB477" i="1"/>
  <c r="V478" i="1"/>
  <c r="W478" i="1"/>
  <c r="X478" i="1"/>
  <c r="Y478" i="1"/>
  <c r="Z478" i="1"/>
  <c r="AA478" i="1"/>
  <c r="AB478" i="1"/>
  <c r="V479" i="1"/>
  <c r="W479" i="1"/>
  <c r="X479" i="1"/>
  <c r="Y479" i="1"/>
  <c r="Z479" i="1"/>
  <c r="AA479" i="1"/>
  <c r="AB479" i="1"/>
  <c r="V480" i="1"/>
  <c r="W480" i="1"/>
  <c r="X480" i="1"/>
  <c r="Y480" i="1"/>
  <c r="Z480" i="1"/>
  <c r="AA480" i="1"/>
  <c r="AB480" i="1"/>
  <c r="V481" i="1"/>
  <c r="W481" i="1"/>
  <c r="X481" i="1"/>
  <c r="Y481" i="1"/>
  <c r="Z481" i="1"/>
  <c r="AA481" i="1"/>
  <c r="AB481" i="1"/>
  <c r="V482" i="1"/>
  <c r="W482" i="1"/>
  <c r="X482" i="1"/>
  <c r="Y482" i="1"/>
  <c r="Z482" i="1"/>
  <c r="AA482" i="1"/>
  <c r="AB482" i="1"/>
  <c r="V483" i="1"/>
  <c r="W483" i="1"/>
  <c r="X483" i="1"/>
  <c r="Y483" i="1"/>
  <c r="Z483" i="1"/>
  <c r="AA483" i="1"/>
  <c r="AB483" i="1"/>
  <c r="V484" i="1"/>
  <c r="W484" i="1"/>
  <c r="X484" i="1"/>
  <c r="Y484" i="1"/>
  <c r="Z484" i="1"/>
  <c r="AA484" i="1"/>
  <c r="AB484" i="1"/>
  <c r="V485" i="1"/>
  <c r="W485" i="1"/>
  <c r="X485" i="1"/>
  <c r="Y485" i="1"/>
  <c r="Z485" i="1"/>
  <c r="AA485" i="1"/>
  <c r="AB485" i="1"/>
  <c r="V486" i="1"/>
  <c r="W486" i="1"/>
  <c r="X486" i="1"/>
  <c r="Y486" i="1"/>
  <c r="Z486" i="1"/>
  <c r="AA486" i="1"/>
  <c r="AB486" i="1"/>
  <c r="V487" i="1"/>
  <c r="W487" i="1"/>
  <c r="X487" i="1"/>
  <c r="Y487" i="1"/>
  <c r="Z487" i="1"/>
  <c r="AA487" i="1"/>
  <c r="AB487" i="1"/>
  <c r="V488" i="1"/>
  <c r="W488" i="1"/>
  <c r="X488" i="1"/>
  <c r="Y488" i="1"/>
  <c r="Z488" i="1"/>
  <c r="AA488" i="1"/>
  <c r="AB488" i="1"/>
  <c r="V489" i="1"/>
  <c r="W489" i="1"/>
  <c r="X489" i="1"/>
  <c r="Y489" i="1"/>
  <c r="Z489" i="1"/>
  <c r="AA489" i="1"/>
  <c r="AB489" i="1"/>
  <c r="V490" i="1"/>
  <c r="W490" i="1"/>
  <c r="X490" i="1"/>
  <c r="Y490" i="1"/>
  <c r="Z490" i="1"/>
  <c r="AA490" i="1"/>
  <c r="AB490" i="1"/>
  <c r="V491" i="1"/>
  <c r="W491" i="1"/>
  <c r="X491" i="1"/>
  <c r="Y491" i="1"/>
  <c r="Z491" i="1"/>
  <c r="AA491" i="1"/>
  <c r="AB491" i="1"/>
  <c r="V492" i="1"/>
  <c r="W492" i="1"/>
  <c r="X492" i="1"/>
  <c r="Y492" i="1"/>
  <c r="Z492" i="1"/>
  <c r="AA492" i="1"/>
  <c r="AB492" i="1"/>
  <c r="V493" i="1"/>
  <c r="W493" i="1"/>
  <c r="X493" i="1"/>
  <c r="Y493" i="1"/>
  <c r="Z493" i="1"/>
  <c r="AA493" i="1"/>
  <c r="AB493" i="1"/>
  <c r="V494" i="1"/>
  <c r="W494" i="1"/>
  <c r="X494" i="1"/>
  <c r="Y494" i="1"/>
  <c r="Z494" i="1"/>
  <c r="AA494" i="1"/>
  <c r="AB494" i="1"/>
  <c r="V495" i="1"/>
  <c r="W495" i="1"/>
  <c r="X495" i="1"/>
  <c r="Y495" i="1"/>
  <c r="Z495" i="1"/>
  <c r="AA495" i="1"/>
  <c r="AB495" i="1"/>
  <c r="V496" i="1"/>
  <c r="W496" i="1"/>
  <c r="X496" i="1"/>
  <c r="Y496" i="1"/>
  <c r="Z496" i="1"/>
  <c r="AA496" i="1"/>
  <c r="AB496" i="1"/>
  <c r="V497" i="1"/>
  <c r="W497" i="1"/>
  <c r="X497" i="1"/>
  <c r="Y497" i="1"/>
  <c r="Z497" i="1"/>
  <c r="AA497" i="1"/>
  <c r="AB497" i="1"/>
  <c r="V498" i="1"/>
  <c r="W498" i="1"/>
  <c r="X498" i="1"/>
  <c r="Y498" i="1"/>
  <c r="Z498" i="1"/>
  <c r="AA498" i="1"/>
  <c r="AB498" i="1"/>
  <c r="V499" i="1"/>
  <c r="W499" i="1"/>
  <c r="X499" i="1"/>
  <c r="Y499" i="1"/>
  <c r="Z499" i="1"/>
  <c r="AA499" i="1"/>
  <c r="AB499" i="1"/>
  <c r="V500" i="1"/>
  <c r="W500" i="1"/>
  <c r="X500" i="1"/>
  <c r="Y500" i="1"/>
  <c r="Z500" i="1"/>
  <c r="AA500" i="1"/>
  <c r="AB500" i="1"/>
  <c r="V501" i="1"/>
  <c r="W501" i="1"/>
  <c r="X501" i="1"/>
  <c r="Y501" i="1"/>
  <c r="Z501" i="1"/>
  <c r="AA501" i="1"/>
  <c r="AB501" i="1"/>
  <c r="V502" i="1"/>
  <c r="W502" i="1"/>
  <c r="X502" i="1"/>
  <c r="Y502" i="1"/>
  <c r="Z502" i="1"/>
  <c r="AA502" i="1"/>
  <c r="AB502" i="1"/>
  <c r="V503" i="1"/>
  <c r="W503" i="1"/>
  <c r="X503" i="1"/>
  <c r="Y503" i="1"/>
  <c r="Z503" i="1"/>
  <c r="AA503" i="1"/>
  <c r="AB503" i="1"/>
  <c r="V504" i="1"/>
  <c r="W504" i="1"/>
  <c r="X504" i="1"/>
  <c r="Y504" i="1"/>
  <c r="Z504" i="1"/>
  <c r="AA504" i="1"/>
  <c r="AB504" i="1"/>
  <c r="V505" i="1"/>
  <c r="W505" i="1"/>
  <c r="X505" i="1"/>
  <c r="Y505" i="1"/>
  <c r="Z505" i="1"/>
  <c r="AA505" i="1"/>
  <c r="AB505" i="1"/>
  <c r="V506" i="1"/>
  <c r="W506" i="1"/>
  <c r="X506" i="1"/>
  <c r="Y506" i="1"/>
  <c r="Z506" i="1"/>
  <c r="AA506" i="1"/>
  <c r="AB506" i="1"/>
  <c r="V507" i="1"/>
  <c r="W507" i="1"/>
  <c r="X507" i="1"/>
  <c r="Y507" i="1"/>
  <c r="Z507" i="1"/>
  <c r="AA507" i="1"/>
  <c r="AB507" i="1"/>
  <c r="V508" i="1"/>
  <c r="W508" i="1"/>
  <c r="X508" i="1"/>
  <c r="Y508" i="1"/>
  <c r="Z508" i="1"/>
  <c r="AA508" i="1"/>
  <c r="AB508" i="1"/>
  <c r="V509" i="1"/>
  <c r="W509" i="1"/>
  <c r="X509" i="1"/>
  <c r="Y509" i="1"/>
  <c r="Z509" i="1"/>
  <c r="AA509" i="1"/>
  <c r="AB509" i="1"/>
  <c r="V510" i="1"/>
  <c r="W510" i="1"/>
  <c r="X510" i="1"/>
  <c r="Y510" i="1"/>
  <c r="Z510" i="1"/>
  <c r="AA510" i="1"/>
  <c r="AB510" i="1"/>
  <c r="V511" i="1"/>
  <c r="W511" i="1"/>
  <c r="X511" i="1"/>
  <c r="Y511" i="1"/>
  <c r="Z511" i="1"/>
  <c r="AA511" i="1"/>
  <c r="AB511" i="1"/>
  <c r="V512" i="1"/>
  <c r="W512" i="1"/>
  <c r="X512" i="1"/>
  <c r="Y512" i="1"/>
  <c r="Z512" i="1"/>
  <c r="AA512" i="1"/>
  <c r="AB512" i="1"/>
  <c r="V513" i="1"/>
  <c r="W513" i="1"/>
  <c r="X513" i="1"/>
  <c r="Y513" i="1"/>
  <c r="Z513" i="1"/>
  <c r="AA513" i="1"/>
  <c r="AB513" i="1"/>
  <c r="V514" i="1"/>
  <c r="W514" i="1"/>
  <c r="X514" i="1"/>
  <c r="Y514" i="1"/>
  <c r="Z514" i="1"/>
  <c r="AA514" i="1"/>
  <c r="AB514" i="1"/>
  <c r="V515" i="1"/>
  <c r="W515" i="1"/>
  <c r="X515" i="1"/>
  <c r="Y515" i="1"/>
  <c r="Z515" i="1"/>
  <c r="AA515" i="1"/>
  <c r="AB515" i="1"/>
  <c r="V516" i="1"/>
  <c r="W516" i="1"/>
  <c r="X516" i="1"/>
  <c r="Y516" i="1"/>
  <c r="Z516" i="1"/>
  <c r="AA516" i="1"/>
  <c r="AB516" i="1"/>
  <c r="V517" i="1"/>
  <c r="W517" i="1"/>
  <c r="X517" i="1"/>
  <c r="Y517" i="1"/>
  <c r="Z517" i="1"/>
  <c r="AA517" i="1"/>
  <c r="AB517" i="1"/>
  <c r="V518" i="1"/>
  <c r="W518" i="1"/>
  <c r="X518" i="1"/>
  <c r="Y518" i="1"/>
  <c r="Z518" i="1"/>
  <c r="AA518" i="1"/>
  <c r="AB518" i="1"/>
  <c r="V519" i="1"/>
  <c r="W519" i="1"/>
  <c r="X519" i="1"/>
  <c r="Y519" i="1"/>
  <c r="Z519" i="1"/>
  <c r="AA519" i="1"/>
  <c r="AB519" i="1"/>
  <c r="V520" i="1"/>
  <c r="W520" i="1"/>
  <c r="X520" i="1"/>
  <c r="Y520" i="1"/>
  <c r="Z520" i="1"/>
  <c r="AA520" i="1"/>
  <c r="AB520" i="1"/>
  <c r="V521" i="1"/>
  <c r="W521" i="1"/>
  <c r="X521" i="1"/>
  <c r="Y521" i="1"/>
  <c r="Z521" i="1"/>
  <c r="AA521" i="1"/>
  <c r="AB521" i="1"/>
  <c r="V522" i="1"/>
  <c r="W522" i="1"/>
  <c r="X522" i="1"/>
  <c r="Y522" i="1"/>
  <c r="Z522" i="1"/>
  <c r="AA522" i="1"/>
  <c r="AB522" i="1"/>
  <c r="V523" i="1"/>
  <c r="W523" i="1"/>
  <c r="X523" i="1"/>
  <c r="Y523" i="1"/>
  <c r="Z523" i="1"/>
  <c r="AA523" i="1"/>
  <c r="AB523" i="1"/>
  <c r="V524" i="1"/>
  <c r="W524" i="1"/>
  <c r="X524" i="1"/>
  <c r="Y524" i="1"/>
  <c r="Z524" i="1"/>
  <c r="AA524" i="1"/>
  <c r="AB524" i="1"/>
  <c r="V525" i="1"/>
  <c r="W525" i="1"/>
  <c r="X525" i="1"/>
  <c r="Y525" i="1"/>
  <c r="Z525" i="1"/>
  <c r="AA525" i="1"/>
  <c r="AB525" i="1"/>
  <c r="V526" i="1"/>
  <c r="W526" i="1"/>
  <c r="X526" i="1"/>
  <c r="Y526" i="1"/>
  <c r="Z526" i="1"/>
  <c r="AA526" i="1"/>
  <c r="AB526" i="1"/>
  <c r="V527" i="1"/>
  <c r="W527" i="1"/>
  <c r="X527" i="1"/>
  <c r="Y527" i="1"/>
  <c r="Z527" i="1"/>
  <c r="AA527" i="1"/>
  <c r="AB527" i="1"/>
  <c r="V528" i="1"/>
  <c r="W528" i="1"/>
  <c r="X528" i="1"/>
  <c r="Y528" i="1"/>
  <c r="Z528" i="1"/>
  <c r="AA528" i="1"/>
  <c r="AB528" i="1"/>
  <c r="V529" i="1"/>
  <c r="W529" i="1"/>
  <c r="X529" i="1"/>
  <c r="Y529" i="1"/>
  <c r="Z529" i="1"/>
  <c r="AA529" i="1"/>
  <c r="AB529" i="1"/>
  <c r="V530" i="1"/>
  <c r="W530" i="1"/>
  <c r="X530" i="1"/>
  <c r="Y530" i="1"/>
  <c r="Z530" i="1"/>
  <c r="AA530" i="1"/>
  <c r="AB530" i="1"/>
  <c r="V531" i="1"/>
  <c r="W531" i="1"/>
  <c r="X531" i="1"/>
  <c r="Y531" i="1"/>
  <c r="Z531" i="1"/>
  <c r="AA531" i="1"/>
  <c r="AB531" i="1"/>
  <c r="V532" i="1"/>
  <c r="W532" i="1"/>
  <c r="X532" i="1"/>
  <c r="Y532" i="1"/>
  <c r="Z532" i="1"/>
  <c r="AA532" i="1"/>
  <c r="AB532" i="1"/>
  <c r="V533" i="1"/>
  <c r="W533" i="1"/>
  <c r="X533" i="1"/>
  <c r="Y533" i="1"/>
  <c r="Z533" i="1"/>
  <c r="AA533" i="1"/>
  <c r="AB533" i="1"/>
  <c r="V534" i="1"/>
  <c r="W534" i="1"/>
  <c r="X534" i="1"/>
  <c r="Y534" i="1"/>
  <c r="Z534" i="1"/>
  <c r="AA534" i="1"/>
  <c r="AB534" i="1"/>
  <c r="V535" i="1"/>
  <c r="W535" i="1"/>
  <c r="X535" i="1"/>
  <c r="Y535" i="1"/>
  <c r="Z535" i="1"/>
  <c r="AA535" i="1"/>
  <c r="AB535" i="1"/>
  <c r="V536" i="1"/>
  <c r="W536" i="1"/>
  <c r="X536" i="1"/>
  <c r="Y536" i="1"/>
  <c r="Z536" i="1"/>
  <c r="AA536" i="1"/>
  <c r="AB536" i="1"/>
  <c r="V537" i="1"/>
  <c r="W537" i="1"/>
  <c r="X537" i="1"/>
  <c r="Y537" i="1"/>
  <c r="Z537" i="1"/>
  <c r="AA537" i="1"/>
  <c r="AB537" i="1"/>
  <c r="V538" i="1"/>
  <c r="W538" i="1"/>
  <c r="X538" i="1"/>
  <c r="Y538" i="1"/>
  <c r="Z538" i="1"/>
  <c r="AA538" i="1"/>
  <c r="AB538" i="1"/>
  <c r="V539" i="1"/>
  <c r="W539" i="1"/>
  <c r="X539" i="1"/>
  <c r="Y539" i="1"/>
  <c r="Z539" i="1"/>
  <c r="AA539" i="1"/>
  <c r="AB539" i="1"/>
  <c r="V540" i="1"/>
  <c r="W540" i="1"/>
  <c r="X540" i="1"/>
  <c r="Y540" i="1"/>
  <c r="Z540" i="1"/>
  <c r="AA540" i="1"/>
  <c r="AB540" i="1"/>
  <c r="V541" i="1"/>
  <c r="W541" i="1"/>
  <c r="X541" i="1"/>
  <c r="Y541" i="1"/>
  <c r="Z541" i="1"/>
  <c r="AA541" i="1"/>
  <c r="AB541" i="1"/>
  <c r="V542" i="1"/>
  <c r="W542" i="1"/>
  <c r="X542" i="1"/>
  <c r="Y542" i="1"/>
  <c r="Z542" i="1"/>
  <c r="AA542" i="1"/>
  <c r="AB542" i="1"/>
  <c r="V543" i="1"/>
  <c r="W543" i="1"/>
  <c r="X543" i="1"/>
  <c r="Y543" i="1"/>
  <c r="Z543" i="1"/>
  <c r="AA543" i="1"/>
  <c r="AB543" i="1"/>
  <c r="V544" i="1"/>
  <c r="W544" i="1"/>
  <c r="X544" i="1"/>
  <c r="Y544" i="1"/>
  <c r="Z544" i="1"/>
  <c r="AA544" i="1"/>
  <c r="AB544" i="1"/>
  <c r="V545" i="1"/>
  <c r="W545" i="1"/>
  <c r="X545" i="1"/>
  <c r="Y545" i="1"/>
  <c r="Z545" i="1"/>
  <c r="AA545" i="1"/>
  <c r="AB545" i="1"/>
  <c r="V546" i="1"/>
  <c r="W546" i="1"/>
  <c r="X546" i="1"/>
  <c r="Y546" i="1"/>
  <c r="Z546" i="1"/>
  <c r="AA546" i="1"/>
  <c r="AB546" i="1"/>
  <c r="V547" i="1"/>
  <c r="W547" i="1"/>
  <c r="X547" i="1"/>
  <c r="Y547" i="1"/>
  <c r="Z547" i="1"/>
  <c r="AA547" i="1"/>
  <c r="AB547" i="1"/>
  <c r="V548" i="1"/>
  <c r="W548" i="1"/>
  <c r="X548" i="1"/>
  <c r="Y548" i="1"/>
  <c r="Z548" i="1"/>
  <c r="AA548" i="1"/>
  <c r="AB548" i="1"/>
  <c r="V549" i="1"/>
  <c r="W549" i="1"/>
  <c r="X549" i="1"/>
  <c r="Y549" i="1"/>
  <c r="Z549" i="1"/>
  <c r="AA549" i="1"/>
  <c r="AB549" i="1"/>
  <c r="V550" i="1"/>
  <c r="W550" i="1"/>
  <c r="X550" i="1"/>
  <c r="Y550" i="1"/>
  <c r="Z550" i="1"/>
  <c r="AA550" i="1"/>
  <c r="AB550" i="1"/>
  <c r="V551" i="1"/>
  <c r="W551" i="1"/>
  <c r="X551" i="1"/>
  <c r="Y551" i="1"/>
  <c r="Z551" i="1"/>
  <c r="AA551" i="1"/>
  <c r="AB551" i="1"/>
  <c r="V552" i="1"/>
  <c r="W552" i="1"/>
  <c r="X552" i="1"/>
  <c r="Y552" i="1"/>
  <c r="Z552" i="1"/>
  <c r="AA552" i="1"/>
  <c r="AB552" i="1"/>
  <c r="V553" i="1"/>
  <c r="W553" i="1"/>
  <c r="X553" i="1"/>
  <c r="Y553" i="1"/>
  <c r="Z553" i="1"/>
  <c r="AA553" i="1"/>
  <c r="AB553" i="1"/>
  <c r="V554" i="1"/>
  <c r="W554" i="1"/>
  <c r="X554" i="1"/>
  <c r="Y554" i="1"/>
  <c r="Z554" i="1"/>
  <c r="AA554" i="1"/>
  <c r="AB554" i="1"/>
  <c r="V555" i="1"/>
  <c r="W555" i="1"/>
  <c r="X555" i="1"/>
  <c r="Y555" i="1"/>
  <c r="Z555" i="1"/>
  <c r="AA555" i="1"/>
  <c r="AB555" i="1"/>
  <c r="V556" i="1"/>
  <c r="W556" i="1"/>
  <c r="X556" i="1"/>
  <c r="Y556" i="1"/>
  <c r="Z556" i="1"/>
  <c r="AA556" i="1"/>
  <c r="AB556" i="1"/>
  <c r="V557" i="1"/>
  <c r="W557" i="1"/>
  <c r="X557" i="1"/>
  <c r="Y557" i="1"/>
  <c r="Z557" i="1"/>
  <c r="AA557" i="1"/>
  <c r="AB557" i="1"/>
  <c r="V558" i="1"/>
  <c r="W558" i="1"/>
  <c r="X558" i="1"/>
  <c r="Y558" i="1"/>
  <c r="Z558" i="1"/>
  <c r="AA558" i="1"/>
  <c r="AB558" i="1"/>
  <c r="V559" i="1"/>
  <c r="W559" i="1"/>
  <c r="X559" i="1"/>
  <c r="Y559" i="1"/>
  <c r="Z559" i="1"/>
  <c r="AA559" i="1"/>
  <c r="AB559" i="1"/>
  <c r="V560" i="1"/>
  <c r="W560" i="1"/>
  <c r="X560" i="1"/>
  <c r="Y560" i="1"/>
  <c r="Z560" i="1"/>
  <c r="AA560" i="1"/>
  <c r="AB560" i="1"/>
  <c r="V561" i="1"/>
  <c r="W561" i="1"/>
  <c r="X561" i="1"/>
  <c r="Y561" i="1"/>
  <c r="Z561" i="1"/>
  <c r="AA561" i="1"/>
  <c r="AB561" i="1"/>
  <c r="V562" i="1"/>
  <c r="W562" i="1"/>
  <c r="X562" i="1"/>
  <c r="Y562" i="1"/>
  <c r="Z562" i="1"/>
  <c r="AA562" i="1"/>
  <c r="AB562" i="1"/>
  <c r="V563" i="1"/>
  <c r="W563" i="1"/>
  <c r="X563" i="1"/>
  <c r="Y563" i="1"/>
  <c r="Z563" i="1"/>
  <c r="AA563" i="1"/>
  <c r="AB563" i="1"/>
  <c r="V564" i="1"/>
  <c r="W564" i="1"/>
  <c r="X564" i="1"/>
  <c r="Y564" i="1"/>
  <c r="Z564" i="1"/>
  <c r="AA564" i="1"/>
  <c r="AB564" i="1"/>
  <c r="V565" i="1"/>
  <c r="W565" i="1"/>
  <c r="X565" i="1"/>
  <c r="Y565" i="1"/>
  <c r="Z565" i="1"/>
  <c r="AA565" i="1"/>
  <c r="AB565" i="1"/>
  <c r="V566" i="1"/>
  <c r="W566" i="1"/>
  <c r="X566" i="1"/>
  <c r="Y566" i="1"/>
  <c r="Z566" i="1"/>
  <c r="AA566" i="1"/>
  <c r="AB566" i="1"/>
  <c r="V567" i="1"/>
  <c r="W567" i="1"/>
  <c r="X567" i="1"/>
  <c r="Y567" i="1"/>
  <c r="Z567" i="1"/>
  <c r="AA567" i="1"/>
  <c r="AB567" i="1"/>
  <c r="V568" i="1"/>
  <c r="W568" i="1"/>
  <c r="X568" i="1"/>
  <c r="Y568" i="1"/>
  <c r="Z568" i="1"/>
  <c r="AA568" i="1"/>
  <c r="AB568" i="1"/>
  <c r="V569" i="1"/>
  <c r="W569" i="1"/>
  <c r="X569" i="1"/>
  <c r="Y569" i="1"/>
  <c r="Z569" i="1"/>
  <c r="AA569" i="1"/>
  <c r="AB569" i="1"/>
  <c r="V570" i="1"/>
  <c r="W570" i="1"/>
  <c r="X570" i="1"/>
  <c r="Y570" i="1"/>
  <c r="Z570" i="1"/>
  <c r="AA570" i="1"/>
  <c r="AB570" i="1"/>
  <c r="V571" i="1"/>
  <c r="W571" i="1"/>
  <c r="X571" i="1"/>
  <c r="Y571" i="1"/>
  <c r="Z571" i="1"/>
  <c r="AA571" i="1"/>
  <c r="AB571" i="1"/>
  <c r="V572" i="1"/>
  <c r="W572" i="1"/>
  <c r="X572" i="1"/>
  <c r="Y572" i="1"/>
  <c r="Z572" i="1"/>
  <c r="AA572" i="1"/>
  <c r="AB572" i="1"/>
  <c r="V573" i="1"/>
  <c r="W573" i="1"/>
  <c r="X573" i="1"/>
  <c r="Y573" i="1"/>
  <c r="Z573" i="1"/>
  <c r="AA573" i="1"/>
  <c r="AB573" i="1"/>
  <c r="V574" i="1"/>
  <c r="W574" i="1"/>
  <c r="X574" i="1"/>
  <c r="Y574" i="1"/>
  <c r="Z574" i="1"/>
  <c r="AA574" i="1"/>
  <c r="AB574" i="1"/>
  <c r="V575" i="1"/>
  <c r="W575" i="1"/>
  <c r="X575" i="1"/>
  <c r="Y575" i="1"/>
  <c r="Z575" i="1"/>
  <c r="AA575" i="1"/>
  <c r="AB575" i="1"/>
  <c r="V576" i="1"/>
  <c r="W576" i="1"/>
  <c r="X576" i="1"/>
  <c r="Y576" i="1"/>
  <c r="Z576" i="1"/>
  <c r="AA576" i="1"/>
  <c r="AB576" i="1"/>
  <c r="V577" i="1"/>
  <c r="W577" i="1"/>
  <c r="X577" i="1"/>
  <c r="Y577" i="1"/>
  <c r="Z577" i="1"/>
  <c r="AA577" i="1"/>
  <c r="AB577" i="1"/>
  <c r="V578" i="1"/>
  <c r="W578" i="1"/>
  <c r="X578" i="1"/>
  <c r="Y578" i="1"/>
  <c r="Z578" i="1"/>
  <c r="AA578" i="1"/>
  <c r="AB578" i="1"/>
  <c r="V579" i="1"/>
  <c r="W579" i="1"/>
  <c r="X579" i="1"/>
  <c r="Y579" i="1"/>
  <c r="Z579" i="1"/>
  <c r="AA579" i="1"/>
  <c r="AB579" i="1"/>
  <c r="V580" i="1"/>
  <c r="W580" i="1"/>
  <c r="X580" i="1"/>
  <c r="Y580" i="1"/>
  <c r="Z580" i="1"/>
  <c r="AA580" i="1"/>
  <c r="AB580" i="1"/>
  <c r="V581" i="1"/>
  <c r="W581" i="1"/>
  <c r="X581" i="1"/>
  <c r="Y581" i="1"/>
  <c r="Z581" i="1"/>
  <c r="AA581" i="1"/>
  <c r="AB581" i="1"/>
  <c r="V582" i="1"/>
  <c r="W582" i="1"/>
  <c r="X582" i="1"/>
  <c r="Y582" i="1"/>
  <c r="Z582" i="1"/>
  <c r="AA582" i="1"/>
  <c r="AB582" i="1"/>
  <c r="V583" i="1"/>
  <c r="W583" i="1"/>
  <c r="X583" i="1"/>
  <c r="Y583" i="1"/>
  <c r="Z583" i="1"/>
  <c r="AA583" i="1"/>
  <c r="AB583" i="1"/>
  <c r="V584" i="1"/>
  <c r="W584" i="1"/>
  <c r="X584" i="1"/>
  <c r="Y584" i="1"/>
  <c r="Z584" i="1"/>
  <c r="AA584" i="1"/>
  <c r="AB584" i="1"/>
  <c r="V585" i="1"/>
  <c r="W585" i="1"/>
  <c r="X585" i="1"/>
  <c r="Y585" i="1"/>
  <c r="Z585" i="1"/>
  <c r="AA585" i="1"/>
  <c r="AB585" i="1"/>
  <c r="V586" i="1"/>
  <c r="W586" i="1"/>
  <c r="X586" i="1"/>
  <c r="Y586" i="1"/>
  <c r="Z586" i="1"/>
  <c r="AA586" i="1"/>
  <c r="AB586" i="1"/>
  <c r="V587" i="1"/>
  <c r="W587" i="1"/>
  <c r="X587" i="1"/>
  <c r="Y587" i="1"/>
  <c r="Z587" i="1"/>
  <c r="AA587" i="1"/>
  <c r="AB587" i="1"/>
  <c r="V588" i="1"/>
  <c r="W588" i="1"/>
  <c r="X588" i="1"/>
  <c r="Y588" i="1"/>
  <c r="Z588" i="1"/>
  <c r="AA588" i="1"/>
  <c r="AB588" i="1"/>
  <c r="V589" i="1"/>
  <c r="W589" i="1"/>
  <c r="X589" i="1"/>
  <c r="Y589" i="1"/>
  <c r="Z589" i="1"/>
  <c r="AA589" i="1"/>
  <c r="AB589" i="1"/>
  <c r="V590" i="1"/>
  <c r="W590" i="1"/>
  <c r="X590" i="1"/>
  <c r="Y590" i="1"/>
  <c r="Z590" i="1"/>
  <c r="AA590" i="1"/>
  <c r="AB590" i="1"/>
  <c r="V591" i="1"/>
  <c r="W591" i="1"/>
  <c r="X591" i="1"/>
  <c r="Y591" i="1"/>
  <c r="Z591" i="1"/>
  <c r="AA591" i="1"/>
  <c r="AB591" i="1"/>
  <c r="V592" i="1"/>
  <c r="W592" i="1"/>
  <c r="X592" i="1"/>
  <c r="Y592" i="1"/>
  <c r="Z592" i="1"/>
  <c r="AA592" i="1"/>
  <c r="AB592" i="1"/>
  <c r="V593" i="1"/>
  <c r="W593" i="1"/>
  <c r="X593" i="1"/>
  <c r="Y593" i="1"/>
  <c r="Z593" i="1"/>
  <c r="AA593" i="1"/>
  <c r="AB593" i="1"/>
  <c r="V594" i="1"/>
  <c r="W594" i="1"/>
  <c r="X594" i="1"/>
  <c r="Y594" i="1"/>
  <c r="Z594" i="1"/>
  <c r="AA594" i="1"/>
  <c r="AB594" i="1"/>
  <c r="V595" i="1"/>
  <c r="W595" i="1"/>
  <c r="X595" i="1"/>
  <c r="Y595" i="1"/>
  <c r="Z595" i="1"/>
  <c r="AA595" i="1"/>
  <c r="AB595" i="1"/>
  <c r="V596" i="1"/>
  <c r="W596" i="1"/>
  <c r="X596" i="1"/>
  <c r="Y596" i="1"/>
  <c r="Z596" i="1"/>
  <c r="AA596" i="1"/>
  <c r="AB596" i="1"/>
  <c r="V597" i="1"/>
  <c r="W597" i="1"/>
  <c r="X597" i="1"/>
  <c r="Y597" i="1"/>
  <c r="Z597" i="1"/>
  <c r="AA597" i="1"/>
  <c r="AB597" i="1"/>
  <c r="V598" i="1"/>
  <c r="W598" i="1"/>
  <c r="X598" i="1"/>
  <c r="Y598" i="1"/>
  <c r="Z598" i="1"/>
  <c r="AA598" i="1"/>
  <c r="AB598" i="1"/>
  <c r="V599" i="1"/>
  <c r="W599" i="1"/>
  <c r="X599" i="1"/>
  <c r="Y599" i="1"/>
  <c r="Z599" i="1"/>
  <c r="AA599" i="1"/>
  <c r="AB599" i="1"/>
  <c r="V600" i="1"/>
  <c r="W600" i="1"/>
  <c r="X600" i="1"/>
  <c r="Y600" i="1"/>
  <c r="Z600" i="1"/>
  <c r="AA600" i="1"/>
  <c r="AB600" i="1"/>
  <c r="V601" i="1"/>
  <c r="W601" i="1"/>
  <c r="X601" i="1"/>
  <c r="Y601" i="1"/>
  <c r="Z601" i="1"/>
  <c r="AA601" i="1"/>
  <c r="AB601" i="1"/>
  <c r="V602" i="1"/>
  <c r="W602" i="1"/>
  <c r="X602" i="1"/>
  <c r="Y602" i="1"/>
  <c r="Z602" i="1"/>
  <c r="AA602" i="1"/>
  <c r="AB602" i="1"/>
  <c r="V603" i="1"/>
  <c r="W603" i="1"/>
  <c r="X603" i="1"/>
  <c r="Y603" i="1"/>
  <c r="Z603" i="1"/>
  <c r="AA603" i="1"/>
  <c r="AB603" i="1"/>
  <c r="V604" i="1"/>
  <c r="W604" i="1"/>
  <c r="X604" i="1"/>
  <c r="Y604" i="1"/>
  <c r="Z604" i="1"/>
  <c r="AA604" i="1"/>
  <c r="AB604" i="1"/>
  <c r="V605" i="1"/>
  <c r="W605" i="1"/>
  <c r="X605" i="1"/>
  <c r="Y605" i="1"/>
  <c r="Z605" i="1"/>
  <c r="AA605" i="1"/>
  <c r="AB605" i="1"/>
  <c r="V606" i="1"/>
  <c r="W606" i="1"/>
  <c r="X606" i="1"/>
  <c r="Y606" i="1"/>
  <c r="Z606" i="1"/>
  <c r="AA606" i="1"/>
  <c r="AB606" i="1"/>
  <c r="V607" i="1"/>
  <c r="W607" i="1"/>
  <c r="X607" i="1"/>
  <c r="Y607" i="1"/>
  <c r="Z607" i="1"/>
  <c r="AA607" i="1"/>
  <c r="AB607" i="1"/>
  <c r="V608" i="1"/>
  <c r="W608" i="1"/>
  <c r="X608" i="1"/>
  <c r="Y608" i="1"/>
  <c r="Z608" i="1"/>
  <c r="AA608" i="1"/>
  <c r="AB608" i="1"/>
  <c r="V609" i="1"/>
  <c r="W609" i="1"/>
  <c r="X609" i="1"/>
  <c r="Y609" i="1"/>
  <c r="Z609" i="1"/>
  <c r="AA609" i="1"/>
  <c r="AB609" i="1"/>
  <c r="V610" i="1"/>
  <c r="W610" i="1"/>
  <c r="X610" i="1"/>
  <c r="Y610" i="1"/>
  <c r="Z610" i="1"/>
  <c r="AA610" i="1"/>
  <c r="AB610" i="1"/>
  <c r="V611" i="1"/>
  <c r="W611" i="1"/>
  <c r="X611" i="1"/>
  <c r="Y611" i="1"/>
  <c r="Z611" i="1"/>
  <c r="AA611" i="1"/>
  <c r="AB611" i="1"/>
  <c r="V612" i="1"/>
  <c r="W612" i="1"/>
  <c r="X612" i="1"/>
  <c r="Y612" i="1"/>
  <c r="Z612" i="1"/>
  <c r="AA612" i="1"/>
  <c r="AB612" i="1"/>
  <c r="V613" i="1"/>
  <c r="W613" i="1"/>
  <c r="X613" i="1"/>
  <c r="Y613" i="1"/>
  <c r="Z613" i="1"/>
  <c r="AA613" i="1"/>
  <c r="AB613" i="1"/>
  <c r="V614" i="1"/>
  <c r="W614" i="1"/>
  <c r="X614" i="1"/>
  <c r="Y614" i="1"/>
  <c r="Z614" i="1"/>
  <c r="AA614" i="1"/>
  <c r="AB614" i="1"/>
  <c r="V615" i="1"/>
  <c r="W615" i="1"/>
  <c r="X615" i="1"/>
  <c r="Y615" i="1"/>
  <c r="Z615" i="1"/>
  <c r="AA615" i="1"/>
  <c r="AB615" i="1"/>
  <c r="V616" i="1"/>
  <c r="W616" i="1"/>
  <c r="X616" i="1"/>
  <c r="Y616" i="1"/>
  <c r="Z616" i="1"/>
  <c r="AA616" i="1"/>
  <c r="AB616" i="1"/>
  <c r="V617" i="1"/>
  <c r="W617" i="1"/>
  <c r="X617" i="1"/>
  <c r="Y617" i="1"/>
  <c r="Z617" i="1"/>
  <c r="AA617" i="1"/>
  <c r="AB617" i="1"/>
  <c r="V618" i="1"/>
  <c r="W618" i="1"/>
  <c r="X618" i="1"/>
  <c r="Y618" i="1"/>
  <c r="Z618" i="1"/>
  <c r="AA618" i="1"/>
  <c r="AB618" i="1"/>
  <c r="V619" i="1"/>
  <c r="W619" i="1"/>
  <c r="X619" i="1"/>
  <c r="Y619" i="1"/>
  <c r="Z619" i="1"/>
  <c r="AA619" i="1"/>
  <c r="AB619" i="1"/>
  <c r="V620" i="1"/>
  <c r="W620" i="1"/>
  <c r="X620" i="1"/>
  <c r="Y620" i="1"/>
  <c r="Z620" i="1"/>
  <c r="AA620" i="1"/>
  <c r="AB620" i="1"/>
  <c r="V621" i="1"/>
  <c r="W621" i="1"/>
  <c r="X621" i="1"/>
  <c r="Y621" i="1"/>
  <c r="Z621" i="1"/>
  <c r="AA621" i="1"/>
  <c r="AB621" i="1"/>
  <c r="V622" i="1"/>
  <c r="W622" i="1"/>
  <c r="X622" i="1"/>
  <c r="Y622" i="1"/>
  <c r="Z622" i="1"/>
  <c r="AA622" i="1"/>
  <c r="AB622" i="1"/>
  <c r="V623" i="1"/>
  <c r="W623" i="1"/>
  <c r="X623" i="1"/>
  <c r="Y623" i="1"/>
  <c r="Z623" i="1"/>
  <c r="AA623" i="1"/>
  <c r="AB623" i="1"/>
  <c r="V624" i="1"/>
  <c r="W624" i="1"/>
  <c r="X624" i="1"/>
  <c r="Y624" i="1"/>
  <c r="Z624" i="1"/>
  <c r="AA624" i="1"/>
  <c r="AB624" i="1"/>
  <c r="V625" i="1"/>
  <c r="W625" i="1"/>
  <c r="X625" i="1"/>
  <c r="Y625" i="1"/>
  <c r="Z625" i="1"/>
  <c r="AA625" i="1"/>
  <c r="AB625" i="1"/>
  <c r="V626" i="1"/>
  <c r="W626" i="1"/>
  <c r="X626" i="1"/>
  <c r="Y626" i="1"/>
  <c r="Z626" i="1"/>
  <c r="AA626" i="1"/>
  <c r="AB626" i="1"/>
  <c r="V627" i="1"/>
  <c r="W627" i="1"/>
  <c r="X627" i="1"/>
  <c r="Y627" i="1"/>
  <c r="Z627" i="1"/>
  <c r="AA627" i="1"/>
  <c r="AB627" i="1"/>
  <c r="V628" i="1"/>
  <c r="W628" i="1"/>
  <c r="X628" i="1"/>
  <c r="Y628" i="1"/>
  <c r="Z628" i="1"/>
  <c r="AA628" i="1"/>
  <c r="AB628" i="1"/>
  <c r="V629" i="1"/>
  <c r="W629" i="1"/>
  <c r="X629" i="1"/>
  <c r="Y629" i="1"/>
  <c r="Z629" i="1"/>
  <c r="AA629" i="1"/>
  <c r="AB629" i="1"/>
  <c r="V630" i="1"/>
  <c r="W630" i="1"/>
  <c r="X630" i="1"/>
  <c r="Y630" i="1"/>
  <c r="Z630" i="1"/>
  <c r="AA630" i="1"/>
  <c r="AB630" i="1"/>
  <c r="V631" i="1"/>
  <c r="W631" i="1"/>
  <c r="X631" i="1"/>
  <c r="Y631" i="1"/>
  <c r="Z631" i="1"/>
  <c r="AA631" i="1"/>
  <c r="AB631" i="1"/>
  <c r="V632" i="1"/>
  <c r="W632" i="1"/>
  <c r="X632" i="1"/>
  <c r="Y632" i="1"/>
  <c r="Z632" i="1"/>
  <c r="AA632" i="1"/>
  <c r="AB632" i="1"/>
  <c r="V633" i="1"/>
  <c r="W633" i="1"/>
  <c r="X633" i="1"/>
  <c r="Y633" i="1"/>
  <c r="Z633" i="1"/>
  <c r="AA633" i="1"/>
  <c r="AB633" i="1"/>
  <c r="V634" i="1"/>
  <c r="W634" i="1"/>
  <c r="X634" i="1"/>
  <c r="Y634" i="1"/>
  <c r="Z634" i="1"/>
  <c r="AA634" i="1"/>
  <c r="AB634" i="1"/>
  <c r="V635" i="1"/>
  <c r="W635" i="1"/>
  <c r="X635" i="1"/>
  <c r="Y635" i="1"/>
  <c r="Z635" i="1"/>
  <c r="AA635" i="1"/>
  <c r="AB635" i="1"/>
  <c r="V636" i="1"/>
  <c r="W636" i="1"/>
  <c r="X636" i="1"/>
  <c r="Y636" i="1"/>
  <c r="Z636" i="1"/>
  <c r="AA636" i="1"/>
  <c r="AB636" i="1"/>
  <c r="V637" i="1"/>
  <c r="W637" i="1"/>
  <c r="X637" i="1"/>
  <c r="Y637" i="1"/>
  <c r="Z637" i="1"/>
  <c r="AA637" i="1"/>
  <c r="AB637" i="1"/>
  <c r="V638" i="1"/>
  <c r="W638" i="1"/>
  <c r="X638" i="1"/>
  <c r="Y638" i="1"/>
  <c r="Z638" i="1"/>
  <c r="AA638" i="1"/>
  <c r="AB638" i="1"/>
  <c r="V639" i="1"/>
  <c r="W639" i="1"/>
  <c r="X639" i="1"/>
  <c r="Y639" i="1"/>
  <c r="Z639" i="1"/>
  <c r="AA639" i="1"/>
  <c r="AB639" i="1"/>
  <c r="V640" i="1"/>
  <c r="W640" i="1"/>
  <c r="X640" i="1"/>
  <c r="Y640" i="1"/>
  <c r="Z640" i="1"/>
  <c r="AA640" i="1"/>
  <c r="AB640" i="1"/>
  <c r="V641" i="1"/>
  <c r="W641" i="1"/>
  <c r="X641" i="1"/>
  <c r="Y641" i="1"/>
  <c r="Z641" i="1"/>
  <c r="AA641" i="1"/>
  <c r="AB641" i="1"/>
  <c r="V642" i="1"/>
  <c r="W642" i="1"/>
  <c r="X642" i="1"/>
  <c r="Y642" i="1"/>
  <c r="Z642" i="1"/>
  <c r="AA642" i="1"/>
  <c r="AB642" i="1"/>
  <c r="V643" i="1"/>
  <c r="W643" i="1"/>
  <c r="X643" i="1"/>
  <c r="Y643" i="1"/>
  <c r="Z643" i="1"/>
  <c r="AA643" i="1"/>
  <c r="AB643" i="1"/>
  <c r="V644" i="1"/>
  <c r="W644" i="1"/>
  <c r="X644" i="1"/>
  <c r="Y644" i="1"/>
  <c r="Z644" i="1"/>
  <c r="AA644" i="1"/>
  <c r="AB644" i="1"/>
  <c r="V645" i="1"/>
  <c r="W645" i="1"/>
  <c r="X645" i="1"/>
  <c r="Y645" i="1"/>
  <c r="Z645" i="1"/>
  <c r="AA645" i="1"/>
  <c r="AB645" i="1"/>
  <c r="V646" i="1"/>
  <c r="W646" i="1"/>
  <c r="X646" i="1"/>
  <c r="Y646" i="1"/>
  <c r="Z646" i="1"/>
  <c r="AA646" i="1"/>
  <c r="AB646" i="1"/>
  <c r="V647" i="1"/>
  <c r="W647" i="1"/>
  <c r="X647" i="1"/>
  <c r="Y647" i="1"/>
  <c r="Z647" i="1"/>
  <c r="AA647" i="1"/>
  <c r="AB647" i="1"/>
  <c r="V648" i="1"/>
  <c r="W648" i="1"/>
  <c r="X648" i="1"/>
  <c r="Y648" i="1"/>
  <c r="Z648" i="1"/>
  <c r="AA648" i="1"/>
  <c r="AB648" i="1"/>
  <c r="V649" i="1"/>
  <c r="W649" i="1"/>
  <c r="X649" i="1"/>
  <c r="Y649" i="1"/>
  <c r="Z649" i="1"/>
  <c r="AA649" i="1"/>
  <c r="AB649" i="1"/>
  <c r="V650" i="1"/>
  <c r="W650" i="1"/>
  <c r="X650" i="1"/>
  <c r="Y650" i="1"/>
  <c r="Z650" i="1"/>
  <c r="AA650" i="1"/>
  <c r="AB650" i="1"/>
  <c r="V651" i="1"/>
  <c r="W651" i="1"/>
  <c r="X651" i="1"/>
  <c r="Y651" i="1"/>
  <c r="Z651" i="1"/>
  <c r="AA651" i="1"/>
  <c r="AB651" i="1"/>
  <c r="V652" i="1"/>
  <c r="W652" i="1"/>
  <c r="X652" i="1"/>
  <c r="Y652" i="1"/>
  <c r="Z652" i="1"/>
  <c r="AA652" i="1"/>
  <c r="AB652" i="1"/>
  <c r="V653" i="1"/>
  <c r="W653" i="1"/>
  <c r="X653" i="1"/>
  <c r="Y653" i="1"/>
  <c r="Z653" i="1"/>
  <c r="AA653" i="1"/>
  <c r="AB653" i="1"/>
  <c r="V654" i="1"/>
  <c r="W654" i="1"/>
  <c r="X654" i="1"/>
  <c r="Y654" i="1"/>
  <c r="Z654" i="1"/>
  <c r="AA654" i="1"/>
  <c r="AB654" i="1"/>
  <c r="V655" i="1"/>
  <c r="W655" i="1"/>
  <c r="X655" i="1"/>
  <c r="Y655" i="1"/>
  <c r="Z655" i="1"/>
  <c r="AA655" i="1"/>
  <c r="AB655" i="1"/>
  <c r="V656" i="1"/>
  <c r="W656" i="1"/>
  <c r="X656" i="1"/>
  <c r="Y656" i="1"/>
  <c r="Z656" i="1"/>
  <c r="AA656" i="1"/>
  <c r="AB656" i="1"/>
  <c r="V657" i="1"/>
  <c r="W657" i="1"/>
  <c r="X657" i="1"/>
  <c r="Y657" i="1"/>
  <c r="Z657" i="1"/>
  <c r="AA657" i="1"/>
  <c r="AB657" i="1"/>
  <c r="V658" i="1"/>
  <c r="W658" i="1"/>
  <c r="X658" i="1"/>
  <c r="Y658" i="1"/>
  <c r="Z658" i="1"/>
  <c r="AA658" i="1"/>
  <c r="AB658" i="1"/>
  <c r="V659" i="1"/>
  <c r="W659" i="1"/>
  <c r="X659" i="1"/>
  <c r="Y659" i="1"/>
  <c r="Z659" i="1"/>
  <c r="AA659" i="1"/>
  <c r="AB659" i="1"/>
  <c r="V660" i="1"/>
  <c r="W660" i="1"/>
  <c r="X660" i="1"/>
  <c r="Y660" i="1"/>
  <c r="Z660" i="1"/>
  <c r="AA660" i="1"/>
  <c r="AB660" i="1"/>
  <c r="V661" i="1"/>
  <c r="W661" i="1"/>
  <c r="X661" i="1"/>
  <c r="Y661" i="1"/>
  <c r="Z661" i="1"/>
  <c r="AA661" i="1"/>
  <c r="AB661" i="1"/>
  <c r="V662" i="1"/>
  <c r="W662" i="1"/>
  <c r="X662" i="1"/>
  <c r="Y662" i="1"/>
  <c r="Z662" i="1"/>
  <c r="AA662" i="1"/>
  <c r="AB662" i="1"/>
  <c r="V663" i="1"/>
  <c r="W663" i="1"/>
  <c r="X663" i="1"/>
  <c r="Y663" i="1"/>
  <c r="Z663" i="1"/>
  <c r="AA663" i="1"/>
  <c r="AB663" i="1"/>
  <c r="V664" i="1"/>
  <c r="W664" i="1"/>
  <c r="X664" i="1"/>
  <c r="Y664" i="1"/>
  <c r="Z664" i="1"/>
  <c r="AA664" i="1"/>
  <c r="AB664" i="1"/>
  <c r="V665" i="1"/>
  <c r="W665" i="1"/>
  <c r="X665" i="1"/>
  <c r="Y665" i="1"/>
  <c r="Z665" i="1"/>
  <c r="AA665" i="1"/>
  <c r="AB665" i="1"/>
  <c r="V666" i="1"/>
  <c r="W666" i="1"/>
  <c r="X666" i="1"/>
  <c r="Y666" i="1"/>
  <c r="Z666" i="1"/>
  <c r="AA666" i="1"/>
  <c r="AB666" i="1"/>
  <c r="V667" i="1"/>
  <c r="W667" i="1"/>
  <c r="X667" i="1"/>
  <c r="Y667" i="1"/>
  <c r="Z667" i="1"/>
  <c r="AA667" i="1"/>
  <c r="AB667" i="1"/>
  <c r="V668" i="1"/>
  <c r="W668" i="1"/>
  <c r="X668" i="1"/>
  <c r="Y668" i="1"/>
  <c r="Z668" i="1"/>
  <c r="AA668" i="1"/>
  <c r="AB668" i="1"/>
  <c r="V669" i="1"/>
  <c r="W669" i="1"/>
  <c r="X669" i="1"/>
  <c r="Y669" i="1"/>
  <c r="Z669" i="1"/>
  <c r="AA669" i="1"/>
  <c r="AB669" i="1"/>
  <c r="V670" i="1"/>
  <c r="W670" i="1"/>
  <c r="X670" i="1"/>
  <c r="Y670" i="1"/>
  <c r="Z670" i="1"/>
  <c r="AA670" i="1"/>
  <c r="AB670" i="1"/>
  <c r="V671" i="1"/>
  <c r="W671" i="1"/>
  <c r="X671" i="1"/>
  <c r="Y671" i="1"/>
  <c r="Z671" i="1"/>
  <c r="AA671" i="1"/>
  <c r="AB671" i="1"/>
  <c r="V672" i="1"/>
  <c r="W672" i="1"/>
  <c r="X672" i="1"/>
  <c r="Y672" i="1"/>
  <c r="Z672" i="1"/>
  <c r="AA672" i="1"/>
  <c r="AB672" i="1"/>
  <c r="V673" i="1"/>
  <c r="W673" i="1"/>
  <c r="X673" i="1"/>
  <c r="Y673" i="1"/>
  <c r="Z673" i="1"/>
  <c r="AA673" i="1"/>
  <c r="AB673" i="1"/>
  <c r="V674" i="1"/>
  <c r="W674" i="1"/>
  <c r="X674" i="1"/>
  <c r="Y674" i="1"/>
  <c r="Z674" i="1"/>
  <c r="AA674" i="1"/>
  <c r="AB674" i="1"/>
  <c r="V675" i="1"/>
  <c r="W675" i="1"/>
  <c r="X675" i="1"/>
  <c r="Y675" i="1"/>
  <c r="Z675" i="1"/>
  <c r="AA675" i="1"/>
  <c r="AB675" i="1"/>
  <c r="V676" i="1"/>
  <c r="W676" i="1"/>
  <c r="X676" i="1"/>
  <c r="Y676" i="1"/>
  <c r="Z676" i="1"/>
  <c r="AA676" i="1"/>
  <c r="AB676" i="1"/>
  <c r="V677" i="1"/>
  <c r="W677" i="1"/>
  <c r="X677" i="1"/>
  <c r="Y677" i="1"/>
  <c r="Z677" i="1"/>
  <c r="AA677" i="1"/>
  <c r="AB677" i="1"/>
  <c r="V678" i="1"/>
  <c r="W678" i="1"/>
  <c r="X678" i="1"/>
  <c r="Y678" i="1"/>
  <c r="Z678" i="1"/>
  <c r="AA678" i="1"/>
  <c r="AB678" i="1"/>
  <c r="V679" i="1"/>
  <c r="W679" i="1"/>
  <c r="X679" i="1"/>
  <c r="Y679" i="1"/>
  <c r="Z679" i="1"/>
  <c r="AA679" i="1"/>
  <c r="AB679" i="1"/>
  <c r="V680" i="1"/>
  <c r="W680" i="1"/>
  <c r="X680" i="1"/>
  <c r="Y680" i="1"/>
  <c r="Z680" i="1"/>
  <c r="AA680" i="1"/>
  <c r="AB680" i="1"/>
  <c r="V681" i="1"/>
  <c r="W681" i="1"/>
  <c r="X681" i="1"/>
  <c r="Y681" i="1"/>
  <c r="Z681" i="1"/>
  <c r="AA681" i="1"/>
  <c r="AB681" i="1"/>
  <c r="V682" i="1"/>
  <c r="W682" i="1"/>
  <c r="X682" i="1"/>
  <c r="Y682" i="1"/>
  <c r="Z682" i="1"/>
  <c r="AA682" i="1"/>
  <c r="AB682" i="1"/>
  <c r="V683" i="1"/>
  <c r="W683" i="1"/>
  <c r="X683" i="1"/>
  <c r="Y683" i="1"/>
  <c r="Z683" i="1"/>
  <c r="AA683" i="1"/>
  <c r="AB683" i="1"/>
  <c r="V684" i="1"/>
  <c r="W684" i="1"/>
  <c r="X684" i="1"/>
  <c r="Y684" i="1"/>
  <c r="Z684" i="1"/>
  <c r="AA684" i="1"/>
  <c r="AB684" i="1"/>
  <c r="V685" i="1"/>
  <c r="W685" i="1"/>
  <c r="X685" i="1"/>
  <c r="Y685" i="1"/>
  <c r="Z685" i="1"/>
  <c r="AA685" i="1"/>
  <c r="AB685" i="1"/>
  <c r="V686" i="1"/>
  <c r="W686" i="1"/>
  <c r="X686" i="1"/>
  <c r="Y686" i="1"/>
  <c r="Z686" i="1"/>
  <c r="AA686" i="1"/>
  <c r="AB686" i="1"/>
  <c r="V687" i="1"/>
  <c r="W687" i="1"/>
  <c r="X687" i="1"/>
  <c r="Y687" i="1"/>
  <c r="Z687" i="1"/>
  <c r="AA687" i="1"/>
  <c r="AB687" i="1"/>
  <c r="V688" i="1"/>
  <c r="W688" i="1"/>
  <c r="X688" i="1"/>
  <c r="Y688" i="1"/>
  <c r="Z688" i="1"/>
  <c r="AA688" i="1"/>
  <c r="AB688" i="1"/>
  <c r="V689" i="1"/>
  <c r="W689" i="1"/>
  <c r="X689" i="1"/>
  <c r="Y689" i="1"/>
  <c r="Z689" i="1"/>
  <c r="AA689" i="1"/>
  <c r="AB689" i="1"/>
  <c r="V690" i="1"/>
  <c r="W690" i="1"/>
  <c r="X690" i="1"/>
  <c r="Y690" i="1"/>
  <c r="Z690" i="1"/>
  <c r="AA690" i="1"/>
  <c r="AB690" i="1"/>
  <c r="V691" i="1"/>
  <c r="W691" i="1"/>
  <c r="X691" i="1"/>
  <c r="Y691" i="1"/>
  <c r="Z691" i="1"/>
  <c r="AA691" i="1"/>
  <c r="AB691" i="1"/>
  <c r="V692" i="1"/>
  <c r="W692" i="1"/>
  <c r="X692" i="1"/>
  <c r="Y692" i="1"/>
  <c r="Z692" i="1"/>
  <c r="AA692" i="1"/>
  <c r="AB692" i="1"/>
  <c r="V693" i="1"/>
  <c r="W693" i="1"/>
  <c r="X693" i="1"/>
  <c r="Y693" i="1"/>
  <c r="Z693" i="1"/>
  <c r="AA693" i="1"/>
  <c r="AB693" i="1"/>
  <c r="V694" i="1"/>
  <c r="W694" i="1"/>
  <c r="X694" i="1"/>
  <c r="Y694" i="1"/>
  <c r="Z694" i="1"/>
  <c r="AA694" i="1"/>
  <c r="AB694" i="1"/>
  <c r="V695" i="1"/>
  <c r="W695" i="1"/>
  <c r="X695" i="1"/>
  <c r="Y695" i="1"/>
  <c r="Z695" i="1"/>
  <c r="AA695" i="1"/>
  <c r="AB695" i="1"/>
  <c r="V696" i="1"/>
  <c r="W696" i="1"/>
  <c r="X696" i="1"/>
  <c r="Y696" i="1"/>
  <c r="Z696" i="1"/>
  <c r="AA696" i="1"/>
  <c r="AB696" i="1"/>
  <c r="V697" i="1"/>
  <c r="W697" i="1"/>
  <c r="X697" i="1"/>
  <c r="Y697" i="1"/>
  <c r="Z697" i="1"/>
  <c r="AA697" i="1"/>
  <c r="AB697" i="1"/>
  <c r="V698" i="1"/>
  <c r="W698" i="1"/>
  <c r="X698" i="1"/>
  <c r="Y698" i="1"/>
  <c r="Z698" i="1"/>
  <c r="AA698" i="1"/>
  <c r="AB698" i="1"/>
  <c r="V699" i="1"/>
  <c r="W699" i="1"/>
  <c r="X699" i="1"/>
  <c r="Y699" i="1"/>
  <c r="Z699" i="1"/>
  <c r="AA699" i="1"/>
  <c r="AB699" i="1"/>
  <c r="V700" i="1"/>
  <c r="W700" i="1"/>
  <c r="X700" i="1"/>
  <c r="Y700" i="1"/>
  <c r="Z700" i="1"/>
  <c r="AA700" i="1"/>
  <c r="AB700" i="1"/>
  <c r="V701" i="1"/>
  <c r="W701" i="1"/>
  <c r="X701" i="1"/>
  <c r="Y701" i="1"/>
  <c r="Z701" i="1"/>
  <c r="AA701" i="1"/>
  <c r="AB701" i="1"/>
  <c r="V702" i="1"/>
  <c r="W702" i="1"/>
  <c r="X702" i="1"/>
  <c r="Y702" i="1"/>
  <c r="Z702" i="1"/>
  <c r="AA702" i="1"/>
  <c r="AB702" i="1"/>
  <c r="V703" i="1"/>
  <c r="W703" i="1"/>
  <c r="X703" i="1"/>
  <c r="Y703" i="1"/>
  <c r="Z703" i="1"/>
  <c r="AA703" i="1"/>
  <c r="AB703" i="1"/>
  <c r="V704" i="1"/>
  <c r="W704" i="1"/>
  <c r="X704" i="1"/>
  <c r="Y704" i="1"/>
  <c r="Z704" i="1"/>
  <c r="AA704" i="1"/>
  <c r="AB704" i="1"/>
  <c r="V705" i="1"/>
  <c r="W705" i="1"/>
  <c r="X705" i="1"/>
  <c r="Y705" i="1"/>
  <c r="Z705" i="1"/>
  <c r="AA705" i="1"/>
  <c r="AB705" i="1"/>
  <c r="V706" i="1"/>
  <c r="W706" i="1"/>
  <c r="X706" i="1"/>
  <c r="Y706" i="1"/>
  <c r="Z706" i="1"/>
  <c r="AA706" i="1"/>
  <c r="AB706" i="1"/>
  <c r="V707" i="1"/>
  <c r="W707" i="1"/>
  <c r="X707" i="1"/>
  <c r="Y707" i="1"/>
  <c r="Z707" i="1"/>
  <c r="AA707" i="1"/>
  <c r="AB707" i="1"/>
  <c r="V708" i="1"/>
  <c r="W708" i="1"/>
  <c r="X708" i="1"/>
  <c r="Y708" i="1"/>
  <c r="Z708" i="1"/>
  <c r="AA708" i="1"/>
  <c r="AB708" i="1"/>
  <c r="V709" i="1"/>
  <c r="W709" i="1"/>
  <c r="X709" i="1"/>
  <c r="Y709" i="1"/>
  <c r="Z709" i="1"/>
  <c r="AA709" i="1"/>
  <c r="AB709" i="1"/>
  <c r="V710" i="1"/>
  <c r="W710" i="1"/>
  <c r="X710" i="1"/>
  <c r="Y710" i="1"/>
  <c r="Z710" i="1"/>
  <c r="AA710" i="1"/>
  <c r="AB710" i="1"/>
  <c r="V711" i="1"/>
  <c r="W711" i="1"/>
  <c r="X711" i="1"/>
  <c r="Y711" i="1"/>
  <c r="Z711" i="1"/>
  <c r="AA711" i="1"/>
  <c r="AB711" i="1"/>
  <c r="V712" i="1"/>
  <c r="W712" i="1"/>
  <c r="X712" i="1"/>
  <c r="Y712" i="1"/>
  <c r="Z712" i="1"/>
  <c r="AA712" i="1"/>
  <c r="AB712" i="1"/>
  <c r="V713" i="1"/>
  <c r="W713" i="1"/>
  <c r="X713" i="1"/>
  <c r="Y713" i="1"/>
  <c r="Z713" i="1"/>
  <c r="AA713" i="1"/>
  <c r="AB713" i="1"/>
  <c r="V714" i="1"/>
  <c r="W714" i="1"/>
  <c r="X714" i="1"/>
  <c r="Y714" i="1"/>
  <c r="Z714" i="1"/>
  <c r="AA714" i="1"/>
  <c r="AB714" i="1"/>
  <c r="V715" i="1"/>
  <c r="W715" i="1"/>
  <c r="X715" i="1"/>
  <c r="Y715" i="1"/>
  <c r="Z715" i="1"/>
  <c r="AA715" i="1"/>
  <c r="AB715" i="1"/>
  <c r="V716" i="1"/>
  <c r="W716" i="1"/>
  <c r="X716" i="1"/>
  <c r="Y716" i="1"/>
  <c r="Z716" i="1"/>
  <c r="AA716" i="1"/>
  <c r="AB716" i="1"/>
  <c r="V717" i="1"/>
  <c r="W717" i="1"/>
  <c r="X717" i="1"/>
  <c r="Y717" i="1"/>
  <c r="Z717" i="1"/>
  <c r="AA717" i="1"/>
  <c r="AB717" i="1"/>
  <c r="V718" i="1"/>
  <c r="W718" i="1"/>
  <c r="X718" i="1"/>
  <c r="Y718" i="1"/>
  <c r="Z718" i="1"/>
  <c r="AA718" i="1"/>
  <c r="AB718" i="1"/>
  <c r="V719" i="1"/>
  <c r="W719" i="1"/>
  <c r="X719" i="1"/>
  <c r="Y719" i="1"/>
  <c r="Z719" i="1"/>
  <c r="AA719" i="1"/>
  <c r="AB719" i="1"/>
  <c r="V720" i="1"/>
  <c r="W720" i="1"/>
  <c r="X720" i="1"/>
  <c r="Y720" i="1"/>
  <c r="Z720" i="1"/>
  <c r="AA720" i="1"/>
  <c r="AB720" i="1"/>
  <c r="V721" i="1"/>
  <c r="W721" i="1"/>
  <c r="X721" i="1"/>
  <c r="Y721" i="1"/>
  <c r="Z721" i="1"/>
  <c r="AA721" i="1"/>
  <c r="AB721" i="1"/>
  <c r="V722" i="1"/>
  <c r="W722" i="1"/>
  <c r="X722" i="1"/>
  <c r="Y722" i="1"/>
  <c r="Z722" i="1"/>
  <c r="AA722" i="1"/>
  <c r="AB722" i="1"/>
  <c r="V723" i="1"/>
  <c r="W723" i="1"/>
  <c r="X723" i="1"/>
  <c r="Y723" i="1"/>
  <c r="Z723" i="1"/>
  <c r="AA723" i="1"/>
  <c r="AB723" i="1"/>
  <c r="V724" i="1"/>
  <c r="W724" i="1"/>
  <c r="X724" i="1"/>
  <c r="Y724" i="1"/>
  <c r="Z724" i="1"/>
  <c r="AA724" i="1"/>
  <c r="AB724" i="1"/>
  <c r="V725" i="1"/>
  <c r="W725" i="1"/>
  <c r="X725" i="1"/>
  <c r="Y725" i="1"/>
  <c r="Z725" i="1"/>
  <c r="AA725" i="1"/>
  <c r="AB725" i="1"/>
  <c r="V726" i="1"/>
  <c r="W726" i="1"/>
  <c r="X726" i="1"/>
  <c r="Y726" i="1"/>
  <c r="Z726" i="1"/>
  <c r="AA726" i="1"/>
  <c r="AB726" i="1"/>
  <c r="V727" i="1"/>
  <c r="W727" i="1"/>
  <c r="X727" i="1"/>
  <c r="Y727" i="1"/>
  <c r="Z727" i="1"/>
  <c r="AA727" i="1"/>
  <c r="AB727" i="1"/>
  <c r="V728" i="1"/>
  <c r="W728" i="1"/>
  <c r="X728" i="1"/>
  <c r="Y728" i="1"/>
  <c r="Z728" i="1"/>
  <c r="AA728" i="1"/>
  <c r="AB728" i="1"/>
  <c r="V729" i="1"/>
  <c r="W729" i="1"/>
  <c r="X729" i="1"/>
  <c r="Y729" i="1"/>
  <c r="Z729" i="1"/>
  <c r="AA729" i="1"/>
  <c r="AB729" i="1"/>
  <c r="V730" i="1"/>
  <c r="W730" i="1"/>
  <c r="X730" i="1"/>
  <c r="Y730" i="1"/>
  <c r="Z730" i="1"/>
  <c r="AA730" i="1"/>
  <c r="AB730" i="1"/>
  <c r="V731" i="1"/>
  <c r="W731" i="1"/>
  <c r="X731" i="1"/>
  <c r="Y731" i="1"/>
  <c r="Z731" i="1"/>
  <c r="AA731" i="1"/>
  <c r="AB731" i="1"/>
  <c r="V732" i="1"/>
  <c r="W732" i="1"/>
  <c r="X732" i="1"/>
  <c r="Y732" i="1"/>
  <c r="Z732" i="1"/>
  <c r="AA732" i="1"/>
  <c r="AB732" i="1"/>
  <c r="V733" i="1"/>
  <c r="W733" i="1"/>
  <c r="X733" i="1"/>
  <c r="Y733" i="1"/>
  <c r="Z733" i="1"/>
  <c r="AA733" i="1"/>
  <c r="AB733" i="1"/>
  <c r="V734" i="1"/>
  <c r="W734" i="1"/>
  <c r="X734" i="1"/>
  <c r="Y734" i="1"/>
  <c r="Z734" i="1"/>
  <c r="AA734" i="1"/>
  <c r="AB734" i="1"/>
  <c r="V735" i="1"/>
  <c r="W735" i="1"/>
  <c r="X735" i="1"/>
  <c r="Y735" i="1"/>
  <c r="Z735" i="1"/>
  <c r="AA735" i="1"/>
  <c r="AB735" i="1"/>
  <c r="V736" i="1"/>
  <c r="W736" i="1"/>
  <c r="X736" i="1"/>
  <c r="Y736" i="1"/>
  <c r="Z736" i="1"/>
  <c r="AA736" i="1"/>
  <c r="AB736" i="1"/>
  <c r="V737" i="1"/>
  <c r="W737" i="1"/>
  <c r="X737" i="1"/>
  <c r="Y737" i="1"/>
  <c r="Z737" i="1"/>
  <c r="AA737" i="1"/>
  <c r="AB737" i="1"/>
  <c r="V738" i="1"/>
  <c r="W738" i="1"/>
  <c r="X738" i="1"/>
  <c r="Y738" i="1"/>
  <c r="Z738" i="1"/>
  <c r="AA738" i="1"/>
  <c r="AB738" i="1"/>
  <c r="V739" i="1"/>
  <c r="W739" i="1"/>
  <c r="X739" i="1"/>
  <c r="Y739" i="1"/>
  <c r="Z739" i="1"/>
  <c r="AA739" i="1"/>
  <c r="AB739" i="1"/>
  <c r="V740" i="1"/>
  <c r="W740" i="1"/>
  <c r="X740" i="1"/>
  <c r="Y740" i="1"/>
  <c r="Z740" i="1"/>
  <c r="AA740" i="1"/>
  <c r="AB740" i="1"/>
  <c r="V741" i="1"/>
  <c r="W741" i="1"/>
  <c r="X741" i="1"/>
  <c r="Y741" i="1"/>
  <c r="Z741" i="1"/>
  <c r="AA741" i="1"/>
  <c r="AB741" i="1"/>
  <c r="V742" i="1"/>
  <c r="W742" i="1"/>
  <c r="X742" i="1"/>
  <c r="Y742" i="1"/>
  <c r="Z742" i="1"/>
  <c r="AA742" i="1"/>
  <c r="AB742" i="1"/>
  <c r="V743" i="1"/>
  <c r="W743" i="1"/>
  <c r="X743" i="1"/>
  <c r="Y743" i="1"/>
  <c r="Z743" i="1"/>
  <c r="AA743" i="1"/>
  <c r="AB743" i="1"/>
  <c r="V744" i="1"/>
  <c r="W744" i="1"/>
  <c r="X744" i="1"/>
  <c r="Y744" i="1"/>
  <c r="Z744" i="1"/>
  <c r="AA744" i="1"/>
  <c r="AB744" i="1"/>
  <c r="V745" i="1"/>
  <c r="W745" i="1"/>
  <c r="X745" i="1"/>
  <c r="Y745" i="1"/>
  <c r="Z745" i="1"/>
  <c r="AA745" i="1"/>
  <c r="AB745" i="1"/>
  <c r="V746" i="1"/>
  <c r="W746" i="1"/>
  <c r="X746" i="1"/>
  <c r="Y746" i="1"/>
  <c r="Z746" i="1"/>
  <c r="AA746" i="1"/>
  <c r="AB746" i="1"/>
  <c r="V747" i="1"/>
  <c r="W747" i="1"/>
  <c r="X747" i="1"/>
  <c r="Y747" i="1"/>
  <c r="Z747" i="1"/>
  <c r="AA747" i="1"/>
  <c r="AB747" i="1"/>
  <c r="V748" i="1"/>
  <c r="W748" i="1"/>
  <c r="X748" i="1"/>
  <c r="Y748" i="1"/>
  <c r="Z748" i="1"/>
  <c r="AA748" i="1"/>
  <c r="AB748" i="1"/>
  <c r="V749" i="1"/>
  <c r="W749" i="1"/>
  <c r="X749" i="1"/>
  <c r="Y749" i="1"/>
  <c r="Z749" i="1"/>
  <c r="AA749" i="1"/>
  <c r="AB749" i="1"/>
  <c r="V750" i="1"/>
  <c r="W750" i="1"/>
  <c r="X750" i="1"/>
  <c r="Y750" i="1"/>
  <c r="Z750" i="1"/>
  <c r="AA750" i="1"/>
  <c r="AB750" i="1"/>
  <c r="V751" i="1"/>
  <c r="W751" i="1"/>
  <c r="X751" i="1"/>
  <c r="Y751" i="1"/>
  <c r="Z751" i="1"/>
  <c r="AA751" i="1"/>
  <c r="AB751" i="1"/>
  <c r="V752" i="1"/>
  <c r="W752" i="1"/>
  <c r="X752" i="1"/>
  <c r="Y752" i="1"/>
  <c r="Z752" i="1"/>
  <c r="AA752" i="1"/>
  <c r="AB752" i="1"/>
  <c r="V753" i="1"/>
  <c r="W753" i="1"/>
  <c r="X753" i="1"/>
  <c r="Y753" i="1"/>
  <c r="Z753" i="1"/>
  <c r="AA753" i="1"/>
  <c r="AB753" i="1"/>
  <c r="V754" i="1"/>
  <c r="W754" i="1"/>
  <c r="X754" i="1"/>
  <c r="Y754" i="1"/>
  <c r="Z754" i="1"/>
  <c r="AA754" i="1"/>
  <c r="AB754" i="1"/>
  <c r="V755" i="1"/>
  <c r="W755" i="1"/>
  <c r="X755" i="1"/>
  <c r="Y755" i="1"/>
  <c r="Z755" i="1"/>
  <c r="AA755" i="1"/>
  <c r="AB755" i="1"/>
  <c r="V756" i="1"/>
  <c r="W756" i="1"/>
  <c r="X756" i="1"/>
  <c r="Y756" i="1"/>
  <c r="Z756" i="1"/>
  <c r="AA756" i="1"/>
  <c r="AB756" i="1"/>
  <c r="V757" i="1"/>
  <c r="W757" i="1"/>
  <c r="X757" i="1"/>
  <c r="Y757" i="1"/>
  <c r="Z757" i="1"/>
  <c r="AA757" i="1"/>
  <c r="AB757" i="1"/>
  <c r="V758" i="1"/>
  <c r="W758" i="1"/>
  <c r="X758" i="1"/>
  <c r="Y758" i="1"/>
  <c r="Z758" i="1"/>
  <c r="AA758" i="1"/>
  <c r="AB758" i="1"/>
  <c r="V759" i="1"/>
  <c r="W759" i="1"/>
  <c r="X759" i="1"/>
  <c r="Y759" i="1"/>
  <c r="Z759" i="1"/>
  <c r="AA759" i="1"/>
  <c r="AB759" i="1"/>
  <c r="V760" i="1"/>
  <c r="W760" i="1"/>
  <c r="X760" i="1"/>
  <c r="Y760" i="1"/>
  <c r="Z760" i="1"/>
  <c r="AA760" i="1"/>
  <c r="AB760" i="1"/>
  <c r="V761" i="1"/>
  <c r="W761" i="1"/>
  <c r="X761" i="1"/>
  <c r="Y761" i="1"/>
  <c r="Z761" i="1"/>
  <c r="AA761" i="1"/>
  <c r="AB761" i="1"/>
  <c r="V762" i="1"/>
  <c r="W762" i="1"/>
  <c r="X762" i="1"/>
  <c r="Y762" i="1"/>
  <c r="Z762" i="1"/>
  <c r="AA762" i="1"/>
  <c r="AB762" i="1"/>
  <c r="V763" i="1"/>
  <c r="W763" i="1"/>
  <c r="X763" i="1"/>
  <c r="Y763" i="1"/>
  <c r="Z763" i="1"/>
  <c r="AA763" i="1"/>
  <c r="AB763" i="1"/>
  <c r="V764" i="1"/>
  <c r="W764" i="1"/>
  <c r="X764" i="1"/>
  <c r="Y764" i="1"/>
  <c r="Z764" i="1"/>
  <c r="AA764" i="1"/>
  <c r="AB764" i="1"/>
  <c r="V765" i="1"/>
  <c r="W765" i="1"/>
  <c r="X765" i="1"/>
  <c r="Y765" i="1"/>
  <c r="Z765" i="1"/>
  <c r="AA765" i="1"/>
  <c r="AB765" i="1"/>
  <c r="V766" i="1"/>
  <c r="W766" i="1"/>
  <c r="X766" i="1"/>
  <c r="Y766" i="1"/>
  <c r="Z766" i="1"/>
  <c r="AA766" i="1"/>
  <c r="AB766" i="1"/>
  <c r="V767" i="1"/>
  <c r="W767" i="1"/>
  <c r="X767" i="1"/>
  <c r="Y767" i="1"/>
  <c r="Z767" i="1"/>
  <c r="AA767" i="1"/>
  <c r="AB767" i="1"/>
  <c r="V768" i="1"/>
  <c r="W768" i="1"/>
  <c r="X768" i="1"/>
  <c r="Y768" i="1"/>
  <c r="Z768" i="1"/>
  <c r="AA768" i="1"/>
  <c r="AB768" i="1"/>
  <c r="V769" i="1"/>
  <c r="W769" i="1"/>
  <c r="X769" i="1"/>
  <c r="Y769" i="1"/>
  <c r="Z769" i="1"/>
  <c r="AA769" i="1"/>
  <c r="AB769" i="1"/>
  <c r="V770" i="1"/>
  <c r="W770" i="1"/>
  <c r="X770" i="1"/>
  <c r="Y770" i="1"/>
  <c r="Z770" i="1"/>
  <c r="AA770" i="1"/>
  <c r="AB770" i="1"/>
  <c r="V771" i="1"/>
  <c r="W771" i="1"/>
  <c r="X771" i="1"/>
  <c r="Y771" i="1"/>
  <c r="Z771" i="1"/>
  <c r="AA771" i="1"/>
  <c r="AB771" i="1"/>
  <c r="V772" i="1"/>
  <c r="W772" i="1"/>
  <c r="X772" i="1"/>
  <c r="Y772" i="1"/>
  <c r="Z772" i="1"/>
  <c r="AA772" i="1"/>
  <c r="AB772" i="1"/>
  <c r="V773" i="1"/>
  <c r="W773" i="1"/>
  <c r="X773" i="1"/>
  <c r="Y773" i="1"/>
  <c r="Z773" i="1"/>
  <c r="AA773" i="1"/>
  <c r="AB773" i="1"/>
  <c r="V774" i="1"/>
  <c r="W774" i="1"/>
  <c r="X774" i="1"/>
  <c r="Y774" i="1"/>
  <c r="Z774" i="1"/>
  <c r="AA774" i="1"/>
  <c r="AB774" i="1"/>
  <c r="V775" i="1"/>
  <c r="W775" i="1"/>
  <c r="X775" i="1"/>
  <c r="Y775" i="1"/>
  <c r="Z775" i="1"/>
  <c r="AA775" i="1"/>
  <c r="AB775" i="1"/>
  <c r="V776" i="1"/>
  <c r="W776" i="1"/>
  <c r="X776" i="1"/>
  <c r="Y776" i="1"/>
  <c r="Z776" i="1"/>
  <c r="AA776" i="1"/>
  <c r="AB776" i="1"/>
  <c r="V777" i="1"/>
  <c r="W777" i="1"/>
  <c r="X777" i="1"/>
  <c r="Y777" i="1"/>
  <c r="Z777" i="1"/>
  <c r="AA777" i="1"/>
  <c r="AB777" i="1"/>
  <c r="V778" i="1"/>
  <c r="W778" i="1"/>
  <c r="X778" i="1"/>
  <c r="Y778" i="1"/>
  <c r="Z778" i="1"/>
  <c r="AA778" i="1"/>
  <c r="AB778" i="1"/>
  <c r="V779" i="1"/>
  <c r="W779" i="1"/>
  <c r="X779" i="1"/>
  <c r="Y779" i="1"/>
  <c r="Z779" i="1"/>
  <c r="AA779" i="1"/>
  <c r="AB779" i="1"/>
  <c r="V780" i="1"/>
  <c r="W780" i="1"/>
  <c r="X780" i="1"/>
  <c r="Y780" i="1"/>
  <c r="Z780" i="1"/>
  <c r="AA780" i="1"/>
  <c r="AB780" i="1"/>
  <c r="V781" i="1"/>
  <c r="W781" i="1"/>
  <c r="X781" i="1"/>
  <c r="Y781" i="1"/>
  <c r="Z781" i="1"/>
  <c r="AA781" i="1"/>
  <c r="AB781" i="1"/>
  <c r="V782" i="1"/>
  <c r="W782" i="1"/>
  <c r="X782" i="1"/>
  <c r="Y782" i="1"/>
  <c r="Z782" i="1"/>
  <c r="AA782" i="1"/>
  <c r="AB782" i="1"/>
  <c r="V783" i="1"/>
  <c r="W783" i="1"/>
  <c r="X783" i="1"/>
  <c r="Y783" i="1"/>
  <c r="Z783" i="1"/>
  <c r="AA783" i="1"/>
  <c r="AB783" i="1"/>
  <c r="V784" i="1"/>
  <c r="W784" i="1"/>
  <c r="X784" i="1"/>
  <c r="Y784" i="1"/>
  <c r="Z784" i="1"/>
  <c r="AA784" i="1"/>
  <c r="AB784" i="1"/>
  <c r="V785" i="1"/>
  <c r="W785" i="1"/>
  <c r="X785" i="1"/>
  <c r="Y785" i="1"/>
  <c r="Z785" i="1"/>
  <c r="AA785" i="1"/>
  <c r="AB785" i="1"/>
  <c r="V786" i="1"/>
  <c r="W786" i="1"/>
  <c r="X786" i="1"/>
  <c r="Y786" i="1"/>
  <c r="Z786" i="1"/>
  <c r="AA786" i="1"/>
  <c r="AB786" i="1"/>
  <c r="V787" i="1"/>
  <c r="W787" i="1"/>
  <c r="X787" i="1"/>
  <c r="Y787" i="1"/>
  <c r="Z787" i="1"/>
  <c r="AA787" i="1"/>
  <c r="AB787" i="1"/>
  <c r="V788" i="1"/>
  <c r="W788" i="1"/>
  <c r="X788" i="1"/>
  <c r="Y788" i="1"/>
  <c r="Z788" i="1"/>
  <c r="AA788" i="1"/>
  <c r="AB788" i="1"/>
  <c r="V789" i="1"/>
  <c r="W789" i="1"/>
  <c r="X789" i="1"/>
  <c r="Y789" i="1"/>
  <c r="Z789" i="1"/>
  <c r="AA789" i="1"/>
  <c r="AB789" i="1"/>
  <c r="V790" i="1"/>
  <c r="W790" i="1"/>
  <c r="X790" i="1"/>
  <c r="Y790" i="1"/>
  <c r="Z790" i="1"/>
  <c r="AA790" i="1"/>
  <c r="AB790" i="1"/>
  <c r="V791" i="1"/>
  <c r="W791" i="1"/>
  <c r="X791" i="1"/>
  <c r="Y791" i="1"/>
  <c r="Z791" i="1"/>
  <c r="AA791" i="1"/>
  <c r="AB791" i="1"/>
  <c r="V792" i="1"/>
  <c r="W792" i="1"/>
  <c r="X792" i="1"/>
  <c r="Y792" i="1"/>
  <c r="Z792" i="1"/>
  <c r="AA792" i="1"/>
  <c r="AB792" i="1"/>
  <c r="V793" i="1"/>
  <c r="W793" i="1"/>
  <c r="X793" i="1"/>
  <c r="Y793" i="1"/>
  <c r="Z793" i="1"/>
  <c r="AA793" i="1"/>
  <c r="AB793" i="1"/>
  <c r="V794" i="1"/>
  <c r="W794" i="1"/>
  <c r="X794" i="1"/>
  <c r="Y794" i="1"/>
  <c r="Z794" i="1"/>
  <c r="AA794" i="1"/>
  <c r="AB794" i="1"/>
  <c r="V795" i="1"/>
  <c r="W795" i="1"/>
  <c r="X795" i="1"/>
  <c r="Y795" i="1"/>
  <c r="Z795" i="1"/>
  <c r="AA795" i="1"/>
  <c r="AB795" i="1"/>
  <c r="V796" i="1"/>
  <c r="W796" i="1"/>
  <c r="X796" i="1"/>
  <c r="Y796" i="1"/>
  <c r="Z796" i="1"/>
  <c r="AA796" i="1"/>
  <c r="AB796" i="1"/>
  <c r="V797" i="1"/>
  <c r="W797" i="1"/>
  <c r="X797" i="1"/>
  <c r="Y797" i="1"/>
  <c r="Z797" i="1"/>
  <c r="AA797" i="1"/>
  <c r="AB797" i="1"/>
  <c r="V798" i="1"/>
  <c r="W798" i="1"/>
  <c r="X798" i="1"/>
  <c r="Y798" i="1"/>
  <c r="Z798" i="1"/>
  <c r="AA798" i="1"/>
  <c r="AB798" i="1"/>
  <c r="V799" i="1"/>
  <c r="W799" i="1"/>
  <c r="X799" i="1"/>
  <c r="Y799" i="1"/>
  <c r="Z799" i="1"/>
  <c r="AA799" i="1"/>
  <c r="AB799" i="1"/>
  <c r="V800" i="1"/>
  <c r="W800" i="1"/>
  <c r="X800" i="1"/>
  <c r="Y800" i="1"/>
  <c r="Z800" i="1"/>
  <c r="AA800" i="1"/>
  <c r="AB800" i="1"/>
  <c r="V801" i="1"/>
  <c r="W801" i="1"/>
  <c r="X801" i="1"/>
  <c r="Y801" i="1"/>
  <c r="Z801" i="1"/>
  <c r="AA801" i="1"/>
  <c r="AB801" i="1"/>
  <c r="V802" i="1"/>
  <c r="W802" i="1"/>
  <c r="X802" i="1"/>
  <c r="Y802" i="1"/>
  <c r="Z802" i="1"/>
  <c r="AA802" i="1"/>
  <c r="AB802" i="1"/>
  <c r="V803" i="1"/>
  <c r="W803" i="1"/>
  <c r="X803" i="1"/>
  <c r="Y803" i="1"/>
  <c r="Z803" i="1"/>
  <c r="AA803" i="1"/>
  <c r="AB803" i="1"/>
  <c r="V804" i="1"/>
  <c r="W804" i="1"/>
  <c r="X804" i="1"/>
  <c r="Y804" i="1"/>
  <c r="Z804" i="1"/>
  <c r="AA804" i="1"/>
  <c r="AB804" i="1"/>
  <c r="V805" i="1"/>
  <c r="W805" i="1"/>
  <c r="X805" i="1"/>
  <c r="Y805" i="1"/>
  <c r="Z805" i="1"/>
  <c r="AA805" i="1"/>
  <c r="AB805" i="1"/>
  <c r="V806" i="1"/>
  <c r="W806" i="1"/>
  <c r="X806" i="1"/>
  <c r="Y806" i="1"/>
  <c r="Z806" i="1"/>
  <c r="AA806" i="1"/>
  <c r="AB806" i="1"/>
  <c r="V807" i="1"/>
  <c r="W807" i="1"/>
  <c r="X807" i="1"/>
  <c r="Y807" i="1"/>
  <c r="Z807" i="1"/>
  <c r="AA807" i="1"/>
  <c r="AB807" i="1"/>
  <c r="V808" i="1"/>
  <c r="W808" i="1"/>
  <c r="X808" i="1"/>
  <c r="Y808" i="1"/>
  <c r="Z808" i="1"/>
  <c r="AA808" i="1"/>
  <c r="AB808" i="1"/>
  <c r="V809" i="1"/>
  <c r="W809" i="1"/>
  <c r="X809" i="1"/>
  <c r="Y809" i="1"/>
  <c r="Z809" i="1"/>
  <c r="AA809" i="1"/>
  <c r="AB809" i="1"/>
  <c r="V810" i="1"/>
  <c r="W810" i="1"/>
  <c r="X810" i="1"/>
  <c r="Y810" i="1"/>
  <c r="Z810" i="1"/>
  <c r="AA810" i="1"/>
  <c r="AB810" i="1"/>
  <c r="V811" i="1"/>
  <c r="W811" i="1"/>
  <c r="X811" i="1"/>
  <c r="Y811" i="1"/>
  <c r="Z811" i="1"/>
  <c r="AA811" i="1"/>
  <c r="AB811" i="1"/>
  <c r="V812" i="1"/>
  <c r="W812" i="1"/>
  <c r="X812" i="1"/>
  <c r="Y812" i="1"/>
  <c r="Z812" i="1"/>
  <c r="AA812" i="1"/>
  <c r="AB812" i="1"/>
  <c r="V813" i="1"/>
  <c r="W813" i="1"/>
  <c r="X813" i="1"/>
  <c r="Y813" i="1"/>
  <c r="Z813" i="1"/>
  <c r="AA813" i="1"/>
  <c r="AB813" i="1"/>
  <c r="V814" i="1"/>
  <c r="W814" i="1"/>
  <c r="X814" i="1"/>
  <c r="Y814" i="1"/>
  <c r="Z814" i="1"/>
  <c r="AA814" i="1"/>
  <c r="AB814" i="1"/>
  <c r="V815" i="1"/>
  <c r="W815" i="1"/>
  <c r="X815" i="1"/>
  <c r="Y815" i="1"/>
  <c r="Z815" i="1"/>
  <c r="AA815" i="1"/>
  <c r="AB815" i="1"/>
  <c r="V816" i="1"/>
  <c r="W816" i="1"/>
  <c r="X816" i="1"/>
  <c r="Y816" i="1"/>
  <c r="Z816" i="1"/>
  <c r="AA816" i="1"/>
  <c r="AB816" i="1"/>
  <c r="V817" i="1"/>
  <c r="W817" i="1"/>
  <c r="X817" i="1"/>
  <c r="Y817" i="1"/>
  <c r="Z817" i="1"/>
  <c r="AA817" i="1"/>
  <c r="AB817" i="1"/>
  <c r="V818" i="1"/>
  <c r="W818" i="1"/>
  <c r="X818" i="1"/>
  <c r="Y818" i="1"/>
  <c r="Z818" i="1"/>
  <c r="AA818" i="1"/>
  <c r="AB818" i="1"/>
  <c r="V819" i="1"/>
  <c r="W819" i="1"/>
  <c r="X819" i="1"/>
  <c r="Y819" i="1"/>
  <c r="Z819" i="1"/>
  <c r="AA819" i="1"/>
  <c r="AB819" i="1"/>
  <c r="V820" i="1"/>
  <c r="W820" i="1"/>
  <c r="X820" i="1"/>
  <c r="Y820" i="1"/>
  <c r="Z820" i="1"/>
  <c r="AA820" i="1"/>
  <c r="AB820" i="1"/>
  <c r="V821" i="1"/>
  <c r="W821" i="1"/>
  <c r="X821" i="1"/>
  <c r="Y821" i="1"/>
  <c r="Z821" i="1"/>
  <c r="AA821" i="1"/>
  <c r="AB821" i="1"/>
  <c r="V822" i="1"/>
  <c r="W822" i="1"/>
  <c r="X822" i="1"/>
  <c r="Y822" i="1"/>
  <c r="Z822" i="1"/>
  <c r="AA822" i="1"/>
  <c r="AB822" i="1"/>
  <c r="V823" i="1"/>
  <c r="W823" i="1"/>
  <c r="X823" i="1"/>
  <c r="Y823" i="1"/>
  <c r="Z823" i="1"/>
  <c r="AA823" i="1"/>
  <c r="AB823" i="1"/>
  <c r="V824" i="1"/>
  <c r="W824" i="1"/>
  <c r="X824" i="1"/>
  <c r="Y824" i="1"/>
  <c r="Z824" i="1"/>
  <c r="AA824" i="1"/>
  <c r="AB824" i="1"/>
  <c r="V825" i="1"/>
  <c r="W825" i="1"/>
  <c r="X825" i="1"/>
  <c r="Y825" i="1"/>
  <c r="Z825" i="1"/>
  <c r="AA825" i="1"/>
  <c r="AB825" i="1"/>
  <c r="V826" i="1"/>
  <c r="W826" i="1"/>
  <c r="X826" i="1"/>
  <c r="Y826" i="1"/>
  <c r="Z826" i="1"/>
  <c r="AA826" i="1"/>
  <c r="AB826" i="1"/>
  <c r="V827" i="1"/>
  <c r="W827" i="1"/>
  <c r="X827" i="1"/>
  <c r="Y827" i="1"/>
  <c r="Z827" i="1"/>
  <c r="AA827" i="1"/>
  <c r="AB827" i="1"/>
  <c r="V828" i="1"/>
  <c r="W828" i="1"/>
  <c r="X828" i="1"/>
  <c r="Y828" i="1"/>
  <c r="Z828" i="1"/>
  <c r="AA828" i="1"/>
  <c r="AB828" i="1"/>
  <c r="V829" i="1"/>
  <c r="W829" i="1"/>
  <c r="X829" i="1"/>
  <c r="Y829" i="1"/>
  <c r="Z829" i="1"/>
  <c r="AA829" i="1"/>
  <c r="AB829" i="1"/>
  <c r="V830" i="1"/>
  <c r="W830" i="1"/>
  <c r="X830" i="1"/>
  <c r="Y830" i="1"/>
  <c r="Z830" i="1"/>
  <c r="AA830" i="1"/>
  <c r="AB830" i="1"/>
  <c r="V831" i="1"/>
  <c r="W831" i="1"/>
  <c r="X831" i="1"/>
  <c r="Y831" i="1"/>
  <c r="Z831" i="1"/>
  <c r="AA831" i="1"/>
  <c r="AB831" i="1"/>
  <c r="V832" i="1"/>
  <c r="W832" i="1"/>
  <c r="X832" i="1"/>
  <c r="Y832" i="1"/>
  <c r="Z832" i="1"/>
  <c r="AA832" i="1"/>
  <c r="AB832" i="1"/>
  <c r="V833" i="1"/>
  <c r="W833" i="1"/>
  <c r="X833" i="1"/>
  <c r="Y833" i="1"/>
  <c r="Z833" i="1"/>
  <c r="AA833" i="1"/>
  <c r="AB833" i="1"/>
  <c r="V834" i="1"/>
  <c r="W834" i="1"/>
  <c r="X834" i="1"/>
  <c r="Y834" i="1"/>
  <c r="Z834" i="1"/>
  <c r="AA834" i="1"/>
  <c r="AB834" i="1"/>
  <c r="V835" i="1"/>
  <c r="W835" i="1"/>
  <c r="X835" i="1"/>
  <c r="Y835" i="1"/>
  <c r="Z835" i="1"/>
  <c r="AA835" i="1"/>
  <c r="AB835" i="1"/>
  <c r="V836" i="1"/>
  <c r="W836" i="1"/>
  <c r="X836" i="1"/>
  <c r="Y836" i="1"/>
  <c r="Z836" i="1"/>
  <c r="AA836" i="1"/>
  <c r="AB836" i="1"/>
  <c r="V837" i="1"/>
  <c r="W837" i="1"/>
  <c r="X837" i="1"/>
  <c r="Y837" i="1"/>
  <c r="Z837" i="1"/>
  <c r="AA837" i="1"/>
  <c r="AB837" i="1"/>
  <c r="V838" i="1"/>
  <c r="W838" i="1"/>
  <c r="X838" i="1"/>
  <c r="Y838" i="1"/>
  <c r="Z838" i="1"/>
  <c r="AA838" i="1"/>
  <c r="AB838" i="1"/>
  <c r="V839" i="1"/>
  <c r="W839" i="1"/>
  <c r="X839" i="1"/>
  <c r="Y839" i="1"/>
  <c r="Z839" i="1"/>
  <c r="AA839" i="1"/>
  <c r="AB839" i="1"/>
  <c r="V840" i="1"/>
  <c r="W840" i="1"/>
  <c r="X840" i="1"/>
  <c r="Y840" i="1"/>
  <c r="Z840" i="1"/>
  <c r="AA840" i="1"/>
  <c r="AB840" i="1"/>
  <c r="V841" i="1"/>
  <c r="W841" i="1"/>
  <c r="X841" i="1"/>
  <c r="Y841" i="1"/>
  <c r="Z841" i="1"/>
  <c r="AA841" i="1"/>
  <c r="AB841" i="1"/>
  <c r="V842" i="1"/>
  <c r="W842" i="1"/>
  <c r="X842" i="1"/>
  <c r="Y842" i="1"/>
  <c r="Z842" i="1"/>
  <c r="AA842" i="1"/>
  <c r="AB842" i="1"/>
  <c r="V843" i="1"/>
  <c r="W843" i="1"/>
  <c r="X843" i="1"/>
  <c r="Y843" i="1"/>
  <c r="Z843" i="1"/>
  <c r="AA843" i="1"/>
  <c r="AB843" i="1"/>
  <c r="V844" i="1"/>
  <c r="W844" i="1"/>
  <c r="X844" i="1"/>
  <c r="Y844" i="1"/>
  <c r="Z844" i="1"/>
  <c r="AA844" i="1"/>
  <c r="AB844" i="1"/>
  <c r="V845" i="1"/>
  <c r="W845" i="1"/>
  <c r="X845" i="1"/>
  <c r="Y845" i="1"/>
  <c r="Z845" i="1"/>
  <c r="AA845" i="1"/>
  <c r="AB845" i="1"/>
  <c r="V846" i="1"/>
  <c r="W846" i="1"/>
  <c r="X846" i="1"/>
  <c r="Y846" i="1"/>
  <c r="Z846" i="1"/>
  <c r="AA846" i="1"/>
  <c r="AB846" i="1"/>
  <c r="V847" i="1"/>
  <c r="W847" i="1"/>
  <c r="X847" i="1"/>
  <c r="Y847" i="1"/>
  <c r="Z847" i="1"/>
  <c r="AA847" i="1"/>
  <c r="AB847" i="1"/>
  <c r="V848" i="1"/>
  <c r="W848" i="1"/>
  <c r="X848" i="1"/>
  <c r="Y848" i="1"/>
  <c r="Z848" i="1"/>
  <c r="AA848" i="1"/>
  <c r="AB848" i="1"/>
  <c r="V849" i="1"/>
  <c r="W849" i="1"/>
  <c r="X849" i="1"/>
  <c r="Y849" i="1"/>
  <c r="Z849" i="1"/>
  <c r="AA849" i="1"/>
  <c r="AB849" i="1"/>
  <c r="V850" i="1"/>
  <c r="W850" i="1"/>
  <c r="X850" i="1"/>
  <c r="Y850" i="1"/>
  <c r="Z850" i="1"/>
  <c r="AA850" i="1"/>
  <c r="AB850" i="1"/>
  <c r="V851" i="1"/>
  <c r="W851" i="1"/>
  <c r="X851" i="1"/>
  <c r="Y851" i="1"/>
  <c r="Z851" i="1"/>
  <c r="AA851" i="1"/>
  <c r="AB851" i="1"/>
  <c r="V852" i="1"/>
  <c r="W852" i="1"/>
  <c r="X852" i="1"/>
  <c r="Y852" i="1"/>
  <c r="Z852" i="1"/>
  <c r="AA852" i="1"/>
  <c r="AB852" i="1"/>
  <c r="V853" i="1"/>
  <c r="W853" i="1"/>
  <c r="X853" i="1"/>
  <c r="Y853" i="1"/>
  <c r="Z853" i="1"/>
  <c r="AA853" i="1"/>
  <c r="AB853" i="1"/>
  <c r="V854" i="1"/>
  <c r="W854" i="1"/>
  <c r="X854" i="1"/>
  <c r="Y854" i="1"/>
  <c r="Z854" i="1"/>
  <c r="AA854" i="1"/>
  <c r="AB854" i="1"/>
  <c r="V855" i="1"/>
  <c r="W855" i="1"/>
  <c r="X855" i="1"/>
  <c r="Y855" i="1"/>
  <c r="Z855" i="1"/>
  <c r="AA855" i="1"/>
  <c r="AB855" i="1"/>
  <c r="V856" i="1"/>
  <c r="W856" i="1"/>
  <c r="X856" i="1"/>
  <c r="Y856" i="1"/>
  <c r="Z856" i="1"/>
  <c r="AA856" i="1"/>
  <c r="AB856" i="1"/>
  <c r="V857" i="1"/>
  <c r="W857" i="1"/>
  <c r="X857" i="1"/>
  <c r="Y857" i="1"/>
  <c r="Z857" i="1"/>
  <c r="AA857" i="1"/>
  <c r="AB857" i="1"/>
  <c r="V858" i="1"/>
  <c r="W858" i="1"/>
  <c r="X858" i="1"/>
  <c r="Y858" i="1"/>
  <c r="Z858" i="1"/>
  <c r="AA858" i="1"/>
  <c r="AB858" i="1"/>
  <c r="V859" i="1"/>
  <c r="W859" i="1"/>
  <c r="X859" i="1"/>
  <c r="Y859" i="1"/>
  <c r="Z859" i="1"/>
  <c r="AA859" i="1"/>
  <c r="AB859" i="1"/>
  <c r="V860" i="1"/>
  <c r="W860" i="1"/>
  <c r="X860" i="1"/>
  <c r="Y860" i="1"/>
  <c r="Z860" i="1"/>
  <c r="AA860" i="1"/>
  <c r="AB860" i="1"/>
  <c r="V861" i="1"/>
  <c r="W861" i="1"/>
  <c r="X861" i="1"/>
  <c r="Y861" i="1"/>
  <c r="Z861" i="1"/>
  <c r="AA861" i="1"/>
  <c r="AB861" i="1"/>
  <c r="V862" i="1"/>
  <c r="W862" i="1"/>
  <c r="X862" i="1"/>
  <c r="Y862" i="1"/>
  <c r="Z862" i="1"/>
  <c r="AA862" i="1"/>
  <c r="AB862" i="1"/>
  <c r="V863" i="1"/>
  <c r="W863" i="1"/>
  <c r="X863" i="1"/>
  <c r="Y863" i="1"/>
  <c r="Z863" i="1"/>
  <c r="AA863" i="1"/>
  <c r="AB863" i="1"/>
  <c r="V864" i="1"/>
  <c r="W864" i="1"/>
  <c r="X864" i="1"/>
  <c r="Y864" i="1"/>
  <c r="Z864" i="1"/>
  <c r="AA864" i="1"/>
  <c r="AB864" i="1"/>
  <c r="V865" i="1"/>
  <c r="W865" i="1"/>
  <c r="X865" i="1"/>
  <c r="Y865" i="1"/>
  <c r="Z865" i="1"/>
  <c r="AA865" i="1"/>
  <c r="AB865" i="1"/>
  <c r="V866" i="1"/>
  <c r="W866" i="1"/>
  <c r="X866" i="1"/>
  <c r="Y866" i="1"/>
  <c r="Z866" i="1"/>
  <c r="AA866" i="1"/>
  <c r="AB866" i="1"/>
  <c r="V867" i="1"/>
  <c r="W867" i="1"/>
  <c r="X867" i="1"/>
  <c r="Y867" i="1"/>
  <c r="Z867" i="1"/>
  <c r="AA867" i="1"/>
  <c r="AB867" i="1"/>
  <c r="V868" i="1"/>
  <c r="W868" i="1"/>
  <c r="X868" i="1"/>
  <c r="Y868" i="1"/>
  <c r="Z868" i="1"/>
  <c r="AA868" i="1"/>
  <c r="AB868" i="1"/>
  <c r="V869" i="1"/>
  <c r="W869" i="1"/>
  <c r="X869" i="1"/>
  <c r="Y869" i="1"/>
  <c r="Z869" i="1"/>
  <c r="AA869" i="1"/>
  <c r="AB869" i="1"/>
  <c r="V870" i="1"/>
  <c r="W870" i="1"/>
  <c r="X870" i="1"/>
  <c r="Y870" i="1"/>
  <c r="Z870" i="1"/>
  <c r="AA870" i="1"/>
  <c r="AB870" i="1"/>
  <c r="V871" i="1"/>
  <c r="W871" i="1"/>
  <c r="X871" i="1"/>
  <c r="Y871" i="1"/>
  <c r="Z871" i="1"/>
  <c r="AA871" i="1"/>
  <c r="AB871" i="1"/>
  <c r="V872" i="1"/>
  <c r="W872" i="1"/>
  <c r="X872" i="1"/>
  <c r="Y872" i="1"/>
  <c r="Z872" i="1"/>
  <c r="AA872" i="1"/>
  <c r="AB872" i="1"/>
  <c r="V873" i="1"/>
  <c r="W873" i="1"/>
  <c r="X873" i="1"/>
  <c r="Y873" i="1"/>
  <c r="Z873" i="1"/>
  <c r="AA873" i="1"/>
  <c r="AB873" i="1"/>
  <c r="V874" i="1"/>
  <c r="W874" i="1"/>
  <c r="X874" i="1"/>
  <c r="Y874" i="1"/>
  <c r="Z874" i="1"/>
  <c r="AA874" i="1"/>
  <c r="AB874" i="1"/>
  <c r="V875" i="1"/>
  <c r="W875" i="1"/>
  <c r="X875" i="1"/>
  <c r="Y875" i="1"/>
  <c r="Z875" i="1"/>
  <c r="AA875" i="1"/>
  <c r="AB875" i="1"/>
  <c r="V876" i="1"/>
  <c r="W876" i="1"/>
  <c r="X876" i="1"/>
  <c r="Y876" i="1"/>
  <c r="Z876" i="1"/>
  <c r="AA876" i="1"/>
  <c r="AB876" i="1"/>
  <c r="V877" i="1"/>
  <c r="W877" i="1"/>
  <c r="X877" i="1"/>
  <c r="Y877" i="1"/>
  <c r="Z877" i="1"/>
  <c r="AA877" i="1"/>
  <c r="AB877" i="1"/>
  <c r="V878" i="1"/>
  <c r="W878" i="1"/>
  <c r="X878" i="1"/>
  <c r="Y878" i="1"/>
  <c r="Z878" i="1"/>
  <c r="AA878" i="1"/>
  <c r="AB878" i="1"/>
  <c r="V879" i="1"/>
  <c r="W879" i="1"/>
  <c r="X879" i="1"/>
  <c r="Y879" i="1"/>
  <c r="Z879" i="1"/>
  <c r="AA879" i="1"/>
  <c r="AB879" i="1"/>
  <c r="V880" i="1"/>
  <c r="W880" i="1"/>
  <c r="X880" i="1"/>
  <c r="Y880" i="1"/>
  <c r="Z880" i="1"/>
  <c r="AA880" i="1"/>
  <c r="AB880" i="1"/>
  <c r="V881" i="1"/>
  <c r="W881" i="1"/>
  <c r="X881" i="1"/>
  <c r="Y881" i="1"/>
  <c r="Z881" i="1"/>
  <c r="AA881" i="1"/>
  <c r="AB881" i="1"/>
  <c r="V882" i="1"/>
  <c r="W882" i="1"/>
  <c r="X882" i="1"/>
  <c r="Y882" i="1"/>
  <c r="Z882" i="1"/>
  <c r="AA882" i="1"/>
  <c r="AB882" i="1"/>
  <c r="V883" i="1"/>
  <c r="W883" i="1"/>
  <c r="X883" i="1"/>
  <c r="Y883" i="1"/>
  <c r="Z883" i="1"/>
  <c r="AA883" i="1"/>
  <c r="AB883" i="1"/>
  <c r="V884" i="1"/>
  <c r="W884" i="1"/>
  <c r="X884" i="1"/>
  <c r="Y884" i="1"/>
  <c r="Z884" i="1"/>
  <c r="AA884" i="1"/>
  <c r="AB884" i="1"/>
  <c r="V885" i="1"/>
  <c r="W885" i="1"/>
  <c r="X885" i="1"/>
  <c r="Y885" i="1"/>
  <c r="Z885" i="1"/>
  <c r="AA885" i="1"/>
  <c r="AB885" i="1"/>
  <c r="V886" i="1"/>
  <c r="W886" i="1"/>
  <c r="X886" i="1"/>
  <c r="Y886" i="1"/>
  <c r="Z886" i="1"/>
  <c r="AA886" i="1"/>
  <c r="AB886" i="1"/>
  <c r="V887" i="1"/>
  <c r="W887" i="1"/>
  <c r="X887" i="1"/>
  <c r="Y887" i="1"/>
  <c r="Z887" i="1"/>
  <c r="AA887" i="1"/>
  <c r="AB887" i="1"/>
  <c r="V888" i="1"/>
  <c r="W888" i="1"/>
  <c r="X888" i="1"/>
  <c r="Y888" i="1"/>
  <c r="Z888" i="1"/>
  <c r="AA888" i="1"/>
  <c r="AB888" i="1"/>
  <c r="V889" i="1"/>
  <c r="W889" i="1"/>
  <c r="X889" i="1"/>
  <c r="Y889" i="1"/>
  <c r="Z889" i="1"/>
  <c r="AA889" i="1"/>
  <c r="AB889" i="1"/>
  <c r="V890" i="1"/>
  <c r="W890" i="1"/>
  <c r="X890" i="1"/>
  <c r="Y890" i="1"/>
  <c r="Z890" i="1"/>
  <c r="AA890" i="1"/>
  <c r="AB890" i="1"/>
  <c r="V891" i="1"/>
  <c r="W891" i="1"/>
  <c r="X891" i="1"/>
  <c r="Y891" i="1"/>
  <c r="Z891" i="1"/>
  <c r="AA891" i="1"/>
  <c r="AB891" i="1"/>
  <c r="V892" i="1"/>
  <c r="W892" i="1"/>
  <c r="X892" i="1"/>
  <c r="Y892" i="1"/>
  <c r="Z892" i="1"/>
  <c r="AA892" i="1"/>
  <c r="AB892" i="1"/>
  <c r="V893" i="1"/>
  <c r="W893" i="1"/>
  <c r="X893" i="1"/>
  <c r="Y893" i="1"/>
  <c r="Z893" i="1"/>
  <c r="AA893" i="1"/>
  <c r="AB893" i="1"/>
  <c r="V894" i="1"/>
  <c r="W894" i="1"/>
  <c r="X894" i="1"/>
  <c r="Y894" i="1"/>
  <c r="Z894" i="1"/>
  <c r="AA894" i="1"/>
  <c r="AB894" i="1"/>
  <c r="V895" i="1"/>
  <c r="W895" i="1"/>
  <c r="X895" i="1"/>
  <c r="Y895" i="1"/>
  <c r="Z895" i="1"/>
  <c r="AA895" i="1"/>
  <c r="AB895" i="1"/>
  <c r="V896" i="1"/>
  <c r="W896" i="1"/>
  <c r="X896" i="1"/>
  <c r="Y896" i="1"/>
  <c r="Z896" i="1"/>
  <c r="AA896" i="1"/>
  <c r="AB896" i="1"/>
  <c r="V897" i="1"/>
  <c r="W897" i="1"/>
  <c r="X897" i="1"/>
  <c r="Y897" i="1"/>
  <c r="Z897" i="1"/>
  <c r="AA897" i="1"/>
  <c r="AB897" i="1"/>
  <c r="V898" i="1"/>
  <c r="W898" i="1"/>
  <c r="X898" i="1"/>
  <c r="Y898" i="1"/>
  <c r="Z898" i="1"/>
  <c r="AA898" i="1"/>
  <c r="AB898" i="1"/>
  <c r="V899" i="1"/>
  <c r="W899" i="1"/>
  <c r="X899" i="1"/>
  <c r="Y899" i="1"/>
  <c r="Z899" i="1"/>
  <c r="AA899" i="1"/>
  <c r="AB899" i="1"/>
  <c r="V900" i="1"/>
  <c r="W900" i="1"/>
  <c r="X900" i="1"/>
  <c r="Y900" i="1"/>
  <c r="Z900" i="1"/>
  <c r="AA900" i="1"/>
  <c r="AB900" i="1"/>
  <c r="V901" i="1"/>
  <c r="W901" i="1"/>
  <c r="X901" i="1"/>
  <c r="Y901" i="1"/>
  <c r="Z901" i="1"/>
  <c r="AA901" i="1"/>
  <c r="AB901" i="1"/>
  <c r="V902" i="1"/>
  <c r="W902" i="1"/>
  <c r="X902" i="1"/>
  <c r="Y902" i="1"/>
  <c r="Z902" i="1"/>
  <c r="AA902" i="1"/>
  <c r="AB902" i="1"/>
  <c r="V903" i="1"/>
  <c r="W903" i="1"/>
  <c r="X903" i="1"/>
  <c r="Y903" i="1"/>
  <c r="Z903" i="1"/>
  <c r="AA903" i="1"/>
  <c r="AB903" i="1"/>
  <c r="V904" i="1"/>
  <c r="W904" i="1"/>
  <c r="X904" i="1"/>
  <c r="Y904" i="1"/>
  <c r="Z904" i="1"/>
  <c r="AA904" i="1"/>
  <c r="AB904" i="1"/>
  <c r="V905" i="1"/>
  <c r="W905" i="1"/>
  <c r="X905" i="1"/>
  <c r="Y905" i="1"/>
  <c r="Z905" i="1"/>
  <c r="AA905" i="1"/>
  <c r="AB905" i="1"/>
  <c r="V906" i="1"/>
  <c r="W906" i="1"/>
  <c r="X906" i="1"/>
  <c r="Y906" i="1"/>
  <c r="Z906" i="1"/>
  <c r="AA906" i="1"/>
  <c r="AB906" i="1"/>
  <c r="V907" i="1"/>
  <c r="W907" i="1"/>
  <c r="X907" i="1"/>
  <c r="Y907" i="1"/>
  <c r="Z907" i="1"/>
  <c r="AA907" i="1"/>
  <c r="AB907" i="1"/>
  <c r="V908" i="1"/>
  <c r="W908" i="1"/>
  <c r="X908" i="1"/>
  <c r="Y908" i="1"/>
  <c r="Z908" i="1"/>
  <c r="AA908" i="1"/>
  <c r="AB908" i="1"/>
  <c r="V909" i="1"/>
  <c r="W909" i="1"/>
  <c r="X909" i="1"/>
  <c r="Y909" i="1"/>
  <c r="Z909" i="1"/>
  <c r="AA909" i="1"/>
  <c r="AB909" i="1"/>
  <c r="V910" i="1"/>
  <c r="W910" i="1"/>
  <c r="X910" i="1"/>
  <c r="Y910" i="1"/>
  <c r="Z910" i="1"/>
  <c r="AA910" i="1"/>
  <c r="AB910" i="1"/>
  <c r="V911" i="1"/>
  <c r="W911" i="1"/>
  <c r="X911" i="1"/>
  <c r="Y911" i="1"/>
  <c r="Z911" i="1"/>
  <c r="AA911" i="1"/>
  <c r="AB911" i="1"/>
  <c r="V912" i="1"/>
  <c r="W912" i="1"/>
  <c r="X912" i="1"/>
  <c r="Y912" i="1"/>
  <c r="Z912" i="1"/>
  <c r="AA912" i="1"/>
  <c r="AB912" i="1"/>
  <c r="V913" i="1"/>
  <c r="W913" i="1"/>
  <c r="X913" i="1"/>
  <c r="Y913" i="1"/>
  <c r="Z913" i="1"/>
  <c r="AA913" i="1"/>
  <c r="AB913" i="1"/>
  <c r="V914" i="1"/>
  <c r="W914" i="1"/>
  <c r="X914" i="1"/>
  <c r="Y914" i="1"/>
  <c r="Z914" i="1"/>
  <c r="AA914" i="1"/>
  <c r="AB914" i="1"/>
  <c r="V915" i="1"/>
  <c r="W915" i="1"/>
  <c r="X915" i="1"/>
  <c r="Y915" i="1"/>
  <c r="Z915" i="1"/>
  <c r="AA915" i="1"/>
  <c r="AB915" i="1"/>
  <c r="V916" i="1"/>
  <c r="W916" i="1"/>
  <c r="X916" i="1"/>
  <c r="Y916" i="1"/>
  <c r="Z916" i="1"/>
  <c r="AA916" i="1"/>
  <c r="AB916" i="1"/>
  <c r="V917" i="1"/>
  <c r="W917" i="1"/>
  <c r="X917" i="1"/>
  <c r="Y917" i="1"/>
  <c r="Z917" i="1"/>
  <c r="AA917" i="1"/>
  <c r="AB917" i="1"/>
  <c r="V918" i="1"/>
  <c r="W918" i="1"/>
  <c r="X918" i="1"/>
  <c r="Y918" i="1"/>
  <c r="Z918" i="1"/>
  <c r="AA918" i="1"/>
  <c r="AB918" i="1"/>
  <c r="V919" i="1"/>
  <c r="W919" i="1"/>
  <c r="X919" i="1"/>
  <c r="Y919" i="1"/>
  <c r="Z919" i="1"/>
  <c r="AA919" i="1"/>
  <c r="AB919" i="1"/>
  <c r="V920" i="1"/>
  <c r="W920" i="1"/>
  <c r="X920" i="1"/>
  <c r="Y920" i="1"/>
  <c r="Z920" i="1"/>
  <c r="AA920" i="1"/>
  <c r="AB920" i="1"/>
  <c r="V921" i="1"/>
  <c r="W921" i="1"/>
  <c r="X921" i="1"/>
  <c r="Y921" i="1"/>
  <c r="Z921" i="1"/>
  <c r="AA921" i="1"/>
  <c r="AB921" i="1"/>
  <c r="V922" i="1"/>
  <c r="W922" i="1"/>
  <c r="X922" i="1"/>
  <c r="Y922" i="1"/>
  <c r="Z922" i="1"/>
  <c r="AA922" i="1"/>
  <c r="AB922" i="1"/>
  <c r="V923" i="1"/>
  <c r="W923" i="1"/>
  <c r="X923" i="1"/>
  <c r="Y923" i="1"/>
  <c r="Z923" i="1"/>
  <c r="AA923" i="1"/>
  <c r="AB923" i="1"/>
  <c r="V924" i="1"/>
  <c r="W924" i="1"/>
  <c r="X924" i="1"/>
  <c r="Y924" i="1"/>
  <c r="Z924" i="1"/>
  <c r="AA924" i="1"/>
  <c r="AB924" i="1"/>
  <c r="V925" i="1"/>
  <c r="W925" i="1"/>
  <c r="X925" i="1"/>
  <c r="Y925" i="1"/>
  <c r="Z925" i="1"/>
  <c r="AA925" i="1"/>
  <c r="AB925" i="1"/>
  <c r="V926" i="1"/>
  <c r="W926" i="1"/>
  <c r="X926" i="1"/>
  <c r="Y926" i="1"/>
  <c r="Z926" i="1"/>
  <c r="AA926" i="1"/>
  <c r="AB926" i="1"/>
  <c r="V927" i="1"/>
  <c r="W927" i="1"/>
  <c r="X927" i="1"/>
  <c r="Y927" i="1"/>
  <c r="Z927" i="1"/>
  <c r="AA927" i="1"/>
  <c r="AB927" i="1"/>
  <c r="V928" i="1"/>
  <c r="W928" i="1"/>
  <c r="X928" i="1"/>
  <c r="Y928" i="1"/>
  <c r="Z928" i="1"/>
  <c r="AA928" i="1"/>
  <c r="AB928" i="1"/>
  <c r="V929" i="1"/>
  <c r="W929" i="1"/>
  <c r="X929" i="1"/>
  <c r="Y929" i="1"/>
  <c r="Z929" i="1"/>
  <c r="AA929" i="1"/>
  <c r="AB929" i="1"/>
  <c r="V930" i="1"/>
  <c r="W930" i="1"/>
  <c r="X930" i="1"/>
  <c r="Y930" i="1"/>
  <c r="Z930" i="1"/>
  <c r="AA930" i="1"/>
  <c r="AB930" i="1"/>
  <c r="V931" i="1"/>
  <c r="W931" i="1"/>
  <c r="X931" i="1"/>
  <c r="Y931" i="1"/>
  <c r="Z931" i="1"/>
  <c r="AA931" i="1"/>
  <c r="AB931" i="1"/>
  <c r="V932" i="1"/>
  <c r="W932" i="1"/>
  <c r="X932" i="1"/>
  <c r="Y932" i="1"/>
  <c r="Z932" i="1"/>
  <c r="AA932" i="1"/>
  <c r="AB932" i="1"/>
  <c r="V933" i="1"/>
  <c r="W933" i="1"/>
  <c r="X933" i="1"/>
  <c r="Y933" i="1"/>
  <c r="Z933" i="1"/>
  <c r="AA933" i="1"/>
  <c r="AB933" i="1"/>
  <c r="V934" i="1"/>
  <c r="W934" i="1"/>
  <c r="X934" i="1"/>
  <c r="Y934" i="1"/>
  <c r="Z934" i="1"/>
  <c r="AA934" i="1"/>
  <c r="AB934" i="1"/>
  <c r="V935" i="1"/>
  <c r="W935" i="1"/>
  <c r="X935" i="1"/>
  <c r="Y935" i="1"/>
  <c r="Z935" i="1"/>
  <c r="AA935" i="1"/>
  <c r="AB935" i="1"/>
  <c r="V936" i="1"/>
  <c r="W936" i="1"/>
  <c r="X936" i="1"/>
  <c r="Y936" i="1"/>
  <c r="Z936" i="1"/>
  <c r="AA936" i="1"/>
  <c r="AB936" i="1"/>
  <c r="V937" i="1"/>
  <c r="W937" i="1"/>
  <c r="X937" i="1"/>
  <c r="Y937" i="1"/>
  <c r="Z937" i="1"/>
  <c r="AA937" i="1"/>
  <c r="AB937" i="1"/>
  <c r="V938" i="1"/>
  <c r="W938" i="1"/>
  <c r="X938" i="1"/>
  <c r="Y938" i="1"/>
  <c r="Z938" i="1"/>
  <c r="AA938" i="1"/>
  <c r="AB938" i="1"/>
  <c r="V939" i="1"/>
  <c r="W939" i="1"/>
  <c r="X939" i="1"/>
  <c r="Y939" i="1"/>
  <c r="Z939" i="1"/>
  <c r="AA939" i="1"/>
  <c r="AB939" i="1"/>
  <c r="V940" i="1"/>
  <c r="W940" i="1"/>
  <c r="X940" i="1"/>
  <c r="Y940" i="1"/>
  <c r="Z940" i="1"/>
  <c r="AA940" i="1"/>
  <c r="AB940" i="1"/>
  <c r="V941" i="1"/>
  <c r="W941" i="1"/>
  <c r="X941" i="1"/>
  <c r="Y941" i="1"/>
  <c r="Z941" i="1"/>
  <c r="AA941" i="1"/>
  <c r="AB941" i="1"/>
  <c r="V942" i="1"/>
  <c r="W942" i="1"/>
  <c r="X942" i="1"/>
  <c r="Y942" i="1"/>
  <c r="Z942" i="1"/>
  <c r="AA942" i="1"/>
  <c r="AB942" i="1"/>
  <c r="V943" i="1"/>
  <c r="W943" i="1"/>
  <c r="X943" i="1"/>
  <c r="Y943" i="1"/>
  <c r="Z943" i="1"/>
  <c r="AA943" i="1"/>
  <c r="AB943" i="1"/>
  <c r="V944" i="1"/>
  <c r="W944" i="1"/>
  <c r="X944" i="1"/>
  <c r="Y944" i="1"/>
  <c r="Z944" i="1"/>
  <c r="AA944" i="1"/>
  <c r="AB944" i="1"/>
  <c r="V945" i="1"/>
  <c r="W945" i="1"/>
  <c r="X945" i="1"/>
  <c r="Y945" i="1"/>
  <c r="Z945" i="1"/>
  <c r="AA945" i="1"/>
  <c r="AB945" i="1"/>
  <c r="V946" i="1"/>
  <c r="W946" i="1"/>
  <c r="X946" i="1"/>
  <c r="Y946" i="1"/>
  <c r="Z946" i="1"/>
  <c r="AA946" i="1"/>
  <c r="AB946" i="1"/>
  <c r="V947" i="1"/>
  <c r="W947" i="1"/>
  <c r="X947" i="1"/>
  <c r="Y947" i="1"/>
  <c r="Z947" i="1"/>
  <c r="AA947" i="1"/>
  <c r="AB947" i="1"/>
  <c r="V948" i="1"/>
  <c r="W948" i="1"/>
  <c r="X948" i="1"/>
  <c r="Y948" i="1"/>
  <c r="Z948" i="1"/>
  <c r="AA948" i="1"/>
  <c r="AB948" i="1"/>
  <c r="V949" i="1"/>
  <c r="W949" i="1"/>
  <c r="X949" i="1"/>
  <c r="Y949" i="1"/>
  <c r="Z949" i="1"/>
  <c r="AA949" i="1"/>
  <c r="AB949" i="1"/>
  <c r="V950" i="1"/>
  <c r="W950" i="1"/>
  <c r="X950" i="1"/>
  <c r="Y950" i="1"/>
  <c r="Z950" i="1"/>
  <c r="AA950" i="1"/>
  <c r="AB950" i="1"/>
  <c r="V951" i="1"/>
  <c r="W951" i="1"/>
  <c r="X951" i="1"/>
  <c r="Y951" i="1"/>
  <c r="Z951" i="1"/>
  <c r="AA951" i="1"/>
  <c r="AB951" i="1"/>
  <c r="V952" i="1"/>
  <c r="W952" i="1"/>
  <c r="X952" i="1"/>
  <c r="Y952" i="1"/>
  <c r="Z952" i="1"/>
  <c r="AA952" i="1"/>
  <c r="AB952" i="1"/>
  <c r="V953" i="1"/>
  <c r="W953" i="1"/>
  <c r="X953" i="1"/>
  <c r="Y953" i="1"/>
  <c r="Z953" i="1"/>
  <c r="AA953" i="1"/>
  <c r="AB953" i="1"/>
  <c r="V954" i="1"/>
  <c r="W954" i="1"/>
  <c r="X954" i="1"/>
  <c r="Y954" i="1"/>
  <c r="Z954" i="1"/>
  <c r="AA954" i="1"/>
  <c r="AB954" i="1"/>
  <c r="V955" i="1"/>
  <c r="W955" i="1"/>
  <c r="X955" i="1"/>
  <c r="Y955" i="1"/>
  <c r="Z955" i="1"/>
  <c r="AA955" i="1"/>
  <c r="AB955" i="1"/>
  <c r="V956" i="1"/>
  <c r="W956" i="1"/>
  <c r="X956" i="1"/>
  <c r="Y956" i="1"/>
  <c r="Z956" i="1"/>
  <c r="AA956" i="1"/>
  <c r="AB956" i="1"/>
  <c r="V957" i="1"/>
  <c r="W957" i="1"/>
  <c r="X957" i="1"/>
  <c r="Y957" i="1"/>
  <c r="Z957" i="1"/>
  <c r="AA957" i="1"/>
  <c r="AB957" i="1"/>
  <c r="V958" i="1"/>
  <c r="W958" i="1"/>
  <c r="X958" i="1"/>
  <c r="Y958" i="1"/>
  <c r="Z958" i="1"/>
  <c r="AA958" i="1"/>
  <c r="AB958" i="1"/>
  <c r="V959" i="1"/>
  <c r="W959" i="1"/>
  <c r="X959" i="1"/>
  <c r="Y959" i="1"/>
  <c r="Z959" i="1"/>
  <c r="AA959" i="1"/>
  <c r="AB959" i="1"/>
  <c r="V960" i="1"/>
  <c r="W960" i="1"/>
  <c r="X960" i="1"/>
  <c r="Y960" i="1"/>
  <c r="Z960" i="1"/>
  <c r="AA960" i="1"/>
  <c r="AB960" i="1"/>
  <c r="V961" i="1"/>
  <c r="W961" i="1"/>
  <c r="X961" i="1"/>
  <c r="Y961" i="1"/>
  <c r="Z961" i="1"/>
  <c r="AA961" i="1"/>
  <c r="AB961" i="1"/>
  <c r="V962" i="1"/>
  <c r="W962" i="1"/>
  <c r="X962" i="1"/>
  <c r="Y962" i="1"/>
  <c r="Z962" i="1"/>
  <c r="AA962" i="1"/>
  <c r="AB962" i="1"/>
  <c r="V963" i="1"/>
  <c r="W963" i="1"/>
  <c r="X963" i="1"/>
  <c r="Y963" i="1"/>
  <c r="Z963" i="1"/>
  <c r="AA963" i="1"/>
  <c r="AB963" i="1"/>
  <c r="V964" i="1"/>
  <c r="W964" i="1"/>
  <c r="X964" i="1"/>
  <c r="Y964" i="1"/>
  <c r="Z964" i="1"/>
  <c r="AA964" i="1"/>
  <c r="AB964" i="1"/>
  <c r="V965" i="1"/>
  <c r="W965" i="1"/>
  <c r="X965" i="1"/>
  <c r="Y965" i="1"/>
  <c r="Z965" i="1"/>
  <c r="AA965" i="1"/>
  <c r="AB965" i="1"/>
  <c r="V966" i="1"/>
  <c r="W966" i="1"/>
  <c r="X966" i="1"/>
  <c r="Y966" i="1"/>
  <c r="Z966" i="1"/>
  <c r="AA966" i="1"/>
  <c r="AB966" i="1"/>
  <c r="V967" i="1"/>
  <c r="W967" i="1"/>
  <c r="X967" i="1"/>
  <c r="Y967" i="1"/>
  <c r="Z967" i="1"/>
  <c r="AA967" i="1"/>
  <c r="AB967" i="1"/>
  <c r="V968" i="1"/>
  <c r="W968" i="1"/>
  <c r="X968" i="1"/>
  <c r="Y968" i="1"/>
  <c r="Z968" i="1"/>
  <c r="AA968" i="1"/>
  <c r="AB968" i="1"/>
  <c r="V969" i="1"/>
  <c r="W969" i="1"/>
  <c r="X969" i="1"/>
  <c r="Y969" i="1"/>
  <c r="Z969" i="1"/>
  <c r="AA969" i="1"/>
  <c r="AB969" i="1"/>
  <c r="V970" i="1"/>
  <c r="W970" i="1"/>
  <c r="X970" i="1"/>
  <c r="Y970" i="1"/>
  <c r="Z970" i="1"/>
  <c r="AA970" i="1"/>
  <c r="AB970" i="1"/>
  <c r="V971" i="1"/>
  <c r="W971" i="1"/>
  <c r="X971" i="1"/>
  <c r="Y971" i="1"/>
  <c r="Z971" i="1"/>
  <c r="AA971" i="1"/>
  <c r="AB971" i="1"/>
  <c r="V972" i="1"/>
  <c r="W972" i="1"/>
  <c r="X972" i="1"/>
  <c r="Y972" i="1"/>
  <c r="Z972" i="1"/>
  <c r="AA972" i="1"/>
  <c r="AB972" i="1"/>
  <c r="V973" i="1"/>
  <c r="W973" i="1"/>
  <c r="X973" i="1"/>
  <c r="Y973" i="1"/>
  <c r="Z973" i="1"/>
  <c r="AA973" i="1"/>
  <c r="AB973" i="1"/>
  <c r="V974" i="1"/>
  <c r="W974" i="1"/>
  <c r="X974" i="1"/>
  <c r="Y974" i="1"/>
  <c r="Z974" i="1"/>
  <c r="AA974" i="1"/>
  <c r="AB974" i="1"/>
  <c r="V975" i="1"/>
  <c r="W975" i="1"/>
  <c r="X975" i="1"/>
  <c r="Y975" i="1"/>
  <c r="Z975" i="1"/>
  <c r="AA975" i="1"/>
  <c r="AB975" i="1"/>
  <c r="V976" i="1"/>
  <c r="W976" i="1"/>
  <c r="X976" i="1"/>
  <c r="Y976" i="1"/>
  <c r="Z976" i="1"/>
  <c r="AA976" i="1"/>
  <c r="AB976" i="1"/>
  <c r="V977" i="1"/>
  <c r="W977" i="1"/>
  <c r="X977" i="1"/>
  <c r="Y977" i="1"/>
  <c r="Z977" i="1"/>
  <c r="AA977" i="1"/>
  <c r="AB977" i="1"/>
  <c r="V978" i="1"/>
  <c r="W978" i="1"/>
  <c r="X978" i="1"/>
  <c r="Y978" i="1"/>
  <c r="Z978" i="1"/>
  <c r="AA978" i="1"/>
  <c r="AB978" i="1"/>
  <c r="V979" i="1"/>
  <c r="W979" i="1"/>
  <c r="X979" i="1"/>
  <c r="Y979" i="1"/>
  <c r="Z979" i="1"/>
  <c r="AA979" i="1"/>
  <c r="AB979" i="1"/>
  <c r="V980" i="1"/>
  <c r="W980" i="1"/>
  <c r="X980" i="1"/>
  <c r="Y980" i="1"/>
  <c r="Z980" i="1"/>
  <c r="AA980" i="1"/>
  <c r="AB980" i="1"/>
  <c r="V981" i="1"/>
  <c r="W981" i="1"/>
  <c r="X981" i="1"/>
  <c r="Y981" i="1"/>
  <c r="Z981" i="1"/>
  <c r="AA981" i="1"/>
  <c r="AB981" i="1"/>
  <c r="V982" i="1"/>
  <c r="W982" i="1"/>
  <c r="X982" i="1"/>
  <c r="Y982" i="1"/>
  <c r="Z982" i="1"/>
  <c r="AA982" i="1"/>
  <c r="AB982" i="1"/>
  <c r="V983" i="1"/>
  <c r="W983" i="1"/>
  <c r="X983" i="1"/>
  <c r="Y983" i="1"/>
  <c r="Z983" i="1"/>
  <c r="AA983" i="1"/>
  <c r="AB983" i="1"/>
  <c r="V984" i="1"/>
  <c r="W984" i="1"/>
  <c r="X984" i="1"/>
  <c r="Y984" i="1"/>
  <c r="Z984" i="1"/>
  <c r="AA984" i="1"/>
  <c r="AB984" i="1"/>
  <c r="V985" i="1"/>
  <c r="W985" i="1"/>
  <c r="X985" i="1"/>
  <c r="Y985" i="1"/>
  <c r="Z985" i="1"/>
  <c r="AA985" i="1"/>
  <c r="AB985" i="1"/>
  <c r="V986" i="1"/>
  <c r="W986" i="1"/>
  <c r="X986" i="1"/>
  <c r="Y986" i="1"/>
  <c r="Z986" i="1"/>
  <c r="AA986" i="1"/>
  <c r="AB986" i="1"/>
  <c r="V987" i="1"/>
  <c r="W987" i="1"/>
  <c r="X987" i="1"/>
  <c r="Y987" i="1"/>
  <c r="Z987" i="1"/>
  <c r="AA987" i="1"/>
  <c r="AB987" i="1"/>
  <c r="V988" i="1"/>
  <c r="W988" i="1"/>
  <c r="X988" i="1"/>
  <c r="Y988" i="1"/>
  <c r="Z988" i="1"/>
  <c r="AA988" i="1"/>
  <c r="AB988" i="1"/>
  <c r="V989" i="1"/>
  <c r="W989" i="1"/>
  <c r="X989" i="1"/>
  <c r="Y989" i="1"/>
  <c r="Z989" i="1"/>
  <c r="AA989" i="1"/>
  <c r="AB989" i="1"/>
  <c r="V990" i="1"/>
  <c r="W990" i="1"/>
  <c r="X990" i="1"/>
  <c r="Y990" i="1"/>
  <c r="Z990" i="1"/>
  <c r="AA990" i="1"/>
  <c r="AB990" i="1"/>
  <c r="V991" i="1"/>
  <c r="W991" i="1"/>
  <c r="X991" i="1"/>
  <c r="Y991" i="1"/>
  <c r="Z991" i="1"/>
  <c r="AA991" i="1"/>
  <c r="AB991" i="1"/>
  <c r="V992" i="1"/>
  <c r="W992" i="1"/>
  <c r="X992" i="1"/>
  <c r="Y992" i="1"/>
  <c r="Z992" i="1"/>
  <c r="AA992" i="1"/>
  <c r="AB992" i="1"/>
  <c r="V993" i="1"/>
  <c r="W993" i="1"/>
  <c r="X993" i="1"/>
  <c r="Y993" i="1"/>
  <c r="Z993" i="1"/>
  <c r="AA993" i="1"/>
  <c r="AB993" i="1"/>
  <c r="V994" i="1"/>
  <c r="W994" i="1"/>
  <c r="X994" i="1"/>
  <c r="Y994" i="1"/>
  <c r="Z994" i="1"/>
  <c r="AA994" i="1"/>
  <c r="AB994" i="1"/>
  <c r="V995" i="1"/>
  <c r="W995" i="1"/>
  <c r="X995" i="1"/>
  <c r="Y995" i="1"/>
  <c r="Z995" i="1"/>
  <c r="AA995" i="1"/>
  <c r="AB995" i="1"/>
  <c r="V996" i="1"/>
  <c r="W996" i="1"/>
  <c r="X996" i="1"/>
  <c r="Y996" i="1"/>
  <c r="Z996" i="1"/>
  <c r="AA996" i="1"/>
  <c r="AB996" i="1"/>
  <c r="V997" i="1"/>
  <c r="W997" i="1"/>
  <c r="X997" i="1"/>
  <c r="Y997" i="1"/>
  <c r="Z997" i="1"/>
  <c r="AA997" i="1"/>
  <c r="AB997" i="1"/>
  <c r="V998" i="1"/>
  <c r="W998" i="1"/>
  <c r="X998" i="1"/>
  <c r="Y998" i="1"/>
  <c r="Z998" i="1"/>
  <c r="AA998" i="1"/>
  <c r="AB998" i="1"/>
  <c r="V999" i="1"/>
  <c r="W999" i="1"/>
  <c r="X999" i="1"/>
  <c r="Y999" i="1"/>
  <c r="Z999" i="1"/>
  <c r="AA999" i="1"/>
  <c r="AB999" i="1"/>
  <c r="V1000" i="1"/>
  <c r="W1000" i="1"/>
  <c r="X1000" i="1"/>
  <c r="Y1000" i="1"/>
  <c r="Z1000" i="1"/>
  <c r="AA1000" i="1"/>
  <c r="AB1000" i="1"/>
  <c r="V1001" i="1"/>
  <c r="W1001" i="1"/>
  <c r="X1001" i="1"/>
  <c r="Y1001" i="1"/>
  <c r="Z1001" i="1"/>
  <c r="AA1001" i="1"/>
  <c r="AB1001" i="1"/>
  <c r="V1002" i="1"/>
  <c r="W1002" i="1"/>
  <c r="X1002" i="1"/>
  <c r="Y1002" i="1"/>
  <c r="Z1002" i="1"/>
  <c r="AA1002" i="1"/>
  <c r="AB1002" i="1"/>
  <c r="V1003" i="1"/>
  <c r="W1003" i="1"/>
  <c r="X1003" i="1"/>
  <c r="Y1003" i="1"/>
  <c r="Z1003" i="1"/>
  <c r="AA1003" i="1"/>
  <c r="AB1003" i="1"/>
  <c r="V1004" i="1"/>
  <c r="W1004" i="1"/>
  <c r="X1004" i="1"/>
  <c r="Y1004" i="1"/>
  <c r="Z1004" i="1"/>
  <c r="AA1004" i="1"/>
  <c r="AB1004" i="1"/>
  <c r="V1005" i="1"/>
  <c r="W1005" i="1"/>
  <c r="X1005" i="1"/>
  <c r="Y1005" i="1"/>
  <c r="Z1005" i="1"/>
  <c r="AA1005" i="1"/>
  <c r="AB1005" i="1"/>
  <c r="V1006" i="1"/>
  <c r="W1006" i="1"/>
  <c r="X1006" i="1"/>
  <c r="Y1006" i="1"/>
  <c r="Z1006" i="1"/>
  <c r="AA1006" i="1"/>
  <c r="AB1006" i="1"/>
  <c r="V1007" i="1"/>
  <c r="W1007" i="1"/>
  <c r="X1007" i="1"/>
  <c r="Y1007" i="1"/>
  <c r="Z1007" i="1"/>
  <c r="AA1007" i="1"/>
  <c r="AB1007" i="1"/>
  <c r="V1008" i="1"/>
  <c r="W1008" i="1"/>
  <c r="X1008" i="1"/>
  <c r="Y1008" i="1"/>
  <c r="Z1008" i="1"/>
  <c r="AA1008" i="1"/>
  <c r="AB1008" i="1"/>
  <c r="V1009" i="1"/>
  <c r="W1009" i="1"/>
  <c r="X1009" i="1"/>
  <c r="Y1009" i="1"/>
  <c r="Z1009" i="1"/>
  <c r="AA1009" i="1"/>
  <c r="AB1009" i="1"/>
  <c r="V1010" i="1"/>
  <c r="W1010" i="1"/>
  <c r="X1010" i="1"/>
  <c r="Y1010" i="1"/>
  <c r="Z1010" i="1"/>
  <c r="AA1010" i="1"/>
  <c r="AB1010" i="1"/>
  <c r="V1011" i="1"/>
  <c r="W1011" i="1"/>
  <c r="X1011" i="1"/>
  <c r="Y1011" i="1"/>
  <c r="Z1011" i="1"/>
  <c r="AA1011" i="1"/>
  <c r="AB1011" i="1"/>
  <c r="V1012" i="1"/>
  <c r="W1012" i="1"/>
  <c r="X1012" i="1"/>
  <c r="Y1012" i="1"/>
  <c r="Z1012" i="1"/>
  <c r="AA1012" i="1"/>
  <c r="AB1012" i="1"/>
  <c r="V1013" i="1"/>
  <c r="W1013" i="1"/>
  <c r="X1013" i="1"/>
  <c r="Y1013" i="1"/>
  <c r="Z1013" i="1"/>
  <c r="AA1013" i="1"/>
  <c r="AB1013" i="1"/>
  <c r="V1014" i="1"/>
  <c r="W1014" i="1"/>
  <c r="X1014" i="1"/>
  <c r="Y1014" i="1"/>
  <c r="Z1014" i="1"/>
  <c r="AA1014" i="1"/>
  <c r="AB1014" i="1"/>
  <c r="V1015" i="1"/>
  <c r="W1015" i="1"/>
  <c r="X1015" i="1"/>
  <c r="Y1015" i="1"/>
  <c r="Z1015" i="1"/>
  <c r="AA1015" i="1"/>
  <c r="AB1015" i="1"/>
  <c r="V1016" i="1"/>
  <c r="W1016" i="1"/>
  <c r="X1016" i="1"/>
  <c r="Y1016" i="1"/>
  <c r="Z1016" i="1"/>
  <c r="AA1016" i="1"/>
  <c r="AB1016" i="1"/>
  <c r="V1017" i="1"/>
  <c r="W1017" i="1"/>
  <c r="X1017" i="1"/>
  <c r="Y1017" i="1"/>
  <c r="Z1017" i="1"/>
  <c r="AA1017" i="1"/>
  <c r="AB1017" i="1"/>
  <c r="V1018" i="1"/>
  <c r="W1018" i="1"/>
  <c r="X1018" i="1"/>
  <c r="Y1018" i="1"/>
  <c r="Z1018" i="1"/>
  <c r="AA1018" i="1"/>
  <c r="AB1018" i="1"/>
  <c r="V1019" i="1"/>
  <c r="W1019" i="1"/>
  <c r="X1019" i="1"/>
  <c r="Y1019" i="1"/>
  <c r="Z1019" i="1"/>
  <c r="AA1019" i="1"/>
  <c r="AB1019" i="1"/>
  <c r="V1020" i="1"/>
  <c r="W1020" i="1"/>
  <c r="X1020" i="1"/>
  <c r="Y1020" i="1"/>
  <c r="Z1020" i="1"/>
  <c r="AA1020" i="1"/>
  <c r="AB1020" i="1"/>
  <c r="V1021" i="1"/>
  <c r="W1021" i="1"/>
  <c r="X1021" i="1"/>
  <c r="Y1021" i="1"/>
  <c r="Z1021" i="1"/>
  <c r="AA1021" i="1"/>
  <c r="AB1021" i="1"/>
  <c r="V1022" i="1"/>
  <c r="W1022" i="1"/>
  <c r="X1022" i="1"/>
  <c r="Y1022" i="1"/>
  <c r="Z1022" i="1"/>
  <c r="AA1022" i="1"/>
  <c r="AB1022" i="1"/>
  <c r="V1023" i="1"/>
  <c r="W1023" i="1"/>
  <c r="X1023" i="1"/>
  <c r="Y1023" i="1"/>
  <c r="Z1023" i="1"/>
  <c r="AA1023" i="1"/>
  <c r="AB1023" i="1"/>
  <c r="V1024" i="1"/>
  <c r="W1024" i="1"/>
  <c r="X1024" i="1"/>
  <c r="Y1024" i="1"/>
  <c r="Z1024" i="1"/>
  <c r="AA1024" i="1"/>
  <c r="AB1024" i="1"/>
  <c r="V1025" i="1"/>
  <c r="W1025" i="1"/>
  <c r="X1025" i="1"/>
  <c r="Y1025" i="1"/>
  <c r="Z1025" i="1"/>
  <c r="AA1025" i="1"/>
  <c r="AB1025" i="1"/>
  <c r="V1026" i="1"/>
  <c r="W1026" i="1"/>
  <c r="X1026" i="1"/>
  <c r="Y1026" i="1"/>
  <c r="Z1026" i="1"/>
  <c r="AA1026" i="1"/>
  <c r="AB1026" i="1"/>
  <c r="V1027" i="1"/>
  <c r="W1027" i="1"/>
  <c r="X1027" i="1"/>
  <c r="Y1027" i="1"/>
  <c r="Z1027" i="1"/>
  <c r="AA1027" i="1"/>
  <c r="AB1027" i="1"/>
  <c r="V1028" i="1"/>
  <c r="W1028" i="1"/>
  <c r="X1028" i="1"/>
  <c r="Y1028" i="1"/>
  <c r="Z1028" i="1"/>
  <c r="AA1028" i="1"/>
  <c r="AB1028" i="1"/>
  <c r="V1029" i="1"/>
  <c r="W1029" i="1"/>
  <c r="X1029" i="1"/>
  <c r="Y1029" i="1"/>
  <c r="Z1029" i="1"/>
  <c r="AA1029" i="1"/>
  <c r="AB1029" i="1"/>
  <c r="V1030" i="1"/>
  <c r="W1030" i="1"/>
  <c r="X1030" i="1"/>
  <c r="Y1030" i="1"/>
  <c r="Z1030" i="1"/>
  <c r="AA1030" i="1"/>
  <c r="AB1030" i="1"/>
  <c r="V1031" i="1"/>
  <c r="W1031" i="1"/>
  <c r="X1031" i="1"/>
  <c r="Y1031" i="1"/>
  <c r="Z1031" i="1"/>
  <c r="AA1031" i="1"/>
  <c r="AB1031" i="1"/>
  <c r="V1032" i="1"/>
  <c r="W1032" i="1"/>
  <c r="X1032" i="1"/>
  <c r="Y1032" i="1"/>
  <c r="Z1032" i="1"/>
  <c r="AA1032" i="1"/>
  <c r="AB1032" i="1"/>
  <c r="V1033" i="1"/>
  <c r="W1033" i="1"/>
  <c r="X1033" i="1"/>
  <c r="Y1033" i="1"/>
  <c r="Z1033" i="1"/>
  <c r="AA1033" i="1"/>
  <c r="AB1033" i="1"/>
  <c r="V1034" i="1"/>
  <c r="W1034" i="1"/>
  <c r="X1034" i="1"/>
  <c r="Y1034" i="1"/>
  <c r="Z1034" i="1"/>
  <c r="AA1034" i="1"/>
  <c r="AB1034" i="1"/>
  <c r="V1035" i="1"/>
  <c r="W1035" i="1"/>
  <c r="X1035" i="1"/>
  <c r="Y1035" i="1"/>
  <c r="Z1035" i="1"/>
  <c r="AA1035" i="1"/>
  <c r="AB1035" i="1"/>
  <c r="V1036" i="1"/>
  <c r="W1036" i="1"/>
  <c r="X1036" i="1"/>
  <c r="Y1036" i="1"/>
  <c r="Z1036" i="1"/>
  <c r="AA1036" i="1"/>
  <c r="AB1036" i="1"/>
  <c r="V1037" i="1"/>
  <c r="W1037" i="1"/>
  <c r="X1037" i="1"/>
  <c r="Y1037" i="1"/>
  <c r="Z1037" i="1"/>
  <c r="AA1037" i="1"/>
  <c r="AB1037" i="1"/>
  <c r="V1038" i="1"/>
  <c r="W1038" i="1"/>
  <c r="X1038" i="1"/>
  <c r="Y1038" i="1"/>
  <c r="Z1038" i="1"/>
  <c r="AA1038" i="1"/>
  <c r="AB1038" i="1"/>
  <c r="V1039" i="1"/>
  <c r="W1039" i="1"/>
  <c r="X1039" i="1"/>
  <c r="Y1039" i="1"/>
  <c r="Z1039" i="1"/>
  <c r="AA1039" i="1"/>
  <c r="AB1039" i="1"/>
  <c r="V1040" i="1"/>
  <c r="W1040" i="1"/>
  <c r="X1040" i="1"/>
  <c r="Y1040" i="1"/>
  <c r="Z1040" i="1"/>
  <c r="AA1040" i="1"/>
  <c r="AB1040" i="1"/>
  <c r="V1041" i="1"/>
  <c r="W1041" i="1"/>
  <c r="X1041" i="1"/>
  <c r="Y1041" i="1"/>
  <c r="Z1041" i="1"/>
  <c r="AA1041" i="1"/>
  <c r="AB1041" i="1"/>
  <c r="V1042" i="1"/>
  <c r="W1042" i="1"/>
  <c r="X1042" i="1"/>
  <c r="Y1042" i="1"/>
  <c r="Z1042" i="1"/>
  <c r="AA1042" i="1"/>
  <c r="AB1042" i="1"/>
  <c r="V1043" i="1"/>
  <c r="W1043" i="1"/>
  <c r="X1043" i="1"/>
  <c r="Y1043" i="1"/>
  <c r="Z1043" i="1"/>
  <c r="AA1043" i="1"/>
  <c r="AB1043" i="1"/>
  <c r="V1044" i="1"/>
  <c r="W1044" i="1"/>
  <c r="X1044" i="1"/>
  <c r="Y1044" i="1"/>
  <c r="Z1044" i="1"/>
  <c r="AA1044" i="1"/>
  <c r="AB1044" i="1"/>
  <c r="V1045" i="1"/>
  <c r="W1045" i="1"/>
  <c r="X1045" i="1"/>
  <c r="Y1045" i="1"/>
  <c r="Z1045" i="1"/>
  <c r="AA1045" i="1"/>
  <c r="AB1045" i="1"/>
  <c r="V1046" i="1"/>
  <c r="W1046" i="1"/>
  <c r="X1046" i="1"/>
  <c r="Y1046" i="1"/>
  <c r="Z1046" i="1"/>
  <c r="AA1046" i="1"/>
  <c r="AB1046" i="1"/>
  <c r="V1047" i="1"/>
  <c r="W1047" i="1"/>
  <c r="X1047" i="1"/>
  <c r="Y1047" i="1"/>
  <c r="Z1047" i="1"/>
  <c r="AA1047" i="1"/>
  <c r="AB1047" i="1"/>
  <c r="V1048" i="1"/>
  <c r="W1048" i="1"/>
  <c r="X1048" i="1"/>
  <c r="Y1048" i="1"/>
  <c r="Z1048" i="1"/>
  <c r="AA1048" i="1"/>
  <c r="AB1048" i="1"/>
  <c r="V1049" i="1"/>
  <c r="W1049" i="1"/>
  <c r="X1049" i="1"/>
  <c r="Y1049" i="1"/>
  <c r="Z1049" i="1"/>
  <c r="AA1049" i="1"/>
  <c r="AB1049" i="1"/>
  <c r="V1050" i="1"/>
  <c r="W1050" i="1"/>
  <c r="X1050" i="1"/>
  <c r="Y1050" i="1"/>
  <c r="Z1050" i="1"/>
  <c r="AA1050" i="1"/>
  <c r="AB1050" i="1"/>
  <c r="V1051" i="1"/>
  <c r="W1051" i="1"/>
  <c r="X1051" i="1"/>
  <c r="Y1051" i="1"/>
  <c r="Z1051" i="1"/>
  <c r="AA1051" i="1"/>
  <c r="AB1051" i="1"/>
  <c r="V1052" i="1"/>
  <c r="W1052" i="1"/>
  <c r="X1052" i="1"/>
  <c r="Y1052" i="1"/>
  <c r="Z1052" i="1"/>
  <c r="AA1052" i="1"/>
  <c r="AB1052" i="1"/>
  <c r="V1053" i="1"/>
  <c r="W1053" i="1"/>
  <c r="X1053" i="1"/>
  <c r="Y1053" i="1"/>
  <c r="Z1053" i="1"/>
  <c r="AA1053" i="1"/>
  <c r="AB1053" i="1"/>
  <c r="V1054" i="1"/>
  <c r="W1054" i="1"/>
  <c r="X1054" i="1"/>
  <c r="Y1054" i="1"/>
  <c r="Z1054" i="1"/>
  <c r="AA1054" i="1"/>
  <c r="AB1054" i="1"/>
  <c r="V1055" i="1"/>
  <c r="W1055" i="1"/>
  <c r="X1055" i="1"/>
  <c r="Y1055" i="1"/>
  <c r="Z1055" i="1"/>
  <c r="AA1055" i="1"/>
  <c r="AB1055" i="1"/>
  <c r="V1056" i="1"/>
  <c r="W1056" i="1"/>
  <c r="X1056" i="1"/>
  <c r="Y1056" i="1"/>
  <c r="Z1056" i="1"/>
  <c r="AA1056" i="1"/>
  <c r="AB1056" i="1"/>
  <c r="V1057" i="1"/>
  <c r="W1057" i="1"/>
  <c r="X1057" i="1"/>
  <c r="Y1057" i="1"/>
  <c r="Z1057" i="1"/>
  <c r="AA1057" i="1"/>
  <c r="AB1057" i="1"/>
  <c r="V1058" i="1"/>
  <c r="W1058" i="1"/>
  <c r="X1058" i="1"/>
  <c r="Y1058" i="1"/>
  <c r="Z1058" i="1"/>
  <c r="AA1058" i="1"/>
  <c r="AB1058" i="1"/>
  <c r="V1059" i="1"/>
  <c r="W1059" i="1"/>
  <c r="X1059" i="1"/>
  <c r="Y1059" i="1"/>
  <c r="Z1059" i="1"/>
  <c r="AA1059" i="1"/>
  <c r="AB1059" i="1"/>
  <c r="V1060" i="1"/>
  <c r="W1060" i="1"/>
  <c r="X1060" i="1"/>
  <c r="Y1060" i="1"/>
  <c r="Z1060" i="1"/>
  <c r="AA1060" i="1"/>
  <c r="AB1060" i="1"/>
  <c r="V1061" i="1"/>
  <c r="W1061" i="1"/>
  <c r="X1061" i="1"/>
  <c r="Y1061" i="1"/>
  <c r="Z1061" i="1"/>
  <c r="AA1061" i="1"/>
  <c r="AB1061" i="1"/>
  <c r="V1062" i="1"/>
  <c r="W1062" i="1"/>
  <c r="X1062" i="1"/>
  <c r="Y1062" i="1"/>
  <c r="Z1062" i="1"/>
  <c r="AA1062" i="1"/>
  <c r="AB1062" i="1"/>
  <c r="V1063" i="1"/>
  <c r="W1063" i="1"/>
  <c r="X1063" i="1"/>
  <c r="Y1063" i="1"/>
  <c r="Z1063" i="1"/>
  <c r="AA1063" i="1"/>
  <c r="AB1063" i="1"/>
  <c r="V1064" i="1"/>
  <c r="W1064" i="1"/>
  <c r="X1064" i="1"/>
  <c r="Y1064" i="1"/>
  <c r="Z1064" i="1"/>
  <c r="AA1064" i="1"/>
  <c r="AB1064" i="1"/>
  <c r="V1065" i="1"/>
  <c r="W1065" i="1"/>
  <c r="X1065" i="1"/>
  <c r="Y1065" i="1"/>
  <c r="Z1065" i="1"/>
  <c r="AA1065" i="1"/>
  <c r="AB1065" i="1"/>
  <c r="V1066" i="1"/>
  <c r="W1066" i="1"/>
  <c r="X1066" i="1"/>
  <c r="Y1066" i="1"/>
  <c r="Z1066" i="1"/>
  <c r="AA1066" i="1"/>
  <c r="AB1066" i="1"/>
  <c r="V1067" i="1"/>
  <c r="W1067" i="1"/>
  <c r="X1067" i="1"/>
  <c r="Y1067" i="1"/>
  <c r="Z1067" i="1"/>
  <c r="AA1067" i="1"/>
  <c r="AB1067" i="1"/>
  <c r="V1068" i="1"/>
  <c r="W1068" i="1"/>
  <c r="X1068" i="1"/>
  <c r="Y1068" i="1"/>
  <c r="Z1068" i="1"/>
  <c r="AA1068" i="1"/>
  <c r="AB1068" i="1"/>
  <c r="V1069" i="1"/>
  <c r="W1069" i="1"/>
  <c r="X1069" i="1"/>
  <c r="Y1069" i="1"/>
  <c r="Z1069" i="1"/>
  <c r="AA1069" i="1"/>
  <c r="AB1069" i="1"/>
  <c r="V1070" i="1"/>
  <c r="W1070" i="1"/>
  <c r="X1070" i="1"/>
  <c r="Y1070" i="1"/>
  <c r="Z1070" i="1"/>
  <c r="AA1070" i="1"/>
  <c r="AB1070" i="1"/>
  <c r="V1071" i="1"/>
  <c r="W1071" i="1"/>
  <c r="X1071" i="1"/>
  <c r="Y1071" i="1"/>
  <c r="Z1071" i="1"/>
  <c r="AA1071" i="1"/>
  <c r="AB1071" i="1"/>
  <c r="V1072" i="1"/>
  <c r="W1072" i="1"/>
  <c r="X1072" i="1"/>
  <c r="Y1072" i="1"/>
  <c r="Z1072" i="1"/>
  <c r="AA1072" i="1"/>
  <c r="AB1072" i="1"/>
  <c r="V1073" i="1"/>
  <c r="W1073" i="1"/>
  <c r="X1073" i="1"/>
  <c r="Y1073" i="1"/>
  <c r="Z1073" i="1"/>
  <c r="AA1073" i="1"/>
  <c r="AB1073" i="1"/>
  <c r="V1074" i="1"/>
  <c r="W1074" i="1"/>
  <c r="X1074" i="1"/>
  <c r="Y1074" i="1"/>
  <c r="Z1074" i="1"/>
  <c r="AA1074" i="1"/>
  <c r="AB1074" i="1"/>
  <c r="V1075" i="1"/>
  <c r="W1075" i="1"/>
  <c r="X1075" i="1"/>
  <c r="Y1075" i="1"/>
  <c r="Z1075" i="1"/>
  <c r="AA1075" i="1"/>
  <c r="AB1075" i="1"/>
  <c r="V1076" i="1"/>
  <c r="W1076" i="1"/>
  <c r="X1076" i="1"/>
  <c r="Y1076" i="1"/>
  <c r="Z1076" i="1"/>
  <c r="AA1076" i="1"/>
  <c r="AB1076" i="1"/>
  <c r="V1077" i="1"/>
  <c r="W1077" i="1"/>
  <c r="X1077" i="1"/>
  <c r="Y1077" i="1"/>
  <c r="Z1077" i="1"/>
  <c r="AA1077" i="1"/>
  <c r="AB1077" i="1"/>
  <c r="V1078" i="1"/>
  <c r="W1078" i="1"/>
  <c r="X1078" i="1"/>
  <c r="Y1078" i="1"/>
  <c r="Z1078" i="1"/>
  <c r="AA1078" i="1"/>
  <c r="AB1078" i="1"/>
  <c r="V1079" i="1"/>
  <c r="W1079" i="1"/>
  <c r="X1079" i="1"/>
  <c r="Y1079" i="1"/>
  <c r="Z1079" i="1"/>
  <c r="AA1079" i="1"/>
  <c r="AB1079" i="1"/>
  <c r="V1080" i="1"/>
  <c r="W1080" i="1"/>
  <c r="X1080" i="1"/>
  <c r="Y1080" i="1"/>
  <c r="Z1080" i="1"/>
  <c r="AA1080" i="1"/>
  <c r="AB1080" i="1"/>
  <c r="V1081" i="1"/>
  <c r="W1081" i="1"/>
  <c r="X1081" i="1"/>
  <c r="Y1081" i="1"/>
  <c r="Z1081" i="1"/>
  <c r="AA1081" i="1"/>
  <c r="AB1081" i="1"/>
  <c r="V1082" i="1"/>
  <c r="W1082" i="1"/>
  <c r="X1082" i="1"/>
  <c r="Y1082" i="1"/>
  <c r="Z1082" i="1"/>
  <c r="AA1082" i="1"/>
  <c r="AB1082" i="1"/>
  <c r="V1083" i="1"/>
  <c r="W1083" i="1"/>
  <c r="X1083" i="1"/>
  <c r="Y1083" i="1"/>
  <c r="Z1083" i="1"/>
  <c r="AA1083" i="1"/>
  <c r="AB1083" i="1"/>
  <c r="V1084" i="1"/>
  <c r="W1084" i="1"/>
  <c r="X1084" i="1"/>
  <c r="Y1084" i="1"/>
  <c r="Z1084" i="1"/>
  <c r="AA1084" i="1"/>
  <c r="AB1084" i="1"/>
  <c r="V1085" i="1"/>
  <c r="W1085" i="1"/>
  <c r="X1085" i="1"/>
  <c r="Y1085" i="1"/>
  <c r="Z1085" i="1"/>
  <c r="AA1085" i="1"/>
  <c r="AB1085" i="1"/>
  <c r="V1086" i="1"/>
  <c r="W1086" i="1"/>
  <c r="X1086" i="1"/>
  <c r="Y1086" i="1"/>
  <c r="Z1086" i="1"/>
  <c r="AA1086" i="1"/>
  <c r="AB1086" i="1"/>
  <c r="V1087" i="1"/>
  <c r="W1087" i="1"/>
  <c r="X1087" i="1"/>
  <c r="Y1087" i="1"/>
  <c r="Z1087" i="1"/>
  <c r="AA1087" i="1"/>
  <c r="AB1087" i="1"/>
  <c r="V1088" i="1"/>
  <c r="W1088" i="1"/>
  <c r="X1088" i="1"/>
  <c r="Y1088" i="1"/>
  <c r="Z1088" i="1"/>
  <c r="AA1088" i="1"/>
  <c r="AB1088" i="1"/>
  <c r="V1089" i="1"/>
  <c r="W1089" i="1"/>
  <c r="X1089" i="1"/>
  <c r="Y1089" i="1"/>
  <c r="Z1089" i="1"/>
  <c r="AA1089" i="1"/>
  <c r="AB1089" i="1"/>
  <c r="V1090" i="1"/>
  <c r="W1090" i="1"/>
  <c r="X1090" i="1"/>
  <c r="Y1090" i="1"/>
  <c r="Z1090" i="1"/>
  <c r="AA1090" i="1"/>
  <c r="AB1090" i="1"/>
  <c r="V1091" i="1"/>
  <c r="W1091" i="1"/>
  <c r="X1091" i="1"/>
  <c r="Y1091" i="1"/>
  <c r="Z1091" i="1"/>
  <c r="AA1091" i="1"/>
  <c r="AB1091" i="1"/>
  <c r="V1092" i="1"/>
  <c r="W1092" i="1"/>
  <c r="X1092" i="1"/>
  <c r="Y1092" i="1"/>
  <c r="Z1092" i="1"/>
  <c r="AA1092" i="1"/>
  <c r="AB1092" i="1"/>
  <c r="V1093" i="1"/>
  <c r="W1093" i="1"/>
  <c r="X1093" i="1"/>
  <c r="Y1093" i="1"/>
  <c r="Z1093" i="1"/>
  <c r="AA1093" i="1"/>
  <c r="AB1093" i="1"/>
  <c r="V1094" i="1"/>
  <c r="W1094" i="1"/>
  <c r="X1094" i="1"/>
  <c r="Y1094" i="1"/>
  <c r="Z1094" i="1"/>
  <c r="AA1094" i="1"/>
  <c r="AB1094" i="1"/>
  <c r="V1095" i="1"/>
  <c r="W1095" i="1"/>
  <c r="X1095" i="1"/>
  <c r="Y1095" i="1"/>
  <c r="Z1095" i="1"/>
  <c r="AA1095" i="1"/>
  <c r="AB1095" i="1"/>
  <c r="V1096" i="1"/>
  <c r="W1096" i="1"/>
  <c r="X1096" i="1"/>
  <c r="Y1096" i="1"/>
  <c r="Z1096" i="1"/>
  <c r="AA1096" i="1"/>
  <c r="AB1096" i="1"/>
  <c r="V1097" i="1"/>
  <c r="W1097" i="1"/>
  <c r="X1097" i="1"/>
  <c r="Y1097" i="1"/>
  <c r="Z1097" i="1"/>
  <c r="AA1097" i="1"/>
  <c r="AB1097" i="1"/>
  <c r="V1098" i="1"/>
  <c r="W1098" i="1"/>
  <c r="X1098" i="1"/>
  <c r="Y1098" i="1"/>
  <c r="Z1098" i="1"/>
  <c r="AA1098" i="1"/>
  <c r="AB1098" i="1"/>
  <c r="V1099" i="1"/>
  <c r="W1099" i="1"/>
  <c r="X1099" i="1"/>
  <c r="Y1099" i="1"/>
  <c r="Z1099" i="1"/>
  <c r="AA1099" i="1"/>
  <c r="AB1099" i="1"/>
  <c r="V1100" i="1"/>
  <c r="W1100" i="1"/>
  <c r="X1100" i="1"/>
  <c r="Y1100" i="1"/>
  <c r="Z1100" i="1"/>
  <c r="AA1100" i="1"/>
  <c r="AB1100" i="1"/>
  <c r="V1101" i="1"/>
  <c r="W1101" i="1"/>
  <c r="X1101" i="1"/>
  <c r="Y1101" i="1"/>
  <c r="Z1101" i="1"/>
  <c r="AA1101" i="1"/>
  <c r="AB1101" i="1"/>
  <c r="V1102" i="1"/>
  <c r="W1102" i="1"/>
  <c r="X1102" i="1"/>
  <c r="Y1102" i="1"/>
  <c r="Z1102" i="1"/>
  <c r="AA1102" i="1"/>
  <c r="AB1102" i="1"/>
  <c r="V1103" i="1"/>
  <c r="W1103" i="1"/>
  <c r="X1103" i="1"/>
  <c r="Y1103" i="1"/>
  <c r="Z1103" i="1"/>
  <c r="AA1103" i="1"/>
  <c r="AB1103" i="1"/>
  <c r="V1104" i="1"/>
  <c r="W1104" i="1"/>
  <c r="X1104" i="1"/>
  <c r="Y1104" i="1"/>
  <c r="Z1104" i="1"/>
  <c r="AA1104" i="1"/>
  <c r="AB1104" i="1"/>
  <c r="V1105" i="1"/>
  <c r="W1105" i="1"/>
  <c r="X1105" i="1"/>
  <c r="Y1105" i="1"/>
  <c r="Z1105" i="1"/>
  <c r="AA1105" i="1"/>
  <c r="AB1105" i="1"/>
  <c r="V1106" i="1"/>
  <c r="W1106" i="1"/>
  <c r="X1106" i="1"/>
  <c r="Y1106" i="1"/>
  <c r="Z1106" i="1"/>
  <c r="AA1106" i="1"/>
  <c r="AB1106" i="1"/>
  <c r="V1107" i="1"/>
  <c r="W1107" i="1"/>
  <c r="X1107" i="1"/>
  <c r="Y1107" i="1"/>
  <c r="Z1107" i="1"/>
  <c r="AA1107" i="1"/>
  <c r="AB1107" i="1"/>
  <c r="V1108" i="1"/>
  <c r="W1108" i="1"/>
  <c r="X1108" i="1"/>
  <c r="Y1108" i="1"/>
  <c r="Z1108" i="1"/>
  <c r="AA1108" i="1"/>
  <c r="AB1108" i="1"/>
  <c r="V1109" i="1"/>
  <c r="W1109" i="1"/>
  <c r="X1109" i="1"/>
  <c r="Y1109" i="1"/>
  <c r="Z1109" i="1"/>
  <c r="AA1109" i="1"/>
  <c r="AB1109" i="1"/>
  <c r="V1110" i="1"/>
  <c r="W1110" i="1"/>
  <c r="X1110" i="1"/>
  <c r="Y1110" i="1"/>
  <c r="Z1110" i="1"/>
  <c r="AA1110" i="1"/>
  <c r="AB1110" i="1"/>
  <c r="V1111" i="1"/>
  <c r="W1111" i="1"/>
  <c r="X1111" i="1"/>
  <c r="Y1111" i="1"/>
  <c r="Z1111" i="1"/>
  <c r="AA1111" i="1"/>
  <c r="AB1111" i="1"/>
  <c r="V1112" i="1"/>
  <c r="W1112" i="1"/>
  <c r="X1112" i="1"/>
  <c r="Y1112" i="1"/>
  <c r="Z1112" i="1"/>
  <c r="AA1112" i="1"/>
  <c r="AB1112" i="1"/>
  <c r="V1113" i="1"/>
  <c r="W1113" i="1"/>
  <c r="X1113" i="1"/>
  <c r="Y1113" i="1"/>
  <c r="Z1113" i="1"/>
  <c r="AA1113" i="1"/>
  <c r="AB1113" i="1"/>
  <c r="V1114" i="1"/>
  <c r="W1114" i="1"/>
  <c r="X1114" i="1"/>
  <c r="Y1114" i="1"/>
  <c r="Z1114" i="1"/>
  <c r="AA1114" i="1"/>
  <c r="AB1114" i="1"/>
  <c r="V1115" i="1"/>
  <c r="W1115" i="1"/>
  <c r="X1115" i="1"/>
  <c r="Y1115" i="1"/>
  <c r="Z1115" i="1"/>
  <c r="AA1115" i="1"/>
  <c r="AB1115" i="1"/>
  <c r="V1116" i="1"/>
  <c r="W1116" i="1"/>
  <c r="X1116" i="1"/>
  <c r="Y1116" i="1"/>
  <c r="Z1116" i="1"/>
  <c r="AA1116" i="1"/>
  <c r="AB1116" i="1"/>
  <c r="V1117" i="1"/>
  <c r="W1117" i="1"/>
  <c r="X1117" i="1"/>
  <c r="Y1117" i="1"/>
  <c r="Z1117" i="1"/>
  <c r="AA1117" i="1"/>
  <c r="AB1117" i="1"/>
  <c r="V1118" i="1"/>
  <c r="W1118" i="1"/>
  <c r="X1118" i="1"/>
  <c r="Y1118" i="1"/>
  <c r="Z1118" i="1"/>
  <c r="AA1118" i="1"/>
  <c r="AB1118" i="1"/>
  <c r="V1119" i="1"/>
  <c r="W1119" i="1"/>
  <c r="X1119" i="1"/>
  <c r="Y1119" i="1"/>
  <c r="Z1119" i="1"/>
  <c r="AA1119" i="1"/>
  <c r="AB1119" i="1"/>
  <c r="V1120" i="1"/>
  <c r="W1120" i="1"/>
  <c r="X1120" i="1"/>
  <c r="Y1120" i="1"/>
  <c r="Z1120" i="1"/>
  <c r="AA1120" i="1"/>
  <c r="AB1120" i="1"/>
  <c r="V1121" i="1"/>
  <c r="W1121" i="1"/>
  <c r="X1121" i="1"/>
  <c r="Y1121" i="1"/>
  <c r="Z1121" i="1"/>
  <c r="AA1121" i="1"/>
  <c r="AB1121" i="1"/>
  <c r="V1122" i="1"/>
  <c r="W1122" i="1"/>
  <c r="X1122" i="1"/>
  <c r="Y1122" i="1"/>
  <c r="Z1122" i="1"/>
  <c r="AA1122" i="1"/>
  <c r="AB1122" i="1"/>
  <c r="V1123" i="1"/>
  <c r="W1123" i="1"/>
  <c r="X1123" i="1"/>
  <c r="Y1123" i="1"/>
  <c r="Z1123" i="1"/>
  <c r="AA1123" i="1"/>
  <c r="AB1123" i="1"/>
  <c r="V1124" i="1"/>
  <c r="W1124" i="1"/>
  <c r="X1124" i="1"/>
  <c r="Y1124" i="1"/>
  <c r="Z1124" i="1"/>
  <c r="AA1124" i="1"/>
  <c r="AB1124" i="1"/>
  <c r="V1125" i="1"/>
  <c r="W1125" i="1"/>
  <c r="X1125" i="1"/>
  <c r="Y1125" i="1"/>
  <c r="Z1125" i="1"/>
  <c r="AA1125" i="1"/>
  <c r="AB1125" i="1"/>
  <c r="V1126" i="1"/>
  <c r="W1126" i="1"/>
  <c r="X1126" i="1"/>
  <c r="Y1126" i="1"/>
  <c r="Z1126" i="1"/>
  <c r="AA1126" i="1"/>
  <c r="AB1126" i="1"/>
  <c r="V1127" i="1"/>
  <c r="W1127" i="1"/>
  <c r="X1127" i="1"/>
  <c r="Y1127" i="1"/>
  <c r="Z1127" i="1"/>
  <c r="AA1127" i="1"/>
  <c r="AB1127" i="1"/>
  <c r="V1128" i="1"/>
  <c r="W1128" i="1"/>
  <c r="X1128" i="1"/>
  <c r="Y1128" i="1"/>
  <c r="Z1128" i="1"/>
  <c r="AA1128" i="1"/>
  <c r="AB1128" i="1"/>
  <c r="V1129" i="1"/>
  <c r="W1129" i="1"/>
  <c r="X1129" i="1"/>
  <c r="Y1129" i="1"/>
  <c r="Z1129" i="1"/>
  <c r="AA1129" i="1"/>
  <c r="AB1129" i="1"/>
  <c r="V1130" i="1"/>
  <c r="W1130" i="1"/>
  <c r="X1130" i="1"/>
  <c r="Y1130" i="1"/>
  <c r="Z1130" i="1"/>
  <c r="AA1130" i="1"/>
  <c r="AB1130" i="1"/>
  <c r="V1131" i="1"/>
  <c r="W1131" i="1"/>
  <c r="X1131" i="1"/>
  <c r="Y1131" i="1"/>
  <c r="Z1131" i="1"/>
  <c r="AA1131" i="1"/>
  <c r="AB1131" i="1"/>
  <c r="V1132" i="1"/>
  <c r="W1132" i="1"/>
  <c r="X1132" i="1"/>
  <c r="Y1132" i="1"/>
  <c r="Z1132" i="1"/>
  <c r="AA1132" i="1"/>
  <c r="AB1132" i="1"/>
  <c r="V1133" i="1"/>
  <c r="W1133" i="1"/>
  <c r="X1133" i="1"/>
  <c r="Y1133" i="1"/>
  <c r="Z1133" i="1"/>
  <c r="AA1133" i="1"/>
  <c r="AB1133" i="1"/>
  <c r="V1134" i="1"/>
  <c r="W1134" i="1"/>
  <c r="X1134" i="1"/>
  <c r="Y1134" i="1"/>
  <c r="Z1134" i="1"/>
  <c r="AA1134" i="1"/>
  <c r="AB1134" i="1"/>
  <c r="V1135" i="1"/>
  <c r="W1135" i="1"/>
  <c r="X1135" i="1"/>
  <c r="Y1135" i="1"/>
  <c r="Z1135" i="1"/>
  <c r="AA1135" i="1"/>
  <c r="AB1135" i="1"/>
  <c r="V1136" i="1"/>
  <c r="W1136" i="1"/>
  <c r="X1136" i="1"/>
  <c r="Y1136" i="1"/>
  <c r="Z1136" i="1"/>
  <c r="AA1136" i="1"/>
  <c r="AB1136" i="1"/>
  <c r="V1137" i="1"/>
  <c r="W1137" i="1"/>
  <c r="X1137" i="1"/>
  <c r="Y1137" i="1"/>
  <c r="Z1137" i="1"/>
  <c r="AA1137" i="1"/>
  <c r="AB1137" i="1"/>
  <c r="V1138" i="1"/>
  <c r="W1138" i="1"/>
  <c r="X1138" i="1"/>
  <c r="Y1138" i="1"/>
  <c r="Z1138" i="1"/>
  <c r="AA1138" i="1"/>
  <c r="AB1138" i="1"/>
  <c r="V1139" i="1"/>
  <c r="W1139" i="1"/>
  <c r="X1139" i="1"/>
  <c r="Y1139" i="1"/>
  <c r="Z1139" i="1"/>
  <c r="AA1139" i="1"/>
  <c r="AB1139" i="1"/>
  <c r="V1140" i="1"/>
  <c r="W1140" i="1"/>
  <c r="X1140" i="1"/>
  <c r="Y1140" i="1"/>
  <c r="Z1140" i="1"/>
  <c r="AA1140" i="1"/>
  <c r="AB1140" i="1"/>
  <c r="V1141" i="1"/>
  <c r="W1141" i="1"/>
  <c r="X1141" i="1"/>
  <c r="Y1141" i="1"/>
  <c r="Z1141" i="1"/>
  <c r="AA1141" i="1"/>
  <c r="AB1141" i="1"/>
  <c r="V1142" i="1"/>
  <c r="W1142" i="1"/>
  <c r="X1142" i="1"/>
  <c r="Y1142" i="1"/>
  <c r="Z1142" i="1"/>
  <c r="AA1142" i="1"/>
  <c r="AB1142" i="1"/>
  <c r="V1143" i="1"/>
  <c r="W1143" i="1"/>
  <c r="X1143" i="1"/>
  <c r="Y1143" i="1"/>
  <c r="Z1143" i="1"/>
  <c r="AA1143" i="1"/>
  <c r="AB1143" i="1"/>
  <c r="V1144" i="1"/>
  <c r="W1144" i="1"/>
  <c r="X1144" i="1"/>
  <c r="Y1144" i="1"/>
  <c r="Z1144" i="1"/>
  <c r="AA1144" i="1"/>
  <c r="AB1144" i="1"/>
  <c r="V1145" i="1"/>
  <c r="W1145" i="1"/>
  <c r="X1145" i="1"/>
  <c r="Y1145" i="1"/>
  <c r="Z1145" i="1"/>
  <c r="AA1145" i="1"/>
  <c r="AB1145" i="1"/>
  <c r="V1146" i="1"/>
  <c r="W1146" i="1"/>
  <c r="X1146" i="1"/>
  <c r="Y1146" i="1"/>
  <c r="Z1146" i="1"/>
  <c r="AA1146" i="1"/>
  <c r="AB1146" i="1"/>
  <c r="V1147" i="1"/>
  <c r="W1147" i="1"/>
  <c r="X1147" i="1"/>
  <c r="Y1147" i="1"/>
  <c r="Z1147" i="1"/>
  <c r="AA1147" i="1"/>
  <c r="AB1147" i="1"/>
  <c r="V1148" i="1"/>
  <c r="W1148" i="1"/>
  <c r="X1148" i="1"/>
  <c r="Y1148" i="1"/>
  <c r="Z1148" i="1"/>
  <c r="AA1148" i="1"/>
  <c r="AB1148" i="1"/>
  <c r="V1149" i="1"/>
  <c r="W1149" i="1"/>
  <c r="X1149" i="1"/>
  <c r="Y1149" i="1"/>
  <c r="Z1149" i="1"/>
  <c r="AA1149" i="1"/>
  <c r="AB1149" i="1"/>
  <c r="V1150" i="1"/>
  <c r="W1150" i="1"/>
  <c r="X1150" i="1"/>
  <c r="Y1150" i="1"/>
  <c r="Z1150" i="1"/>
  <c r="AA1150" i="1"/>
  <c r="AB1150" i="1"/>
  <c r="V1151" i="1"/>
  <c r="W1151" i="1"/>
  <c r="X1151" i="1"/>
  <c r="Y1151" i="1"/>
  <c r="Z1151" i="1"/>
  <c r="AA1151" i="1"/>
  <c r="AB1151" i="1"/>
  <c r="V1152" i="1"/>
  <c r="W1152" i="1"/>
  <c r="X1152" i="1"/>
  <c r="Y1152" i="1"/>
  <c r="Z1152" i="1"/>
  <c r="AA1152" i="1"/>
  <c r="AB1152" i="1"/>
  <c r="V1153" i="1"/>
  <c r="W1153" i="1"/>
  <c r="X1153" i="1"/>
  <c r="Y1153" i="1"/>
  <c r="Z1153" i="1"/>
  <c r="AA1153" i="1"/>
  <c r="AB1153" i="1"/>
  <c r="V1154" i="1"/>
  <c r="W1154" i="1"/>
  <c r="X1154" i="1"/>
  <c r="Y1154" i="1"/>
  <c r="Z1154" i="1"/>
  <c r="AA1154" i="1"/>
  <c r="AB1154" i="1"/>
  <c r="V1155" i="1"/>
  <c r="W1155" i="1"/>
  <c r="X1155" i="1"/>
  <c r="Y1155" i="1"/>
  <c r="Z1155" i="1"/>
  <c r="AA1155" i="1"/>
  <c r="AB1155" i="1"/>
  <c r="V1156" i="1"/>
  <c r="W1156" i="1"/>
  <c r="X1156" i="1"/>
  <c r="Y1156" i="1"/>
  <c r="Z1156" i="1"/>
  <c r="AA1156" i="1"/>
  <c r="AB1156" i="1"/>
  <c r="V1157" i="1"/>
  <c r="W1157" i="1"/>
  <c r="X1157" i="1"/>
  <c r="Y1157" i="1"/>
  <c r="Z1157" i="1"/>
  <c r="AA1157" i="1"/>
  <c r="AB1157" i="1"/>
  <c r="V1158" i="1"/>
  <c r="W1158" i="1"/>
  <c r="X1158" i="1"/>
  <c r="Y1158" i="1"/>
  <c r="Z1158" i="1"/>
  <c r="AA1158" i="1"/>
  <c r="AB1158" i="1"/>
  <c r="V1159" i="1"/>
  <c r="W1159" i="1"/>
  <c r="X1159" i="1"/>
  <c r="Y1159" i="1"/>
  <c r="Z1159" i="1"/>
  <c r="AA1159" i="1"/>
  <c r="AB1159" i="1"/>
  <c r="V1160" i="1"/>
  <c r="W1160" i="1"/>
  <c r="X1160" i="1"/>
  <c r="Y1160" i="1"/>
  <c r="Z1160" i="1"/>
  <c r="AA1160" i="1"/>
  <c r="AB1160" i="1"/>
  <c r="V1161" i="1"/>
  <c r="W1161" i="1"/>
  <c r="X1161" i="1"/>
  <c r="Y1161" i="1"/>
  <c r="Z1161" i="1"/>
  <c r="AA1161" i="1"/>
  <c r="AB1161" i="1"/>
  <c r="V1162" i="1"/>
  <c r="W1162" i="1"/>
  <c r="X1162" i="1"/>
  <c r="Y1162" i="1"/>
  <c r="Z1162" i="1"/>
  <c r="AA1162" i="1"/>
  <c r="AB1162" i="1"/>
  <c r="V1163" i="1"/>
  <c r="W1163" i="1"/>
  <c r="X1163" i="1"/>
  <c r="Y1163" i="1"/>
  <c r="Z1163" i="1"/>
  <c r="AA1163" i="1"/>
  <c r="AB1163" i="1"/>
  <c r="V1164" i="1"/>
  <c r="W1164" i="1"/>
  <c r="X1164" i="1"/>
  <c r="Y1164" i="1"/>
  <c r="Z1164" i="1"/>
  <c r="AA1164" i="1"/>
  <c r="AB1164" i="1"/>
  <c r="V1165" i="1"/>
  <c r="W1165" i="1"/>
  <c r="X1165" i="1"/>
  <c r="Y1165" i="1"/>
  <c r="Z1165" i="1"/>
  <c r="AA1165" i="1"/>
  <c r="AB1165" i="1"/>
  <c r="V1166" i="1"/>
  <c r="W1166" i="1"/>
  <c r="X1166" i="1"/>
  <c r="Y1166" i="1"/>
  <c r="Z1166" i="1"/>
  <c r="AA1166" i="1"/>
  <c r="AB1166" i="1"/>
  <c r="V1167" i="1"/>
  <c r="W1167" i="1"/>
  <c r="X1167" i="1"/>
  <c r="Y1167" i="1"/>
  <c r="Z1167" i="1"/>
  <c r="AA1167" i="1"/>
  <c r="AB1167" i="1"/>
  <c r="V1168" i="1"/>
  <c r="W1168" i="1"/>
  <c r="X1168" i="1"/>
  <c r="Y1168" i="1"/>
  <c r="Z1168" i="1"/>
  <c r="AA1168" i="1"/>
  <c r="AB1168" i="1"/>
  <c r="V1169" i="1"/>
  <c r="W1169" i="1"/>
  <c r="X1169" i="1"/>
  <c r="Y1169" i="1"/>
  <c r="Z1169" i="1"/>
  <c r="AA1169" i="1"/>
  <c r="AB1169" i="1"/>
  <c r="V1170" i="1"/>
  <c r="W1170" i="1"/>
  <c r="X1170" i="1"/>
  <c r="Y1170" i="1"/>
  <c r="Z1170" i="1"/>
  <c r="AA1170" i="1"/>
  <c r="AB1170" i="1"/>
  <c r="V1171" i="1"/>
  <c r="W1171" i="1"/>
  <c r="X1171" i="1"/>
  <c r="Y1171" i="1"/>
  <c r="Z1171" i="1"/>
  <c r="AA1171" i="1"/>
  <c r="AB1171" i="1"/>
  <c r="V1172" i="1"/>
  <c r="W1172" i="1"/>
  <c r="X1172" i="1"/>
  <c r="Y1172" i="1"/>
  <c r="Z1172" i="1"/>
  <c r="AA1172" i="1"/>
  <c r="AB1172" i="1"/>
  <c r="V1173" i="1"/>
  <c r="W1173" i="1"/>
  <c r="X1173" i="1"/>
  <c r="Y1173" i="1"/>
  <c r="Z1173" i="1"/>
  <c r="AA1173" i="1"/>
  <c r="AB1173" i="1"/>
  <c r="V1174" i="1"/>
  <c r="W1174" i="1"/>
  <c r="X1174" i="1"/>
  <c r="Y1174" i="1"/>
  <c r="Z1174" i="1"/>
  <c r="AA1174" i="1"/>
  <c r="AB1174" i="1"/>
  <c r="V1175" i="1"/>
  <c r="W1175" i="1"/>
  <c r="X1175" i="1"/>
  <c r="Y1175" i="1"/>
  <c r="Z1175" i="1"/>
  <c r="AA1175" i="1"/>
  <c r="AB1175" i="1"/>
  <c r="V1176" i="1"/>
  <c r="W1176" i="1"/>
  <c r="X1176" i="1"/>
  <c r="Y1176" i="1"/>
  <c r="Z1176" i="1"/>
  <c r="AA1176" i="1"/>
  <c r="AB1176" i="1"/>
  <c r="V1177" i="1"/>
  <c r="W1177" i="1"/>
  <c r="X1177" i="1"/>
  <c r="Y1177" i="1"/>
  <c r="Z1177" i="1"/>
  <c r="AA1177" i="1"/>
  <c r="AB1177" i="1"/>
  <c r="V1178" i="1"/>
  <c r="W1178" i="1"/>
  <c r="X1178" i="1"/>
  <c r="Y1178" i="1"/>
  <c r="Z1178" i="1"/>
  <c r="AA1178" i="1"/>
  <c r="AB1178" i="1"/>
  <c r="V1179" i="1"/>
  <c r="W1179" i="1"/>
  <c r="X1179" i="1"/>
  <c r="Y1179" i="1"/>
  <c r="Z1179" i="1"/>
  <c r="AA1179" i="1"/>
  <c r="AB1179" i="1"/>
  <c r="V1180" i="1"/>
  <c r="W1180" i="1"/>
  <c r="X1180" i="1"/>
  <c r="Y1180" i="1"/>
  <c r="Z1180" i="1"/>
  <c r="AA1180" i="1"/>
  <c r="AB1180" i="1"/>
  <c r="V1181" i="1"/>
  <c r="W1181" i="1"/>
  <c r="X1181" i="1"/>
  <c r="Y1181" i="1"/>
  <c r="Z1181" i="1"/>
  <c r="AA1181" i="1"/>
  <c r="AB1181" i="1"/>
  <c r="V1182" i="1"/>
  <c r="W1182" i="1"/>
  <c r="X1182" i="1"/>
  <c r="Y1182" i="1"/>
  <c r="Z1182" i="1"/>
  <c r="AA1182" i="1"/>
  <c r="AB1182" i="1"/>
  <c r="V1183" i="1"/>
  <c r="W1183" i="1"/>
  <c r="X1183" i="1"/>
  <c r="Y1183" i="1"/>
  <c r="Z1183" i="1"/>
  <c r="AA1183" i="1"/>
  <c r="AB1183" i="1"/>
  <c r="V1184" i="1"/>
  <c r="W1184" i="1"/>
  <c r="X1184" i="1"/>
  <c r="Y1184" i="1"/>
  <c r="Z1184" i="1"/>
  <c r="AA1184" i="1"/>
  <c r="AB1184" i="1"/>
  <c r="V1185" i="1"/>
  <c r="W1185" i="1"/>
  <c r="X1185" i="1"/>
  <c r="Y1185" i="1"/>
  <c r="Z1185" i="1"/>
  <c r="AA1185" i="1"/>
  <c r="AB1185" i="1"/>
  <c r="V1186" i="1"/>
  <c r="W1186" i="1"/>
  <c r="X1186" i="1"/>
  <c r="Y1186" i="1"/>
  <c r="Z1186" i="1"/>
  <c r="AA1186" i="1"/>
  <c r="AB1186" i="1"/>
  <c r="V1187" i="1"/>
  <c r="W1187" i="1"/>
  <c r="X1187" i="1"/>
  <c r="Y1187" i="1"/>
  <c r="Z1187" i="1"/>
  <c r="AA1187" i="1"/>
  <c r="AB1187" i="1"/>
  <c r="V1188" i="1"/>
  <c r="W1188" i="1"/>
  <c r="X1188" i="1"/>
  <c r="Y1188" i="1"/>
  <c r="Z1188" i="1"/>
  <c r="AA1188" i="1"/>
  <c r="AB1188" i="1"/>
  <c r="V1189" i="1"/>
  <c r="W1189" i="1"/>
  <c r="X1189" i="1"/>
  <c r="Y1189" i="1"/>
  <c r="Z1189" i="1"/>
  <c r="AA1189" i="1"/>
  <c r="AB1189" i="1"/>
  <c r="V1190" i="1"/>
  <c r="W1190" i="1"/>
  <c r="X1190" i="1"/>
  <c r="Y1190" i="1"/>
  <c r="Z1190" i="1"/>
  <c r="AA1190" i="1"/>
  <c r="AB1190" i="1"/>
  <c r="V1191" i="1"/>
  <c r="W1191" i="1"/>
  <c r="X1191" i="1"/>
  <c r="Y1191" i="1"/>
  <c r="Z1191" i="1"/>
  <c r="AA1191" i="1"/>
  <c r="AB1191" i="1"/>
  <c r="V1192" i="1"/>
  <c r="W1192" i="1"/>
  <c r="X1192" i="1"/>
  <c r="Y1192" i="1"/>
  <c r="Z1192" i="1"/>
  <c r="AA1192" i="1"/>
  <c r="AB1192" i="1"/>
  <c r="V1193" i="1"/>
  <c r="W1193" i="1"/>
  <c r="X1193" i="1"/>
  <c r="Y1193" i="1"/>
  <c r="Z1193" i="1"/>
  <c r="AA1193" i="1"/>
  <c r="AB1193" i="1"/>
  <c r="V1194" i="1"/>
  <c r="W1194" i="1"/>
  <c r="X1194" i="1"/>
  <c r="Y1194" i="1"/>
  <c r="Z1194" i="1"/>
  <c r="AA1194" i="1"/>
  <c r="AB1194" i="1"/>
  <c r="V1195" i="1"/>
  <c r="W1195" i="1"/>
  <c r="X1195" i="1"/>
  <c r="Y1195" i="1"/>
  <c r="Z1195" i="1"/>
  <c r="AA1195" i="1"/>
  <c r="AB1195" i="1"/>
  <c r="V1196" i="1"/>
  <c r="W1196" i="1"/>
  <c r="X1196" i="1"/>
  <c r="Y1196" i="1"/>
  <c r="Z1196" i="1"/>
  <c r="AA1196" i="1"/>
  <c r="AB1196" i="1"/>
  <c r="V1197" i="1"/>
  <c r="W1197" i="1"/>
  <c r="X1197" i="1"/>
  <c r="Y1197" i="1"/>
  <c r="Z1197" i="1"/>
  <c r="AA1197" i="1"/>
  <c r="AB1197" i="1"/>
  <c r="V1198" i="1"/>
  <c r="W1198" i="1"/>
  <c r="X1198" i="1"/>
  <c r="Y1198" i="1"/>
  <c r="Z1198" i="1"/>
  <c r="AA1198" i="1"/>
  <c r="AB1198" i="1"/>
  <c r="V1199" i="1"/>
  <c r="W1199" i="1"/>
  <c r="X1199" i="1"/>
  <c r="Y1199" i="1"/>
  <c r="Z1199" i="1"/>
  <c r="AA1199" i="1"/>
  <c r="AB1199" i="1"/>
  <c r="V1200" i="1"/>
  <c r="W1200" i="1"/>
  <c r="X1200" i="1"/>
  <c r="Y1200" i="1"/>
  <c r="Z1200" i="1"/>
  <c r="AA1200" i="1"/>
  <c r="AB1200" i="1"/>
  <c r="V1201" i="1"/>
  <c r="W1201" i="1"/>
  <c r="X1201" i="1"/>
  <c r="Y1201" i="1"/>
  <c r="Z1201" i="1"/>
  <c r="AA1201" i="1"/>
  <c r="AB1201" i="1"/>
  <c r="V1202" i="1"/>
  <c r="W1202" i="1"/>
  <c r="X1202" i="1"/>
  <c r="Y1202" i="1"/>
  <c r="Z1202" i="1"/>
  <c r="AA1202" i="1"/>
  <c r="AB1202" i="1"/>
  <c r="V1203" i="1"/>
  <c r="W1203" i="1"/>
  <c r="X1203" i="1"/>
  <c r="Y1203" i="1"/>
  <c r="Z1203" i="1"/>
  <c r="AA1203" i="1"/>
  <c r="AB1203" i="1"/>
  <c r="V1204" i="1"/>
  <c r="W1204" i="1"/>
  <c r="X1204" i="1"/>
  <c r="Y1204" i="1"/>
  <c r="Z1204" i="1"/>
  <c r="AA1204" i="1"/>
  <c r="AB1204" i="1"/>
  <c r="V1205" i="1"/>
  <c r="W1205" i="1"/>
  <c r="X1205" i="1"/>
  <c r="Y1205" i="1"/>
  <c r="Z1205" i="1"/>
  <c r="AA1205" i="1"/>
  <c r="AB1205" i="1"/>
  <c r="V1206" i="1"/>
  <c r="W1206" i="1"/>
  <c r="X1206" i="1"/>
  <c r="Y1206" i="1"/>
  <c r="Z1206" i="1"/>
  <c r="AA1206" i="1"/>
  <c r="AB1206" i="1"/>
  <c r="V1207" i="1"/>
  <c r="W1207" i="1"/>
  <c r="X1207" i="1"/>
  <c r="Y1207" i="1"/>
  <c r="Z1207" i="1"/>
  <c r="AA1207" i="1"/>
  <c r="AB1207" i="1"/>
  <c r="V1208" i="1"/>
  <c r="W1208" i="1"/>
  <c r="X1208" i="1"/>
  <c r="Y1208" i="1"/>
  <c r="Z1208" i="1"/>
  <c r="AA1208" i="1"/>
  <c r="AB1208" i="1"/>
  <c r="V1209" i="1"/>
  <c r="W1209" i="1"/>
  <c r="X1209" i="1"/>
  <c r="Y1209" i="1"/>
  <c r="Z1209" i="1"/>
  <c r="AA1209" i="1"/>
  <c r="AB1209" i="1"/>
  <c r="V1210" i="1"/>
  <c r="W1210" i="1"/>
  <c r="X1210" i="1"/>
  <c r="Y1210" i="1"/>
  <c r="Z1210" i="1"/>
  <c r="AA1210" i="1"/>
  <c r="AB1210" i="1"/>
  <c r="V1211" i="1"/>
  <c r="W1211" i="1"/>
  <c r="X1211" i="1"/>
  <c r="Y1211" i="1"/>
  <c r="Z1211" i="1"/>
  <c r="AA1211" i="1"/>
  <c r="AB1211" i="1"/>
  <c r="V1212" i="1"/>
  <c r="W1212" i="1"/>
  <c r="X1212" i="1"/>
  <c r="Y1212" i="1"/>
  <c r="Z1212" i="1"/>
  <c r="AA1212" i="1"/>
  <c r="AB1212" i="1"/>
  <c r="V1213" i="1"/>
  <c r="W1213" i="1"/>
  <c r="X1213" i="1"/>
  <c r="Y1213" i="1"/>
  <c r="Z1213" i="1"/>
  <c r="AA1213" i="1"/>
  <c r="AB1213" i="1"/>
  <c r="V1214" i="1"/>
  <c r="W1214" i="1"/>
  <c r="X1214" i="1"/>
  <c r="Y1214" i="1"/>
  <c r="Z1214" i="1"/>
  <c r="AA1214" i="1"/>
  <c r="AB1214" i="1"/>
  <c r="V1215" i="1"/>
  <c r="W1215" i="1"/>
  <c r="X1215" i="1"/>
  <c r="Y1215" i="1"/>
  <c r="Z1215" i="1"/>
  <c r="AA1215" i="1"/>
  <c r="AB1215" i="1"/>
  <c r="V1216" i="1"/>
  <c r="W1216" i="1"/>
  <c r="X1216" i="1"/>
  <c r="Y1216" i="1"/>
  <c r="Z1216" i="1"/>
  <c r="AA1216" i="1"/>
  <c r="AB1216" i="1"/>
  <c r="V1217" i="1"/>
  <c r="W1217" i="1"/>
  <c r="X1217" i="1"/>
  <c r="Y1217" i="1"/>
  <c r="Z1217" i="1"/>
  <c r="AA1217" i="1"/>
  <c r="AB1217" i="1"/>
  <c r="V1218" i="1"/>
  <c r="W1218" i="1"/>
  <c r="X1218" i="1"/>
  <c r="Y1218" i="1"/>
  <c r="Z1218" i="1"/>
  <c r="AA1218" i="1"/>
  <c r="AB1218" i="1"/>
  <c r="V1219" i="1"/>
  <c r="W1219" i="1"/>
  <c r="X1219" i="1"/>
  <c r="Y1219" i="1"/>
  <c r="Z1219" i="1"/>
  <c r="AA1219" i="1"/>
  <c r="AB1219" i="1"/>
  <c r="V1220" i="1"/>
  <c r="W1220" i="1"/>
  <c r="X1220" i="1"/>
  <c r="Y1220" i="1"/>
  <c r="Z1220" i="1"/>
  <c r="AA1220" i="1"/>
  <c r="AB1220" i="1"/>
  <c r="V1221" i="1"/>
  <c r="W1221" i="1"/>
  <c r="X1221" i="1"/>
  <c r="Y1221" i="1"/>
  <c r="Z1221" i="1"/>
  <c r="AA1221" i="1"/>
  <c r="AB1221" i="1"/>
  <c r="V1222" i="1"/>
  <c r="W1222" i="1"/>
  <c r="X1222" i="1"/>
  <c r="Y1222" i="1"/>
  <c r="Z1222" i="1"/>
  <c r="AA1222" i="1"/>
  <c r="AB1222" i="1"/>
  <c r="V1223" i="1"/>
  <c r="W1223" i="1"/>
  <c r="X1223" i="1"/>
  <c r="Y1223" i="1"/>
  <c r="Z1223" i="1"/>
  <c r="AA1223" i="1"/>
  <c r="AB1223" i="1"/>
  <c r="V1224" i="1"/>
  <c r="W1224" i="1"/>
  <c r="X1224" i="1"/>
  <c r="Y1224" i="1"/>
  <c r="Z1224" i="1"/>
  <c r="AA1224" i="1"/>
  <c r="AB1224" i="1"/>
  <c r="V1225" i="1"/>
  <c r="W1225" i="1"/>
  <c r="X1225" i="1"/>
  <c r="Y1225" i="1"/>
  <c r="Z1225" i="1"/>
  <c r="AA1225" i="1"/>
  <c r="AB1225" i="1"/>
  <c r="V1226" i="1"/>
  <c r="W1226" i="1"/>
  <c r="X1226" i="1"/>
  <c r="Y1226" i="1"/>
  <c r="Z1226" i="1"/>
  <c r="AA1226" i="1"/>
  <c r="AB1226" i="1"/>
  <c r="V1227" i="1"/>
  <c r="W1227" i="1"/>
  <c r="X1227" i="1"/>
  <c r="Y1227" i="1"/>
  <c r="Z1227" i="1"/>
  <c r="AA1227" i="1"/>
  <c r="AB1227" i="1"/>
  <c r="V1228" i="1"/>
  <c r="W1228" i="1"/>
  <c r="X1228" i="1"/>
  <c r="Y1228" i="1"/>
  <c r="Z1228" i="1"/>
  <c r="AA1228" i="1"/>
  <c r="AB1228" i="1"/>
  <c r="V1229" i="1"/>
  <c r="W1229" i="1"/>
  <c r="X1229" i="1"/>
  <c r="Y1229" i="1"/>
  <c r="Z1229" i="1"/>
  <c r="AA1229" i="1"/>
  <c r="AB1229" i="1"/>
  <c r="V1230" i="1"/>
  <c r="W1230" i="1"/>
  <c r="X1230" i="1"/>
  <c r="Y1230" i="1"/>
  <c r="Z1230" i="1"/>
  <c r="AA1230" i="1"/>
  <c r="AB1230" i="1"/>
  <c r="V1231" i="1"/>
  <c r="W1231" i="1"/>
  <c r="X1231" i="1"/>
  <c r="Y1231" i="1"/>
  <c r="Z1231" i="1"/>
  <c r="AA1231" i="1"/>
  <c r="AB1231" i="1"/>
  <c r="V1232" i="1"/>
  <c r="W1232" i="1"/>
  <c r="X1232" i="1"/>
  <c r="Y1232" i="1"/>
  <c r="Z1232" i="1"/>
  <c r="AA1232" i="1"/>
  <c r="AB1232" i="1"/>
  <c r="V1233" i="1"/>
  <c r="W1233" i="1"/>
  <c r="X1233" i="1"/>
  <c r="Y1233" i="1"/>
  <c r="Z1233" i="1"/>
  <c r="AA1233" i="1"/>
  <c r="AB1233" i="1"/>
  <c r="V1234" i="1"/>
  <c r="W1234" i="1"/>
  <c r="X1234" i="1"/>
  <c r="Y1234" i="1"/>
  <c r="Z1234" i="1"/>
  <c r="AA1234" i="1"/>
  <c r="AB1234" i="1"/>
  <c r="V1235" i="1"/>
  <c r="W1235" i="1"/>
  <c r="X1235" i="1"/>
  <c r="Y1235" i="1"/>
  <c r="Z1235" i="1"/>
  <c r="AA1235" i="1"/>
  <c r="AB1235" i="1"/>
  <c r="V1236" i="1"/>
  <c r="W1236" i="1"/>
  <c r="X1236" i="1"/>
  <c r="Y1236" i="1"/>
  <c r="Z1236" i="1"/>
  <c r="AA1236" i="1"/>
  <c r="AB1236" i="1"/>
  <c r="V1237" i="1"/>
  <c r="W1237" i="1"/>
  <c r="X1237" i="1"/>
  <c r="Y1237" i="1"/>
  <c r="Z1237" i="1"/>
  <c r="AA1237" i="1"/>
  <c r="AB1237" i="1"/>
  <c r="V1238" i="1"/>
  <c r="W1238" i="1"/>
  <c r="X1238" i="1"/>
  <c r="Y1238" i="1"/>
  <c r="Z1238" i="1"/>
  <c r="AA1238" i="1"/>
  <c r="AB1238" i="1"/>
  <c r="V1239" i="1"/>
  <c r="W1239" i="1"/>
  <c r="X1239" i="1"/>
  <c r="Y1239" i="1"/>
  <c r="Z1239" i="1"/>
  <c r="AA1239" i="1"/>
  <c r="AB1239" i="1"/>
  <c r="V1240" i="1"/>
  <c r="W1240" i="1"/>
  <c r="X1240" i="1"/>
  <c r="Y1240" i="1"/>
  <c r="Z1240" i="1"/>
  <c r="AA1240" i="1"/>
  <c r="AB1240" i="1"/>
  <c r="V1241" i="1"/>
  <c r="W1241" i="1"/>
  <c r="X1241" i="1"/>
  <c r="Y1241" i="1"/>
  <c r="Z1241" i="1"/>
  <c r="AA1241" i="1"/>
  <c r="AB1241" i="1"/>
  <c r="V1242" i="1"/>
  <c r="W1242" i="1"/>
  <c r="X1242" i="1"/>
  <c r="Y1242" i="1"/>
  <c r="Z1242" i="1"/>
  <c r="AA1242" i="1"/>
  <c r="AB1242" i="1"/>
  <c r="V1243" i="1"/>
  <c r="W1243" i="1"/>
  <c r="X1243" i="1"/>
  <c r="Y1243" i="1"/>
  <c r="Z1243" i="1"/>
  <c r="AA1243" i="1"/>
  <c r="AB1243" i="1"/>
  <c r="V1244" i="1"/>
  <c r="W1244" i="1"/>
  <c r="X1244" i="1"/>
  <c r="Y1244" i="1"/>
  <c r="Z1244" i="1"/>
  <c r="AA1244" i="1"/>
  <c r="AB1244" i="1"/>
  <c r="V1245" i="1"/>
  <c r="W1245" i="1"/>
  <c r="X1245" i="1"/>
  <c r="Y1245" i="1"/>
  <c r="Z1245" i="1"/>
  <c r="AA1245" i="1"/>
  <c r="AB1245" i="1"/>
  <c r="V1246" i="1"/>
  <c r="W1246" i="1"/>
  <c r="X1246" i="1"/>
  <c r="Y1246" i="1"/>
  <c r="Z1246" i="1"/>
  <c r="AA1246" i="1"/>
  <c r="AB1246" i="1"/>
  <c r="V1247" i="1"/>
  <c r="W1247" i="1"/>
  <c r="X1247" i="1"/>
  <c r="Y1247" i="1"/>
  <c r="Z1247" i="1"/>
  <c r="AA1247" i="1"/>
  <c r="AB1247" i="1"/>
  <c r="V1248" i="1"/>
  <c r="W1248" i="1"/>
  <c r="X1248" i="1"/>
  <c r="Y1248" i="1"/>
  <c r="Z1248" i="1"/>
  <c r="AA1248" i="1"/>
  <c r="AB1248" i="1"/>
  <c r="V1249" i="1"/>
  <c r="W1249" i="1"/>
  <c r="X1249" i="1"/>
  <c r="Y1249" i="1"/>
  <c r="Z1249" i="1"/>
  <c r="AA1249" i="1"/>
  <c r="AB1249" i="1"/>
  <c r="V1250" i="1"/>
  <c r="W1250" i="1"/>
  <c r="X1250" i="1"/>
  <c r="Y1250" i="1"/>
  <c r="Z1250" i="1"/>
  <c r="AA1250" i="1"/>
  <c r="AB1250" i="1"/>
  <c r="V1251" i="1"/>
  <c r="W1251" i="1"/>
  <c r="X1251" i="1"/>
  <c r="Y1251" i="1"/>
  <c r="Z1251" i="1"/>
  <c r="AA1251" i="1"/>
  <c r="AB1251" i="1"/>
  <c r="V1252" i="1"/>
  <c r="W1252" i="1"/>
  <c r="X1252" i="1"/>
  <c r="Y1252" i="1"/>
  <c r="Z1252" i="1"/>
  <c r="AA1252" i="1"/>
  <c r="AB1252" i="1"/>
  <c r="V1253" i="1"/>
  <c r="W1253" i="1"/>
  <c r="X1253" i="1"/>
  <c r="Y1253" i="1"/>
  <c r="Z1253" i="1"/>
  <c r="AA1253" i="1"/>
  <c r="AB1253" i="1"/>
  <c r="V1254" i="1"/>
  <c r="W1254" i="1"/>
  <c r="X1254" i="1"/>
  <c r="Y1254" i="1"/>
  <c r="Z1254" i="1"/>
  <c r="AA1254" i="1"/>
  <c r="AB1254" i="1"/>
  <c r="V1255" i="1"/>
  <c r="W1255" i="1"/>
  <c r="X1255" i="1"/>
  <c r="Y1255" i="1"/>
  <c r="Z1255" i="1"/>
  <c r="AA1255" i="1"/>
  <c r="AB1255" i="1"/>
  <c r="V1256" i="1"/>
  <c r="W1256" i="1"/>
  <c r="X1256" i="1"/>
  <c r="Y1256" i="1"/>
  <c r="Z1256" i="1"/>
  <c r="AA1256" i="1"/>
  <c r="AB1256" i="1"/>
  <c r="V1257" i="1"/>
  <c r="W1257" i="1"/>
  <c r="X1257" i="1"/>
  <c r="Y1257" i="1"/>
  <c r="Z1257" i="1"/>
  <c r="AA1257" i="1"/>
  <c r="AB1257" i="1"/>
  <c r="V1258" i="1"/>
  <c r="W1258" i="1"/>
  <c r="X1258" i="1"/>
  <c r="Y1258" i="1"/>
  <c r="Z1258" i="1"/>
  <c r="AA1258" i="1"/>
  <c r="AB1258" i="1"/>
  <c r="V1259" i="1"/>
  <c r="W1259" i="1"/>
  <c r="X1259" i="1"/>
  <c r="Y1259" i="1"/>
  <c r="Z1259" i="1"/>
  <c r="AA1259" i="1"/>
  <c r="AB1259" i="1"/>
  <c r="V1260" i="1"/>
  <c r="W1260" i="1"/>
  <c r="X1260" i="1"/>
  <c r="Y1260" i="1"/>
  <c r="Z1260" i="1"/>
  <c r="AA1260" i="1"/>
  <c r="AB1260" i="1"/>
  <c r="V1261" i="1"/>
  <c r="W1261" i="1"/>
  <c r="X1261" i="1"/>
  <c r="Y1261" i="1"/>
  <c r="Z1261" i="1"/>
  <c r="AA1261" i="1"/>
  <c r="AB1261" i="1"/>
  <c r="V1262" i="1"/>
  <c r="W1262" i="1"/>
  <c r="X1262" i="1"/>
  <c r="Y1262" i="1"/>
  <c r="Z1262" i="1"/>
  <c r="AA1262" i="1"/>
  <c r="AB1262" i="1"/>
  <c r="V1263" i="1"/>
  <c r="W1263" i="1"/>
  <c r="X1263" i="1"/>
  <c r="Y1263" i="1"/>
  <c r="Z1263" i="1"/>
  <c r="AA1263" i="1"/>
  <c r="AB1263" i="1"/>
  <c r="V1264" i="1"/>
  <c r="W1264" i="1"/>
  <c r="X1264" i="1"/>
  <c r="Y1264" i="1"/>
  <c r="Z1264" i="1"/>
  <c r="AA1264" i="1"/>
  <c r="AB1264" i="1"/>
  <c r="V1265" i="1"/>
  <c r="W1265" i="1"/>
  <c r="X1265" i="1"/>
  <c r="Y1265" i="1"/>
  <c r="Z1265" i="1"/>
  <c r="AA1265" i="1"/>
  <c r="AB1265" i="1"/>
  <c r="V1266" i="1"/>
  <c r="W1266" i="1"/>
  <c r="X1266" i="1"/>
  <c r="Y1266" i="1"/>
  <c r="Z1266" i="1"/>
  <c r="AA1266" i="1"/>
  <c r="AB1266" i="1"/>
  <c r="V1267" i="1"/>
  <c r="W1267" i="1"/>
  <c r="X1267" i="1"/>
  <c r="Y1267" i="1"/>
  <c r="Z1267" i="1"/>
  <c r="AA1267" i="1"/>
  <c r="AB1267" i="1"/>
  <c r="V1268" i="1"/>
  <c r="W1268" i="1"/>
  <c r="X1268" i="1"/>
  <c r="Y1268" i="1"/>
  <c r="Z1268" i="1"/>
  <c r="AA1268" i="1"/>
  <c r="AB1268" i="1"/>
  <c r="V1269" i="1"/>
  <c r="W1269" i="1"/>
  <c r="X1269" i="1"/>
  <c r="Y1269" i="1"/>
  <c r="Z1269" i="1"/>
  <c r="AA1269" i="1"/>
  <c r="AB1269" i="1"/>
  <c r="V1270" i="1"/>
  <c r="W1270" i="1"/>
  <c r="X1270" i="1"/>
  <c r="Y1270" i="1"/>
  <c r="Z1270" i="1"/>
  <c r="AA1270" i="1"/>
  <c r="AB1270" i="1"/>
  <c r="V1271" i="1"/>
  <c r="W1271" i="1"/>
  <c r="X1271" i="1"/>
  <c r="Y1271" i="1"/>
  <c r="Z1271" i="1"/>
  <c r="AA1271" i="1"/>
  <c r="AB1271" i="1"/>
  <c r="V1272" i="1"/>
  <c r="W1272" i="1"/>
  <c r="X1272" i="1"/>
  <c r="Y1272" i="1"/>
  <c r="Z1272" i="1"/>
  <c r="AA1272" i="1"/>
  <c r="AB1272" i="1"/>
  <c r="V1273" i="1"/>
  <c r="W1273" i="1"/>
  <c r="X1273" i="1"/>
  <c r="Y1273" i="1"/>
  <c r="Z1273" i="1"/>
  <c r="AA1273" i="1"/>
  <c r="AB1273" i="1"/>
  <c r="V1274" i="1"/>
  <c r="W1274" i="1"/>
  <c r="X1274" i="1"/>
  <c r="Y1274" i="1"/>
  <c r="Z1274" i="1"/>
  <c r="AA1274" i="1"/>
  <c r="AB1274" i="1"/>
  <c r="V1275" i="1"/>
  <c r="W1275" i="1"/>
  <c r="X1275" i="1"/>
  <c r="Y1275" i="1"/>
  <c r="Z1275" i="1"/>
  <c r="AA1275" i="1"/>
  <c r="AB1275" i="1"/>
  <c r="V1276" i="1"/>
  <c r="W1276" i="1"/>
  <c r="X1276" i="1"/>
  <c r="Y1276" i="1"/>
  <c r="Z1276" i="1"/>
  <c r="AA1276" i="1"/>
  <c r="AB1276" i="1"/>
  <c r="V1277" i="1"/>
  <c r="W1277" i="1"/>
  <c r="X1277" i="1"/>
  <c r="Y1277" i="1"/>
  <c r="Z1277" i="1"/>
  <c r="AA1277" i="1"/>
  <c r="AB1277" i="1"/>
  <c r="V1278" i="1"/>
  <c r="W1278" i="1"/>
  <c r="X1278" i="1"/>
  <c r="Y1278" i="1"/>
  <c r="Z1278" i="1"/>
  <c r="AA1278" i="1"/>
  <c r="AB1278" i="1"/>
  <c r="V1279" i="1"/>
  <c r="W1279" i="1"/>
  <c r="X1279" i="1"/>
  <c r="Y1279" i="1"/>
  <c r="Z1279" i="1"/>
  <c r="AA1279" i="1"/>
  <c r="AB1279" i="1"/>
  <c r="V1280" i="1"/>
  <c r="W1280" i="1"/>
  <c r="X1280" i="1"/>
  <c r="Y1280" i="1"/>
  <c r="Z1280" i="1"/>
  <c r="AA1280" i="1"/>
  <c r="AB1280" i="1"/>
  <c r="V1281" i="1"/>
  <c r="W1281" i="1"/>
  <c r="X1281" i="1"/>
  <c r="Y1281" i="1"/>
  <c r="Z1281" i="1"/>
  <c r="AA1281" i="1"/>
  <c r="AB1281" i="1"/>
  <c r="V1282" i="1"/>
  <c r="W1282" i="1"/>
  <c r="X1282" i="1"/>
  <c r="Y1282" i="1"/>
  <c r="Z1282" i="1"/>
  <c r="AA1282" i="1"/>
  <c r="AB1282" i="1"/>
  <c r="V1283" i="1"/>
  <c r="W1283" i="1"/>
  <c r="X1283" i="1"/>
  <c r="Y1283" i="1"/>
  <c r="Z1283" i="1"/>
  <c r="AA1283" i="1"/>
  <c r="AB1283" i="1"/>
  <c r="V1284" i="1"/>
  <c r="W1284" i="1"/>
  <c r="X1284" i="1"/>
  <c r="Y1284" i="1"/>
  <c r="Z1284" i="1"/>
  <c r="AA1284" i="1"/>
  <c r="AB1284" i="1"/>
  <c r="V1285" i="1"/>
  <c r="W1285" i="1"/>
  <c r="X1285" i="1"/>
  <c r="Y1285" i="1"/>
  <c r="Z1285" i="1"/>
  <c r="AA1285" i="1"/>
  <c r="AB1285" i="1"/>
  <c r="V1286" i="1"/>
  <c r="W1286" i="1"/>
  <c r="X1286" i="1"/>
  <c r="Y1286" i="1"/>
  <c r="Z1286" i="1"/>
  <c r="AA1286" i="1"/>
  <c r="AB1286" i="1"/>
  <c r="V1287" i="1"/>
  <c r="W1287" i="1"/>
  <c r="X1287" i="1"/>
  <c r="Y1287" i="1"/>
  <c r="Z1287" i="1"/>
  <c r="AA1287" i="1"/>
  <c r="AB1287" i="1"/>
  <c r="V1288" i="1"/>
  <c r="W1288" i="1"/>
  <c r="X1288" i="1"/>
  <c r="Y1288" i="1"/>
  <c r="Z1288" i="1"/>
  <c r="AA1288" i="1"/>
  <c r="AB1288" i="1"/>
  <c r="V1289" i="1"/>
  <c r="W1289" i="1"/>
  <c r="X1289" i="1"/>
  <c r="Y1289" i="1"/>
  <c r="Z1289" i="1"/>
  <c r="AA1289" i="1"/>
  <c r="AB1289" i="1"/>
  <c r="V1290" i="1"/>
  <c r="W1290" i="1"/>
  <c r="X1290" i="1"/>
  <c r="Y1290" i="1"/>
  <c r="Z1290" i="1"/>
  <c r="AA1290" i="1"/>
  <c r="AB1290" i="1"/>
  <c r="V1291" i="1"/>
  <c r="W1291" i="1"/>
  <c r="X1291" i="1"/>
  <c r="Y1291" i="1"/>
  <c r="Z1291" i="1"/>
  <c r="AA1291" i="1"/>
  <c r="AB1291" i="1"/>
  <c r="V1292" i="1"/>
  <c r="W1292" i="1"/>
  <c r="X1292" i="1"/>
  <c r="Y1292" i="1"/>
  <c r="Z1292" i="1"/>
  <c r="AA1292" i="1"/>
  <c r="AB1292" i="1"/>
  <c r="V1293" i="1"/>
  <c r="W1293" i="1"/>
  <c r="X1293" i="1"/>
  <c r="Y1293" i="1"/>
  <c r="Z1293" i="1"/>
  <c r="AA1293" i="1"/>
  <c r="AB1293" i="1"/>
  <c r="V1294" i="1"/>
  <c r="W1294" i="1"/>
  <c r="X1294" i="1"/>
  <c r="Y1294" i="1"/>
  <c r="Z1294" i="1"/>
  <c r="AA1294" i="1"/>
  <c r="AB1294" i="1"/>
  <c r="V1295" i="1"/>
  <c r="W1295" i="1"/>
  <c r="X1295" i="1"/>
  <c r="Y1295" i="1"/>
  <c r="Z1295" i="1"/>
  <c r="AA1295" i="1"/>
  <c r="AB1295" i="1"/>
  <c r="V1296" i="1"/>
  <c r="W1296" i="1"/>
  <c r="X1296" i="1"/>
  <c r="Y1296" i="1"/>
  <c r="Z1296" i="1"/>
  <c r="AA1296" i="1"/>
  <c r="AB1296" i="1"/>
  <c r="V1297" i="1"/>
  <c r="W1297" i="1"/>
  <c r="X1297" i="1"/>
  <c r="Y1297" i="1"/>
  <c r="Z1297" i="1"/>
  <c r="AA1297" i="1"/>
  <c r="AB1297" i="1"/>
  <c r="V1298" i="1"/>
  <c r="W1298" i="1"/>
  <c r="X1298" i="1"/>
  <c r="Y1298" i="1"/>
  <c r="Z1298" i="1"/>
  <c r="AA1298" i="1"/>
  <c r="AB1298" i="1"/>
  <c r="V1299" i="1"/>
  <c r="W1299" i="1"/>
  <c r="X1299" i="1"/>
  <c r="Y1299" i="1"/>
  <c r="Z1299" i="1"/>
  <c r="AA1299" i="1"/>
  <c r="AB1299" i="1"/>
  <c r="V1300" i="1"/>
  <c r="W1300" i="1"/>
  <c r="X1300" i="1"/>
  <c r="Y1300" i="1"/>
  <c r="Z1300" i="1"/>
  <c r="AA1300" i="1"/>
  <c r="AB1300" i="1"/>
  <c r="V1301" i="1"/>
  <c r="W1301" i="1"/>
  <c r="X1301" i="1"/>
  <c r="Y1301" i="1"/>
  <c r="Z1301" i="1"/>
  <c r="AA1301" i="1"/>
  <c r="AB1301" i="1"/>
  <c r="V1302" i="1"/>
  <c r="W1302" i="1"/>
  <c r="X1302" i="1"/>
  <c r="Y1302" i="1"/>
  <c r="Z1302" i="1"/>
  <c r="AA1302" i="1"/>
  <c r="AB1302" i="1"/>
  <c r="V1303" i="1"/>
  <c r="W1303" i="1"/>
  <c r="X1303" i="1"/>
  <c r="Y1303" i="1"/>
  <c r="Z1303" i="1"/>
  <c r="AA1303" i="1"/>
  <c r="AB1303" i="1"/>
  <c r="V1304" i="1"/>
  <c r="W1304" i="1"/>
  <c r="X1304" i="1"/>
  <c r="Y1304" i="1"/>
  <c r="Z1304" i="1"/>
  <c r="AA1304" i="1"/>
  <c r="AB1304" i="1"/>
  <c r="V1305" i="1"/>
  <c r="W1305" i="1"/>
  <c r="X1305" i="1"/>
  <c r="Y1305" i="1"/>
  <c r="Z1305" i="1"/>
  <c r="AA1305" i="1"/>
  <c r="AB1305" i="1"/>
  <c r="V1306" i="1"/>
  <c r="W1306" i="1"/>
  <c r="X1306" i="1"/>
  <c r="Y1306" i="1"/>
  <c r="Z1306" i="1"/>
  <c r="AA1306" i="1"/>
  <c r="AB1306" i="1"/>
  <c r="V1307" i="1"/>
  <c r="W1307" i="1"/>
  <c r="X1307" i="1"/>
  <c r="Y1307" i="1"/>
  <c r="Z1307" i="1"/>
  <c r="AA1307" i="1"/>
  <c r="AB1307" i="1"/>
  <c r="V1308" i="1"/>
  <c r="W1308" i="1"/>
  <c r="X1308" i="1"/>
  <c r="Y1308" i="1"/>
  <c r="Z1308" i="1"/>
  <c r="AA1308" i="1"/>
  <c r="AB1308" i="1"/>
  <c r="V1309" i="1"/>
  <c r="W1309" i="1"/>
  <c r="X1309" i="1"/>
  <c r="Y1309" i="1"/>
  <c r="Z1309" i="1"/>
  <c r="AA1309" i="1"/>
  <c r="AB1309" i="1"/>
  <c r="V1310" i="1"/>
  <c r="W1310" i="1"/>
  <c r="X1310" i="1"/>
  <c r="Y1310" i="1"/>
  <c r="Z1310" i="1"/>
  <c r="AA1310" i="1"/>
  <c r="AB1310" i="1"/>
  <c r="V1311" i="1"/>
  <c r="W1311" i="1"/>
  <c r="X1311" i="1"/>
  <c r="Y1311" i="1"/>
  <c r="Z1311" i="1"/>
  <c r="AA1311" i="1"/>
  <c r="AB1311" i="1"/>
  <c r="V1312" i="1"/>
  <c r="W1312" i="1"/>
  <c r="X1312" i="1"/>
  <c r="Y1312" i="1"/>
  <c r="Z1312" i="1"/>
  <c r="AA1312" i="1"/>
  <c r="AB1312" i="1"/>
  <c r="V1313" i="1"/>
  <c r="W1313" i="1"/>
  <c r="X1313" i="1"/>
  <c r="Y1313" i="1"/>
  <c r="Z1313" i="1"/>
  <c r="AA1313" i="1"/>
  <c r="AB1313" i="1"/>
  <c r="V1314" i="1"/>
  <c r="W1314" i="1"/>
  <c r="X1314" i="1"/>
  <c r="Y1314" i="1"/>
  <c r="Z1314" i="1"/>
  <c r="AA1314" i="1"/>
  <c r="AB1314" i="1"/>
  <c r="V1315" i="1"/>
  <c r="W1315" i="1"/>
  <c r="X1315" i="1"/>
  <c r="Y1315" i="1"/>
  <c r="Z1315" i="1"/>
  <c r="AA1315" i="1"/>
  <c r="AB1315" i="1"/>
  <c r="V1316" i="1"/>
  <c r="W1316" i="1"/>
  <c r="X1316" i="1"/>
  <c r="Y1316" i="1"/>
  <c r="Z1316" i="1"/>
  <c r="AA1316" i="1"/>
  <c r="AB1316" i="1"/>
  <c r="V1317" i="1"/>
  <c r="W1317" i="1"/>
  <c r="X1317" i="1"/>
  <c r="Y1317" i="1"/>
  <c r="Z1317" i="1"/>
  <c r="AA1317" i="1"/>
  <c r="AB1317" i="1"/>
  <c r="V1318" i="1"/>
  <c r="W1318" i="1"/>
  <c r="X1318" i="1"/>
  <c r="Y1318" i="1"/>
  <c r="Z1318" i="1"/>
  <c r="AA1318" i="1"/>
  <c r="AB1318" i="1"/>
  <c r="V1319" i="1"/>
  <c r="W1319" i="1"/>
  <c r="X1319" i="1"/>
  <c r="Y1319" i="1"/>
  <c r="Z1319" i="1"/>
  <c r="AA1319" i="1"/>
  <c r="AB1319" i="1"/>
  <c r="V1320" i="1"/>
  <c r="W1320" i="1"/>
  <c r="X1320" i="1"/>
  <c r="Y1320" i="1"/>
  <c r="Z1320" i="1"/>
  <c r="AA1320" i="1"/>
  <c r="AB1320" i="1"/>
  <c r="V1321" i="1"/>
  <c r="W1321" i="1"/>
  <c r="X1321" i="1"/>
  <c r="Y1321" i="1"/>
  <c r="Z1321" i="1"/>
  <c r="AA1321" i="1"/>
  <c r="AB1321" i="1"/>
  <c r="V1322" i="1"/>
  <c r="W1322" i="1"/>
  <c r="X1322" i="1"/>
  <c r="Y1322" i="1"/>
  <c r="Z1322" i="1"/>
  <c r="AA1322" i="1"/>
  <c r="AB1322" i="1"/>
  <c r="V1323" i="1"/>
  <c r="W1323" i="1"/>
  <c r="X1323" i="1"/>
  <c r="Y1323" i="1"/>
  <c r="Z1323" i="1"/>
  <c r="AA1323" i="1"/>
  <c r="AB1323" i="1"/>
  <c r="V1324" i="1"/>
  <c r="W1324" i="1"/>
  <c r="X1324" i="1"/>
  <c r="Y1324" i="1"/>
  <c r="Z1324" i="1"/>
  <c r="AA1324" i="1"/>
  <c r="AB1324" i="1"/>
  <c r="V1325" i="1"/>
  <c r="W1325" i="1"/>
  <c r="X1325" i="1"/>
  <c r="Y1325" i="1"/>
  <c r="Z1325" i="1"/>
  <c r="AA1325" i="1"/>
  <c r="AB1325" i="1"/>
  <c r="V1326" i="1"/>
  <c r="W1326" i="1"/>
  <c r="X1326" i="1"/>
  <c r="Y1326" i="1"/>
  <c r="Z1326" i="1"/>
  <c r="AA1326" i="1"/>
  <c r="AB1326" i="1"/>
  <c r="V1327" i="1"/>
  <c r="W1327" i="1"/>
  <c r="X1327" i="1"/>
  <c r="Y1327" i="1"/>
  <c r="Z1327" i="1"/>
  <c r="AA1327" i="1"/>
  <c r="AB1327" i="1"/>
  <c r="V1328" i="1"/>
  <c r="W1328" i="1"/>
  <c r="X1328" i="1"/>
  <c r="Y1328" i="1"/>
  <c r="Z1328" i="1"/>
  <c r="AA1328" i="1"/>
  <c r="AB1328" i="1"/>
  <c r="V1329" i="1"/>
  <c r="W1329" i="1"/>
  <c r="X1329" i="1"/>
  <c r="Y1329" i="1"/>
  <c r="Z1329" i="1"/>
  <c r="AA1329" i="1"/>
  <c r="AB1329" i="1"/>
  <c r="V1330" i="1"/>
  <c r="W1330" i="1"/>
  <c r="X1330" i="1"/>
  <c r="Y1330" i="1"/>
  <c r="Z1330" i="1"/>
  <c r="AA1330" i="1"/>
  <c r="AB1330" i="1"/>
  <c r="V1331" i="1"/>
  <c r="W1331" i="1"/>
  <c r="X1331" i="1"/>
  <c r="Y1331" i="1"/>
  <c r="Z1331" i="1"/>
  <c r="AA1331" i="1"/>
  <c r="AB1331" i="1"/>
  <c r="V1332" i="1"/>
  <c r="W1332" i="1"/>
  <c r="X1332" i="1"/>
  <c r="Y1332" i="1"/>
  <c r="Z1332" i="1"/>
  <c r="AA1332" i="1"/>
  <c r="AB1332" i="1"/>
  <c r="V1333" i="1"/>
  <c r="W1333" i="1"/>
  <c r="X1333" i="1"/>
  <c r="Y1333" i="1"/>
  <c r="Z1333" i="1"/>
  <c r="AA1333" i="1"/>
  <c r="AB1333" i="1"/>
  <c r="V1334" i="1"/>
  <c r="W1334" i="1"/>
  <c r="X1334" i="1"/>
  <c r="Y1334" i="1"/>
  <c r="Z1334" i="1"/>
  <c r="AA1334" i="1"/>
  <c r="AB1334" i="1"/>
  <c r="V1335" i="1"/>
  <c r="W1335" i="1"/>
  <c r="X1335" i="1"/>
  <c r="Y1335" i="1"/>
  <c r="Z1335" i="1"/>
  <c r="AA1335" i="1"/>
  <c r="AB1335" i="1"/>
  <c r="V1336" i="1"/>
  <c r="W1336" i="1"/>
  <c r="X1336" i="1"/>
  <c r="Y1336" i="1"/>
  <c r="Z1336" i="1"/>
  <c r="AA1336" i="1"/>
  <c r="AB1336" i="1"/>
  <c r="V1337" i="1"/>
  <c r="W1337" i="1"/>
  <c r="X1337" i="1"/>
  <c r="Y1337" i="1"/>
  <c r="Z1337" i="1"/>
  <c r="AA1337" i="1"/>
  <c r="AB1337" i="1"/>
  <c r="V1338" i="1"/>
  <c r="W1338" i="1"/>
  <c r="X1338" i="1"/>
  <c r="Y1338" i="1"/>
  <c r="Z1338" i="1"/>
  <c r="AA1338" i="1"/>
  <c r="AB1338" i="1"/>
  <c r="V1339" i="1"/>
  <c r="W1339" i="1"/>
  <c r="X1339" i="1"/>
  <c r="Y1339" i="1"/>
  <c r="Z1339" i="1"/>
  <c r="AA1339" i="1"/>
  <c r="AB1339" i="1"/>
  <c r="V1340" i="1"/>
  <c r="W1340" i="1"/>
  <c r="X1340" i="1"/>
  <c r="Y1340" i="1"/>
  <c r="Z1340" i="1"/>
  <c r="AA1340" i="1"/>
  <c r="AB1340" i="1"/>
  <c r="V1341" i="1"/>
  <c r="W1341" i="1"/>
  <c r="X1341" i="1"/>
  <c r="Y1341" i="1"/>
  <c r="Z1341" i="1"/>
  <c r="AA1341" i="1"/>
  <c r="AB1341" i="1"/>
  <c r="V1342" i="1"/>
  <c r="W1342" i="1"/>
  <c r="X1342" i="1"/>
  <c r="Y1342" i="1"/>
  <c r="Z1342" i="1"/>
  <c r="AA1342" i="1"/>
  <c r="AB1342" i="1"/>
  <c r="V1343" i="1"/>
  <c r="W1343" i="1"/>
  <c r="X1343" i="1"/>
  <c r="Y1343" i="1"/>
  <c r="Z1343" i="1"/>
  <c r="AA1343" i="1"/>
  <c r="AB1343" i="1"/>
  <c r="V1344" i="1"/>
  <c r="W1344" i="1"/>
  <c r="X1344" i="1"/>
  <c r="Y1344" i="1"/>
  <c r="Z1344" i="1"/>
  <c r="AA1344" i="1"/>
  <c r="AB1344" i="1"/>
  <c r="V1345" i="1"/>
  <c r="W1345" i="1"/>
  <c r="X1345" i="1"/>
  <c r="Y1345" i="1"/>
  <c r="Z1345" i="1"/>
  <c r="AA1345" i="1"/>
  <c r="AB1345" i="1"/>
  <c r="V1346" i="1"/>
  <c r="W1346" i="1"/>
  <c r="X1346" i="1"/>
  <c r="Y1346" i="1"/>
  <c r="Z1346" i="1"/>
  <c r="AA1346" i="1"/>
  <c r="AB1346" i="1"/>
  <c r="V1347" i="1"/>
  <c r="W1347" i="1"/>
  <c r="X1347" i="1"/>
  <c r="Y1347" i="1"/>
  <c r="Z1347" i="1"/>
  <c r="AA1347" i="1"/>
  <c r="AB1347" i="1"/>
  <c r="V1348" i="1"/>
  <c r="W1348" i="1"/>
  <c r="X1348" i="1"/>
  <c r="Y1348" i="1"/>
  <c r="Z1348" i="1"/>
  <c r="AA1348" i="1"/>
  <c r="AB1348" i="1"/>
  <c r="V1349" i="1"/>
  <c r="W1349" i="1"/>
  <c r="X1349" i="1"/>
  <c r="Y1349" i="1"/>
  <c r="Z1349" i="1"/>
  <c r="AA1349" i="1"/>
  <c r="AB1349" i="1"/>
  <c r="V1350" i="1"/>
  <c r="W1350" i="1"/>
  <c r="X1350" i="1"/>
  <c r="Y1350" i="1"/>
  <c r="Z1350" i="1"/>
  <c r="AA1350" i="1"/>
  <c r="AB1350" i="1"/>
  <c r="V1351" i="1"/>
  <c r="W1351" i="1"/>
  <c r="X1351" i="1"/>
  <c r="Y1351" i="1"/>
  <c r="Z1351" i="1"/>
  <c r="AA1351" i="1"/>
  <c r="AB1351" i="1"/>
  <c r="V1352" i="1"/>
  <c r="W1352" i="1"/>
  <c r="X1352" i="1"/>
  <c r="Y1352" i="1"/>
  <c r="Z1352" i="1"/>
  <c r="AA1352" i="1"/>
  <c r="AB1352" i="1"/>
  <c r="V1353" i="1"/>
  <c r="W1353" i="1"/>
  <c r="X1353" i="1"/>
  <c r="Y1353" i="1"/>
  <c r="Z1353" i="1"/>
  <c r="AA1353" i="1"/>
  <c r="AB1353" i="1"/>
  <c r="V1354" i="1"/>
  <c r="W1354" i="1"/>
  <c r="X1354" i="1"/>
  <c r="Y1354" i="1"/>
  <c r="Z1354" i="1"/>
  <c r="AA1354" i="1"/>
  <c r="AB1354" i="1"/>
  <c r="V1355" i="1"/>
  <c r="W1355" i="1"/>
  <c r="X1355" i="1"/>
  <c r="Y1355" i="1"/>
  <c r="Z1355" i="1"/>
  <c r="AA1355" i="1"/>
  <c r="AB1355" i="1"/>
  <c r="V1356" i="1"/>
  <c r="W1356" i="1"/>
  <c r="X1356" i="1"/>
  <c r="Y1356" i="1"/>
  <c r="Z1356" i="1"/>
  <c r="AA1356" i="1"/>
  <c r="AB1356" i="1"/>
  <c r="V1357" i="1"/>
  <c r="W1357" i="1"/>
  <c r="X1357" i="1"/>
  <c r="Y1357" i="1"/>
  <c r="Z1357" i="1"/>
  <c r="AA1357" i="1"/>
  <c r="AB1357" i="1"/>
  <c r="V1358" i="1"/>
  <c r="W1358" i="1"/>
  <c r="X1358" i="1"/>
  <c r="Y1358" i="1"/>
  <c r="Z1358" i="1"/>
  <c r="AA1358" i="1"/>
  <c r="AB1358" i="1"/>
  <c r="V1359" i="1"/>
  <c r="W1359" i="1"/>
  <c r="X1359" i="1"/>
  <c r="Y1359" i="1"/>
  <c r="Z1359" i="1"/>
  <c r="AA1359" i="1"/>
  <c r="AB1359" i="1"/>
  <c r="V1360" i="1"/>
  <c r="W1360" i="1"/>
  <c r="X1360" i="1"/>
  <c r="Y1360" i="1"/>
  <c r="Z1360" i="1"/>
  <c r="AA1360" i="1"/>
  <c r="AB1360" i="1"/>
  <c r="V1361" i="1"/>
  <c r="W1361" i="1"/>
  <c r="X1361" i="1"/>
  <c r="Y1361" i="1"/>
  <c r="Z1361" i="1"/>
  <c r="AA1361" i="1"/>
  <c r="AB1361" i="1"/>
  <c r="V1362" i="1"/>
  <c r="W1362" i="1"/>
  <c r="X1362" i="1"/>
  <c r="Y1362" i="1"/>
  <c r="Z1362" i="1"/>
  <c r="AA1362" i="1"/>
  <c r="AB1362" i="1"/>
  <c r="V1363" i="1"/>
  <c r="W1363" i="1"/>
  <c r="X1363" i="1"/>
  <c r="Y1363" i="1"/>
  <c r="Z1363" i="1"/>
  <c r="AA1363" i="1"/>
  <c r="AB1363" i="1"/>
  <c r="V1364" i="1"/>
  <c r="W1364" i="1"/>
  <c r="X1364" i="1"/>
  <c r="Y1364" i="1"/>
  <c r="Z1364" i="1"/>
  <c r="AA1364" i="1"/>
  <c r="AB1364" i="1"/>
  <c r="V1365" i="1"/>
  <c r="W1365" i="1"/>
  <c r="X1365" i="1"/>
  <c r="Y1365" i="1"/>
  <c r="Z1365" i="1"/>
  <c r="AA1365" i="1"/>
  <c r="AB1365" i="1"/>
  <c r="V1366" i="1"/>
  <c r="W1366" i="1"/>
  <c r="X1366" i="1"/>
  <c r="Y1366" i="1"/>
  <c r="Z1366" i="1"/>
  <c r="AA1366" i="1"/>
  <c r="AB1366" i="1"/>
  <c r="V1367" i="1"/>
  <c r="W1367" i="1"/>
  <c r="X1367" i="1"/>
  <c r="Y1367" i="1"/>
  <c r="Z1367" i="1"/>
  <c r="AA1367" i="1"/>
  <c r="AB1367" i="1"/>
  <c r="V1368" i="1"/>
  <c r="W1368" i="1"/>
  <c r="X1368" i="1"/>
  <c r="Y1368" i="1"/>
  <c r="Z1368" i="1"/>
  <c r="AA1368" i="1"/>
  <c r="AB1368" i="1"/>
  <c r="V1369" i="1"/>
  <c r="W1369" i="1"/>
  <c r="X1369" i="1"/>
  <c r="Y1369" i="1"/>
  <c r="Z1369" i="1"/>
  <c r="AA1369" i="1"/>
  <c r="AB1369" i="1"/>
  <c r="V1370" i="1"/>
  <c r="W1370" i="1"/>
  <c r="X1370" i="1"/>
  <c r="Y1370" i="1"/>
  <c r="Z1370" i="1"/>
  <c r="AA1370" i="1"/>
  <c r="AB1370" i="1"/>
  <c r="V1371" i="1"/>
  <c r="W1371" i="1"/>
  <c r="X1371" i="1"/>
  <c r="Y1371" i="1"/>
  <c r="Z1371" i="1"/>
  <c r="AA1371" i="1"/>
  <c r="AB1371" i="1"/>
  <c r="V1372" i="1"/>
  <c r="W1372" i="1"/>
  <c r="X1372" i="1"/>
  <c r="Y1372" i="1"/>
  <c r="Z1372" i="1"/>
  <c r="AA1372" i="1"/>
  <c r="AB1372" i="1"/>
  <c r="V1373" i="1"/>
  <c r="W1373" i="1"/>
  <c r="X1373" i="1"/>
  <c r="Y1373" i="1"/>
  <c r="Z1373" i="1"/>
  <c r="AA1373" i="1"/>
  <c r="AB1373" i="1"/>
  <c r="V1374" i="1"/>
  <c r="W1374" i="1"/>
  <c r="X1374" i="1"/>
  <c r="Y1374" i="1"/>
  <c r="Z1374" i="1"/>
  <c r="AA1374" i="1"/>
  <c r="AB1374" i="1"/>
  <c r="V1375" i="1"/>
  <c r="W1375" i="1"/>
  <c r="X1375" i="1"/>
  <c r="Y1375" i="1"/>
  <c r="Z1375" i="1"/>
  <c r="AA1375" i="1"/>
  <c r="AB1375" i="1"/>
  <c r="V1376" i="1"/>
  <c r="W1376" i="1"/>
  <c r="X1376" i="1"/>
  <c r="Y1376" i="1"/>
  <c r="Z1376" i="1"/>
  <c r="AA1376" i="1"/>
  <c r="AB1376" i="1"/>
  <c r="V1377" i="1"/>
  <c r="W1377" i="1"/>
  <c r="X1377" i="1"/>
  <c r="Y1377" i="1"/>
  <c r="Z1377" i="1"/>
  <c r="AA1377" i="1"/>
  <c r="AB1377" i="1"/>
  <c r="V1378" i="1"/>
  <c r="W1378" i="1"/>
  <c r="X1378" i="1"/>
  <c r="Y1378" i="1"/>
  <c r="Z1378" i="1"/>
  <c r="AA1378" i="1"/>
  <c r="AB1378" i="1"/>
  <c r="V1379" i="1"/>
  <c r="W1379" i="1"/>
  <c r="X1379" i="1"/>
  <c r="Y1379" i="1"/>
  <c r="Z1379" i="1"/>
  <c r="AA1379" i="1"/>
  <c r="AB1379" i="1"/>
  <c r="V1380" i="1"/>
  <c r="W1380" i="1"/>
  <c r="X1380" i="1"/>
  <c r="Y1380" i="1"/>
  <c r="Z1380" i="1"/>
  <c r="AA1380" i="1"/>
  <c r="AB1380" i="1"/>
  <c r="V1381" i="1"/>
  <c r="W1381" i="1"/>
  <c r="X1381" i="1"/>
  <c r="Y1381" i="1"/>
  <c r="Z1381" i="1"/>
  <c r="AA1381" i="1"/>
  <c r="AB1381" i="1"/>
  <c r="V1382" i="1"/>
  <c r="W1382" i="1"/>
  <c r="X1382" i="1"/>
  <c r="Y1382" i="1"/>
  <c r="Z1382" i="1"/>
  <c r="AA1382" i="1"/>
  <c r="AB1382" i="1"/>
  <c r="V1383" i="1"/>
  <c r="W1383" i="1"/>
  <c r="X1383" i="1"/>
  <c r="Y1383" i="1"/>
  <c r="Z1383" i="1"/>
  <c r="AA1383" i="1"/>
  <c r="AB1383" i="1"/>
  <c r="V1384" i="1"/>
  <c r="W1384" i="1"/>
  <c r="X1384" i="1"/>
  <c r="Y1384" i="1"/>
  <c r="Z1384" i="1"/>
  <c r="AA1384" i="1"/>
  <c r="AB1384" i="1"/>
  <c r="V1385" i="1"/>
  <c r="W1385" i="1"/>
  <c r="X1385" i="1"/>
  <c r="Y1385" i="1"/>
  <c r="Z1385" i="1"/>
  <c r="AA1385" i="1"/>
  <c r="AB1385" i="1"/>
  <c r="V1386" i="1"/>
  <c r="W1386" i="1"/>
  <c r="X1386" i="1"/>
  <c r="Y1386" i="1"/>
  <c r="Z1386" i="1"/>
  <c r="AA1386" i="1"/>
  <c r="AB1386" i="1"/>
  <c r="V1387" i="1"/>
  <c r="W1387" i="1"/>
  <c r="X1387" i="1"/>
  <c r="Y1387" i="1"/>
  <c r="Z1387" i="1"/>
  <c r="AA1387" i="1"/>
  <c r="AB1387" i="1"/>
  <c r="V1388" i="1"/>
  <c r="W1388" i="1"/>
  <c r="X1388" i="1"/>
  <c r="Y1388" i="1"/>
  <c r="Z1388" i="1"/>
  <c r="AA1388" i="1"/>
  <c r="AB1388" i="1"/>
  <c r="V1389" i="1"/>
  <c r="W1389" i="1"/>
  <c r="X1389" i="1"/>
  <c r="Y1389" i="1"/>
  <c r="Z1389" i="1"/>
  <c r="AA1389" i="1"/>
  <c r="AB1389" i="1"/>
  <c r="V1390" i="1"/>
  <c r="W1390" i="1"/>
  <c r="X1390" i="1"/>
  <c r="Y1390" i="1"/>
  <c r="Z1390" i="1"/>
  <c r="AA1390" i="1"/>
  <c r="AB1390" i="1"/>
  <c r="V1391" i="1"/>
  <c r="W1391" i="1"/>
  <c r="X1391" i="1"/>
  <c r="Y1391" i="1"/>
  <c r="Z1391" i="1"/>
  <c r="AA1391" i="1"/>
  <c r="AB1391" i="1"/>
  <c r="V1392" i="1"/>
  <c r="W1392" i="1"/>
  <c r="X1392" i="1"/>
  <c r="Y1392" i="1"/>
  <c r="Z1392" i="1"/>
  <c r="AA1392" i="1"/>
  <c r="AB1392" i="1"/>
  <c r="V1393" i="1"/>
  <c r="W1393" i="1"/>
  <c r="X1393" i="1"/>
  <c r="Y1393" i="1"/>
  <c r="Z1393" i="1"/>
  <c r="AA1393" i="1"/>
  <c r="AB1393" i="1"/>
  <c r="V1394" i="1"/>
  <c r="W1394" i="1"/>
  <c r="X1394" i="1"/>
  <c r="Y1394" i="1"/>
  <c r="Z1394" i="1"/>
  <c r="AA1394" i="1"/>
  <c r="AB1394" i="1"/>
  <c r="V1395" i="1"/>
  <c r="W1395" i="1"/>
  <c r="X1395" i="1"/>
  <c r="Y1395" i="1"/>
  <c r="Z1395" i="1"/>
  <c r="AA1395" i="1"/>
  <c r="AB1395" i="1"/>
  <c r="V1396" i="1"/>
  <c r="W1396" i="1"/>
  <c r="X1396" i="1"/>
  <c r="Y1396" i="1"/>
  <c r="Z1396" i="1"/>
  <c r="AA1396" i="1"/>
  <c r="AB1396" i="1"/>
  <c r="V1397" i="1"/>
  <c r="W1397" i="1"/>
  <c r="X1397" i="1"/>
  <c r="Y1397" i="1"/>
  <c r="Z1397" i="1"/>
  <c r="AA1397" i="1"/>
  <c r="AB1397" i="1"/>
  <c r="V1398" i="1"/>
  <c r="W1398" i="1"/>
  <c r="X1398" i="1"/>
  <c r="Y1398" i="1"/>
  <c r="Z1398" i="1"/>
  <c r="AA1398" i="1"/>
  <c r="AB1398" i="1"/>
  <c r="V1399" i="1"/>
  <c r="W1399" i="1"/>
  <c r="X1399" i="1"/>
  <c r="Y1399" i="1"/>
  <c r="Z1399" i="1"/>
  <c r="AA1399" i="1"/>
  <c r="AB1399" i="1"/>
  <c r="V1400" i="1"/>
  <c r="W1400" i="1"/>
  <c r="X1400" i="1"/>
  <c r="Y1400" i="1"/>
  <c r="Z1400" i="1"/>
  <c r="AA1400" i="1"/>
  <c r="AB1400" i="1"/>
  <c r="V1401" i="1"/>
  <c r="W1401" i="1"/>
  <c r="X1401" i="1"/>
  <c r="Y1401" i="1"/>
  <c r="Z1401" i="1"/>
  <c r="AA1401" i="1"/>
  <c r="AB1401" i="1"/>
  <c r="V1402" i="1"/>
  <c r="W1402" i="1"/>
  <c r="X1402" i="1"/>
  <c r="Y1402" i="1"/>
  <c r="Z1402" i="1"/>
  <c r="AA1402" i="1"/>
  <c r="AB1402" i="1"/>
  <c r="V1403" i="1"/>
  <c r="W1403" i="1"/>
  <c r="X1403" i="1"/>
  <c r="Y1403" i="1"/>
  <c r="Z1403" i="1"/>
  <c r="AA1403" i="1"/>
  <c r="AB1403" i="1"/>
  <c r="V1404" i="1"/>
  <c r="W1404" i="1"/>
  <c r="X1404" i="1"/>
  <c r="Y1404" i="1"/>
  <c r="Z1404" i="1"/>
  <c r="AA1404" i="1"/>
  <c r="AB1404" i="1"/>
  <c r="V1405" i="1"/>
  <c r="W1405" i="1"/>
  <c r="X1405" i="1"/>
  <c r="Y1405" i="1"/>
  <c r="Z1405" i="1"/>
  <c r="AA1405" i="1"/>
  <c r="AB1405" i="1"/>
  <c r="V1406" i="1"/>
  <c r="W1406" i="1"/>
  <c r="X1406" i="1"/>
  <c r="Y1406" i="1"/>
  <c r="Z1406" i="1"/>
  <c r="AA1406" i="1"/>
  <c r="AB1406" i="1"/>
  <c r="V1407" i="1"/>
  <c r="W1407" i="1"/>
  <c r="X1407" i="1"/>
  <c r="Y1407" i="1"/>
  <c r="Z1407" i="1"/>
  <c r="AA1407" i="1"/>
  <c r="AB1407" i="1"/>
  <c r="V1408" i="1"/>
  <c r="W1408" i="1"/>
  <c r="X1408" i="1"/>
  <c r="Y1408" i="1"/>
  <c r="Z1408" i="1"/>
  <c r="AA1408" i="1"/>
  <c r="AB1408" i="1"/>
  <c r="V1409" i="1"/>
  <c r="W1409" i="1"/>
  <c r="X1409" i="1"/>
  <c r="Y1409" i="1"/>
  <c r="Z1409" i="1"/>
  <c r="AA1409" i="1"/>
  <c r="AB1409" i="1"/>
  <c r="V1410" i="1"/>
  <c r="W1410" i="1"/>
  <c r="X1410" i="1"/>
  <c r="Y1410" i="1"/>
  <c r="Z1410" i="1"/>
  <c r="AA1410" i="1"/>
  <c r="AB1410" i="1"/>
  <c r="V1411" i="1"/>
  <c r="W1411" i="1"/>
  <c r="X1411" i="1"/>
  <c r="Y1411" i="1"/>
  <c r="Z1411" i="1"/>
  <c r="AA1411" i="1"/>
  <c r="AB1411" i="1"/>
  <c r="V1412" i="1"/>
  <c r="W1412" i="1"/>
  <c r="X1412" i="1"/>
  <c r="Y1412" i="1"/>
  <c r="Z1412" i="1"/>
  <c r="AA1412" i="1"/>
  <c r="AB1412" i="1"/>
  <c r="V1413" i="1"/>
  <c r="W1413" i="1"/>
  <c r="X1413" i="1"/>
  <c r="Y1413" i="1"/>
  <c r="Z1413" i="1"/>
  <c r="AA1413" i="1"/>
  <c r="AB1413" i="1"/>
  <c r="V1414" i="1"/>
  <c r="W1414" i="1"/>
  <c r="X1414" i="1"/>
  <c r="Y1414" i="1"/>
  <c r="Z1414" i="1"/>
  <c r="AA1414" i="1"/>
  <c r="AB1414" i="1"/>
  <c r="V1415" i="1"/>
  <c r="W1415" i="1"/>
  <c r="X1415" i="1"/>
  <c r="Y1415" i="1"/>
  <c r="Z1415" i="1"/>
  <c r="AA1415" i="1"/>
  <c r="AB1415" i="1"/>
  <c r="V1416" i="1"/>
  <c r="W1416" i="1"/>
  <c r="X1416" i="1"/>
  <c r="Y1416" i="1"/>
  <c r="Z1416" i="1"/>
  <c r="AA1416" i="1"/>
  <c r="AB1416" i="1"/>
  <c r="V1417" i="1"/>
  <c r="W1417" i="1"/>
  <c r="X1417" i="1"/>
  <c r="Y1417" i="1"/>
  <c r="Z1417" i="1"/>
  <c r="AA1417" i="1"/>
  <c r="AB1417" i="1"/>
  <c r="V1418" i="1"/>
  <c r="W1418" i="1"/>
  <c r="X1418" i="1"/>
  <c r="Y1418" i="1"/>
  <c r="Z1418" i="1"/>
  <c r="AA1418" i="1"/>
  <c r="AB1418" i="1"/>
  <c r="V1419" i="1"/>
  <c r="W1419" i="1"/>
  <c r="X1419" i="1"/>
  <c r="Y1419" i="1"/>
  <c r="Z1419" i="1"/>
  <c r="AA1419" i="1"/>
  <c r="AB1419" i="1"/>
  <c r="V1420" i="1"/>
  <c r="W1420" i="1"/>
  <c r="X1420" i="1"/>
  <c r="Y1420" i="1"/>
  <c r="Z1420" i="1"/>
  <c r="AA1420" i="1"/>
  <c r="AB1420" i="1"/>
  <c r="V1421" i="1"/>
  <c r="W1421" i="1"/>
  <c r="X1421" i="1"/>
  <c r="Y1421" i="1"/>
  <c r="Z1421" i="1"/>
  <c r="AA1421" i="1"/>
  <c r="AB1421" i="1"/>
  <c r="V1422" i="1"/>
  <c r="W1422" i="1"/>
  <c r="X1422" i="1"/>
  <c r="Y1422" i="1"/>
  <c r="Z1422" i="1"/>
  <c r="AA1422" i="1"/>
  <c r="AB1422" i="1"/>
  <c r="V1423" i="1"/>
  <c r="W1423" i="1"/>
  <c r="X1423" i="1"/>
  <c r="Y1423" i="1"/>
  <c r="Z1423" i="1"/>
  <c r="AA1423" i="1"/>
  <c r="AB1423" i="1"/>
  <c r="V1424" i="1"/>
  <c r="W1424" i="1"/>
  <c r="X1424" i="1"/>
  <c r="Y1424" i="1"/>
  <c r="Z1424" i="1"/>
  <c r="AA1424" i="1"/>
  <c r="AB1424" i="1"/>
  <c r="V1425" i="1"/>
  <c r="W1425" i="1"/>
  <c r="X1425" i="1"/>
  <c r="Y1425" i="1"/>
  <c r="Z1425" i="1"/>
  <c r="AA1425" i="1"/>
  <c r="AB1425" i="1"/>
  <c r="V1426" i="1"/>
  <c r="W1426" i="1"/>
  <c r="X1426" i="1"/>
  <c r="Y1426" i="1"/>
  <c r="Z1426" i="1"/>
  <c r="AA1426" i="1"/>
  <c r="AB1426" i="1"/>
  <c r="V1427" i="1"/>
  <c r="W1427" i="1"/>
  <c r="X1427" i="1"/>
  <c r="Y1427" i="1"/>
  <c r="Z1427" i="1"/>
  <c r="AA1427" i="1"/>
  <c r="AB1427" i="1"/>
  <c r="V1428" i="1"/>
  <c r="W1428" i="1"/>
  <c r="X1428" i="1"/>
  <c r="Y1428" i="1"/>
  <c r="Z1428" i="1"/>
  <c r="AA1428" i="1"/>
  <c r="AB1428" i="1"/>
  <c r="V1429" i="1"/>
  <c r="W1429" i="1"/>
  <c r="X1429" i="1"/>
  <c r="Y1429" i="1"/>
  <c r="Z1429" i="1"/>
  <c r="AA1429" i="1"/>
  <c r="AB1429" i="1"/>
  <c r="V1430" i="1"/>
  <c r="W1430" i="1"/>
  <c r="X1430" i="1"/>
  <c r="Y1430" i="1"/>
  <c r="Z1430" i="1"/>
  <c r="AA1430" i="1"/>
  <c r="AB1430" i="1"/>
  <c r="V1431" i="1"/>
  <c r="W1431" i="1"/>
  <c r="X1431" i="1"/>
  <c r="Y1431" i="1"/>
  <c r="Z1431" i="1"/>
  <c r="AA1431" i="1"/>
  <c r="AB1431" i="1"/>
  <c r="V1432" i="1"/>
  <c r="W1432" i="1"/>
  <c r="X1432" i="1"/>
  <c r="Y1432" i="1"/>
  <c r="Z1432" i="1"/>
  <c r="AA1432" i="1"/>
  <c r="AB1432" i="1"/>
  <c r="V1433" i="1"/>
  <c r="W1433" i="1"/>
  <c r="X1433" i="1"/>
  <c r="Y1433" i="1"/>
  <c r="Z1433" i="1"/>
  <c r="AA1433" i="1"/>
  <c r="AB1433" i="1"/>
  <c r="V1434" i="1"/>
  <c r="W1434" i="1"/>
  <c r="X1434" i="1"/>
  <c r="Y1434" i="1"/>
  <c r="Z1434" i="1"/>
  <c r="AA1434" i="1"/>
  <c r="AB1434" i="1"/>
  <c r="V1435" i="1"/>
  <c r="W1435" i="1"/>
  <c r="X1435" i="1"/>
  <c r="Y1435" i="1"/>
  <c r="Z1435" i="1"/>
  <c r="AA1435" i="1"/>
  <c r="AB1435" i="1"/>
  <c r="V1436" i="1"/>
  <c r="W1436" i="1"/>
  <c r="X1436" i="1"/>
  <c r="Y1436" i="1"/>
  <c r="Z1436" i="1"/>
  <c r="AA1436" i="1"/>
  <c r="AB1436" i="1"/>
  <c r="V1437" i="1"/>
  <c r="W1437" i="1"/>
  <c r="X1437" i="1"/>
  <c r="Y1437" i="1"/>
  <c r="Z1437" i="1"/>
  <c r="AA1437" i="1"/>
  <c r="AB1437" i="1"/>
  <c r="V1438" i="1"/>
  <c r="W1438" i="1"/>
  <c r="X1438" i="1"/>
  <c r="Y1438" i="1"/>
  <c r="Z1438" i="1"/>
  <c r="AA1438" i="1"/>
  <c r="AB1438" i="1"/>
  <c r="V1439" i="1"/>
  <c r="W1439" i="1"/>
  <c r="X1439" i="1"/>
  <c r="Y1439" i="1"/>
  <c r="Z1439" i="1"/>
  <c r="AA1439" i="1"/>
  <c r="AB1439" i="1"/>
  <c r="V1440" i="1"/>
  <c r="W1440" i="1"/>
  <c r="X1440" i="1"/>
  <c r="Y1440" i="1"/>
  <c r="Z1440" i="1"/>
  <c r="AA1440" i="1"/>
  <c r="AB1440" i="1"/>
  <c r="V1441" i="1"/>
  <c r="W1441" i="1"/>
  <c r="X1441" i="1"/>
  <c r="Y1441" i="1"/>
  <c r="Z1441" i="1"/>
  <c r="AA1441" i="1"/>
  <c r="AB1441" i="1"/>
  <c r="V1442" i="1"/>
  <c r="W1442" i="1"/>
  <c r="X1442" i="1"/>
  <c r="Y1442" i="1"/>
  <c r="Z1442" i="1"/>
  <c r="AA1442" i="1"/>
  <c r="AB1442" i="1"/>
  <c r="V1443" i="1"/>
  <c r="W1443" i="1"/>
  <c r="X1443" i="1"/>
  <c r="Y1443" i="1"/>
  <c r="Z1443" i="1"/>
  <c r="AA1443" i="1"/>
  <c r="AB1443" i="1"/>
  <c r="V1444" i="1"/>
  <c r="W1444" i="1"/>
  <c r="X1444" i="1"/>
  <c r="Y1444" i="1"/>
  <c r="Z1444" i="1"/>
  <c r="AA1444" i="1"/>
  <c r="AB1444" i="1"/>
  <c r="V1445" i="1"/>
  <c r="W1445" i="1"/>
  <c r="X1445" i="1"/>
  <c r="Y1445" i="1"/>
  <c r="Z1445" i="1"/>
  <c r="AA1445" i="1"/>
  <c r="AB1445" i="1"/>
  <c r="V1446" i="1"/>
  <c r="W1446" i="1"/>
  <c r="X1446" i="1"/>
  <c r="Y1446" i="1"/>
  <c r="Z1446" i="1"/>
  <c r="AA1446" i="1"/>
  <c r="AB1446" i="1"/>
  <c r="V1447" i="1"/>
  <c r="W1447" i="1"/>
  <c r="X1447" i="1"/>
  <c r="Y1447" i="1"/>
  <c r="Z1447" i="1"/>
  <c r="AA1447" i="1"/>
  <c r="AB1447" i="1"/>
  <c r="V1448" i="1"/>
  <c r="W1448" i="1"/>
  <c r="X1448" i="1"/>
  <c r="Y1448" i="1"/>
  <c r="Z1448" i="1"/>
  <c r="AA1448" i="1"/>
  <c r="AB1448" i="1"/>
  <c r="V1449" i="1"/>
  <c r="W1449" i="1"/>
  <c r="X1449" i="1"/>
  <c r="Y1449" i="1"/>
  <c r="Z1449" i="1"/>
  <c r="AA1449" i="1"/>
  <c r="AB1449" i="1"/>
  <c r="V1450" i="1"/>
  <c r="W1450" i="1"/>
  <c r="X1450" i="1"/>
  <c r="Y1450" i="1"/>
  <c r="Z1450" i="1"/>
  <c r="AA1450" i="1"/>
  <c r="AB1450" i="1"/>
  <c r="V1451" i="1"/>
  <c r="W1451" i="1"/>
  <c r="X1451" i="1"/>
  <c r="Y1451" i="1"/>
  <c r="Z1451" i="1"/>
  <c r="AA1451" i="1"/>
  <c r="AB1451" i="1"/>
  <c r="V1452" i="1"/>
  <c r="W1452" i="1"/>
  <c r="X1452" i="1"/>
  <c r="Y1452" i="1"/>
  <c r="Z1452" i="1"/>
  <c r="AA1452" i="1"/>
  <c r="AB1452" i="1"/>
  <c r="V1453" i="1"/>
  <c r="W1453" i="1"/>
  <c r="X1453" i="1"/>
  <c r="Y1453" i="1"/>
  <c r="Z1453" i="1"/>
  <c r="AA1453" i="1"/>
  <c r="AB1453" i="1"/>
  <c r="W18" i="1"/>
  <c r="X18" i="1"/>
  <c r="Y18" i="1"/>
  <c r="Z18" i="1"/>
  <c r="AA18" i="1"/>
  <c r="AB18" i="1"/>
  <c r="V18" i="1"/>
  <c r="O18" i="1"/>
  <c r="O19" i="1"/>
  <c r="P19" i="1"/>
  <c r="Q19" i="1"/>
  <c r="R19" i="1"/>
  <c r="S19" i="1"/>
  <c r="T19" i="1"/>
  <c r="U19" i="1"/>
  <c r="O20" i="1"/>
  <c r="P20" i="1"/>
  <c r="Q20" i="1"/>
  <c r="R20" i="1"/>
  <c r="S20" i="1"/>
  <c r="T20" i="1"/>
  <c r="U20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3" i="1"/>
  <c r="P23" i="1"/>
  <c r="Q23" i="1"/>
  <c r="R23" i="1"/>
  <c r="S23" i="1"/>
  <c r="T23" i="1"/>
  <c r="U23" i="1"/>
  <c r="O24" i="1"/>
  <c r="P24" i="1"/>
  <c r="Q24" i="1"/>
  <c r="R24" i="1"/>
  <c r="S24" i="1"/>
  <c r="T24" i="1"/>
  <c r="U24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7" i="1"/>
  <c r="P27" i="1"/>
  <c r="Q27" i="1"/>
  <c r="R27" i="1"/>
  <c r="S27" i="1"/>
  <c r="T27" i="1"/>
  <c r="U27" i="1"/>
  <c r="O28" i="1"/>
  <c r="P28" i="1"/>
  <c r="Q28" i="1"/>
  <c r="R28" i="1"/>
  <c r="S28" i="1"/>
  <c r="T28" i="1"/>
  <c r="U28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1" i="1"/>
  <c r="P31" i="1"/>
  <c r="Q31" i="1"/>
  <c r="R31" i="1"/>
  <c r="S31" i="1"/>
  <c r="T31" i="1"/>
  <c r="U31" i="1"/>
  <c r="O32" i="1"/>
  <c r="P32" i="1"/>
  <c r="Q32" i="1"/>
  <c r="R32" i="1"/>
  <c r="S32" i="1"/>
  <c r="T32" i="1"/>
  <c r="U32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5" i="1"/>
  <c r="P35" i="1"/>
  <c r="Q35" i="1"/>
  <c r="R35" i="1"/>
  <c r="S35" i="1"/>
  <c r="T35" i="1"/>
  <c r="U35" i="1"/>
  <c r="O36" i="1"/>
  <c r="P36" i="1"/>
  <c r="Q36" i="1"/>
  <c r="R36" i="1"/>
  <c r="S36" i="1"/>
  <c r="T36" i="1"/>
  <c r="U36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39" i="1"/>
  <c r="P39" i="1"/>
  <c r="Q39" i="1"/>
  <c r="R39" i="1"/>
  <c r="S39" i="1"/>
  <c r="T39" i="1"/>
  <c r="U39" i="1"/>
  <c r="O40" i="1"/>
  <c r="P40" i="1"/>
  <c r="Q40" i="1"/>
  <c r="R40" i="1"/>
  <c r="S40" i="1"/>
  <c r="T40" i="1"/>
  <c r="U40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3" i="1"/>
  <c r="P43" i="1"/>
  <c r="Q43" i="1"/>
  <c r="R43" i="1"/>
  <c r="S43" i="1"/>
  <c r="T43" i="1"/>
  <c r="U43" i="1"/>
  <c r="O44" i="1"/>
  <c r="P44" i="1"/>
  <c r="Q44" i="1"/>
  <c r="R44" i="1"/>
  <c r="S44" i="1"/>
  <c r="T44" i="1"/>
  <c r="U44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7" i="1"/>
  <c r="P47" i="1"/>
  <c r="Q47" i="1"/>
  <c r="R47" i="1"/>
  <c r="S47" i="1"/>
  <c r="T47" i="1"/>
  <c r="U47" i="1"/>
  <c r="O48" i="1"/>
  <c r="P48" i="1"/>
  <c r="Q48" i="1"/>
  <c r="R48" i="1"/>
  <c r="S48" i="1"/>
  <c r="T48" i="1"/>
  <c r="U48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1" i="1"/>
  <c r="P51" i="1"/>
  <c r="Q51" i="1"/>
  <c r="R51" i="1"/>
  <c r="S51" i="1"/>
  <c r="T51" i="1"/>
  <c r="U51" i="1"/>
  <c r="O52" i="1"/>
  <c r="P52" i="1"/>
  <c r="Q52" i="1"/>
  <c r="R52" i="1"/>
  <c r="S52" i="1"/>
  <c r="T52" i="1"/>
  <c r="U52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5" i="1"/>
  <c r="P55" i="1"/>
  <c r="Q55" i="1"/>
  <c r="R55" i="1"/>
  <c r="S55" i="1"/>
  <c r="T55" i="1"/>
  <c r="U55" i="1"/>
  <c r="O56" i="1"/>
  <c r="P56" i="1"/>
  <c r="Q56" i="1"/>
  <c r="R56" i="1"/>
  <c r="S56" i="1"/>
  <c r="T56" i="1"/>
  <c r="U56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59" i="1"/>
  <c r="P59" i="1"/>
  <c r="Q59" i="1"/>
  <c r="R59" i="1"/>
  <c r="S59" i="1"/>
  <c r="T59" i="1"/>
  <c r="U59" i="1"/>
  <c r="O60" i="1"/>
  <c r="P60" i="1"/>
  <c r="Q60" i="1"/>
  <c r="R60" i="1"/>
  <c r="S60" i="1"/>
  <c r="T60" i="1"/>
  <c r="U60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3" i="1"/>
  <c r="P63" i="1"/>
  <c r="Q63" i="1"/>
  <c r="R63" i="1"/>
  <c r="S63" i="1"/>
  <c r="T63" i="1"/>
  <c r="U63" i="1"/>
  <c r="O64" i="1"/>
  <c r="P64" i="1"/>
  <c r="Q64" i="1"/>
  <c r="R64" i="1"/>
  <c r="S64" i="1"/>
  <c r="T64" i="1"/>
  <c r="U64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7" i="1"/>
  <c r="P67" i="1"/>
  <c r="Q67" i="1"/>
  <c r="R67" i="1"/>
  <c r="S67" i="1"/>
  <c r="T67" i="1"/>
  <c r="U67" i="1"/>
  <c r="O68" i="1"/>
  <c r="P68" i="1"/>
  <c r="Q68" i="1"/>
  <c r="R68" i="1"/>
  <c r="S68" i="1"/>
  <c r="T68" i="1"/>
  <c r="U68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1" i="1"/>
  <c r="P71" i="1"/>
  <c r="Q71" i="1"/>
  <c r="R71" i="1"/>
  <c r="S71" i="1"/>
  <c r="T71" i="1"/>
  <c r="U71" i="1"/>
  <c r="O72" i="1"/>
  <c r="P72" i="1"/>
  <c r="Q72" i="1"/>
  <c r="R72" i="1"/>
  <c r="S72" i="1"/>
  <c r="T72" i="1"/>
  <c r="U72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5" i="1"/>
  <c r="P75" i="1"/>
  <c r="Q75" i="1"/>
  <c r="R75" i="1"/>
  <c r="S75" i="1"/>
  <c r="T75" i="1"/>
  <c r="U75" i="1"/>
  <c r="O76" i="1"/>
  <c r="P76" i="1"/>
  <c r="Q76" i="1"/>
  <c r="R76" i="1"/>
  <c r="S76" i="1"/>
  <c r="T76" i="1"/>
  <c r="U76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79" i="1"/>
  <c r="P79" i="1"/>
  <c r="Q79" i="1"/>
  <c r="R79" i="1"/>
  <c r="S79" i="1"/>
  <c r="T79" i="1"/>
  <c r="U79" i="1"/>
  <c r="O80" i="1"/>
  <c r="P80" i="1"/>
  <c r="Q80" i="1"/>
  <c r="R80" i="1"/>
  <c r="S80" i="1"/>
  <c r="T80" i="1"/>
  <c r="U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3" i="1"/>
  <c r="P83" i="1"/>
  <c r="Q83" i="1"/>
  <c r="R83" i="1"/>
  <c r="S83" i="1"/>
  <c r="T83" i="1"/>
  <c r="U83" i="1"/>
  <c r="O84" i="1"/>
  <c r="P84" i="1"/>
  <c r="Q84" i="1"/>
  <c r="R84" i="1"/>
  <c r="S84" i="1"/>
  <c r="T84" i="1"/>
  <c r="U84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7" i="1"/>
  <c r="P87" i="1"/>
  <c r="Q87" i="1"/>
  <c r="R87" i="1"/>
  <c r="S87" i="1"/>
  <c r="T87" i="1"/>
  <c r="U87" i="1"/>
  <c r="O88" i="1"/>
  <c r="P88" i="1"/>
  <c r="Q88" i="1"/>
  <c r="R88" i="1"/>
  <c r="S88" i="1"/>
  <c r="T88" i="1"/>
  <c r="U88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1" i="1"/>
  <c r="P91" i="1"/>
  <c r="Q91" i="1"/>
  <c r="R91" i="1"/>
  <c r="S91" i="1"/>
  <c r="T91" i="1"/>
  <c r="U91" i="1"/>
  <c r="O92" i="1"/>
  <c r="P92" i="1"/>
  <c r="Q92" i="1"/>
  <c r="R92" i="1"/>
  <c r="S92" i="1"/>
  <c r="T92" i="1"/>
  <c r="U92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5" i="1"/>
  <c r="P95" i="1"/>
  <c r="Q95" i="1"/>
  <c r="R95" i="1"/>
  <c r="S95" i="1"/>
  <c r="T95" i="1"/>
  <c r="U95" i="1"/>
  <c r="O96" i="1"/>
  <c r="P96" i="1"/>
  <c r="Q96" i="1"/>
  <c r="R96" i="1"/>
  <c r="S96" i="1"/>
  <c r="T96" i="1"/>
  <c r="U96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99" i="1"/>
  <c r="P99" i="1"/>
  <c r="Q99" i="1"/>
  <c r="R99" i="1"/>
  <c r="S99" i="1"/>
  <c r="T99" i="1"/>
  <c r="U99" i="1"/>
  <c r="O100" i="1"/>
  <c r="P100" i="1"/>
  <c r="Q100" i="1"/>
  <c r="R100" i="1"/>
  <c r="S100" i="1"/>
  <c r="T100" i="1"/>
  <c r="U100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3" i="1"/>
  <c r="P103" i="1"/>
  <c r="Q103" i="1"/>
  <c r="R103" i="1"/>
  <c r="S103" i="1"/>
  <c r="T103" i="1"/>
  <c r="U103" i="1"/>
  <c r="O104" i="1"/>
  <c r="P104" i="1"/>
  <c r="Q104" i="1"/>
  <c r="R104" i="1"/>
  <c r="S104" i="1"/>
  <c r="T104" i="1"/>
  <c r="U104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7" i="1"/>
  <c r="P107" i="1"/>
  <c r="Q107" i="1"/>
  <c r="R107" i="1"/>
  <c r="S107" i="1"/>
  <c r="T107" i="1"/>
  <c r="U107" i="1"/>
  <c r="O108" i="1"/>
  <c r="P108" i="1"/>
  <c r="Q108" i="1"/>
  <c r="R108" i="1"/>
  <c r="S108" i="1"/>
  <c r="T108" i="1"/>
  <c r="U108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1" i="1"/>
  <c r="P111" i="1"/>
  <c r="Q111" i="1"/>
  <c r="R111" i="1"/>
  <c r="S111" i="1"/>
  <c r="T111" i="1"/>
  <c r="U111" i="1"/>
  <c r="O112" i="1"/>
  <c r="P112" i="1"/>
  <c r="Q112" i="1"/>
  <c r="R112" i="1"/>
  <c r="S112" i="1"/>
  <c r="T112" i="1"/>
  <c r="U112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5" i="1"/>
  <c r="P115" i="1"/>
  <c r="Q115" i="1"/>
  <c r="R115" i="1"/>
  <c r="S115" i="1"/>
  <c r="T115" i="1"/>
  <c r="U115" i="1"/>
  <c r="O116" i="1"/>
  <c r="P116" i="1"/>
  <c r="Q116" i="1"/>
  <c r="R116" i="1"/>
  <c r="S116" i="1"/>
  <c r="T116" i="1"/>
  <c r="U116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19" i="1"/>
  <c r="P119" i="1"/>
  <c r="Q119" i="1"/>
  <c r="R119" i="1"/>
  <c r="S119" i="1"/>
  <c r="T119" i="1"/>
  <c r="U119" i="1"/>
  <c r="O120" i="1"/>
  <c r="P120" i="1"/>
  <c r="Q120" i="1"/>
  <c r="R120" i="1"/>
  <c r="S120" i="1"/>
  <c r="T120" i="1"/>
  <c r="U120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3" i="1"/>
  <c r="P123" i="1"/>
  <c r="Q123" i="1"/>
  <c r="R123" i="1"/>
  <c r="S123" i="1"/>
  <c r="T123" i="1"/>
  <c r="U123" i="1"/>
  <c r="O124" i="1"/>
  <c r="P124" i="1"/>
  <c r="Q124" i="1"/>
  <c r="R124" i="1"/>
  <c r="S124" i="1"/>
  <c r="T124" i="1"/>
  <c r="U124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7" i="1"/>
  <c r="P127" i="1"/>
  <c r="Q127" i="1"/>
  <c r="R127" i="1"/>
  <c r="S127" i="1"/>
  <c r="T127" i="1"/>
  <c r="U127" i="1"/>
  <c r="O128" i="1"/>
  <c r="P128" i="1"/>
  <c r="Q128" i="1"/>
  <c r="R128" i="1"/>
  <c r="S128" i="1"/>
  <c r="T128" i="1"/>
  <c r="U128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1" i="1"/>
  <c r="P131" i="1"/>
  <c r="Q131" i="1"/>
  <c r="R131" i="1"/>
  <c r="S131" i="1"/>
  <c r="T131" i="1"/>
  <c r="U131" i="1"/>
  <c r="O132" i="1"/>
  <c r="P132" i="1"/>
  <c r="Q132" i="1"/>
  <c r="R132" i="1"/>
  <c r="S132" i="1"/>
  <c r="T132" i="1"/>
  <c r="U132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5" i="1"/>
  <c r="P135" i="1"/>
  <c r="Q135" i="1"/>
  <c r="R135" i="1"/>
  <c r="S135" i="1"/>
  <c r="T135" i="1"/>
  <c r="U135" i="1"/>
  <c r="O136" i="1"/>
  <c r="P136" i="1"/>
  <c r="Q136" i="1"/>
  <c r="R136" i="1"/>
  <c r="S136" i="1"/>
  <c r="T136" i="1"/>
  <c r="U136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39" i="1"/>
  <c r="P139" i="1"/>
  <c r="Q139" i="1"/>
  <c r="R139" i="1"/>
  <c r="S139" i="1"/>
  <c r="T139" i="1"/>
  <c r="U139" i="1"/>
  <c r="O140" i="1"/>
  <c r="P140" i="1"/>
  <c r="Q140" i="1"/>
  <c r="R140" i="1"/>
  <c r="S140" i="1"/>
  <c r="T140" i="1"/>
  <c r="U140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3" i="1"/>
  <c r="P143" i="1"/>
  <c r="Q143" i="1"/>
  <c r="R143" i="1"/>
  <c r="S143" i="1"/>
  <c r="T143" i="1"/>
  <c r="U143" i="1"/>
  <c r="O144" i="1"/>
  <c r="P144" i="1"/>
  <c r="Q144" i="1"/>
  <c r="R144" i="1"/>
  <c r="S144" i="1"/>
  <c r="T144" i="1"/>
  <c r="U144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7" i="1"/>
  <c r="P147" i="1"/>
  <c r="Q147" i="1"/>
  <c r="R147" i="1"/>
  <c r="S147" i="1"/>
  <c r="T147" i="1"/>
  <c r="U147" i="1"/>
  <c r="O148" i="1"/>
  <c r="P148" i="1"/>
  <c r="Q148" i="1"/>
  <c r="R148" i="1"/>
  <c r="S148" i="1"/>
  <c r="T148" i="1"/>
  <c r="U148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1" i="1"/>
  <c r="P151" i="1"/>
  <c r="Q151" i="1"/>
  <c r="R151" i="1"/>
  <c r="S151" i="1"/>
  <c r="T151" i="1"/>
  <c r="U151" i="1"/>
  <c r="O152" i="1"/>
  <c r="P152" i="1"/>
  <c r="Q152" i="1"/>
  <c r="R152" i="1"/>
  <c r="S152" i="1"/>
  <c r="T152" i="1"/>
  <c r="U152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5" i="1"/>
  <c r="P155" i="1"/>
  <c r="Q155" i="1"/>
  <c r="R155" i="1"/>
  <c r="S155" i="1"/>
  <c r="T155" i="1"/>
  <c r="U155" i="1"/>
  <c r="O156" i="1"/>
  <c r="P156" i="1"/>
  <c r="Q156" i="1"/>
  <c r="R156" i="1"/>
  <c r="S156" i="1"/>
  <c r="T156" i="1"/>
  <c r="U156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59" i="1"/>
  <c r="P159" i="1"/>
  <c r="Q159" i="1"/>
  <c r="R159" i="1"/>
  <c r="S159" i="1"/>
  <c r="T159" i="1"/>
  <c r="U159" i="1"/>
  <c r="O160" i="1"/>
  <c r="P160" i="1"/>
  <c r="Q160" i="1"/>
  <c r="R160" i="1"/>
  <c r="S160" i="1"/>
  <c r="T160" i="1"/>
  <c r="U160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3" i="1"/>
  <c r="P163" i="1"/>
  <c r="Q163" i="1"/>
  <c r="R163" i="1"/>
  <c r="S163" i="1"/>
  <c r="T163" i="1"/>
  <c r="U163" i="1"/>
  <c r="O164" i="1"/>
  <c r="P164" i="1"/>
  <c r="Q164" i="1"/>
  <c r="R164" i="1"/>
  <c r="S164" i="1"/>
  <c r="T164" i="1"/>
  <c r="U164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7" i="1"/>
  <c r="P167" i="1"/>
  <c r="Q167" i="1"/>
  <c r="R167" i="1"/>
  <c r="S167" i="1"/>
  <c r="T167" i="1"/>
  <c r="U167" i="1"/>
  <c r="O168" i="1"/>
  <c r="P168" i="1"/>
  <c r="Q168" i="1"/>
  <c r="R168" i="1"/>
  <c r="S168" i="1"/>
  <c r="T168" i="1"/>
  <c r="U168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1" i="1"/>
  <c r="P171" i="1"/>
  <c r="Q171" i="1"/>
  <c r="R171" i="1"/>
  <c r="S171" i="1"/>
  <c r="T171" i="1"/>
  <c r="U171" i="1"/>
  <c r="O172" i="1"/>
  <c r="P172" i="1"/>
  <c r="Q172" i="1"/>
  <c r="R172" i="1"/>
  <c r="S172" i="1"/>
  <c r="T172" i="1"/>
  <c r="U172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5" i="1"/>
  <c r="P175" i="1"/>
  <c r="Q175" i="1"/>
  <c r="R175" i="1"/>
  <c r="S175" i="1"/>
  <c r="T175" i="1"/>
  <c r="U175" i="1"/>
  <c r="O176" i="1"/>
  <c r="P176" i="1"/>
  <c r="Q176" i="1"/>
  <c r="R176" i="1"/>
  <c r="S176" i="1"/>
  <c r="T176" i="1"/>
  <c r="U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79" i="1"/>
  <c r="P179" i="1"/>
  <c r="Q179" i="1"/>
  <c r="R179" i="1"/>
  <c r="S179" i="1"/>
  <c r="T179" i="1"/>
  <c r="U179" i="1"/>
  <c r="O180" i="1"/>
  <c r="P180" i="1"/>
  <c r="Q180" i="1"/>
  <c r="R180" i="1"/>
  <c r="S180" i="1"/>
  <c r="T180" i="1"/>
  <c r="U180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3" i="1"/>
  <c r="P183" i="1"/>
  <c r="Q183" i="1"/>
  <c r="R183" i="1"/>
  <c r="S183" i="1"/>
  <c r="T183" i="1"/>
  <c r="U183" i="1"/>
  <c r="O184" i="1"/>
  <c r="P184" i="1"/>
  <c r="Q184" i="1"/>
  <c r="R184" i="1"/>
  <c r="S184" i="1"/>
  <c r="T184" i="1"/>
  <c r="U184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7" i="1"/>
  <c r="P187" i="1"/>
  <c r="Q187" i="1"/>
  <c r="R187" i="1"/>
  <c r="S187" i="1"/>
  <c r="T187" i="1"/>
  <c r="U187" i="1"/>
  <c r="O188" i="1"/>
  <c r="P188" i="1"/>
  <c r="Q188" i="1"/>
  <c r="R188" i="1"/>
  <c r="S188" i="1"/>
  <c r="T188" i="1"/>
  <c r="U188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1" i="1"/>
  <c r="P191" i="1"/>
  <c r="Q191" i="1"/>
  <c r="R191" i="1"/>
  <c r="S191" i="1"/>
  <c r="T191" i="1"/>
  <c r="U191" i="1"/>
  <c r="O192" i="1"/>
  <c r="P192" i="1"/>
  <c r="Q192" i="1"/>
  <c r="R192" i="1"/>
  <c r="S192" i="1"/>
  <c r="T192" i="1"/>
  <c r="U192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5" i="1"/>
  <c r="P195" i="1"/>
  <c r="Q195" i="1"/>
  <c r="R195" i="1"/>
  <c r="S195" i="1"/>
  <c r="T195" i="1"/>
  <c r="U195" i="1"/>
  <c r="O196" i="1"/>
  <c r="P196" i="1"/>
  <c r="Q196" i="1"/>
  <c r="R196" i="1"/>
  <c r="S196" i="1"/>
  <c r="T196" i="1"/>
  <c r="U196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199" i="1"/>
  <c r="P199" i="1"/>
  <c r="Q199" i="1"/>
  <c r="R199" i="1"/>
  <c r="S199" i="1"/>
  <c r="T199" i="1"/>
  <c r="U199" i="1"/>
  <c r="O200" i="1"/>
  <c r="P200" i="1"/>
  <c r="Q200" i="1"/>
  <c r="R200" i="1"/>
  <c r="S200" i="1"/>
  <c r="T200" i="1"/>
  <c r="U200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3" i="1"/>
  <c r="P203" i="1"/>
  <c r="Q203" i="1"/>
  <c r="R203" i="1"/>
  <c r="S203" i="1"/>
  <c r="T203" i="1"/>
  <c r="U203" i="1"/>
  <c r="O204" i="1"/>
  <c r="P204" i="1"/>
  <c r="Q204" i="1"/>
  <c r="R204" i="1"/>
  <c r="S204" i="1"/>
  <c r="T204" i="1"/>
  <c r="U204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7" i="1"/>
  <c r="P207" i="1"/>
  <c r="Q207" i="1"/>
  <c r="R207" i="1"/>
  <c r="S207" i="1"/>
  <c r="T207" i="1"/>
  <c r="U207" i="1"/>
  <c r="O208" i="1"/>
  <c r="P208" i="1"/>
  <c r="Q208" i="1"/>
  <c r="R208" i="1"/>
  <c r="S208" i="1"/>
  <c r="T208" i="1"/>
  <c r="U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1" i="1"/>
  <c r="P211" i="1"/>
  <c r="Q211" i="1"/>
  <c r="R211" i="1"/>
  <c r="S211" i="1"/>
  <c r="T211" i="1"/>
  <c r="U211" i="1"/>
  <c r="O212" i="1"/>
  <c r="P212" i="1"/>
  <c r="Q212" i="1"/>
  <c r="R212" i="1"/>
  <c r="S212" i="1"/>
  <c r="T212" i="1"/>
  <c r="U212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5" i="1"/>
  <c r="P215" i="1"/>
  <c r="Q215" i="1"/>
  <c r="R215" i="1"/>
  <c r="S215" i="1"/>
  <c r="T215" i="1"/>
  <c r="U215" i="1"/>
  <c r="O216" i="1"/>
  <c r="P216" i="1"/>
  <c r="Q216" i="1"/>
  <c r="R216" i="1"/>
  <c r="S216" i="1"/>
  <c r="T216" i="1"/>
  <c r="U216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19" i="1"/>
  <c r="P219" i="1"/>
  <c r="Q219" i="1"/>
  <c r="R219" i="1"/>
  <c r="S219" i="1"/>
  <c r="T219" i="1"/>
  <c r="U219" i="1"/>
  <c r="O220" i="1"/>
  <c r="P220" i="1"/>
  <c r="Q220" i="1"/>
  <c r="R220" i="1"/>
  <c r="S220" i="1"/>
  <c r="T220" i="1"/>
  <c r="U220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3" i="1"/>
  <c r="P223" i="1"/>
  <c r="Q223" i="1"/>
  <c r="R223" i="1"/>
  <c r="S223" i="1"/>
  <c r="T223" i="1"/>
  <c r="U223" i="1"/>
  <c r="O224" i="1"/>
  <c r="P224" i="1"/>
  <c r="Q224" i="1"/>
  <c r="R224" i="1"/>
  <c r="S224" i="1"/>
  <c r="T224" i="1"/>
  <c r="U224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7" i="1"/>
  <c r="P227" i="1"/>
  <c r="Q227" i="1"/>
  <c r="R227" i="1"/>
  <c r="S227" i="1"/>
  <c r="T227" i="1"/>
  <c r="U227" i="1"/>
  <c r="O228" i="1"/>
  <c r="P228" i="1"/>
  <c r="Q228" i="1"/>
  <c r="R228" i="1"/>
  <c r="S228" i="1"/>
  <c r="T228" i="1"/>
  <c r="U228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1" i="1"/>
  <c r="P231" i="1"/>
  <c r="Q231" i="1"/>
  <c r="R231" i="1"/>
  <c r="S231" i="1"/>
  <c r="T231" i="1"/>
  <c r="U231" i="1"/>
  <c r="O232" i="1"/>
  <c r="P232" i="1"/>
  <c r="Q232" i="1"/>
  <c r="R232" i="1"/>
  <c r="S232" i="1"/>
  <c r="T232" i="1"/>
  <c r="U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5" i="1"/>
  <c r="P235" i="1"/>
  <c r="Q235" i="1"/>
  <c r="R235" i="1"/>
  <c r="S235" i="1"/>
  <c r="T235" i="1"/>
  <c r="U235" i="1"/>
  <c r="O236" i="1"/>
  <c r="P236" i="1"/>
  <c r="Q236" i="1"/>
  <c r="R236" i="1"/>
  <c r="S236" i="1"/>
  <c r="T236" i="1"/>
  <c r="U236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39" i="1"/>
  <c r="P239" i="1"/>
  <c r="Q239" i="1"/>
  <c r="R239" i="1"/>
  <c r="S239" i="1"/>
  <c r="T239" i="1"/>
  <c r="U239" i="1"/>
  <c r="O240" i="1"/>
  <c r="P240" i="1"/>
  <c r="Q240" i="1"/>
  <c r="R240" i="1"/>
  <c r="S240" i="1"/>
  <c r="T240" i="1"/>
  <c r="U240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3" i="1"/>
  <c r="P243" i="1"/>
  <c r="Q243" i="1"/>
  <c r="R243" i="1"/>
  <c r="S243" i="1"/>
  <c r="T243" i="1"/>
  <c r="U243" i="1"/>
  <c r="O244" i="1"/>
  <c r="P244" i="1"/>
  <c r="Q244" i="1"/>
  <c r="R244" i="1"/>
  <c r="S244" i="1"/>
  <c r="T244" i="1"/>
  <c r="U244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7" i="1"/>
  <c r="P247" i="1"/>
  <c r="Q247" i="1"/>
  <c r="R247" i="1"/>
  <c r="S247" i="1"/>
  <c r="T247" i="1"/>
  <c r="U247" i="1"/>
  <c r="O248" i="1"/>
  <c r="P248" i="1"/>
  <c r="Q248" i="1"/>
  <c r="R248" i="1"/>
  <c r="S248" i="1"/>
  <c r="T248" i="1"/>
  <c r="U248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1" i="1"/>
  <c r="P251" i="1"/>
  <c r="Q251" i="1"/>
  <c r="R251" i="1"/>
  <c r="S251" i="1"/>
  <c r="T251" i="1"/>
  <c r="U251" i="1"/>
  <c r="O252" i="1"/>
  <c r="P252" i="1"/>
  <c r="Q252" i="1"/>
  <c r="R252" i="1"/>
  <c r="S252" i="1"/>
  <c r="T252" i="1"/>
  <c r="U252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5" i="1"/>
  <c r="P255" i="1"/>
  <c r="Q255" i="1"/>
  <c r="R255" i="1"/>
  <c r="S255" i="1"/>
  <c r="T255" i="1"/>
  <c r="U255" i="1"/>
  <c r="O256" i="1"/>
  <c r="P256" i="1"/>
  <c r="Q256" i="1"/>
  <c r="R256" i="1"/>
  <c r="S256" i="1"/>
  <c r="T256" i="1"/>
  <c r="U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59" i="1"/>
  <c r="P259" i="1"/>
  <c r="Q259" i="1"/>
  <c r="R259" i="1"/>
  <c r="S259" i="1"/>
  <c r="T259" i="1"/>
  <c r="U259" i="1"/>
  <c r="O260" i="1"/>
  <c r="P260" i="1"/>
  <c r="Q260" i="1"/>
  <c r="R260" i="1"/>
  <c r="S260" i="1"/>
  <c r="T260" i="1"/>
  <c r="U260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3" i="1"/>
  <c r="P263" i="1"/>
  <c r="Q263" i="1"/>
  <c r="R263" i="1"/>
  <c r="S263" i="1"/>
  <c r="T263" i="1"/>
  <c r="U263" i="1"/>
  <c r="O264" i="1"/>
  <c r="P264" i="1"/>
  <c r="Q264" i="1"/>
  <c r="R264" i="1"/>
  <c r="S264" i="1"/>
  <c r="T264" i="1"/>
  <c r="U264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7" i="1"/>
  <c r="P267" i="1"/>
  <c r="Q267" i="1"/>
  <c r="R267" i="1"/>
  <c r="S267" i="1"/>
  <c r="T267" i="1"/>
  <c r="U267" i="1"/>
  <c r="O268" i="1"/>
  <c r="P268" i="1"/>
  <c r="Q268" i="1"/>
  <c r="R268" i="1"/>
  <c r="S268" i="1"/>
  <c r="T268" i="1"/>
  <c r="U268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1" i="1"/>
  <c r="P271" i="1"/>
  <c r="Q271" i="1"/>
  <c r="R271" i="1"/>
  <c r="S271" i="1"/>
  <c r="T271" i="1"/>
  <c r="U271" i="1"/>
  <c r="O272" i="1"/>
  <c r="P272" i="1"/>
  <c r="Q272" i="1"/>
  <c r="R272" i="1"/>
  <c r="S272" i="1"/>
  <c r="T272" i="1"/>
  <c r="U272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5" i="1"/>
  <c r="P275" i="1"/>
  <c r="Q275" i="1"/>
  <c r="R275" i="1"/>
  <c r="S275" i="1"/>
  <c r="T275" i="1"/>
  <c r="U275" i="1"/>
  <c r="O276" i="1"/>
  <c r="P276" i="1"/>
  <c r="Q276" i="1"/>
  <c r="R276" i="1"/>
  <c r="S276" i="1"/>
  <c r="T276" i="1"/>
  <c r="U276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O279" i="1"/>
  <c r="P279" i="1"/>
  <c r="Q279" i="1"/>
  <c r="R279" i="1"/>
  <c r="S279" i="1"/>
  <c r="T279" i="1"/>
  <c r="U279" i="1"/>
  <c r="O280" i="1"/>
  <c r="P280" i="1"/>
  <c r="Q280" i="1"/>
  <c r="R280" i="1"/>
  <c r="S280" i="1"/>
  <c r="T280" i="1"/>
  <c r="U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3" i="1"/>
  <c r="P283" i="1"/>
  <c r="Q283" i="1"/>
  <c r="R283" i="1"/>
  <c r="S283" i="1"/>
  <c r="T283" i="1"/>
  <c r="U283" i="1"/>
  <c r="O284" i="1"/>
  <c r="P284" i="1"/>
  <c r="Q284" i="1"/>
  <c r="R284" i="1"/>
  <c r="S284" i="1"/>
  <c r="T284" i="1"/>
  <c r="U284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7" i="1"/>
  <c r="P287" i="1"/>
  <c r="Q287" i="1"/>
  <c r="R287" i="1"/>
  <c r="S287" i="1"/>
  <c r="T287" i="1"/>
  <c r="U287" i="1"/>
  <c r="O288" i="1"/>
  <c r="P288" i="1"/>
  <c r="Q288" i="1"/>
  <c r="R288" i="1"/>
  <c r="S288" i="1"/>
  <c r="T288" i="1"/>
  <c r="U288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1" i="1"/>
  <c r="P291" i="1"/>
  <c r="Q291" i="1"/>
  <c r="R291" i="1"/>
  <c r="S291" i="1"/>
  <c r="T291" i="1"/>
  <c r="U291" i="1"/>
  <c r="O292" i="1"/>
  <c r="P292" i="1"/>
  <c r="Q292" i="1"/>
  <c r="R292" i="1"/>
  <c r="S292" i="1"/>
  <c r="T292" i="1"/>
  <c r="U292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5" i="1"/>
  <c r="P295" i="1"/>
  <c r="Q295" i="1"/>
  <c r="R295" i="1"/>
  <c r="S295" i="1"/>
  <c r="T295" i="1"/>
  <c r="U295" i="1"/>
  <c r="O296" i="1"/>
  <c r="P296" i="1"/>
  <c r="Q296" i="1"/>
  <c r="R296" i="1"/>
  <c r="S296" i="1"/>
  <c r="T296" i="1"/>
  <c r="U296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299" i="1"/>
  <c r="P299" i="1"/>
  <c r="Q299" i="1"/>
  <c r="R299" i="1"/>
  <c r="S299" i="1"/>
  <c r="T299" i="1"/>
  <c r="U299" i="1"/>
  <c r="O300" i="1"/>
  <c r="P300" i="1"/>
  <c r="Q300" i="1"/>
  <c r="R300" i="1"/>
  <c r="S300" i="1"/>
  <c r="T300" i="1"/>
  <c r="U300" i="1"/>
  <c r="O301" i="1"/>
  <c r="P301" i="1"/>
  <c r="Q301" i="1"/>
  <c r="R301" i="1"/>
  <c r="S301" i="1"/>
  <c r="T301" i="1"/>
  <c r="U301" i="1"/>
  <c r="O302" i="1"/>
  <c r="P302" i="1"/>
  <c r="Q302" i="1"/>
  <c r="R302" i="1"/>
  <c r="S302" i="1"/>
  <c r="T302" i="1"/>
  <c r="U302" i="1"/>
  <c r="O303" i="1"/>
  <c r="P303" i="1"/>
  <c r="Q303" i="1"/>
  <c r="R303" i="1"/>
  <c r="S303" i="1"/>
  <c r="T303" i="1"/>
  <c r="U303" i="1"/>
  <c r="O304" i="1"/>
  <c r="P304" i="1"/>
  <c r="Q304" i="1"/>
  <c r="R304" i="1"/>
  <c r="S304" i="1"/>
  <c r="T304" i="1"/>
  <c r="U304" i="1"/>
  <c r="O305" i="1"/>
  <c r="P305" i="1"/>
  <c r="Q305" i="1"/>
  <c r="R305" i="1"/>
  <c r="S305" i="1"/>
  <c r="T305" i="1"/>
  <c r="U305" i="1"/>
  <c r="O306" i="1"/>
  <c r="P306" i="1"/>
  <c r="Q306" i="1"/>
  <c r="R306" i="1"/>
  <c r="S306" i="1"/>
  <c r="T306" i="1"/>
  <c r="U306" i="1"/>
  <c r="O307" i="1"/>
  <c r="P307" i="1"/>
  <c r="Q307" i="1"/>
  <c r="R307" i="1"/>
  <c r="S307" i="1"/>
  <c r="T307" i="1"/>
  <c r="U307" i="1"/>
  <c r="O308" i="1"/>
  <c r="P308" i="1"/>
  <c r="Q308" i="1"/>
  <c r="R308" i="1"/>
  <c r="S308" i="1"/>
  <c r="T308" i="1"/>
  <c r="U308" i="1"/>
  <c r="O309" i="1"/>
  <c r="P309" i="1"/>
  <c r="Q309" i="1"/>
  <c r="R309" i="1"/>
  <c r="S309" i="1"/>
  <c r="T309" i="1"/>
  <c r="U309" i="1"/>
  <c r="O310" i="1"/>
  <c r="P310" i="1"/>
  <c r="Q310" i="1"/>
  <c r="R310" i="1"/>
  <c r="S310" i="1"/>
  <c r="T310" i="1"/>
  <c r="U310" i="1"/>
  <c r="O311" i="1"/>
  <c r="P311" i="1"/>
  <c r="Q311" i="1"/>
  <c r="R311" i="1"/>
  <c r="S311" i="1"/>
  <c r="T311" i="1"/>
  <c r="U311" i="1"/>
  <c r="O312" i="1"/>
  <c r="P312" i="1"/>
  <c r="Q312" i="1"/>
  <c r="R312" i="1"/>
  <c r="S312" i="1"/>
  <c r="T312" i="1"/>
  <c r="U312" i="1"/>
  <c r="O313" i="1"/>
  <c r="P313" i="1"/>
  <c r="Q313" i="1"/>
  <c r="R313" i="1"/>
  <c r="S313" i="1"/>
  <c r="T313" i="1"/>
  <c r="U313" i="1"/>
  <c r="O314" i="1"/>
  <c r="P314" i="1"/>
  <c r="Q314" i="1"/>
  <c r="R314" i="1"/>
  <c r="S314" i="1"/>
  <c r="T314" i="1"/>
  <c r="U314" i="1"/>
  <c r="O315" i="1"/>
  <c r="P315" i="1"/>
  <c r="Q315" i="1"/>
  <c r="R315" i="1"/>
  <c r="S315" i="1"/>
  <c r="T315" i="1"/>
  <c r="U315" i="1"/>
  <c r="O316" i="1"/>
  <c r="P316" i="1"/>
  <c r="Q316" i="1"/>
  <c r="R316" i="1"/>
  <c r="S316" i="1"/>
  <c r="T316" i="1"/>
  <c r="U316" i="1"/>
  <c r="O317" i="1"/>
  <c r="P317" i="1"/>
  <c r="Q317" i="1"/>
  <c r="R317" i="1"/>
  <c r="S317" i="1"/>
  <c r="T317" i="1"/>
  <c r="U317" i="1"/>
  <c r="O318" i="1"/>
  <c r="P318" i="1"/>
  <c r="Q318" i="1"/>
  <c r="R318" i="1"/>
  <c r="S318" i="1"/>
  <c r="T318" i="1"/>
  <c r="U318" i="1"/>
  <c r="O319" i="1"/>
  <c r="P319" i="1"/>
  <c r="Q319" i="1"/>
  <c r="R319" i="1"/>
  <c r="S319" i="1"/>
  <c r="T319" i="1"/>
  <c r="U319" i="1"/>
  <c r="O320" i="1"/>
  <c r="P320" i="1"/>
  <c r="Q320" i="1"/>
  <c r="R320" i="1"/>
  <c r="S320" i="1"/>
  <c r="T320" i="1"/>
  <c r="U320" i="1"/>
  <c r="O321" i="1"/>
  <c r="P321" i="1"/>
  <c r="Q321" i="1"/>
  <c r="R321" i="1"/>
  <c r="S321" i="1"/>
  <c r="T321" i="1"/>
  <c r="U321" i="1"/>
  <c r="O322" i="1"/>
  <c r="P322" i="1"/>
  <c r="Q322" i="1"/>
  <c r="R322" i="1"/>
  <c r="S322" i="1"/>
  <c r="T322" i="1"/>
  <c r="U322" i="1"/>
  <c r="O323" i="1"/>
  <c r="P323" i="1"/>
  <c r="Q323" i="1"/>
  <c r="R323" i="1"/>
  <c r="S323" i="1"/>
  <c r="T323" i="1"/>
  <c r="U323" i="1"/>
  <c r="O324" i="1"/>
  <c r="P324" i="1"/>
  <c r="Q324" i="1"/>
  <c r="R324" i="1"/>
  <c r="S324" i="1"/>
  <c r="T324" i="1"/>
  <c r="U324" i="1"/>
  <c r="O325" i="1"/>
  <c r="P325" i="1"/>
  <c r="Q325" i="1"/>
  <c r="R325" i="1"/>
  <c r="S325" i="1"/>
  <c r="T325" i="1"/>
  <c r="U325" i="1"/>
  <c r="O326" i="1"/>
  <c r="P326" i="1"/>
  <c r="Q326" i="1"/>
  <c r="R326" i="1"/>
  <c r="S326" i="1"/>
  <c r="T326" i="1"/>
  <c r="U326" i="1"/>
  <c r="O327" i="1"/>
  <c r="P327" i="1"/>
  <c r="Q327" i="1"/>
  <c r="R327" i="1"/>
  <c r="S327" i="1"/>
  <c r="T327" i="1"/>
  <c r="U327" i="1"/>
  <c r="O328" i="1"/>
  <c r="P328" i="1"/>
  <c r="Q328" i="1"/>
  <c r="R328" i="1"/>
  <c r="S328" i="1"/>
  <c r="T328" i="1"/>
  <c r="U328" i="1"/>
  <c r="O329" i="1"/>
  <c r="P329" i="1"/>
  <c r="Q329" i="1"/>
  <c r="R329" i="1"/>
  <c r="S329" i="1"/>
  <c r="T329" i="1"/>
  <c r="U329" i="1"/>
  <c r="O330" i="1"/>
  <c r="P330" i="1"/>
  <c r="Q330" i="1"/>
  <c r="R330" i="1"/>
  <c r="S330" i="1"/>
  <c r="T330" i="1"/>
  <c r="U330" i="1"/>
  <c r="O331" i="1"/>
  <c r="P331" i="1"/>
  <c r="Q331" i="1"/>
  <c r="R331" i="1"/>
  <c r="S331" i="1"/>
  <c r="T331" i="1"/>
  <c r="U331" i="1"/>
  <c r="O332" i="1"/>
  <c r="P332" i="1"/>
  <c r="Q332" i="1"/>
  <c r="R332" i="1"/>
  <c r="S332" i="1"/>
  <c r="T332" i="1"/>
  <c r="U332" i="1"/>
  <c r="O333" i="1"/>
  <c r="P333" i="1"/>
  <c r="Q333" i="1"/>
  <c r="R333" i="1"/>
  <c r="S333" i="1"/>
  <c r="T333" i="1"/>
  <c r="U333" i="1"/>
  <c r="O334" i="1"/>
  <c r="P334" i="1"/>
  <c r="Q334" i="1"/>
  <c r="R334" i="1"/>
  <c r="S334" i="1"/>
  <c r="T334" i="1"/>
  <c r="U334" i="1"/>
  <c r="O335" i="1"/>
  <c r="P335" i="1"/>
  <c r="Q335" i="1"/>
  <c r="R335" i="1"/>
  <c r="S335" i="1"/>
  <c r="T335" i="1"/>
  <c r="U335" i="1"/>
  <c r="O336" i="1"/>
  <c r="P336" i="1"/>
  <c r="Q336" i="1"/>
  <c r="R336" i="1"/>
  <c r="S336" i="1"/>
  <c r="T336" i="1"/>
  <c r="U336" i="1"/>
  <c r="O337" i="1"/>
  <c r="P337" i="1"/>
  <c r="Q337" i="1"/>
  <c r="R337" i="1"/>
  <c r="S337" i="1"/>
  <c r="T337" i="1"/>
  <c r="U337" i="1"/>
  <c r="O338" i="1"/>
  <c r="P338" i="1"/>
  <c r="Q338" i="1"/>
  <c r="R338" i="1"/>
  <c r="S338" i="1"/>
  <c r="T338" i="1"/>
  <c r="U338" i="1"/>
  <c r="O339" i="1"/>
  <c r="P339" i="1"/>
  <c r="Q339" i="1"/>
  <c r="R339" i="1"/>
  <c r="S339" i="1"/>
  <c r="T339" i="1"/>
  <c r="U339" i="1"/>
  <c r="O340" i="1"/>
  <c r="P340" i="1"/>
  <c r="Q340" i="1"/>
  <c r="R340" i="1"/>
  <c r="S340" i="1"/>
  <c r="T340" i="1"/>
  <c r="U340" i="1"/>
  <c r="O341" i="1"/>
  <c r="P341" i="1"/>
  <c r="Q341" i="1"/>
  <c r="R341" i="1"/>
  <c r="S341" i="1"/>
  <c r="T341" i="1"/>
  <c r="U341" i="1"/>
  <c r="O342" i="1"/>
  <c r="P342" i="1"/>
  <c r="Q342" i="1"/>
  <c r="R342" i="1"/>
  <c r="S342" i="1"/>
  <c r="T342" i="1"/>
  <c r="U342" i="1"/>
  <c r="O343" i="1"/>
  <c r="P343" i="1"/>
  <c r="Q343" i="1"/>
  <c r="R343" i="1"/>
  <c r="S343" i="1"/>
  <c r="T343" i="1"/>
  <c r="U343" i="1"/>
  <c r="O344" i="1"/>
  <c r="P344" i="1"/>
  <c r="Q344" i="1"/>
  <c r="R344" i="1"/>
  <c r="S344" i="1"/>
  <c r="T344" i="1"/>
  <c r="U344" i="1"/>
  <c r="O345" i="1"/>
  <c r="P345" i="1"/>
  <c r="Q345" i="1"/>
  <c r="R345" i="1"/>
  <c r="S345" i="1"/>
  <c r="T345" i="1"/>
  <c r="U345" i="1"/>
  <c r="O346" i="1"/>
  <c r="P346" i="1"/>
  <c r="Q346" i="1"/>
  <c r="R346" i="1"/>
  <c r="S346" i="1"/>
  <c r="T346" i="1"/>
  <c r="U346" i="1"/>
  <c r="O347" i="1"/>
  <c r="P347" i="1"/>
  <c r="Q347" i="1"/>
  <c r="R347" i="1"/>
  <c r="S347" i="1"/>
  <c r="T347" i="1"/>
  <c r="U347" i="1"/>
  <c r="O348" i="1"/>
  <c r="P348" i="1"/>
  <c r="Q348" i="1"/>
  <c r="R348" i="1"/>
  <c r="S348" i="1"/>
  <c r="T348" i="1"/>
  <c r="U348" i="1"/>
  <c r="O349" i="1"/>
  <c r="P349" i="1"/>
  <c r="Q349" i="1"/>
  <c r="R349" i="1"/>
  <c r="S349" i="1"/>
  <c r="T349" i="1"/>
  <c r="U349" i="1"/>
  <c r="O350" i="1"/>
  <c r="P350" i="1"/>
  <c r="Q350" i="1"/>
  <c r="R350" i="1"/>
  <c r="S350" i="1"/>
  <c r="T350" i="1"/>
  <c r="U350" i="1"/>
  <c r="O351" i="1"/>
  <c r="P351" i="1"/>
  <c r="Q351" i="1"/>
  <c r="R351" i="1"/>
  <c r="S351" i="1"/>
  <c r="T351" i="1"/>
  <c r="U351" i="1"/>
  <c r="O352" i="1"/>
  <c r="P352" i="1"/>
  <c r="Q352" i="1"/>
  <c r="R352" i="1"/>
  <c r="S352" i="1"/>
  <c r="T352" i="1"/>
  <c r="U352" i="1"/>
  <c r="O353" i="1"/>
  <c r="P353" i="1"/>
  <c r="Q353" i="1"/>
  <c r="R353" i="1"/>
  <c r="S353" i="1"/>
  <c r="T353" i="1"/>
  <c r="U353" i="1"/>
  <c r="O354" i="1"/>
  <c r="P354" i="1"/>
  <c r="Q354" i="1"/>
  <c r="R354" i="1"/>
  <c r="S354" i="1"/>
  <c r="T354" i="1"/>
  <c r="U354" i="1"/>
  <c r="O355" i="1"/>
  <c r="P355" i="1"/>
  <c r="Q355" i="1"/>
  <c r="R355" i="1"/>
  <c r="S355" i="1"/>
  <c r="T355" i="1"/>
  <c r="U355" i="1"/>
  <c r="O356" i="1"/>
  <c r="P356" i="1"/>
  <c r="Q356" i="1"/>
  <c r="R356" i="1"/>
  <c r="S356" i="1"/>
  <c r="T356" i="1"/>
  <c r="U356" i="1"/>
  <c r="O357" i="1"/>
  <c r="P357" i="1"/>
  <c r="Q357" i="1"/>
  <c r="R357" i="1"/>
  <c r="S357" i="1"/>
  <c r="T357" i="1"/>
  <c r="U357" i="1"/>
  <c r="O358" i="1"/>
  <c r="P358" i="1"/>
  <c r="Q358" i="1"/>
  <c r="R358" i="1"/>
  <c r="S358" i="1"/>
  <c r="T358" i="1"/>
  <c r="U358" i="1"/>
  <c r="O359" i="1"/>
  <c r="P359" i="1"/>
  <c r="Q359" i="1"/>
  <c r="R359" i="1"/>
  <c r="S359" i="1"/>
  <c r="T359" i="1"/>
  <c r="U359" i="1"/>
  <c r="O360" i="1"/>
  <c r="P360" i="1"/>
  <c r="Q360" i="1"/>
  <c r="R360" i="1"/>
  <c r="S360" i="1"/>
  <c r="T360" i="1"/>
  <c r="U360" i="1"/>
  <c r="O361" i="1"/>
  <c r="P361" i="1"/>
  <c r="Q361" i="1"/>
  <c r="R361" i="1"/>
  <c r="S361" i="1"/>
  <c r="T361" i="1"/>
  <c r="U361" i="1"/>
  <c r="O362" i="1"/>
  <c r="P362" i="1"/>
  <c r="Q362" i="1"/>
  <c r="R362" i="1"/>
  <c r="S362" i="1"/>
  <c r="T362" i="1"/>
  <c r="U362" i="1"/>
  <c r="O363" i="1"/>
  <c r="P363" i="1"/>
  <c r="Q363" i="1"/>
  <c r="R363" i="1"/>
  <c r="S363" i="1"/>
  <c r="T363" i="1"/>
  <c r="U363" i="1"/>
  <c r="O364" i="1"/>
  <c r="P364" i="1"/>
  <c r="Q364" i="1"/>
  <c r="R364" i="1"/>
  <c r="S364" i="1"/>
  <c r="T364" i="1"/>
  <c r="U364" i="1"/>
  <c r="O365" i="1"/>
  <c r="P365" i="1"/>
  <c r="Q365" i="1"/>
  <c r="R365" i="1"/>
  <c r="S365" i="1"/>
  <c r="T365" i="1"/>
  <c r="U365" i="1"/>
  <c r="O366" i="1"/>
  <c r="P366" i="1"/>
  <c r="Q366" i="1"/>
  <c r="R366" i="1"/>
  <c r="S366" i="1"/>
  <c r="T366" i="1"/>
  <c r="U366" i="1"/>
  <c r="O367" i="1"/>
  <c r="P367" i="1"/>
  <c r="Q367" i="1"/>
  <c r="R367" i="1"/>
  <c r="S367" i="1"/>
  <c r="T367" i="1"/>
  <c r="U367" i="1"/>
  <c r="O368" i="1"/>
  <c r="P368" i="1"/>
  <c r="Q368" i="1"/>
  <c r="R368" i="1"/>
  <c r="S368" i="1"/>
  <c r="T368" i="1"/>
  <c r="U368" i="1"/>
  <c r="O369" i="1"/>
  <c r="P369" i="1"/>
  <c r="Q369" i="1"/>
  <c r="R369" i="1"/>
  <c r="S369" i="1"/>
  <c r="T369" i="1"/>
  <c r="U369" i="1"/>
  <c r="O370" i="1"/>
  <c r="P370" i="1"/>
  <c r="Q370" i="1"/>
  <c r="R370" i="1"/>
  <c r="S370" i="1"/>
  <c r="T370" i="1"/>
  <c r="U370" i="1"/>
  <c r="O371" i="1"/>
  <c r="P371" i="1"/>
  <c r="Q371" i="1"/>
  <c r="R371" i="1"/>
  <c r="S371" i="1"/>
  <c r="T371" i="1"/>
  <c r="U371" i="1"/>
  <c r="O372" i="1"/>
  <c r="P372" i="1"/>
  <c r="Q372" i="1"/>
  <c r="R372" i="1"/>
  <c r="S372" i="1"/>
  <c r="T372" i="1"/>
  <c r="U372" i="1"/>
  <c r="O373" i="1"/>
  <c r="P373" i="1"/>
  <c r="Q373" i="1"/>
  <c r="R373" i="1"/>
  <c r="S373" i="1"/>
  <c r="T373" i="1"/>
  <c r="U373" i="1"/>
  <c r="O374" i="1"/>
  <c r="P374" i="1"/>
  <c r="Q374" i="1"/>
  <c r="R374" i="1"/>
  <c r="S374" i="1"/>
  <c r="T374" i="1"/>
  <c r="U374" i="1"/>
  <c r="O375" i="1"/>
  <c r="P375" i="1"/>
  <c r="Q375" i="1"/>
  <c r="R375" i="1"/>
  <c r="S375" i="1"/>
  <c r="T375" i="1"/>
  <c r="U375" i="1"/>
  <c r="O376" i="1"/>
  <c r="P376" i="1"/>
  <c r="Q376" i="1"/>
  <c r="R376" i="1"/>
  <c r="S376" i="1"/>
  <c r="T376" i="1"/>
  <c r="U376" i="1"/>
  <c r="O377" i="1"/>
  <c r="P377" i="1"/>
  <c r="Q377" i="1"/>
  <c r="R377" i="1"/>
  <c r="S377" i="1"/>
  <c r="T377" i="1"/>
  <c r="U377" i="1"/>
  <c r="O378" i="1"/>
  <c r="P378" i="1"/>
  <c r="Q378" i="1"/>
  <c r="R378" i="1"/>
  <c r="S378" i="1"/>
  <c r="T378" i="1"/>
  <c r="U378" i="1"/>
  <c r="O379" i="1"/>
  <c r="P379" i="1"/>
  <c r="Q379" i="1"/>
  <c r="R379" i="1"/>
  <c r="S379" i="1"/>
  <c r="T379" i="1"/>
  <c r="U379" i="1"/>
  <c r="O380" i="1"/>
  <c r="P380" i="1"/>
  <c r="Q380" i="1"/>
  <c r="R380" i="1"/>
  <c r="S380" i="1"/>
  <c r="T380" i="1"/>
  <c r="U380" i="1"/>
  <c r="O381" i="1"/>
  <c r="P381" i="1"/>
  <c r="Q381" i="1"/>
  <c r="R381" i="1"/>
  <c r="S381" i="1"/>
  <c r="T381" i="1"/>
  <c r="U381" i="1"/>
  <c r="O382" i="1"/>
  <c r="P382" i="1"/>
  <c r="Q382" i="1"/>
  <c r="R382" i="1"/>
  <c r="S382" i="1"/>
  <c r="T382" i="1"/>
  <c r="U382" i="1"/>
  <c r="O383" i="1"/>
  <c r="P383" i="1"/>
  <c r="Q383" i="1"/>
  <c r="R383" i="1"/>
  <c r="S383" i="1"/>
  <c r="T383" i="1"/>
  <c r="U383" i="1"/>
  <c r="O384" i="1"/>
  <c r="P384" i="1"/>
  <c r="Q384" i="1"/>
  <c r="R384" i="1"/>
  <c r="S384" i="1"/>
  <c r="T384" i="1"/>
  <c r="U384" i="1"/>
  <c r="O385" i="1"/>
  <c r="P385" i="1"/>
  <c r="Q385" i="1"/>
  <c r="R385" i="1"/>
  <c r="S385" i="1"/>
  <c r="T385" i="1"/>
  <c r="U385" i="1"/>
  <c r="O386" i="1"/>
  <c r="P386" i="1"/>
  <c r="Q386" i="1"/>
  <c r="R386" i="1"/>
  <c r="S386" i="1"/>
  <c r="T386" i="1"/>
  <c r="U386" i="1"/>
  <c r="O387" i="1"/>
  <c r="P387" i="1"/>
  <c r="Q387" i="1"/>
  <c r="R387" i="1"/>
  <c r="S387" i="1"/>
  <c r="T387" i="1"/>
  <c r="U387" i="1"/>
  <c r="O388" i="1"/>
  <c r="P388" i="1"/>
  <c r="Q388" i="1"/>
  <c r="R388" i="1"/>
  <c r="S388" i="1"/>
  <c r="T388" i="1"/>
  <c r="U388" i="1"/>
  <c r="O389" i="1"/>
  <c r="P389" i="1"/>
  <c r="Q389" i="1"/>
  <c r="R389" i="1"/>
  <c r="S389" i="1"/>
  <c r="T389" i="1"/>
  <c r="U389" i="1"/>
  <c r="O390" i="1"/>
  <c r="P390" i="1"/>
  <c r="Q390" i="1"/>
  <c r="R390" i="1"/>
  <c r="S390" i="1"/>
  <c r="T390" i="1"/>
  <c r="U390" i="1"/>
  <c r="O391" i="1"/>
  <c r="P391" i="1"/>
  <c r="Q391" i="1"/>
  <c r="R391" i="1"/>
  <c r="S391" i="1"/>
  <c r="T391" i="1"/>
  <c r="U391" i="1"/>
  <c r="O392" i="1"/>
  <c r="P392" i="1"/>
  <c r="Q392" i="1"/>
  <c r="R392" i="1"/>
  <c r="S392" i="1"/>
  <c r="T392" i="1"/>
  <c r="U392" i="1"/>
  <c r="O393" i="1"/>
  <c r="P393" i="1"/>
  <c r="Q393" i="1"/>
  <c r="R393" i="1"/>
  <c r="S393" i="1"/>
  <c r="T393" i="1"/>
  <c r="U393" i="1"/>
  <c r="O394" i="1"/>
  <c r="P394" i="1"/>
  <c r="Q394" i="1"/>
  <c r="R394" i="1"/>
  <c r="S394" i="1"/>
  <c r="T394" i="1"/>
  <c r="U394" i="1"/>
  <c r="O395" i="1"/>
  <c r="P395" i="1"/>
  <c r="Q395" i="1"/>
  <c r="R395" i="1"/>
  <c r="S395" i="1"/>
  <c r="T395" i="1"/>
  <c r="U395" i="1"/>
  <c r="O396" i="1"/>
  <c r="P396" i="1"/>
  <c r="Q396" i="1"/>
  <c r="R396" i="1"/>
  <c r="S396" i="1"/>
  <c r="T396" i="1"/>
  <c r="U396" i="1"/>
  <c r="O397" i="1"/>
  <c r="P397" i="1"/>
  <c r="Q397" i="1"/>
  <c r="R397" i="1"/>
  <c r="S397" i="1"/>
  <c r="T397" i="1"/>
  <c r="U397" i="1"/>
  <c r="O398" i="1"/>
  <c r="P398" i="1"/>
  <c r="Q398" i="1"/>
  <c r="R398" i="1"/>
  <c r="S398" i="1"/>
  <c r="T398" i="1"/>
  <c r="U398" i="1"/>
  <c r="O399" i="1"/>
  <c r="P399" i="1"/>
  <c r="Q399" i="1"/>
  <c r="R399" i="1"/>
  <c r="S399" i="1"/>
  <c r="T399" i="1"/>
  <c r="U399" i="1"/>
  <c r="O400" i="1"/>
  <c r="P400" i="1"/>
  <c r="Q400" i="1"/>
  <c r="R400" i="1"/>
  <c r="S400" i="1"/>
  <c r="T400" i="1"/>
  <c r="U400" i="1"/>
  <c r="O401" i="1"/>
  <c r="P401" i="1"/>
  <c r="Q401" i="1"/>
  <c r="R401" i="1"/>
  <c r="S401" i="1"/>
  <c r="T401" i="1"/>
  <c r="U401" i="1"/>
  <c r="O402" i="1"/>
  <c r="P402" i="1"/>
  <c r="Q402" i="1"/>
  <c r="R402" i="1"/>
  <c r="S402" i="1"/>
  <c r="T402" i="1"/>
  <c r="U402" i="1"/>
  <c r="O403" i="1"/>
  <c r="P403" i="1"/>
  <c r="Q403" i="1"/>
  <c r="R403" i="1"/>
  <c r="S403" i="1"/>
  <c r="T403" i="1"/>
  <c r="U403" i="1"/>
  <c r="O404" i="1"/>
  <c r="P404" i="1"/>
  <c r="Q404" i="1"/>
  <c r="R404" i="1"/>
  <c r="S404" i="1"/>
  <c r="T404" i="1"/>
  <c r="U404" i="1"/>
  <c r="O405" i="1"/>
  <c r="P405" i="1"/>
  <c r="Q405" i="1"/>
  <c r="R405" i="1"/>
  <c r="S405" i="1"/>
  <c r="T405" i="1"/>
  <c r="U405" i="1"/>
  <c r="O406" i="1"/>
  <c r="P406" i="1"/>
  <c r="Q406" i="1"/>
  <c r="R406" i="1"/>
  <c r="S406" i="1"/>
  <c r="T406" i="1"/>
  <c r="U406" i="1"/>
  <c r="O407" i="1"/>
  <c r="P407" i="1"/>
  <c r="Q407" i="1"/>
  <c r="R407" i="1"/>
  <c r="S407" i="1"/>
  <c r="T407" i="1"/>
  <c r="U407" i="1"/>
  <c r="O408" i="1"/>
  <c r="P408" i="1"/>
  <c r="Q408" i="1"/>
  <c r="R408" i="1"/>
  <c r="S408" i="1"/>
  <c r="T408" i="1"/>
  <c r="U408" i="1"/>
  <c r="O409" i="1"/>
  <c r="P409" i="1"/>
  <c r="Q409" i="1"/>
  <c r="R409" i="1"/>
  <c r="S409" i="1"/>
  <c r="T409" i="1"/>
  <c r="U409" i="1"/>
  <c r="O410" i="1"/>
  <c r="P410" i="1"/>
  <c r="Q410" i="1"/>
  <c r="R410" i="1"/>
  <c r="S410" i="1"/>
  <c r="T410" i="1"/>
  <c r="U410" i="1"/>
  <c r="O411" i="1"/>
  <c r="P411" i="1"/>
  <c r="Q411" i="1"/>
  <c r="R411" i="1"/>
  <c r="S411" i="1"/>
  <c r="T411" i="1"/>
  <c r="U411" i="1"/>
  <c r="O412" i="1"/>
  <c r="P412" i="1"/>
  <c r="Q412" i="1"/>
  <c r="R412" i="1"/>
  <c r="S412" i="1"/>
  <c r="T412" i="1"/>
  <c r="U412" i="1"/>
  <c r="O413" i="1"/>
  <c r="P413" i="1"/>
  <c r="Q413" i="1"/>
  <c r="R413" i="1"/>
  <c r="S413" i="1"/>
  <c r="T413" i="1"/>
  <c r="U413" i="1"/>
  <c r="O414" i="1"/>
  <c r="P414" i="1"/>
  <c r="Q414" i="1"/>
  <c r="R414" i="1"/>
  <c r="S414" i="1"/>
  <c r="T414" i="1"/>
  <c r="U414" i="1"/>
  <c r="O415" i="1"/>
  <c r="P415" i="1"/>
  <c r="Q415" i="1"/>
  <c r="R415" i="1"/>
  <c r="S415" i="1"/>
  <c r="T415" i="1"/>
  <c r="U415" i="1"/>
  <c r="O416" i="1"/>
  <c r="P416" i="1"/>
  <c r="Q416" i="1"/>
  <c r="R416" i="1"/>
  <c r="S416" i="1"/>
  <c r="T416" i="1"/>
  <c r="U416" i="1"/>
  <c r="O417" i="1"/>
  <c r="P417" i="1"/>
  <c r="Q417" i="1"/>
  <c r="R417" i="1"/>
  <c r="S417" i="1"/>
  <c r="T417" i="1"/>
  <c r="U417" i="1"/>
  <c r="O418" i="1"/>
  <c r="P418" i="1"/>
  <c r="Q418" i="1"/>
  <c r="R418" i="1"/>
  <c r="S418" i="1"/>
  <c r="T418" i="1"/>
  <c r="U418" i="1"/>
  <c r="O419" i="1"/>
  <c r="P419" i="1"/>
  <c r="Q419" i="1"/>
  <c r="R419" i="1"/>
  <c r="S419" i="1"/>
  <c r="T419" i="1"/>
  <c r="U419" i="1"/>
  <c r="O420" i="1"/>
  <c r="P420" i="1"/>
  <c r="Q420" i="1"/>
  <c r="R420" i="1"/>
  <c r="S420" i="1"/>
  <c r="T420" i="1"/>
  <c r="U420" i="1"/>
  <c r="O421" i="1"/>
  <c r="P421" i="1"/>
  <c r="Q421" i="1"/>
  <c r="R421" i="1"/>
  <c r="S421" i="1"/>
  <c r="T421" i="1"/>
  <c r="U421" i="1"/>
  <c r="O422" i="1"/>
  <c r="P422" i="1"/>
  <c r="Q422" i="1"/>
  <c r="R422" i="1"/>
  <c r="S422" i="1"/>
  <c r="T422" i="1"/>
  <c r="U422" i="1"/>
  <c r="O423" i="1"/>
  <c r="P423" i="1"/>
  <c r="Q423" i="1"/>
  <c r="R423" i="1"/>
  <c r="S423" i="1"/>
  <c r="T423" i="1"/>
  <c r="U423" i="1"/>
  <c r="O424" i="1"/>
  <c r="P424" i="1"/>
  <c r="Q424" i="1"/>
  <c r="R424" i="1"/>
  <c r="S424" i="1"/>
  <c r="T424" i="1"/>
  <c r="U424" i="1"/>
  <c r="O425" i="1"/>
  <c r="P425" i="1"/>
  <c r="Q425" i="1"/>
  <c r="R425" i="1"/>
  <c r="S425" i="1"/>
  <c r="T425" i="1"/>
  <c r="U425" i="1"/>
  <c r="O426" i="1"/>
  <c r="P426" i="1"/>
  <c r="Q426" i="1"/>
  <c r="R426" i="1"/>
  <c r="S426" i="1"/>
  <c r="T426" i="1"/>
  <c r="U426" i="1"/>
  <c r="O427" i="1"/>
  <c r="P427" i="1"/>
  <c r="Q427" i="1"/>
  <c r="R427" i="1"/>
  <c r="S427" i="1"/>
  <c r="T427" i="1"/>
  <c r="U427" i="1"/>
  <c r="O428" i="1"/>
  <c r="P428" i="1"/>
  <c r="Q428" i="1"/>
  <c r="R428" i="1"/>
  <c r="S428" i="1"/>
  <c r="T428" i="1"/>
  <c r="U428" i="1"/>
  <c r="O429" i="1"/>
  <c r="P429" i="1"/>
  <c r="Q429" i="1"/>
  <c r="R429" i="1"/>
  <c r="S429" i="1"/>
  <c r="T429" i="1"/>
  <c r="U429" i="1"/>
  <c r="O430" i="1"/>
  <c r="P430" i="1"/>
  <c r="Q430" i="1"/>
  <c r="R430" i="1"/>
  <c r="S430" i="1"/>
  <c r="T430" i="1"/>
  <c r="U430" i="1"/>
  <c r="O431" i="1"/>
  <c r="P431" i="1"/>
  <c r="Q431" i="1"/>
  <c r="R431" i="1"/>
  <c r="S431" i="1"/>
  <c r="T431" i="1"/>
  <c r="U431" i="1"/>
  <c r="O432" i="1"/>
  <c r="P432" i="1"/>
  <c r="Q432" i="1"/>
  <c r="R432" i="1"/>
  <c r="S432" i="1"/>
  <c r="T432" i="1"/>
  <c r="U432" i="1"/>
  <c r="O433" i="1"/>
  <c r="P433" i="1"/>
  <c r="Q433" i="1"/>
  <c r="R433" i="1"/>
  <c r="S433" i="1"/>
  <c r="T433" i="1"/>
  <c r="U433" i="1"/>
  <c r="O434" i="1"/>
  <c r="P434" i="1"/>
  <c r="Q434" i="1"/>
  <c r="R434" i="1"/>
  <c r="S434" i="1"/>
  <c r="T434" i="1"/>
  <c r="U434" i="1"/>
  <c r="O435" i="1"/>
  <c r="P435" i="1"/>
  <c r="Q435" i="1"/>
  <c r="R435" i="1"/>
  <c r="S435" i="1"/>
  <c r="T435" i="1"/>
  <c r="U435" i="1"/>
  <c r="O436" i="1"/>
  <c r="P436" i="1"/>
  <c r="Q436" i="1"/>
  <c r="R436" i="1"/>
  <c r="S436" i="1"/>
  <c r="T436" i="1"/>
  <c r="U436" i="1"/>
  <c r="O437" i="1"/>
  <c r="P437" i="1"/>
  <c r="Q437" i="1"/>
  <c r="R437" i="1"/>
  <c r="S437" i="1"/>
  <c r="T437" i="1"/>
  <c r="U437" i="1"/>
  <c r="O438" i="1"/>
  <c r="P438" i="1"/>
  <c r="Q438" i="1"/>
  <c r="R438" i="1"/>
  <c r="S438" i="1"/>
  <c r="T438" i="1"/>
  <c r="U438" i="1"/>
  <c r="O439" i="1"/>
  <c r="P439" i="1"/>
  <c r="Q439" i="1"/>
  <c r="R439" i="1"/>
  <c r="S439" i="1"/>
  <c r="T439" i="1"/>
  <c r="U439" i="1"/>
  <c r="O440" i="1"/>
  <c r="P440" i="1"/>
  <c r="Q440" i="1"/>
  <c r="R440" i="1"/>
  <c r="S440" i="1"/>
  <c r="T440" i="1"/>
  <c r="U440" i="1"/>
  <c r="O441" i="1"/>
  <c r="P441" i="1"/>
  <c r="Q441" i="1"/>
  <c r="R441" i="1"/>
  <c r="S441" i="1"/>
  <c r="T441" i="1"/>
  <c r="U441" i="1"/>
  <c r="O442" i="1"/>
  <c r="P442" i="1"/>
  <c r="Q442" i="1"/>
  <c r="R442" i="1"/>
  <c r="S442" i="1"/>
  <c r="T442" i="1"/>
  <c r="U442" i="1"/>
  <c r="O443" i="1"/>
  <c r="P443" i="1"/>
  <c r="Q443" i="1"/>
  <c r="R443" i="1"/>
  <c r="S443" i="1"/>
  <c r="T443" i="1"/>
  <c r="U443" i="1"/>
  <c r="O444" i="1"/>
  <c r="P444" i="1"/>
  <c r="Q444" i="1"/>
  <c r="R444" i="1"/>
  <c r="S444" i="1"/>
  <c r="T444" i="1"/>
  <c r="U444" i="1"/>
  <c r="O445" i="1"/>
  <c r="P445" i="1"/>
  <c r="Q445" i="1"/>
  <c r="R445" i="1"/>
  <c r="S445" i="1"/>
  <c r="T445" i="1"/>
  <c r="U445" i="1"/>
  <c r="O446" i="1"/>
  <c r="P446" i="1"/>
  <c r="Q446" i="1"/>
  <c r="R446" i="1"/>
  <c r="S446" i="1"/>
  <c r="T446" i="1"/>
  <c r="U446" i="1"/>
  <c r="O447" i="1"/>
  <c r="P447" i="1"/>
  <c r="Q447" i="1"/>
  <c r="R447" i="1"/>
  <c r="S447" i="1"/>
  <c r="T447" i="1"/>
  <c r="U447" i="1"/>
  <c r="O448" i="1"/>
  <c r="P448" i="1"/>
  <c r="Q448" i="1"/>
  <c r="R448" i="1"/>
  <c r="S448" i="1"/>
  <c r="T448" i="1"/>
  <c r="U448" i="1"/>
  <c r="O449" i="1"/>
  <c r="P449" i="1"/>
  <c r="Q449" i="1"/>
  <c r="R449" i="1"/>
  <c r="S449" i="1"/>
  <c r="T449" i="1"/>
  <c r="U449" i="1"/>
  <c r="O450" i="1"/>
  <c r="P450" i="1"/>
  <c r="Q450" i="1"/>
  <c r="R450" i="1"/>
  <c r="S450" i="1"/>
  <c r="T450" i="1"/>
  <c r="U450" i="1"/>
  <c r="O451" i="1"/>
  <c r="P451" i="1"/>
  <c r="Q451" i="1"/>
  <c r="R451" i="1"/>
  <c r="S451" i="1"/>
  <c r="T451" i="1"/>
  <c r="U451" i="1"/>
  <c r="O452" i="1"/>
  <c r="P452" i="1"/>
  <c r="Q452" i="1"/>
  <c r="R452" i="1"/>
  <c r="S452" i="1"/>
  <c r="T452" i="1"/>
  <c r="U452" i="1"/>
  <c r="O453" i="1"/>
  <c r="P453" i="1"/>
  <c r="Q453" i="1"/>
  <c r="R453" i="1"/>
  <c r="S453" i="1"/>
  <c r="T453" i="1"/>
  <c r="U453" i="1"/>
  <c r="O454" i="1"/>
  <c r="P454" i="1"/>
  <c r="Q454" i="1"/>
  <c r="R454" i="1"/>
  <c r="S454" i="1"/>
  <c r="T454" i="1"/>
  <c r="U454" i="1"/>
  <c r="O455" i="1"/>
  <c r="P455" i="1"/>
  <c r="Q455" i="1"/>
  <c r="R455" i="1"/>
  <c r="S455" i="1"/>
  <c r="T455" i="1"/>
  <c r="U455" i="1"/>
  <c r="O456" i="1"/>
  <c r="P456" i="1"/>
  <c r="Q456" i="1"/>
  <c r="R456" i="1"/>
  <c r="S456" i="1"/>
  <c r="T456" i="1"/>
  <c r="U456" i="1"/>
  <c r="O457" i="1"/>
  <c r="P457" i="1"/>
  <c r="Q457" i="1"/>
  <c r="R457" i="1"/>
  <c r="S457" i="1"/>
  <c r="T457" i="1"/>
  <c r="U457" i="1"/>
  <c r="O458" i="1"/>
  <c r="P458" i="1"/>
  <c r="Q458" i="1"/>
  <c r="R458" i="1"/>
  <c r="S458" i="1"/>
  <c r="T458" i="1"/>
  <c r="U458" i="1"/>
  <c r="O459" i="1"/>
  <c r="P459" i="1"/>
  <c r="Q459" i="1"/>
  <c r="R459" i="1"/>
  <c r="S459" i="1"/>
  <c r="T459" i="1"/>
  <c r="U459" i="1"/>
  <c r="O460" i="1"/>
  <c r="P460" i="1"/>
  <c r="Q460" i="1"/>
  <c r="R460" i="1"/>
  <c r="S460" i="1"/>
  <c r="T460" i="1"/>
  <c r="U460" i="1"/>
  <c r="O461" i="1"/>
  <c r="P461" i="1"/>
  <c r="Q461" i="1"/>
  <c r="R461" i="1"/>
  <c r="S461" i="1"/>
  <c r="T461" i="1"/>
  <c r="U461" i="1"/>
  <c r="O462" i="1"/>
  <c r="P462" i="1"/>
  <c r="Q462" i="1"/>
  <c r="R462" i="1"/>
  <c r="S462" i="1"/>
  <c r="T462" i="1"/>
  <c r="U462" i="1"/>
  <c r="O463" i="1"/>
  <c r="P463" i="1"/>
  <c r="Q463" i="1"/>
  <c r="R463" i="1"/>
  <c r="S463" i="1"/>
  <c r="T463" i="1"/>
  <c r="U463" i="1"/>
  <c r="O464" i="1"/>
  <c r="P464" i="1"/>
  <c r="Q464" i="1"/>
  <c r="R464" i="1"/>
  <c r="S464" i="1"/>
  <c r="T464" i="1"/>
  <c r="U464" i="1"/>
  <c r="O465" i="1"/>
  <c r="P465" i="1"/>
  <c r="Q465" i="1"/>
  <c r="R465" i="1"/>
  <c r="S465" i="1"/>
  <c r="T465" i="1"/>
  <c r="U465" i="1"/>
  <c r="O466" i="1"/>
  <c r="P466" i="1"/>
  <c r="Q466" i="1"/>
  <c r="R466" i="1"/>
  <c r="S466" i="1"/>
  <c r="T466" i="1"/>
  <c r="U466" i="1"/>
  <c r="O467" i="1"/>
  <c r="P467" i="1"/>
  <c r="Q467" i="1"/>
  <c r="R467" i="1"/>
  <c r="S467" i="1"/>
  <c r="T467" i="1"/>
  <c r="U467" i="1"/>
  <c r="O468" i="1"/>
  <c r="P468" i="1"/>
  <c r="Q468" i="1"/>
  <c r="R468" i="1"/>
  <c r="S468" i="1"/>
  <c r="T468" i="1"/>
  <c r="U468" i="1"/>
  <c r="O469" i="1"/>
  <c r="P469" i="1"/>
  <c r="Q469" i="1"/>
  <c r="R469" i="1"/>
  <c r="S469" i="1"/>
  <c r="T469" i="1"/>
  <c r="U469" i="1"/>
  <c r="O470" i="1"/>
  <c r="P470" i="1"/>
  <c r="Q470" i="1"/>
  <c r="R470" i="1"/>
  <c r="S470" i="1"/>
  <c r="T470" i="1"/>
  <c r="U470" i="1"/>
  <c r="O471" i="1"/>
  <c r="P471" i="1"/>
  <c r="Q471" i="1"/>
  <c r="R471" i="1"/>
  <c r="S471" i="1"/>
  <c r="T471" i="1"/>
  <c r="U471" i="1"/>
  <c r="O472" i="1"/>
  <c r="P472" i="1"/>
  <c r="Q472" i="1"/>
  <c r="R472" i="1"/>
  <c r="S472" i="1"/>
  <c r="T472" i="1"/>
  <c r="U472" i="1"/>
  <c r="O473" i="1"/>
  <c r="P473" i="1"/>
  <c r="Q473" i="1"/>
  <c r="R473" i="1"/>
  <c r="S473" i="1"/>
  <c r="T473" i="1"/>
  <c r="U473" i="1"/>
  <c r="O474" i="1"/>
  <c r="P474" i="1"/>
  <c r="Q474" i="1"/>
  <c r="R474" i="1"/>
  <c r="S474" i="1"/>
  <c r="T474" i="1"/>
  <c r="U474" i="1"/>
  <c r="O475" i="1"/>
  <c r="P475" i="1"/>
  <c r="Q475" i="1"/>
  <c r="R475" i="1"/>
  <c r="S475" i="1"/>
  <c r="T475" i="1"/>
  <c r="U475" i="1"/>
  <c r="O476" i="1"/>
  <c r="P476" i="1"/>
  <c r="Q476" i="1"/>
  <c r="R476" i="1"/>
  <c r="S476" i="1"/>
  <c r="T476" i="1"/>
  <c r="U476" i="1"/>
  <c r="O477" i="1"/>
  <c r="P477" i="1"/>
  <c r="Q477" i="1"/>
  <c r="R477" i="1"/>
  <c r="S477" i="1"/>
  <c r="T477" i="1"/>
  <c r="U477" i="1"/>
  <c r="O478" i="1"/>
  <c r="P478" i="1"/>
  <c r="Q478" i="1"/>
  <c r="R478" i="1"/>
  <c r="S478" i="1"/>
  <c r="T478" i="1"/>
  <c r="U478" i="1"/>
  <c r="O479" i="1"/>
  <c r="P479" i="1"/>
  <c r="Q479" i="1"/>
  <c r="R479" i="1"/>
  <c r="S479" i="1"/>
  <c r="T479" i="1"/>
  <c r="U479" i="1"/>
  <c r="O480" i="1"/>
  <c r="P480" i="1"/>
  <c r="Q480" i="1"/>
  <c r="R480" i="1"/>
  <c r="S480" i="1"/>
  <c r="T480" i="1"/>
  <c r="U480" i="1"/>
  <c r="O481" i="1"/>
  <c r="P481" i="1"/>
  <c r="Q481" i="1"/>
  <c r="R481" i="1"/>
  <c r="S481" i="1"/>
  <c r="T481" i="1"/>
  <c r="U481" i="1"/>
  <c r="O482" i="1"/>
  <c r="P482" i="1"/>
  <c r="Q482" i="1"/>
  <c r="R482" i="1"/>
  <c r="S482" i="1"/>
  <c r="T482" i="1"/>
  <c r="U482" i="1"/>
  <c r="O483" i="1"/>
  <c r="P483" i="1"/>
  <c r="Q483" i="1"/>
  <c r="R483" i="1"/>
  <c r="S483" i="1"/>
  <c r="T483" i="1"/>
  <c r="U483" i="1"/>
  <c r="O484" i="1"/>
  <c r="P484" i="1"/>
  <c r="Q484" i="1"/>
  <c r="R484" i="1"/>
  <c r="S484" i="1"/>
  <c r="T484" i="1"/>
  <c r="U484" i="1"/>
  <c r="O485" i="1"/>
  <c r="P485" i="1"/>
  <c r="Q485" i="1"/>
  <c r="R485" i="1"/>
  <c r="S485" i="1"/>
  <c r="T485" i="1"/>
  <c r="U485" i="1"/>
  <c r="O486" i="1"/>
  <c r="P486" i="1"/>
  <c r="Q486" i="1"/>
  <c r="R486" i="1"/>
  <c r="S486" i="1"/>
  <c r="T486" i="1"/>
  <c r="U486" i="1"/>
  <c r="O487" i="1"/>
  <c r="P487" i="1"/>
  <c r="Q487" i="1"/>
  <c r="R487" i="1"/>
  <c r="S487" i="1"/>
  <c r="T487" i="1"/>
  <c r="U487" i="1"/>
  <c r="O488" i="1"/>
  <c r="P488" i="1"/>
  <c r="Q488" i="1"/>
  <c r="R488" i="1"/>
  <c r="S488" i="1"/>
  <c r="T488" i="1"/>
  <c r="U488" i="1"/>
  <c r="O489" i="1"/>
  <c r="P489" i="1"/>
  <c r="Q489" i="1"/>
  <c r="R489" i="1"/>
  <c r="S489" i="1"/>
  <c r="T489" i="1"/>
  <c r="U489" i="1"/>
  <c r="O490" i="1"/>
  <c r="P490" i="1"/>
  <c r="Q490" i="1"/>
  <c r="R490" i="1"/>
  <c r="S490" i="1"/>
  <c r="T490" i="1"/>
  <c r="U490" i="1"/>
  <c r="O491" i="1"/>
  <c r="P491" i="1"/>
  <c r="Q491" i="1"/>
  <c r="R491" i="1"/>
  <c r="S491" i="1"/>
  <c r="T491" i="1"/>
  <c r="U491" i="1"/>
  <c r="O492" i="1"/>
  <c r="P492" i="1"/>
  <c r="Q492" i="1"/>
  <c r="R492" i="1"/>
  <c r="S492" i="1"/>
  <c r="T492" i="1"/>
  <c r="U492" i="1"/>
  <c r="O493" i="1"/>
  <c r="P493" i="1"/>
  <c r="Q493" i="1"/>
  <c r="R493" i="1"/>
  <c r="S493" i="1"/>
  <c r="T493" i="1"/>
  <c r="U493" i="1"/>
  <c r="O494" i="1"/>
  <c r="P494" i="1"/>
  <c r="Q494" i="1"/>
  <c r="R494" i="1"/>
  <c r="S494" i="1"/>
  <c r="T494" i="1"/>
  <c r="U494" i="1"/>
  <c r="O495" i="1"/>
  <c r="P495" i="1"/>
  <c r="Q495" i="1"/>
  <c r="R495" i="1"/>
  <c r="S495" i="1"/>
  <c r="T495" i="1"/>
  <c r="U495" i="1"/>
  <c r="O496" i="1"/>
  <c r="P496" i="1"/>
  <c r="Q496" i="1"/>
  <c r="R496" i="1"/>
  <c r="S496" i="1"/>
  <c r="T496" i="1"/>
  <c r="U496" i="1"/>
  <c r="O497" i="1"/>
  <c r="P497" i="1"/>
  <c r="Q497" i="1"/>
  <c r="R497" i="1"/>
  <c r="S497" i="1"/>
  <c r="T497" i="1"/>
  <c r="U497" i="1"/>
  <c r="O498" i="1"/>
  <c r="P498" i="1"/>
  <c r="Q498" i="1"/>
  <c r="R498" i="1"/>
  <c r="S498" i="1"/>
  <c r="T498" i="1"/>
  <c r="U498" i="1"/>
  <c r="O499" i="1"/>
  <c r="P499" i="1"/>
  <c r="Q499" i="1"/>
  <c r="R499" i="1"/>
  <c r="S499" i="1"/>
  <c r="T499" i="1"/>
  <c r="U499" i="1"/>
  <c r="O500" i="1"/>
  <c r="P500" i="1"/>
  <c r="Q500" i="1"/>
  <c r="R500" i="1"/>
  <c r="S500" i="1"/>
  <c r="T500" i="1"/>
  <c r="U500" i="1"/>
  <c r="O501" i="1"/>
  <c r="P501" i="1"/>
  <c r="Q501" i="1"/>
  <c r="R501" i="1"/>
  <c r="S501" i="1"/>
  <c r="T501" i="1"/>
  <c r="U501" i="1"/>
  <c r="O502" i="1"/>
  <c r="P502" i="1"/>
  <c r="Q502" i="1"/>
  <c r="R502" i="1"/>
  <c r="S502" i="1"/>
  <c r="T502" i="1"/>
  <c r="U502" i="1"/>
  <c r="O503" i="1"/>
  <c r="P503" i="1"/>
  <c r="Q503" i="1"/>
  <c r="R503" i="1"/>
  <c r="S503" i="1"/>
  <c r="T503" i="1"/>
  <c r="U503" i="1"/>
  <c r="O504" i="1"/>
  <c r="P504" i="1"/>
  <c r="Q504" i="1"/>
  <c r="R504" i="1"/>
  <c r="S504" i="1"/>
  <c r="T504" i="1"/>
  <c r="U504" i="1"/>
  <c r="O505" i="1"/>
  <c r="P505" i="1"/>
  <c r="Q505" i="1"/>
  <c r="R505" i="1"/>
  <c r="S505" i="1"/>
  <c r="T505" i="1"/>
  <c r="U505" i="1"/>
  <c r="O506" i="1"/>
  <c r="P506" i="1"/>
  <c r="Q506" i="1"/>
  <c r="R506" i="1"/>
  <c r="S506" i="1"/>
  <c r="T506" i="1"/>
  <c r="U506" i="1"/>
  <c r="O507" i="1"/>
  <c r="P507" i="1"/>
  <c r="Q507" i="1"/>
  <c r="R507" i="1"/>
  <c r="S507" i="1"/>
  <c r="T507" i="1"/>
  <c r="U507" i="1"/>
  <c r="O508" i="1"/>
  <c r="P508" i="1"/>
  <c r="Q508" i="1"/>
  <c r="R508" i="1"/>
  <c r="S508" i="1"/>
  <c r="T508" i="1"/>
  <c r="U508" i="1"/>
  <c r="O509" i="1"/>
  <c r="P509" i="1"/>
  <c r="Q509" i="1"/>
  <c r="R509" i="1"/>
  <c r="S509" i="1"/>
  <c r="T509" i="1"/>
  <c r="U509" i="1"/>
  <c r="O510" i="1"/>
  <c r="P510" i="1"/>
  <c r="Q510" i="1"/>
  <c r="R510" i="1"/>
  <c r="S510" i="1"/>
  <c r="T510" i="1"/>
  <c r="U510" i="1"/>
  <c r="O511" i="1"/>
  <c r="P511" i="1"/>
  <c r="Q511" i="1"/>
  <c r="R511" i="1"/>
  <c r="S511" i="1"/>
  <c r="T511" i="1"/>
  <c r="U511" i="1"/>
  <c r="O512" i="1"/>
  <c r="P512" i="1"/>
  <c r="Q512" i="1"/>
  <c r="R512" i="1"/>
  <c r="S512" i="1"/>
  <c r="T512" i="1"/>
  <c r="U512" i="1"/>
  <c r="O513" i="1"/>
  <c r="P513" i="1"/>
  <c r="Q513" i="1"/>
  <c r="R513" i="1"/>
  <c r="S513" i="1"/>
  <c r="T513" i="1"/>
  <c r="U513" i="1"/>
  <c r="O514" i="1"/>
  <c r="P514" i="1"/>
  <c r="Q514" i="1"/>
  <c r="R514" i="1"/>
  <c r="S514" i="1"/>
  <c r="T514" i="1"/>
  <c r="U514" i="1"/>
  <c r="O515" i="1"/>
  <c r="P515" i="1"/>
  <c r="Q515" i="1"/>
  <c r="R515" i="1"/>
  <c r="S515" i="1"/>
  <c r="T515" i="1"/>
  <c r="U515" i="1"/>
  <c r="O516" i="1"/>
  <c r="P516" i="1"/>
  <c r="Q516" i="1"/>
  <c r="R516" i="1"/>
  <c r="S516" i="1"/>
  <c r="T516" i="1"/>
  <c r="U516" i="1"/>
  <c r="O517" i="1"/>
  <c r="P517" i="1"/>
  <c r="Q517" i="1"/>
  <c r="R517" i="1"/>
  <c r="S517" i="1"/>
  <c r="T517" i="1"/>
  <c r="U517" i="1"/>
  <c r="O518" i="1"/>
  <c r="P518" i="1"/>
  <c r="Q518" i="1"/>
  <c r="R518" i="1"/>
  <c r="S518" i="1"/>
  <c r="T518" i="1"/>
  <c r="U518" i="1"/>
  <c r="O519" i="1"/>
  <c r="P519" i="1"/>
  <c r="Q519" i="1"/>
  <c r="R519" i="1"/>
  <c r="S519" i="1"/>
  <c r="T519" i="1"/>
  <c r="U519" i="1"/>
  <c r="O520" i="1"/>
  <c r="P520" i="1"/>
  <c r="Q520" i="1"/>
  <c r="R520" i="1"/>
  <c r="S520" i="1"/>
  <c r="T520" i="1"/>
  <c r="U520" i="1"/>
  <c r="O521" i="1"/>
  <c r="P521" i="1"/>
  <c r="Q521" i="1"/>
  <c r="R521" i="1"/>
  <c r="S521" i="1"/>
  <c r="T521" i="1"/>
  <c r="U521" i="1"/>
  <c r="O522" i="1"/>
  <c r="P522" i="1"/>
  <c r="Q522" i="1"/>
  <c r="R522" i="1"/>
  <c r="S522" i="1"/>
  <c r="T522" i="1"/>
  <c r="U522" i="1"/>
  <c r="O523" i="1"/>
  <c r="P523" i="1"/>
  <c r="Q523" i="1"/>
  <c r="R523" i="1"/>
  <c r="S523" i="1"/>
  <c r="T523" i="1"/>
  <c r="U523" i="1"/>
  <c r="O524" i="1"/>
  <c r="P524" i="1"/>
  <c r="Q524" i="1"/>
  <c r="R524" i="1"/>
  <c r="S524" i="1"/>
  <c r="T524" i="1"/>
  <c r="U524" i="1"/>
  <c r="O525" i="1"/>
  <c r="P525" i="1"/>
  <c r="Q525" i="1"/>
  <c r="R525" i="1"/>
  <c r="S525" i="1"/>
  <c r="T525" i="1"/>
  <c r="U525" i="1"/>
  <c r="O526" i="1"/>
  <c r="P526" i="1"/>
  <c r="Q526" i="1"/>
  <c r="R526" i="1"/>
  <c r="S526" i="1"/>
  <c r="T526" i="1"/>
  <c r="U526" i="1"/>
  <c r="O527" i="1"/>
  <c r="P527" i="1"/>
  <c r="Q527" i="1"/>
  <c r="R527" i="1"/>
  <c r="S527" i="1"/>
  <c r="T527" i="1"/>
  <c r="U527" i="1"/>
  <c r="O528" i="1"/>
  <c r="P528" i="1"/>
  <c r="Q528" i="1"/>
  <c r="R528" i="1"/>
  <c r="S528" i="1"/>
  <c r="T528" i="1"/>
  <c r="U528" i="1"/>
  <c r="O529" i="1"/>
  <c r="P529" i="1"/>
  <c r="Q529" i="1"/>
  <c r="R529" i="1"/>
  <c r="S529" i="1"/>
  <c r="T529" i="1"/>
  <c r="U529" i="1"/>
  <c r="O530" i="1"/>
  <c r="P530" i="1"/>
  <c r="Q530" i="1"/>
  <c r="R530" i="1"/>
  <c r="S530" i="1"/>
  <c r="T530" i="1"/>
  <c r="U530" i="1"/>
  <c r="O531" i="1"/>
  <c r="P531" i="1"/>
  <c r="Q531" i="1"/>
  <c r="R531" i="1"/>
  <c r="S531" i="1"/>
  <c r="T531" i="1"/>
  <c r="U531" i="1"/>
  <c r="O532" i="1"/>
  <c r="P532" i="1"/>
  <c r="Q532" i="1"/>
  <c r="R532" i="1"/>
  <c r="S532" i="1"/>
  <c r="T532" i="1"/>
  <c r="U532" i="1"/>
  <c r="O533" i="1"/>
  <c r="P533" i="1"/>
  <c r="Q533" i="1"/>
  <c r="R533" i="1"/>
  <c r="S533" i="1"/>
  <c r="T533" i="1"/>
  <c r="U533" i="1"/>
  <c r="O534" i="1"/>
  <c r="P534" i="1"/>
  <c r="Q534" i="1"/>
  <c r="R534" i="1"/>
  <c r="S534" i="1"/>
  <c r="T534" i="1"/>
  <c r="U534" i="1"/>
  <c r="O535" i="1"/>
  <c r="P535" i="1"/>
  <c r="Q535" i="1"/>
  <c r="R535" i="1"/>
  <c r="S535" i="1"/>
  <c r="T535" i="1"/>
  <c r="U535" i="1"/>
  <c r="O536" i="1"/>
  <c r="P536" i="1"/>
  <c r="Q536" i="1"/>
  <c r="R536" i="1"/>
  <c r="S536" i="1"/>
  <c r="T536" i="1"/>
  <c r="U536" i="1"/>
  <c r="O537" i="1"/>
  <c r="P537" i="1"/>
  <c r="Q537" i="1"/>
  <c r="R537" i="1"/>
  <c r="S537" i="1"/>
  <c r="T537" i="1"/>
  <c r="U537" i="1"/>
  <c r="O538" i="1"/>
  <c r="P538" i="1"/>
  <c r="Q538" i="1"/>
  <c r="R538" i="1"/>
  <c r="S538" i="1"/>
  <c r="T538" i="1"/>
  <c r="U538" i="1"/>
  <c r="O539" i="1"/>
  <c r="P539" i="1"/>
  <c r="Q539" i="1"/>
  <c r="R539" i="1"/>
  <c r="S539" i="1"/>
  <c r="T539" i="1"/>
  <c r="U539" i="1"/>
  <c r="O540" i="1"/>
  <c r="P540" i="1"/>
  <c r="Q540" i="1"/>
  <c r="R540" i="1"/>
  <c r="S540" i="1"/>
  <c r="T540" i="1"/>
  <c r="U540" i="1"/>
  <c r="O541" i="1"/>
  <c r="P541" i="1"/>
  <c r="Q541" i="1"/>
  <c r="R541" i="1"/>
  <c r="S541" i="1"/>
  <c r="T541" i="1"/>
  <c r="U541" i="1"/>
  <c r="O542" i="1"/>
  <c r="P542" i="1"/>
  <c r="Q542" i="1"/>
  <c r="R542" i="1"/>
  <c r="S542" i="1"/>
  <c r="T542" i="1"/>
  <c r="U542" i="1"/>
  <c r="O543" i="1"/>
  <c r="P543" i="1"/>
  <c r="Q543" i="1"/>
  <c r="R543" i="1"/>
  <c r="S543" i="1"/>
  <c r="T543" i="1"/>
  <c r="U543" i="1"/>
  <c r="O544" i="1"/>
  <c r="P544" i="1"/>
  <c r="Q544" i="1"/>
  <c r="R544" i="1"/>
  <c r="S544" i="1"/>
  <c r="T544" i="1"/>
  <c r="U544" i="1"/>
  <c r="O545" i="1"/>
  <c r="P545" i="1"/>
  <c r="Q545" i="1"/>
  <c r="R545" i="1"/>
  <c r="S545" i="1"/>
  <c r="T545" i="1"/>
  <c r="U545" i="1"/>
  <c r="O546" i="1"/>
  <c r="P546" i="1"/>
  <c r="Q546" i="1"/>
  <c r="R546" i="1"/>
  <c r="S546" i="1"/>
  <c r="T546" i="1"/>
  <c r="U546" i="1"/>
  <c r="O547" i="1"/>
  <c r="P547" i="1"/>
  <c r="Q547" i="1"/>
  <c r="R547" i="1"/>
  <c r="S547" i="1"/>
  <c r="T547" i="1"/>
  <c r="U547" i="1"/>
  <c r="O548" i="1"/>
  <c r="P548" i="1"/>
  <c r="Q548" i="1"/>
  <c r="R548" i="1"/>
  <c r="S548" i="1"/>
  <c r="T548" i="1"/>
  <c r="U548" i="1"/>
  <c r="O549" i="1"/>
  <c r="P549" i="1"/>
  <c r="Q549" i="1"/>
  <c r="R549" i="1"/>
  <c r="S549" i="1"/>
  <c r="T549" i="1"/>
  <c r="U549" i="1"/>
  <c r="O550" i="1"/>
  <c r="P550" i="1"/>
  <c r="Q550" i="1"/>
  <c r="R550" i="1"/>
  <c r="S550" i="1"/>
  <c r="T550" i="1"/>
  <c r="U550" i="1"/>
  <c r="O551" i="1"/>
  <c r="P551" i="1"/>
  <c r="Q551" i="1"/>
  <c r="R551" i="1"/>
  <c r="S551" i="1"/>
  <c r="T551" i="1"/>
  <c r="U551" i="1"/>
  <c r="O552" i="1"/>
  <c r="P552" i="1"/>
  <c r="Q552" i="1"/>
  <c r="R552" i="1"/>
  <c r="S552" i="1"/>
  <c r="T552" i="1"/>
  <c r="U552" i="1"/>
  <c r="O553" i="1"/>
  <c r="P553" i="1"/>
  <c r="Q553" i="1"/>
  <c r="R553" i="1"/>
  <c r="S553" i="1"/>
  <c r="T553" i="1"/>
  <c r="U553" i="1"/>
  <c r="O554" i="1"/>
  <c r="P554" i="1"/>
  <c r="Q554" i="1"/>
  <c r="R554" i="1"/>
  <c r="S554" i="1"/>
  <c r="T554" i="1"/>
  <c r="U554" i="1"/>
  <c r="O555" i="1"/>
  <c r="P555" i="1"/>
  <c r="Q555" i="1"/>
  <c r="R555" i="1"/>
  <c r="S555" i="1"/>
  <c r="T555" i="1"/>
  <c r="U555" i="1"/>
  <c r="O556" i="1"/>
  <c r="P556" i="1"/>
  <c r="Q556" i="1"/>
  <c r="R556" i="1"/>
  <c r="S556" i="1"/>
  <c r="T556" i="1"/>
  <c r="U556" i="1"/>
  <c r="O557" i="1"/>
  <c r="P557" i="1"/>
  <c r="Q557" i="1"/>
  <c r="R557" i="1"/>
  <c r="S557" i="1"/>
  <c r="T557" i="1"/>
  <c r="U557" i="1"/>
  <c r="O558" i="1"/>
  <c r="P558" i="1"/>
  <c r="Q558" i="1"/>
  <c r="R558" i="1"/>
  <c r="S558" i="1"/>
  <c r="T558" i="1"/>
  <c r="U558" i="1"/>
  <c r="O559" i="1"/>
  <c r="P559" i="1"/>
  <c r="Q559" i="1"/>
  <c r="R559" i="1"/>
  <c r="S559" i="1"/>
  <c r="T559" i="1"/>
  <c r="U559" i="1"/>
  <c r="O560" i="1"/>
  <c r="P560" i="1"/>
  <c r="Q560" i="1"/>
  <c r="R560" i="1"/>
  <c r="S560" i="1"/>
  <c r="T560" i="1"/>
  <c r="U560" i="1"/>
  <c r="O561" i="1"/>
  <c r="P561" i="1"/>
  <c r="Q561" i="1"/>
  <c r="R561" i="1"/>
  <c r="S561" i="1"/>
  <c r="T561" i="1"/>
  <c r="U561" i="1"/>
  <c r="O562" i="1"/>
  <c r="P562" i="1"/>
  <c r="Q562" i="1"/>
  <c r="R562" i="1"/>
  <c r="S562" i="1"/>
  <c r="T562" i="1"/>
  <c r="U562" i="1"/>
  <c r="O563" i="1"/>
  <c r="P563" i="1"/>
  <c r="Q563" i="1"/>
  <c r="R563" i="1"/>
  <c r="S563" i="1"/>
  <c r="T563" i="1"/>
  <c r="U563" i="1"/>
  <c r="O564" i="1"/>
  <c r="P564" i="1"/>
  <c r="Q564" i="1"/>
  <c r="R564" i="1"/>
  <c r="S564" i="1"/>
  <c r="T564" i="1"/>
  <c r="U564" i="1"/>
  <c r="O565" i="1"/>
  <c r="P565" i="1"/>
  <c r="Q565" i="1"/>
  <c r="R565" i="1"/>
  <c r="S565" i="1"/>
  <c r="T565" i="1"/>
  <c r="U565" i="1"/>
  <c r="O566" i="1"/>
  <c r="P566" i="1"/>
  <c r="Q566" i="1"/>
  <c r="R566" i="1"/>
  <c r="S566" i="1"/>
  <c r="T566" i="1"/>
  <c r="U566" i="1"/>
  <c r="O567" i="1"/>
  <c r="P567" i="1"/>
  <c r="Q567" i="1"/>
  <c r="R567" i="1"/>
  <c r="S567" i="1"/>
  <c r="T567" i="1"/>
  <c r="U567" i="1"/>
  <c r="O568" i="1"/>
  <c r="P568" i="1"/>
  <c r="Q568" i="1"/>
  <c r="R568" i="1"/>
  <c r="S568" i="1"/>
  <c r="T568" i="1"/>
  <c r="U568" i="1"/>
  <c r="O569" i="1"/>
  <c r="P569" i="1"/>
  <c r="Q569" i="1"/>
  <c r="R569" i="1"/>
  <c r="S569" i="1"/>
  <c r="T569" i="1"/>
  <c r="U569" i="1"/>
  <c r="O570" i="1"/>
  <c r="P570" i="1"/>
  <c r="Q570" i="1"/>
  <c r="R570" i="1"/>
  <c r="S570" i="1"/>
  <c r="T570" i="1"/>
  <c r="U570" i="1"/>
  <c r="O571" i="1"/>
  <c r="P571" i="1"/>
  <c r="Q571" i="1"/>
  <c r="R571" i="1"/>
  <c r="S571" i="1"/>
  <c r="T571" i="1"/>
  <c r="U571" i="1"/>
  <c r="O572" i="1"/>
  <c r="P572" i="1"/>
  <c r="Q572" i="1"/>
  <c r="R572" i="1"/>
  <c r="S572" i="1"/>
  <c r="T572" i="1"/>
  <c r="U572" i="1"/>
  <c r="O573" i="1"/>
  <c r="P573" i="1"/>
  <c r="Q573" i="1"/>
  <c r="R573" i="1"/>
  <c r="S573" i="1"/>
  <c r="T573" i="1"/>
  <c r="U573" i="1"/>
  <c r="O574" i="1"/>
  <c r="P574" i="1"/>
  <c r="Q574" i="1"/>
  <c r="R574" i="1"/>
  <c r="S574" i="1"/>
  <c r="T574" i="1"/>
  <c r="U574" i="1"/>
  <c r="O575" i="1"/>
  <c r="P575" i="1"/>
  <c r="Q575" i="1"/>
  <c r="R575" i="1"/>
  <c r="S575" i="1"/>
  <c r="T575" i="1"/>
  <c r="U575" i="1"/>
  <c r="O576" i="1"/>
  <c r="P576" i="1"/>
  <c r="Q576" i="1"/>
  <c r="R576" i="1"/>
  <c r="S576" i="1"/>
  <c r="T576" i="1"/>
  <c r="U576" i="1"/>
  <c r="O577" i="1"/>
  <c r="P577" i="1"/>
  <c r="Q577" i="1"/>
  <c r="R577" i="1"/>
  <c r="S577" i="1"/>
  <c r="T577" i="1"/>
  <c r="U577" i="1"/>
  <c r="O578" i="1"/>
  <c r="P578" i="1"/>
  <c r="Q578" i="1"/>
  <c r="R578" i="1"/>
  <c r="S578" i="1"/>
  <c r="T578" i="1"/>
  <c r="U578" i="1"/>
  <c r="O579" i="1"/>
  <c r="P579" i="1"/>
  <c r="Q579" i="1"/>
  <c r="R579" i="1"/>
  <c r="S579" i="1"/>
  <c r="T579" i="1"/>
  <c r="U579" i="1"/>
  <c r="O580" i="1"/>
  <c r="P580" i="1"/>
  <c r="Q580" i="1"/>
  <c r="R580" i="1"/>
  <c r="S580" i="1"/>
  <c r="T580" i="1"/>
  <c r="U580" i="1"/>
  <c r="O581" i="1"/>
  <c r="P581" i="1"/>
  <c r="Q581" i="1"/>
  <c r="R581" i="1"/>
  <c r="S581" i="1"/>
  <c r="T581" i="1"/>
  <c r="U581" i="1"/>
  <c r="O582" i="1"/>
  <c r="P582" i="1"/>
  <c r="Q582" i="1"/>
  <c r="R582" i="1"/>
  <c r="S582" i="1"/>
  <c r="T582" i="1"/>
  <c r="U582" i="1"/>
  <c r="O583" i="1"/>
  <c r="P583" i="1"/>
  <c r="Q583" i="1"/>
  <c r="R583" i="1"/>
  <c r="S583" i="1"/>
  <c r="T583" i="1"/>
  <c r="U583" i="1"/>
  <c r="O584" i="1"/>
  <c r="P584" i="1"/>
  <c r="Q584" i="1"/>
  <c r="R584" i="1"/>
  <c r="S584" i="1"/>
  <c r="T584" i="1"/>
  <c r="U584" i="1"/>
  <c r="O585" i="1"/>
  <c r="P585" i="1"/>
  <c r="Q585" i="1"/>
  <c r="R585" i="1"/>
  <c r="S585" i="1"/>
  <c r="T585" i="1"/>
  <c r="U585" i="1"/>
  <c r="O586" i="1"/>
  <c r="P586" i="1"/>
  <c r="Q586" i="1"/>
  <c r="R586" i="1"/>
  <c r="S586" i="1"/>
  <c r="T586" i="1"/>
  <c r="U586" i="1"/>
  <c r="O587" i="1"/>
  <c r="P587" i="1"/>
  <c r="Q587" i="1"/>
  <c r="R587" i="1"/>
  <c r="S587" i="1"/>
  <c r="T587" i="1"/>
  <c r="U587" i="1"/>
  <c r="O588" i="1"/>
  <c r="P588" i="1"/>
  <c r="Q588" i="1"/>
  <c r="R588" i="1"/>
  <c r="S588" i="1"/>
  <c r="T588" i="1"/>
  <c r="U588" i="1"/>
  <c r="O589" i="1"/>
  <c r="P589" i="1"/>
  <c r="Q589" i="1"/>
  <c r="R589" i="1"/>
  <c r="S589" i="1"/>
  <c r="T589" i="1"/>
  <c r="U589" i="1"/>
  <c r="O590" i="1"/>
  <c r="P590" i="1"/>
  <c r="Q590" i="1"/>
  <c r="R590" i="1"/>
  <c r="S590" i="1"/>
  <c r="T590" i="1"/>
  <c r="U590" i="1"/>
  <c r="O591" i="1"/>
  <c r="P591" i="1"/>
  <c r="Q591" i="1"/>
  <c r="R591" i="1"/>
  <c r="S591" i="1"/>
  <c r="T591" i="1"/>
  <c r="U591" i="1"/>
  <c r="O592" i="1"/>
  <c r="P592" i="1"/>
  <c r="Q592" i="1"/>
  <c r="R592" i="1"/>
  <c r="S592" i="1"/>
  <c r="T592" i="1"/>
  <c r="U592" i="1"/>
  <c r="O593" i="1"/>
  <c r="P593" i="1"/>
  <c r="Q593" i="1"/>
  <c r="R593" i="1"/>
  <c r="S593" i="1"/>
  <c r="T593" i="1"/>
  <c r="U593" i="1"/>
  <c r="O594" i="1"/>
  <c r="P594" i="1"/>
  <c r="Q594" i="1"/>
  <c r="R594" i="1"/>
  <c r="S594" i="1"/>
  <c r="T594" i="1"/>
  <c r="U594" i="1"/>
  <c r="O595" i="1"/>
  <c r="P595" i="1"/>
  <c r="Q595" i="1"/>
  <c r="R595" i="1"/>
  <c r="S595" i="1"/>
  <c r="T595" i="1"/>
  <c r="U595" i="1"/>
  <c r="O596" i="1"/>
  <c r="P596" i="1"/>
  <c r="Q596" i="1"/>
  <c r="R596" i="1"/>
  <c r="S596" i="1"/>
  <c r="T596" i="1"/>
  <c r="U596" i="1"/>
  <c r="O597" i="1"/>
  <c r="P597" i="1"/>
  <c r="Q597" i="1"/>
  <c r="R597" i="1"/>
  <c r="S597" i="1"/>
  <c r="T597" i="1"/>
  <c r="U597" i="1"/>
  <c r="O598" i="1"/>
  <c r="P598" i="1"/>
  <c r="Q598" i="1"/>
  <c r="R598" i="1"/>
  <c r="S598" i="1"/>
  <c r="T598" i="1"/>
  <c r="U598" i="1"/>
  <c r="O599" i="1"/>
  <c r="P599" i="1"/>
  <c r="Q599" i="1"/>
  <c r="R599" i="1"/>
  <c r="S599" i="1"/>
  <c r="T599" i="1"/>
  <c r="U599" i="1"/>
  <c r="O600" i="1"/>
  <c r="P600" i="1"/>
  <c r="Q600" i="1"/>
  <c r="R600" i="1"/>
  <c r="S600" i="1"/>
  <c r="T600" i="1"/>
  <c r="U600" i="1"/>
  <c r="O601" i="1"/>
  <c r="P601" i="1"/>
  <c r="Q601" i="1"/>
  <c r="R601" i="1"/>
  <c r="S601" i="1"/>
  <c r="T601" i="1"/>
  <c r="U601" i="1"/>
  <c r="O602" i="1"/>
  <c r="P602" i="1"/>
  <c r="Q602" i="1"/>
  <c r="R602" i="1"/>
  <c r="S602" i="1"/>
  <c r="T602" i="1"/>
  <c r="U602" i="1"/>
  <c r="O603" i="1"/>
  <c r="P603" i="1"/>
  <c r="Q603" i="1"/>
  <c r="R603" i="1"/>
  <c r="S603" i="1"/>
  <c r="T603" i="1"/>
  <c r="U603" i="1"/>
  <c r="O604" i="1"/>
  <c r="P604" i="1"/>
  <c r="Q604" i="1"/>
  <c r="R604" i="1"/>
  <c r="S604" i="1"/>
  <c r="T604" i="1"/>
  <c r="U604" i="1"/>
  <c r="O605" i="1"/>
  <c r="P605" i="1"/>
  <c r="Q605" i="1"/>
  <c r="R605" i="1"/>
  <c r="S605" i="1"/>
  <c r="T605" i="1"/>
  <c r="U605" i="1"/>
  <c r="O606" i="1"/>
  <c r="P606" i="1"/>
  <c r="Q606" i="1"/>
  <c r="R606" i="1"/>
  <c r="S606" i="1"/>
  <c r="T606" i="1"/>
  <c r="U606" i="1"/>
  <c r="O607" i="1"/>
  <c r="P607" i="1"/>
  <c r="Q607" i="1"/>
  <c r="R607" i="1"/>
  <c r="S607" i="1"/>
  <c r="T607" i="1"/>
  <c r="U607" i="1"/>
  <c r="O608" i="1"/>
  <c r="P608" i="1"/>
  <c r="Q608" i="1"/>
  <c r="R608" i="1"/>
  <c r="S608" i="1"/>
  <c r="T608" i="1"/>
  <c r="U608" i="1"/>
  <c r="O609" i="1"/>
  <c r="P609" i="1"/>
  <c r="Q609" i="1"/>
  <c r="R609" i="1"/>
  <c r="S609" i="1"/>
  <c r="T609" i="1"/>
  <c r="U609" i="1"/>
  <c r="O610" i="1"/>
  <c r="P610" i="1"/>
  <c r="Q610" i="1"/>
  <c r="R610" i="1"/>
  <c r="S610" i="1"/>
  <c r="T610" i="1"/>
  <c r="U610" i="1"/>
  <c r="O611" i="1"/>
  <c r="P611" i="1"/>
  <c r="Q611" i="1"/>
  <c r="R611" i="1"/>
  <c r="S611" i="1"/>
  <c r="T611" i="1"/>
  <c r="U611" i="1"/>
  <c r="O612" i="1"/>
  <c r="P612" i="1"/>
  <c r="Q612" i="1"/>
  <c r="R612" i="1"/>
  <c r="S612" i="1"/>
  <c r="T612" i="1"/>
  <c r="U612" i="1"/>
  <c r="O613" i="1"/>
  <c r="P613" i="1"/>
  <c r="Q613" i="1"/>
  <c r="R613" i="1"/>
  <c r="S613" i="1"/>
  <c r="T613" i="1"/>
  <c r="U613" i="1"/>
  <c r="O614" i="1"/>
  <c r="P614" i="1"/>
  <c r="Q614" i="1"/>
  <c r="R614" i="1"/>
  <c r="S614" i="1"/>
  <c r="T614" i="1"/>
  <c r="U614" i="1"/>
  <c r="O615" i="1"/>
  <c r="P615" i="1"/>
  <c r="Q615" i="1"/>
  <c r="R615" i="1"/>
  <c r="S615" i="1"/>
  <c r="T615" i="1"/>
  <c r="U615" i="1"/>
  <c r="O616" i="1"/>
  <c r="P616" i="1"/>
  <c r="Q616" i="1"/>
  <c r="R616" i="1"/>
  <c r="S616" i="1"/>
  <c r="T616" i="1"/>
  <c r="U616" i="1"/>
  <c r="O617" i="1"/>
  <c r="P617" i="1"/>
  <c r="Q617" i="1"/>
  <c r="R617" i="1"/>
  <c r="S617" i="1"/>
  <c r="T617" i="1"/>
  <c r="U617" i="1"/>
  <c r="O618" i="1"/>
  <c r="P618" i="1"/>
  <c r="Q618" i="1"/>
  <c r="R618" i="1"/>
  <c r="S618" i="1"/>
  <c r="T618" i="1"/>
  <c r="U618" i="1"/>
  <c r="O619" i="1"/>
  <c r="P619" i="1"/>
  <c r="Q619" i="1"/>
  <c r="R619" i="1"/>
  <c r="S619" i="1"/>
  <c r="T619" i="1"/>
  <c r="U619" i="1"/>
  <c r="O620" i="1"/>
  <c r="P620" i="1"/>
  <c r="Q620" i="1"/>
  <c r="R620" i="1"/>
  <c r="S620" i="1"/>
  <c r="T620" i="1"/>
  <c r="U620" i="1"/>
  <c r="O621" i="1"/>
  <c r="P621" i="1"/>
  <c r="Q621" i="1"/>
  <c r="R621" i="1"/>
  <c r="S621" i="1"/>
  <c r="T621" i="1"/>
  <c r="U621" i="1"/>
  <c r="O622" i="1"/>
  <c r="P622" i="1"/>
  <c r="Q622" i="1"/>
  <c r="R622" i="1"/>
  <c r="S622" i="1"/>
  <c r="T622" i="1"/>
  <c r="U622" i="1"/>
  <c r="O623" i="1"/>
  <c r="P623" i="1"/>
  <c r="Q623" i="1"/>
  <c r="R623" i="1"/>
  <c r="S623" i="1"/>
  <c r="T623" i="1"/>
  <c r="U623" i="1"/>
  <c r="O624" i="1"/>
  <c r="P624" i="1"/>
  <c r="Q624" i="1"/>
  <c r="R624" i="1"/>
  <c r="S624" i="1"/>
  <c r="T624" i="1"/>
  <c r="U624" i="1"/>
  <c r="O625" i="1"/>
  <c r="P625" i="1"/>
  <c r="Q625" i="1"/>
  <c r="R625" i="1"/>
  <c r="S625" i="1"/>
  <c r="T625" i="1"/>
  <c r="U625" i="1"/>
  <c r="O626" i="1"/>
  <c r="P626" i="1"/>
  <c r="Q626" i="1"/>
  <c r="R626" i="1"/>
  <c r="S626" i="1"/>
  <c r="T626" i="1"/>
  <c r="U626" i="1"/>
  <c r="O627" i="1"/>
  <c r="P627" i="1"/>
  <c r="Q627" i="1"/>
  <c r="R627" i="1"/>
  <c r="S627" i="1"/>
  <c r="T627" i="1"/>
  <c r="U627" i="1"/>
  <c r="O628" i="1"/>
  <c r="P628" i="1"/>
  <c r="Q628" i="1"/>
  <c r="R628" i="1"/>
  <c r="S628" i="1"/>
  <c r="T628" i="1"/>
  <c r="U628" i="1"/>
  <c r="O629" i="1"/>
  <c r="P629" i="1"/>
  <c r="Q629" i="1"/>
  <c r="R629" i="1"/>
  <c r="S629" i="1"/>
  <c r="T629" i="1"/>
  <c r="U629" i="1"/>
  <c r="O630" i="1"/>
  <c r="P630" i="1"/>
  <c r="Q630" i="1"/>
  <c r="R630" i="1"/>
  <c r="S630" i="1"/>
  <c r="T630" i="1"/>
  <c r="U630" i="1"/>
  <c r="O631" i="1"/>
  <c r="P631" i="1"/>
  <c r="Q631" i="1"/>
  <c r="R631" i="1"/>
  <c r="S631" i="1"/>
  <c r="T631" i="1"/>
  <c r="U631" i="1"/>
  <c r="O632" i="1"/>
  <c r="P632" i="1"/>
  <c r="Q632" i="1"/>
  <c r="R632" i="1"/>
  <c r="S632" i="1"/>
  <c r="T632" i="1"/>
  <c r="U632" i="1"/>
  <c r="O633" i="1"/>
  <c r="P633" i="1"/>
  <c r="Q633" i="1"/>
  <c r="R633" i="1"/>
  <c r="S633" i="1"/>
  <c r="T633" i="1"/>
  <c r="U633" i="1"/>
  <c r="O634" i="1"/>
  <c r="P634" i="1"/>
  <c r="Q634" i="1"/>
  <c r="R634" i="1"/>
  <c r="S634" i="1"/>
  <c r="T634" i="1"/>
  <c r="U634" i="1"/>
  <c r="O635" i="1"/>
  <c r="P635" i="1"/>
  <c r="Q635" i="1"/>
  <c r="R635" i="1"/>
  <c r="S635" i="1"/>
  <c r="T635" i="1"/>
  <c r="U635" i="1"/>
  <c r="O636" i="1"/>
  <c r="P636" i="1"/>
  <c r="Q636" i="1"/>
  <c r="R636" i="1"/>
  <c r="S636" i="1"/>
  <c r="T636" i="1"/>
  <c r="U636" i="1"/>
  <c r="O637" i="1"/>
  <c r="P637" i="1"/>
  <c r="Q637" i="1"/>
  <c r="R637" i="1"/>
  <c r="S637" i="1"/>
  <c r="T637" i="1"/>
  <c r="U637" i="1"/>
  <c r="O638" i="1"/>
  <c r="P638" i="1"/>
  <c r="Q638" i="1"/>
  <c r="R638" i="1"/>
  <c r="S638" i="1"/>
  <c r="T638" i="1"/>
  <c r="U638" i="1"/>
  <c r="O639" i="1"/>
  <c r="P639" i="1"/>
  <c r="Q639" i="1"/>
  <c r="R639" i="1"/>
  <c r="S639" i="1"/>
  <c r="T639" i="1"/>
  <c r="U639" i="1"/>
  <c r="O640" i="1"/>
  <c r="P640" i="1"/>
  <c r="Q640" i="1"/>
  <c r="R640" i="1"/>
  <c r="S640" i="1"/>
  <c r="T640" i="1"/>
  <c r="U640" i="1"/>
  <c r="O641" i="1"/>
  <c r="P641" i="1"/>
  <c r="Q641" i="1"/>
  <c r="R641" i="1"/>
  <c r="S641" i="1"/>
  <c r="T641" i="1"/>
  <c r="U641" i="1"/>
  <c r="O642" i="1"/>
  <c r="P642" i="1"/>
  <c r="Q642" i="1"/>
  <c r="R642" i="1"/>
  <c r="S642" i="1"/>
  <c r="T642" i="1"/>
  <c r="U642" i="1"/>
  <c r="O643" i="1"/>
  <c r="P643" i="1"/>
  <c r="Q643" i="1"/>
  <c r="R643" i="1"/>
  <c r="S643" i="1"/>
  <c r="T643" i="1"/>
  <c r="U643" i="1"/>
  <c r="O644" i="1"/>
  <c r="P644" i="1"/>
  <c r="Q644" i="1"/>
  <c r="R644" i="1"/>
  <c r="S644" i="1"/>
  <c r="T644" i="1"/>
  <c r="U644" i="1"/>
  <c r="O645" i="1"/>
  <c r="P645" i="1"/>
  <c r="Q645" i="1"/>
  <c r="R645" i="1"/>
  <c r="S645" i="1"/>
  <c r="T645" i="1"/>
  <c r="U645" i="1"/>
  <c r="O646" i="1"/>
  <c r="P646" i="1"/>
  <c r="Q646" i="1"/>
  <c r="R646" i="1"/>
  <c r="S646" i="1"/>
  <c r="T646" i="1"/>
  <c r="U646" i="1"/>
  <c r="O647" i="1"/>
  <c r="P647" i="1"/>
  <c r="Q647" i="1"/>
  <c r="R647" i="1"/>
  <c r="S647" i="1"/>
  <c r="T647" i="1"/>
  <c r="U647" i="1"/>
  <c r="O648" i="1"/>
  <c r="P648" i="1"/>
  <c r="Q648" i="1"/>
  <c r="R648" i="1"/>
  <c r="S648" i="1"/>
  <c r="T648" i="1"/>
  <c r="U648" i="1"/>
  <c r="O649" i="1"/>
  <c r="P649" i="1"/>
  <c r="Q649" i="1"/>
  <c r="R649" i="1"/>
  <c r="S649" i="1"/>
  <c r="T649" i="1"/>
  <c r="U649" i="1"/>
  <c r="O650" i="1"/>
  <c r="P650" i="1"/>
  <c r="Q650" i="1"/>
  <c r="R650" i="1"/>
  <c r="S650" i="1"/>
  <c r="T650" i="1"/>
  <c r="U650" i="1"/>
  <c r="O651" i="1"/>
  <c r="P651" i="1"/>
  <c r="Q651" i="1"/>
  <c r="R651" i="1"/>
  <c r="S651" i="1"/>
  <c r="T651" i="1"/>
  <c r="U651" i="1"/>
  <c r="O652" i="1"/>
  <c r="P652" i="1"/>
  <c r="Q652" i="1"/>
  <c r="R652" i="1"/>
  <c r="S652" i="1"/>
  <c r="T652" i="1"/>
  <c r="U652" i="1"/>
  <c r="O653" i="1"/>
  <c r="P653" i="1"/>
  <c r="Q653" i="1"/>
  <c r="R653" i="1"/>
  <c r="S653" i="1"/>
  <c r="T653" i="1"/>
  <c r="U653" i="1"/>
  <c r="O654" i="1"/>
  <c r="P654" i="1"/>
  <c r="Q654" i="1"/>
  <c r="R654" i="1"/>
  <c r="S654" i="1"/>
  <c r="T654" i="1"/>
  <c r="U654" i="1"/>
  <c r="O655" i="1"/>
  <c r="P655" i="1"/>
  <c r="Q655" i="1"/>
  <c r="R655" i="1"/>
  <c r="S655" i="1"/>
  <c r="T655" i="1"/>
  <c r="U655" i="1"/>
  <c r="O656" i="1"/>
  <c r="P656" i="1"/>
  <c r="Q656" i="1"/>
  <c r="R656" i="1"/>
  <c r="S656" i="1"/>
  <c r="T656" i="1"/>
  <c r="U656" i="1"/>
  <c r="O657" i="1"/>
  <c r="P657" i="1"/>
  <c r="Q657" i="1"/>
  <c r="R657" i="1"/>
  <c r="S657" i="1"/>
  <c r="T657" i="1"/>
  <c r="U657" i="1"/>
  <c r="O658" i="1"/>
  <c r="P658" i="1"/>
  <c r="Q658" i="1"/>
  <c r="R658" i="1"/>
  <c r="S658" i="1"/>
  <c r="T658" i="1"/>
  <c r="U658" i="1"/>
  <c r="O659" i="1"/>
  <c r="P659" i="1"/>
  <c r="Q659" i="1"/>
  <c r="R659" i="1"/>
  <c r="S659" i="1"/>
  <c r="T659" i="1"/>
  <c r="U659" i="1"/>
  <c r="O660" i="1"/>
  <c r="P660" i="1"/>
  <c r="Q660" i="1"/>
  <c r="R660" i="1"/>
  <c r="S660" i="1"/>
  <c r="T660" i="1"/>
  <c r="U660" i="1"/>
  <c r="O661" i="1"/>
  <c r="P661" i="1"/>
  <c r="Q661" i="1"/>
  <c r="R661" i="1"/>
  <c r="S661" i="1"/>
  <c r="T661" i="1"/>
  <c r="U661" i="1"/>
  <c r="O662" i="1"/>
  <c r="P662" i="1"/>
  <c r="Q662" i="1"/>
  <c r="R662" i="1"/>
  <c r="S662" i="1"/>
  <c r="T662" i="1"/>
  <c r="U662" i="1"/>
  <c r="O663" i="1"/>
  <c r="P663" i="1"/>
  <c r="Q663" i="1"/>
  <c r="R663" i="1"/>
  <c r="S663" i="1"/>
  <c r="T663" i="1"/>
  <c r="U663" i="1"/>
  <c r="O664" i="1"/>
  <c r="P664" i="1"/>
  <c r="Q664" i="1"/>
  <c r="R664" i="1"/>
  <c r="S664" i="1"/>
  <c r="T664" i="1"/>
  <c r="U664" i="1"/>
  <c r="O665" i="1"/>
  <c r="P665" i="1"/>
  <c r="Q665" i="1"/>
  <c r="R665" i="1"/>
  <c r="S665" i="1"/>
  <c r="T665" i="1"/>
  <c r="U665" i="1"/>
  <c r="O666" i="1"/>
  <c r="P666" i="1"/>
  <c r="Q666" i="1"/>
  <c r="R666" i="1"/>
  <c r="S666" i="1"/>
  <c r="T666" i="1"/>
  <c r="U666" i="1"/>
  <c r="O667" i="1"/>
  <c r="P667" i="1"/>
  <c r="Q667" i="1"/>
  <c r="R667" i="1"/>
  <c r="S667" i="1"/>
  <c r="T667" i="1"/>
  <c r="U667" i="1"/>
  <c r="O668" i="1"/>
  <c r="P668" i="1"/>
  <c r="Q668" i="1"/>
  <c r="R668" i="1"/>
  <c r="S668" i="1"/>
  <c r="T668" i="1"/>
  <c r="U668" i="1"/>
  <c r="O669" i="1"/>
  <c r="P669" i="1"/>
  <c r="Q669" i="1"/>
  <c r="R669" i="1"/>
  <c r="S669" i="1"/>
  <c r="T669" i="1"/>
  <c r="U669" i="1"/>
  <c r="O670" i="1"/>
  <c r="P670" i="1"/>
  <c r="Q670" i="1"/>
  <c r="R670" i="1"/>
  <c r="S670" i="1"/>
  <c r="T670" i="1"/>
  <c r="U670" i="1"/>
  <c r="O671" i="1"/>
  <c r="P671" i="1"/>
  <c r="Q671" i="1"/>
  <c r="R671" i="1"/>
  <c r="S671" i="1"/>
  <c r="T671" i="1"/>
  <c r="U671" i="1"/>
  <c r="O672" i="1"/>
  <c r="P672" i="1"/>
  <c r="Q672" i="1"/>
  <c r="R672" i="1"/>
  <c r="S672" i="1"/>
  <c r="T672" i="1"/>
  <c r="U672" i="1"/>
  <c r="O673" i="1"/>
  <c r="P673" i="1"/>
  <c r="Q673" i="1"/>
  <c r="R673" i="1"/>
  <c r="S673" i="1"/>
  <c r="T673" i="1"/>
  <c r="U673" i="1"/>
  <c r="O674" i="1"/>
  <c r="P674" i="1"/>
  <c r="Q674" i="1"/>
  <c r="R674" i="1"/>
  <c r="S674" i="1"/>
  <c r="T674" i="1"/>
  <c r="U674" i="1"/>
  <c r="O675" i="1"/>
  <c r="P675" i="1"/>
  <c r="Q675" i="1"/>
  <c r="R675" i="1"/>
  <c r="S675" i="1"/>
  <c r="T675" i="1"/>
  <c r="U675" i="1"/>
  <c r="O676" i="1"/>
  <c r="P676" i="1"/>
  <c r="Q676" i="1"/>
  <c r="R676" i="1"/>
  <c r="S676" i="1"/>
  <c r="T676" i="1"/>
  <c r="U676" i="1"/>
  <c r="O677" i="1"/>
  <c r="P677" i="1"/>
  <c r="Q677" i="1"/>
  <c r="R677" i="1"/>
  <c r="S677" i="1"/>
  <c r="T677" i="1"/>
  <c r="U677" i="1"/>
  <c r="O678" i="1"/>
  <c r="P678" i="1"/>
  <c r="Q678" i="1"/>
  <c r="R678" i="1"/>
  <c r="S678" i="1"/>
  <c r="T678" i="1"/>
  <c r="U678" i="1"/>
  <c r="O679" i="1"/>
  <c r="P679" i="1"/>
  <c r="Q679" i="1"/>
  <c r="R679" i="1"/>
  <c r="S679" i="1"/>
  <c r="T679" i="1"/>
  <c r="U679" i="1"/>
  <c r="O680" i="1"/>
  <c r="P680" i="1"/>
  <c r="Q680" i="1"/>
  <c r="R680" i="1"/>
  <c r="S680" i="1"/>
  <c r="T680" i="1"/>
  <c r="U680" i="1"/>
  <c r="O681" i="1"/>
  <c r="P681" i="1"/>
  <c r="Q681" i="1"/>
  <c r="R681" i="1"/>
  <c r="S681" i="1"/>
  <c r="T681" i="1"/>
  <c r="U681" i="1"/>
  <c r="O682" i="1"/>
  <c r="P682" i="1"/>
  <c r="Q682" i="1"/>
  <c r="R682" i="1"/>
  <c r="S682" i="1"/>
  <c r="T682" i="1"/>
  <c r="U682" i="1"/>
  <c r="O683" i="1"/>
  <c r="P683" i="1"/>
  <c r="Q683" i="1"/>
  <c r="R683" i="1"/>
  <c r="S683" i="1"/>
  <c r="T683" i="1"/>
  <c r="U683" i="1"/>
  <c r="O684" i="1"/>
  <c r="P684" i="1"/>
  <c r="Q684" i="1"/>
  <c r="R684" i="1"/>
  <c r="S684" i="1"/>
  <c r="T684" i="1"/>
  <c r="U684" i="1"/>
  <c r="O685" i="1"/>
  <c r="P685" i="1"/>
  <c r="Q685" i="1"/>
  <c r="R685" i="1"/>
  <c r="S685" i="1"/>
  <c r="T685" i="1"/>
  <c r="U685" i="1"/>
  <c r="O686" i="1"/>
  <c r="P686" i="1"/>
  <c r="Q686" i="1"/>
  <c r="R686" i="1"/>
  <c r="S686" i="1"/>
  <c r="T686" i="1"/>
  <c r="U686" i="1"/>
  <c r="O687" i="1"/>
  <c r="P687" i="1"/>
  <c r="Q687" i="1"/>
  <c r="R687" i="1"/>
  <c r="S687" i="1"/>
  <c r="T687" i="1"/>
  <c r="U687" i="1"/>
  <c r="O688" i="1"/>
  <c r="P688" i="1"/>
  <c r="Q688" i="1"/>
  <c r="R688" i="1"/>
  <c r="S688" i="1"/>
  <c r="T688" i="1"/>
  <c r="U688" i="1"/>
  <c r="O689" i="1"/>
  <c r="P689" i="1"/>
  <c r="Q689" i="1"/>
  <c r="R689" i="1"/>
  <c r="S689" i="1"/>
  <c r="T689" i="1"/>
  <c r="U689" i="1"/>
  <c r="O690" i="1"/>
  <c r="P690" i="1"/>
  <c r="Q690" i="1"/>
  <c r="R690" i="1"/>
  <c r="S690" i="1"/>
  <c r="T690" i="1"/>
  <c r="U690" i="1"/>
  <c r="O691" i="1"/>
  <c r="P691" i="1"/>
  <c r="Q691" i="1"/>
  <c r="R691" i="1"/>
  <c r="S691" i="1"/>
  <c r="T691" i="1"/>
  <c r="U691" i="1"/>
  <c r="O692" i="1"/>
  <c r="P692" i="1"/>
  <c r="Q692" i="1"/>
  <c r="R692" i="1"/>
  <c r="S692" i="1"/>
  <c r="T692" i="1"/>
  <c r="U692" i="1"/>
  <c r="O693" i="1"/>
  <c r="P693" i="1"/>
  <c r="Q693" i="1"/>
  <c r="R693" i="1"/>
  <c r="S693" i="1"/>
  <c r="T693" i="1"/>
  <c r="U693" i="1"/>
  <c r="O694" i="1"/>
  <c r="P694" i="1"/>
  <c r="Q694" i="1"/>
  <c r="R694" i="1"/>
  <c r="S694" i="1"/>
  <c r="T694" i="1"/>
  <c r="U694" i="1"/>
  <c r="O695" i="1"/>
  <c r="P695" i="1"/>
  <c r="Q695" i="1"/>
  <c r="R695" i="1"/>
  <c r="S695" i="1"/>
  <c r="T695" i="1"/>
  <c r="U695" i="1"/>
  <c r="O696" i="1"/>
  <c r="P696" i="1"/>
  <c r="Q696" i="1"/>
  <c r="R696" i="1"/>
  <c r="S696" i="1"/>
  <c r="T696" i="1"/>
  <c r="U696" i="1"/>
  <c r="O697" i="1"/>
  <c r="P697" i="1"/>
  <c r="Q697" i="1"/>
  <c r="R697" i="1"/>
  <c r="S697" i="1"/>
  <c r="T697" i="1"/>
  <c r="U697" i="1"/>
  <c r="O698" i="1"/>
  <c r="P698" i="1"/>
  <c r="Q698" i="1"/>
  <c r="R698" i="1"/>
  <c r="S698" i="1"/>
  <c r="T698" i="1"/>
  <c r="U698" i="1"/>
  <c r="O699" i="1"/>
  <c r="P699" i="1"/>
  <c r="Q699" i="1"/>
  <c r="R699" i="1"/>
  <c r="S699" i="1"/>
  <c r="T699" i="1"/>
  <c r="U699" i="1"/>
  <c r="O700" i="1"/>
  <c r="P700" i="1"/>
  <c r="Q700" i="1"/>
  <c r="R700" i="1"/>
  <c r="S700" i="1"/>
  <c r="T700" i="1"/>
  <c r="U700" i="1"/>
  <c r="O701" i="1"/>
  <c r="P701" i="1"/>
  <c r="Q701" i="1"/>
  <c r="R701" i="1"/>
  <c r="S701" i="1"/>
  <c r="T701" i="1"/>
  <c r="U701" i="1"/>
  <c r="O702" i="1"/>
  <c r="P702" i="1"/>
  <c r="Q702" i="1"/>
  <c r="R702" i="1"/>
  <c r="S702" i="1"/>
  <c r="T702" i="1"/>
  <c r="U702" i="1"/>
  <c r="O703" i="1"/>
  <c r="P703" i="1"/>
  <c r="Q703" i="1"/>
  <c r="R703" i="1"/>
  <c r="S703" i="1"/>
  <c r="T703" i="1"/>
  <c r="U703" i="1"/>
  <c r="O704" i="1"/>
  <c r="P704" i="1"/>
  <c r="Q704" i="1"/>
  <c r="R704" i="1"/>
  <c r="S704" i="1"/>
  <c r="T704" i="1"/>
  <c r="U704" i="1"/>
  <c r="O705" i="1"/>
  <c r="P705" i="1"/>
  <c r="Q705" i="1"/>
  <c r="R705" i="1"/>
  <c r="S705" i="1"/>
  <c r="T705" i="1"/>
  <c r="U705" i="1"/>
  <c r="O706" i="1"/>
  <c r="P706" i="1"/>
  <c r="Q706" i="1"/>
  <c r="R706" i="1"/>
  <c r="S706" i="1"/>
  <c r="T706" i="1"/>
  <c r="U706" i="1"/>
  <c r="O707" i="1"/>
  <c r="P707" i="1"/>
  <c r="Q707" i="1"/>
  <c r="R707" i="1"/>
  <c r="S707" i="1"/>
  <c r="T707" i="1"/>
  <c r="U707" i="1"/>
  <c r="O708" i="1"/>
  <c r="P708" i="1"/>
  <c r="Q708" i="1"/>
  <c r="R708" i="1"/>
  <c r="S708" i="1"/>
  <c r="T708" i="1"/>
  <c r="U708" i="1"/>
  <c r="O709" i="1"/>
  <c r="P709" i="1"/>
  <c r="Q709" i="1"/>
  <c r="R709" i="1"/>
  <c r="S709" i="1"/>
  <c r="T709" i="1"/>
  <c r="U709" i="1"/>
  <c r="O710" i="1"/>
  <c r="P710" i="1"/>
  <c r="Q710" i="1"/>
  <c r="R710" i="1"/>
  <c r="S710" i="1"/>
  <c r="T710" i="1"/>
  <c r="U710" i="1"/>
  <c r="O711" i="1"/>
  <c r="P711" i="1"/>
  <c r="Q711" i="1"/>
  <c r="R711" i="1"/>
  <c r="S711" i="1"/>
  <c r="T711" i="1"/>
  <c r="U711" i="1"/>
  <c r="O712" i="1"/>
  <c r="P712" i="1"/>
  <c r="Q712" i="1"/>
  <c r="R712" i="1"/>
  <c r="S712" i="1"/>
  <c r="T712" i="1"/>
  <c r="U712" i="1"/>
  <c r="O713" i="1"/>
  <c r="P713" i="1"/>
  <c r="Q713" i="1"/>
  <c r="R713" i="1"/>
  <c r="S713" i="1"/>
  <c r="T713" i="1"/>
  <c r="U713" i="1"/>
  <c r="O714" i="1"/>
  <c r="P714" i="1"/>
  <c r="Q714" i="1"/>
  <c r="R714" i="1"/>
  <c r="S714" i="1"/>
  <c r="T714" i="1"/>
  <c r="U714" i="1"/>
  <c r="O715" i="1"/>
  <c r="P715" i="1"/>
  <c r="Q715" i="1"/>
  <c r="R715" i="1"/>
  <c r="S715" i="1"/>
  <c r="T715" i="1"/>
  <c r="U715" i="1"/>
  <c r="O716" i="1"/>
  <c r="P716" i="1"/>
  <c r="Q716" i="1"/>
  <c r="R716" i="1"/>
  <c r="S716" i="1"/>
  <c r="T716" i="1"/>
  <c r="U716" i="1"/>
  <c r="O717" i="1"/>
  <c r="P717" i="1"/>
  <c r="Q717" i="1"/>
  <c r="R717" i="1"/>
  <c r="S717" i="1"/>
  <c r="T717" i="1"/>
  <c r="U717" i="1"/>
  <c r="O718" i="1"/>
  <c r="P718" i="1"/>
  <c r="Q718" i="1"/>
  <c r="R718" i="1"/>
  <c r="S718" i="1"/>
  <c r="T718" i="1"/>
  <c r="U718" i="1"/>
  <c r="O719" i="1"/>
  <c r="P719" i="1"/>
  <c r="Q719" i="1"/>
  <c r="R719" i="1"/>
  <c r="S719" i="1"/>
  <c r="T719" i="1"/>
  <c r="U719" i="1"/>
  <c r="O720" i="1"/>
  <c r="P720" i="1"/>
  <c r="Q720" i="1"/>
  <c r="R720" i="1"/>
  <c r="S720" i="1"/>
  <c r="T720" i="1"/>
  <c r="U720" i="1"/>
  <c r="O721" i="1"/>
  <c r="P721" i="1"/>
  <c r="Q721" i="1"/>
  <c r="R721" i="1"/>
  <c r="S721" i="1"/>
  <c r="T721" i="1"/>
  <c r="U721" i="1"/>
  <c r="O722" i="1"/>
  <c r="P722" i="1"/>
  <c r="Q722" i="1"/>
  <c r="R722" i="1"/>
  <c r="S722" i="1"/>
  <c r="T722" i="1"/>
  <c r="U722" i="1"/>
  <c r="O723" i="1"/>
  <c r="P723" i="1"/>
  <c r="Q723" i="1"/>
  <c r="R723" i="1"/>
  <c r="S723" i="1"/>
  <c r="T723" i="1"/>
  <c r="U723" i="1"/>
  <c r="O724" i="1"/>
  <c r="P724" i="1"/>
  <c r="Q724" i="1"/>
  <c r="R724" i="1"/>
  <c r="S724" i="1"/>
  <c r="T724" i="1"/>
  <c r="U724" i="1"/>
  <c r="O725" i="1"/>
  <c r="P725" i="1"/>
  <c r="Q725" i="1"/>
  <c r="R725" i="1"/>
  <c r="S725" i="1"/>
  <c r="T725" i="1"/>
  <c r="U725" i="1"/>
  <c r="O726" i="1"/>
  <c r="P726" i="1"/>
  <c r="Q726" i="1"/>
  <c r="R726" i="1"/>
  <c r="S726" i="1"/>
  <c r="T726" i="1"/>
  <c r="U726" i="1"/>
  <c r="O727" i="1"/>
  <c r="P727" i="1"/>
  <c r="Q727" i="1"/>
  <c r="R727" i="1"/>
  <c r="S727" i="1"/>
  <c r="T727" i="1"/>
  <c r="U727" i="1"/>
  <c r="O728" i="1"/>
  <c r="P728" i="1"/>
  <c r="Q728" i="1"/>
  <c r="R728" i="1"/>
  <c r="S728" i="1"/>
  <c r="T728" i="1"/>
  <c r="U728" i="1"/>
  <c r="O729" i="1"/>
  <c r="P729" i="1"/>
  <c r="Q729" i="1"/>
  <c r="R729" i="1"/>
  <c r="S729" i="1"/>
  <c r="T729" i="1"/>
  <c r="U729" i="1"/>
  <c r="O730" i="1"/>
  <c r="P730" i="1"/>
  <c r="Q730" i="1"/>
  <c r="R730" i="1"/>
  <c r="S730" i="1"/>
  <c r="T730" i="1"/>
  <c r="U730" i="1"/>
  <c r="O731" i="1"/>
  <c r="P731" i="1"/>
  <c r="Q731" i="1"/>
  <c r="R731" i="1"/>
  <c r="S731" i="1"/>
  <c r="T731" i="1"/>
  <c r="U731" i="1"/>
  <c r="O732" i="1"/>
  <c r="P732" i="1"/>
  <c r="Q732" i="1"/>
  <c r="R732" i="1"/>
  <c r="S732" i="1"/>
  <c r="T732" i="1"/>
  <c r="U732" i="1"/>
  <c r="O733" i="1"/>
  <c r="P733" i="1"/>
  <c r="Q733" i="1"/>
  <c r="R733" i="1"/>
  <c r="S733" i="1"/>
  <c r="T733" i="1"/>
  <c r="U733" i="1"/>
  <c r="O734" i="1"/>
  <c r="P734" i="1"/>
  <c r="Q734" i="1"/>
  <c r="R734" i="1"/>
  <c r="S734" i="1"/>
  <c r="T734" i="1"/>
  <c r="U734" i="1"/>
  <c r="O735" i="1"/>
  <c r="P735" i="1"/>
  <c r="Q735" i="1"/>
  <c r="R735" i="1"/>
  <c r="S735" i="1"/>
  <c r="T735" i="1"/>
  <c r="U735" i="1"/>
  <c r="O736" i="1"/>
  <c r="P736" i="1"/>
  <c r="Q736" i="1"/>
  <c r="R736" i="1"/>
  <c r="S736" i="1"/>
  <c r="T736" i="1"/>
  <c r="U736" i="1"/>
  <c r="O737" i="1"/>
  <c r="P737" i="1"/>
  <c r="Q737" i="1"/>
  <c r="R737" i="1"/>
  <c r="S737" i="1"/>
  <c r="T737" i="1"/>
  <c r="U737" i="1"/>
  <c r="O738" i="1"/>
  <c r="P738" i="1"/>
  <c r="Q738" i="1"/>
  <c r="R738" i="1"/>
  <c r="S738" i="1"/>
  <c r="T738" i="1"/>
  <c r="U738" i="1"/>
  <c r="O739" i="1"/>
  <c r="P739" i="1"/>
  <c r="Q739" i="1"/>
  <c r="R739" i="1"/>
  <c r="S739" i="1"/>
  <c r="T739" i="1"/>
  <c r="U739" i="1"/>
  <c r="O740" i="1"/>
  <c r="P740" i="1"/>
  <c r="Q740" i="1"/>
  <c r="R740" i="1"/>
  <c r="S740" i="1"/>
  <c r="T740" i="1"/>
  <c r="U740" i="1"/>
  <c r="O741" i="1"/>
  <c r="P741" i="1"/>
  <c r="Q741" i="1"/>
  <c r="R741" i="1"/>
  <c r="S741" i="1"/>
  <c r="T741" i="1"/>
  <c r="U741" i="1"/>
  <c r="O742" i="1"/>
  <c r="P742" i="1"/>
  <c r="Q742" i="1"/>
  <c r="R742" i="1"/>
  <c r="S742" i="1"/>
  <c r="T742" i="1"/>
  <c r="U742" i="1"/>
  <c r="O743" i="1"/>
  <c r="P743" i="1"/>
  <c r="Q743" i="1"/>
  <c r="R743" i="1"/>
  <c r="S743" i="1"/>
  <c r="T743" i="1"/>
  <c r="U743" i="1"/>
  <c r="O744" i="1"/>
  <c r="P744" i="1"/>
  <c r="Q744" i="1"/>
  <c r="R744" i="1"/>
  <c r="S744" i="1"/>
  <c r="T744" i="1"/>
  <c r="U744" i="1"/>
  <c r="O745" i="1"/>
  <c r="P745" i="1"/>
  <c r="Q745" i="1"/>
  <c r="R745" i="1"/>
  <c r="S745" i="1"/>
  <c r="T745" i="1"/>
  <c r="U745" i="1"/>
  <c r="O746" i="1"/>
  <c r="P746" i="1"/>
  <c r="Q746" i="1"/>
  <c r="R746" i="1"/>
  <c r="S746" i="1"/>
  <c r="T746" i="1"/>
  <c r="U746" i="1"/>
  <c r="O747" i="1"/>
  <c r="P747" i="1"/>
  <c r="Q747" i="1"/>
  <c r="R747" i="1"/>
  <c r="S747" i="1"/>
  <c r="T747" i="1"/>
  <c r="U747" i="1"/>
  <c r="O748" i="1"/>
  <c r="P748" i="1"/>
  <c r="Q748" i="1"/>
  <c r="R748" i="1"/>
  <c r="S748" i="1"/>
  <c r="T748" i="1"/>
  <c r="U748" i="1"/>
  <c r="O749" i="1"/>
  <c r="P749" i="1"/>
  <c r="Q749" i="1"/>
  <c r="R749" i="1"/>
  <c r="S749" i="1"/>
  <c r="T749" i="1"/>
  <c r="U749" i="1"/>
  <c r="O750" i="1"/>
  <c r="P750" i="1"/>
  <c r="Q750" i="1"/>
  <c r="R750" i="1"/>
  <c r="S750" i="1"/>
  <c r="T750" i="1"/>
  <c r="U750" i="1"/>
  <c r="O751" i="1"/>
  <c r="P751" i="1"/>
  <c r="Q751" i="1"/>
  <c r="R751" i="1"/>
  <c r="S751" i="1"/>
  <c r="T751" i="1"/>
  <c r="U751" i="1"/>
  <c r="O752" i="1"/>
  <c r="P752" i="1"/>
  <c r="Q752" i="1"/>
  <c r="R752" i="1"/>
  <c r="S752" i="1"/>
  <c r="T752" i="1"/>
  <c r="U752" i="1"/>
  <c r="O753" i="1"/>
  <c r="P753" i="1"/>
  <c r="Q753" i="1"/>
  <c r="R753" i="1"/>
  <c r="S753" i="1"/>
  <c r="T753" i="1"/>
  <c r="U753" i="1"/>
  <c r="O754" i="1"/>
  <c r="P754" i="1"/>
  <c r="Q754" i="1"/>
  <c r="R754" i="1"/>
  <c r="S754" i="1"/>
  <c r="T754" i="1"/>
  <c r="U754" i="1"/>
  <c r="O755" i="1"/>
  <c r="P755" i="1"/>
  <c r="Q755" i="1"/>
  <c r="R755" i="1"/>
  <c r="S755" i="1"/>
  <c r="T755" i="1"/>
  <c r="U755" i="1"/>
  <c r="O756" i="1"/>
  <c r="P756" i="1"/>
  <c r="Q756" i="1"/>
  <c r="R756" i="1"/>
  <c r="S756" i="1"/>
  <c r="T756" i="1"/>
  <c r="U756" i="1"/>
  <c r="O757" i="1"/>
  <c r="P757" i="1"/>
  <c r="Q757" i="1"/>
  <c r="R757" i="1"/>
  <c r="S757" i="1"/>
  <c r="T757" i="1"/>
  <c r="U757" i="1"/>
  <c r="O758" i="1"/>
  <c r="P758" i="1"/>
  <c r="Q758" i="1"/>
  <c r="R758" i="1"/>
  <c r="S758" i="1"/>
  <c r="T758" i="1"/>
  <c r="U758" i="1"/>
  <c r="O759" i="1"/>
  <c r="P759" i="1"/>
  <c r="Q759" i="1"/>
  <c r="R759" i="1"/>
  <c r="S759" i="1"/>
  <c r="T759" i="1"/>
  <c r="U759" i="1"/>
  <c r="O760" i="1"/>
  <c r="P760" i="1"/>
  <c r="Q760" i="1"/>
  <c r="R760" i="1"/>
  <c r="S760" i="1"/>
  <c r="T760" i="1"/>
  <c r="U760" i="1"/>
  <c r="O761" i="1"/>
  <c r="P761" i="1"/>
  <c r="Q761" i="1"/>
  <c r="R761" i="1"/>
  <c r="S761" i="1"/>
  <c r="T761" i="1"/>
  <c r="U761" i="1"/>
  <c r="O762" i="1"/>
  <c r="P762" i="1"/>
  <c r="Q762" i="1"/>
  <c r="R762" i="1"/>
  <c r="S762" i="1"/>
  <c r="T762" i="1"/>
  <c r="U762" i="1"/>
  <c r="O763" i="1"/>
  <c r="P763" i="1"/>
  <c r="Q763" i="1"/>
  <c r="R763" i="1"/>
  <c r="S763" i="1"/>
  <c r="T763" i="1"/>
  <c r="U763" i="1"/>
  <c r="O764" i="1"/>
  <c r="P764" i="1"/>
  <c r="Q764" i="1"/>
  <c r="R764" i="1"/>
  <c r="S764" i="1"/>
  <c r="T764" i="1"/>
  <c r="U764" i="1"/>
  <c r="O765" i="1"/>
  <c r="P765" i="1"/>
  <c r="Q765" i="1"/>
  <c r="R765" i="1"/>
  <c r="S765" i="1"/>
  <c r="T765" i="1"/>
  <c r="U765" i="1"/>
  <c r="O766" i="1"/>
  <c r="P766" i="1"/>
  <c r="Q766" i="1"/>
  <c r="R766" i="1"/>
  <c r="S766" i="1"/>
  <c r="T766" i="1"/>
  <c r="U766" i="1"/>
  <c r="O767" i="1"/>
  <c r="P767" i="1"/>
  <c r="Q767" i="1"/>
  <c r="R767" i="1"/>
  <c r="S767" i="1"/>
  <c r="T767" i="1"/>
  <c r="U767" i="1"/>
  <c r="O768" i="1"/>
  <c r="P768" i="1"/>
  <c r="Q768" i="1"/>
  <c r="R768" i="1"/>
  <c r="S768" i="1"/>
  <c r="T768" i="1"/>
  <c r="U768" i="1"/>
  <c r="O769" i="1"/>
  <c r="P769" i="1"/>
  <c r="Q769" i="1"/>
  <c r="R769" i="1"/>
  <c r="S769" i="1"/>
  <c r="T769" i="1"/>
  <c r="U769" i="1"/>
  <c r="O770" i="1"/>
  <c r="P770" i="1"/>
  <c r="Q770" i="1"/>
  <c r="R770" i="1"/>
  <c r="S770" i="1"/>
  <c r="T770" i="1"/>
  <c r="U770" i="1"/>
  <c r="O771" i="1"/>
  <c r="P771" i="1"/>
  <c r="Q771" i="1"/>
  <c r="R771" i="1"/>
  <c r="S771" i="1"/>
  <c r="T771" i="1"/>
  <c r="U771" i="1"/>
  <c r="O772" i="1"/>
  <c r="P772" i="1"/>
  <c r="Q772" i="1"/>
  <c r="R772" i="1"/>
  <c r="S772" i="1"/>
  <c r="T772" i="1"/>
  <c r="U772" i="1"/>
  <c r="O773" i="1"/>
  <c r="P773" i="1"/>
  <c r="Q773" i="1"/>
  <c r="R773" i="1"/>
  <c r="S773" i="1"/>
  <c r="T773" i="1"/>
  <c r="U773" i="1"/>
  <c r="O774" i="1"/>
  <c r="P774" i="1"/>
  <c r="Q774" i="1"/>
  <c r="R774" i="1"/>
  <c r="S774" i="1"/>
  <c r="T774" i="1"/>
  <c r="U774" i="1"/>
  <c r="O775" i="1"/>
  <c r="P775" i="1"/>
  <c r="Q775" i="1"/>
  <c r="R775" i="1"/>
  <c r="S775" i="1"/>
  <c r="T775" i="1"/>
  <c r="U775" i="1"/>
  <c r="O776" i="1"/>
  <c r="P776" i="1"/>
  <c r="Q776" i="1"/>
  <c r="R776" i="1"/>
  <c r="S776" i="1"/>
  <c r="T776" i="1"/>
  <c r="U776" i="1"/>
  <c r="O777" i="1"/>
  <c r="P777" i="1"/>
  <c r="Q777" i="1"/>
  <c r="R777" i="1"/>
  <c r="S777" i="1"/>
  <c r="T777" i="1"/>
  <c r="U777" i="1"/>
  <c r="O778" i="1"/>
  <c r="P778" i="1"/>
  <c r="Q778" i="1"/>
  <c r="R778" i="1"/>
  <c r="S778" i="1"/>
  <c r="T778" i="1"/>
  <c r="U778" i="1"/>
  <c r="O779" i="1"/>
  <c r="P779" i="1"/>
  <c r="Q779" i="1"/>
  <c r="R779" i="1"/>
  <c r="S779" i="1"/>
  <c r="T779" i="1"/>
  <c r="U779" i="1"/>
  <c r="O780" i="1"/>
  <c r="P780" i="1"/>
  <c r="Q780" i="1"/>
  <c r="R780" i="1"/>
  <c r="S780" i="1"/>
  <c r="T780" i="1"/>
  <c r="U780" i="1"/>
  <c r="O781" i="1"/>
  <c r="P781" i="1"/>
  <c r="Q781" i="1"/>
  <c r="R781" i="1"/>
  <c r="S781" i="1"/>
  <c r="T781" i="1"/>
  <c r="U781" i="1"/>
  <c r="O782" i="1"/>
  <c r="P782" i="1"/>
  <c r="Q782" i="1"/>
  <c r="R782" i="1"/>
  <c r="S782" i="1"/>
  <c r="T782" i="1"/>
  <c r="U782" i="1"/>
  <c r="O783" i="1"/>
  <c r="P783" i="1"/>
  <c r="Q783" i="1"/>
  <c r="R783" i="1"/>
  <c r="S783" i="1"/>
  <c r="T783" i="1"/>
  <c r="U783" i="1"/>
  <c r="O784" i="1"/>
  <c r="P784" i="1"/>
  <c r="Q784" i="1"/>
  <c r="R784" i="1"/>
  <c r="S784" i="1"/>
  <c r="T784" i="1"/>
  <c r="U784" i="1"/>
  <c r="O785" i="1"/>
  <c r="P785" i="1"/>
  <c r="Q785" i="1"/>
  <c r="R785" i="1"/>
  <c r="S785" i="1"/>
  <c r="T785" i="1"/>
  <c r="U785" i="1"/>
  <c r="O786" i="1"/>
  <c r="P786" i="1"/>
  <c r="Q786" i="1"/>
  <c r="R786" i="1"/>
  <c r="S786" i="1"/>
  <c r="T786" i="1"/>
  <c r="U786" i="1"/>
  <c r="O787" i="1"/>
  <c r="P787" i="1"/>
  <c r="Q787" i="1"/>
  <c r="R787" i="1"/>
  <c r="S787" i="1"/>
  <c r="T787" i="1"/>
  <c r="U787" i="1"/>
  <c r="O788" i="1"/>
  <c r="P788" i="1"/>
  <c r="Q788" i="1"/>
  <c r="R788" i="1"/>
  <c r="S788" i="1"/>
  <c r="T788" i="1"/>
  <c r="U788" i="1"/>
  <c r="O789" i="1"/>
  <c r="P789" i="1"/>
  <c r="Q789" i="1"/>
  <c r="R789" i="1"/>
  <c r="S789" i="1"/>
  <c r="T789" i="1"/>
  <c r="U789" i="1"/>
  <c r="O790" i="1"/>
  <c r="P790" i="1"/>
  <c r="Q790" i="1"/>
  <c r="R790" i="1"/>
  <c r="S790" i="1"/>
  <c r="T790" i="1"/>
  <c r="U790" i="1"/>
  <c r="O791" i="1"/>
  <c r="P791" i="1"/>
  <c r="Q791" i="1"/>
  <c r="R791" i="1"/>
  <c r="S791" i="1"/>
  <c r="T791" i="1"/>
  <c r="U791" i="1"/>
  <c r="O792" i="1"/>
  <c r="P792" i="1"/>
  <c r="Q792" i="1"/>
  <c r="R792" i="1"/>
  <c r="S792" i="1"/>
  <c r="T792" i="1"/>
  <c r="U792" i="1"/>
  <c r="O793" i="1"/>
  <c r="P793" i="1"/>
  <c r="Q793" i="1"/>
  <c r="R793" i="1"/>
  <c r="S793" i="1"/>
  <c r="T793" i="1"/>
  <c r="U793" i="1"/>
  <c r="O794" i="1"/>
  <c r="P794" i="1"/>
  <c r="Q794" i="1"/>
  <c r="R794" i="1"/>
  <c r="S794" i="1"/>
  <c r="T794" i="1"/>
  <c r="U794" i="1"/>
  <c r="O795" i="1"/>
  <c r="P795" i="1"/>
  <c r="Q795" i="1"/>
  <c r="R795" i="1"/>
  <c r="S795" i="1"/>
  <c r="T795" i="1"/>
  <c r="U795" i="1"/>
  <c r="O796" i="1"/>
  <c r="P796" i="1"/>
  <c r="Q796" i="1"/>
  <c r="R796" i="1"/>
  <c r="S796" i="1"/>
  <c r="T796" i="1"/>
  <c r="U796" i="1"/>
  <c r="O797" i="1"/>
  <c r="P797" i="1"/>
  <c r="Q797" i="1"/>
  <c r="R797" i="1"/>
  <c r="S797" i="1"/>
  <c r="T797" i="1"/>
  <c r="U797" i="1"/>
  <c r="O798" i="1"/>
  <c r="P798" i="1"/>
  <c r="Q798" i="1"/>
  <c r="R798" i="1"/>
  <c r="S798" i="1"/>
  <c r="T798" i="1"/>
  <c r="U798" i="1"/>
  <c r="O799" i="1"/>
  <c r="P799" i="1"/>
  <c r="Q799" i="1"/>
  <c r="R799" i="1"/>
  <c r="S799" i="1"/>
  <c r="T799" i="1"/>
  <c r="U799" i="1"/>
  <c r="O800" i="1"/>
  <c r="P800" i="1"/>
  <c r="Q800" i="1"/>
  <c r="R800" i="1"/>
  <c r="S800" i="1"/>
  <c r="T800" i="1"/>
  <c r="U800" i="1"/>
  <c r="O801" i="1"/>
  <c r="P801" i="1"/>
  <c r="Q801" i="1"/>
  <c r="R801" i="1"/>
  <c r="S801" i="1"/>
  <c r="T801" i="1"/>
  <c r="U801" i="1"/>
  <c r="O802" i="1"/>
  <c r="P802" i="1"/>
  <c r="Q802" i="1"/>
  <c r="R802" i="1"/>
  <c r="S802" i="1"/>
  <c r="T802" i="1"/>
  <c r="U802" i="1"/>
  <c r="O803" i="1"/>
  <c r="P803" i="1"/>
  <c r="Q803" i="1"/>
  <c r="R803" i="1"/>
  <c r="S803" i="1"/>
  <c r="T803" i="1"/>
  <c r="U803" i="1"/>
  <c r="O804" i="1"/>
  <c r="P804" i="1"/>
  <c r="Q804" i="1"/>
  <c r="R804" i="1"/>
  <c r="S804" i="1"/>
  <c r="T804" i="1"/>
  <c r="U804" i="1"/>
  <c r="O805" i="1"/>
  <c r="P805" i="1"/>
  <c r="Q805" i="1"/>
  <c r="R805" i="1"/>
  <c r="S805" i="1"/>
  <c r="T805" i="1"/>
  <c r="U805" i="1"/>
  <c r="O806" i="1"/>
  <c r="P806" i="1"/>
  <c r="Q806" i="1"/>
  <c r="R806" i="1"/>
  <c r="S806" i="1"/>
  <c r="T806" i="1"/>
  <c r="U806" i="1"/>
  <c r="O807" i="1"/>
  <c r="P807" i="1"/>
  <c r="Q807" i="1"/>
  <c r="R807" i="1"/>
  <c r="S807" i="1"/>
  <c r="T807" i="1"/>
  <c r="U807" i="1"/>
  <c r="O808" i="1"/>
  <c r="P808" i="1"/>
  <c r="Q808" i="1"/>
  <c r="R808" i="1"/>
  <c r="S808" i="1"/>
  <c r="T808" i="1"/>
  <c r="U808" i="1"/>
  <c r="O809" i="1"/>
  <c r="P809" i="1"/>
  <c r="Q809" i="1"/>
  <c r="R809" i="1"/>
  <c r="S809" i="1"/>
  <c r="T809" i="1"/>
  <c r="U809" i="1"/>
  <c r="O810" i="1"/>
  <c r="P810" i="1"/>
  <c r="Q810" i="1"/>
  <c r="R810" i="1"/>
  <c r="S810" i="1"/>
  <c r="T810" i="1"/>
  <c r="U810" i="1"/>
  <c r="O811" i="1"/>
  <c r="P811" i="1"/>
  <c r="Q811" i="1"/>
  <c r="R811" i="1"/>
  <c r="S811" i="1"/>
  <c r="T811" i="1"/>
  <c r="U811" i="1"/>
  <c r="O812" i="1"/>
  <c r="P812" i="1"/>
  <c r="Q812" i="1"/>
  <c r="R812" i="1"/>
  <c r="S812" i="1"/>
  <c r="T812" i="1"/>
  <c r="U812" i="1"/>
  <c r="O813" i="1"/>
  <c r="P813" i="1"/>
  <c r="Q813" i="1"/>
  <c r="R813" i="1"/>
  <c r="S813" i="1"/>
  <c r="T813" i="1"/>
  <c r="U813" i="1"/>
  <c r="O814" i="1"/>
  <c r="P814" i="1"/>
  <c r="Q814" i="1"/>
  <c r="R814" i="1"/>
  <c r="S814" i="1"/>
  <c r="T814" i="1"/>
  <c r="U814" i="1"/>
  <c r="O815" i="1"/>
  <c r="P815" i="1"/>
  <c r="Q815" i="1"/>
  <c r="R815" i="1"/>
  <c r="S815" i="1"/>
  <c r="T815" i="1"/>
  <c r="U815" i="1"/>
  <c r="O816" i="1"/>
  <c r="P816" i="1"/>
  <c r="Q816" i="1"/>
  <c r="R816" i="1"/>
  <c r="S816" i="1"/>
  <c r="T816" i="1"/>
  <c r="U816" i="1"/>
  <c r="O817" i="1"/>
  <c r="P817" i="1"/>
  <c r="Q817" i="1"/>
  <c r="R817" i="1"/>
  <c r="S817" i="1"/>
  <c r="T817" i="1"/>
  <c r="U817" i="1"/>
  <c r="O818" i="1"/>
  <c r="P818" i="1"/>
  <c r="Q818" i="1"/>
  <c r="R818" i="1"/>
  <c r="S818" i="1"/>
  <c r="T818" i="1"/>
  <c r="U818" i="1"/>
  <c r="O819" i="1"/>
  <c r="P819" i="1"/>
  <c r="Q819" i="1"/>
  <c r="R819" i="1"/>
  <c r="S819" i="1"/>
  <c r="T819" i="1"/>
  <c r="U819" i="1"/>
  <c r="O820" i="1"/>
  <c r="P820" i="1"/>
  <c r="Q820" i="1"/>
  <c r="R820" i="1"/>
  <c r="S820" i="1"/>
  <c r="T820" i="1"/>
  <c r="U820" i="1"/>
  <c r="O821" i="1"/>
  <c r="P821" i="1"/>
  <c r="Q821" i="1"/>
  <c r="R821" i="1"/>
  <c r="S821" i="1"/>
  <c r="T821" i="1"/>
  <c r="U821" i="1"/>
  <c r="O822" i="1"/>
  <c r="P822" i="1"/>
  <c r="Q822" i="1"/>
  <c r="R822" i="1"/>
  <c r="S822" i="1"/>
  <c r="T822" i="1"/>
  <c r="U822" i="1"/>
  <c r="O823" i="1"/>
  <c r="P823" i="1"/>
  <c r="Q823" i="1"/>
  <c r="R823" i="1"/>
  <c r="S823" i="1"/>
  <c r="T823" i="1"/>
  <c r="U823" i="1"/>
  <c r="O824" i="1"/>
  <c r="P824" i="1"/>
  <c r="Q824" i="1"/>
  <c r="R824" i="1"/>
  <c r="S824" i="1"/>
  <c r="T824" i="1"/>
  <c r="U824" i="1"/>
  <c r="O825" i="1"/>
  <c r="P825" i="1"/>
  <c r="Q825" i="1"/>
  <c r="R825" i="1"/>
  <c r="S825" i="1"/>
  <c r="T825" i="1"/>
  <c r="U825" i="1"/>
  <c r="O826" i="1"/>
  <c r="P826" i="1"/>
  <c r="Q826" i="1"/>
  <c r="R826" i="1"/>
  <c r="S826" i="1"/>
  <c r="T826" i="1"/>
  <c r="U826" i="1"/>
  <c r="O827" i="1"/>
  <c r="P827" i="1"/>
  <c r="Q827" i="1"/>
  <c r="R827" i="1"/>
  <c r="S827" i="1"/>
  <c r="T827" i="1"/>
  <c r="U827" i="1"/>
  <c r="O828" i="1"/>
  <c r="P828" i="1"/>
  <c r="Q828" i="1"/>
  <c r="R828" i="1"/>
  <c r="S828" i="1"/>
  <c r="T828" i="1"/>
  <c r="U828" i="1"/>
  <c r="O829" i="1"/>
  <c r="P829" i="1"/>
  <c r="Q829" i="1"/>
  <c r="R829" i="1"/>
  <c r="S829" i="1"/>
  <c r="T829" i="1"/>
  <c r="U829" i="1"/>
  <c r="O830" i="1"/>
  <c r="P830" i="1"/>
  <c r="Q830" i="1"/>
  <c r="R830" i="1"/>
  <c r="S830" i="1"/>
  <c r="T830" i="1"/>
  <c r="U830" i="1"/>
  <c r="O831" i="1"/>
  <c r="P831" i="1"/>
  <c r="Q831" i="1"/>
  <c r="R831" i="1"/>
  <c r="S831" i="1"/>
  <c r="T831" i="1"/>
  <c r="U831" i="1"/>
  <c r="O832" i="1"/>
  <c r="P832" i="1"/>
  <c r="Q832" i="1"/>
  <c r="R832" i="1"/>
  <c r="S832" i="1"/>
  <c r="T832" i="1"/>
  <c r="U832" i="1"/>
  <c r="O833" i="1"/>
  <c r="P833" i="1"/>
  <c r="Q833" i="1"/>
  <c r="R833" i="1"/>
  <c r="S833" i="1"/>
  <c r="T833" i="1"/>
  <c r="U833" i="1"/>
  <c r="O834" i="1"/>
  <c r="P834" i="1"/>
  <c r="Q834" i="1"/>
  <c r="R834" i="1"/>
  <c r="S834" i="1"/>
  <c r="T834" i="1"/>
  <c r="U834" i="1"/>
  <c r="O835" i="1"/>
  <c r="P835" i="1"/>
  <c r="Q835" i="1"/>
  <c r="R835" i="1"/>
  <c r="S835" i="1"/>
  <c r="T835" i="1"/>
  <c r="U835" i="1"/>
  <c r="O836" i="1"/>
  <c r="P836" i="1"/>
  <c r="Q836" i="1"/>
  <c r="R836" i="1"/>
  <c r="S836" i="1"/>
  <c r="T836" i="1"/>
  <c r="U836" i="1"/>
  <c r="O837" i="1"/>
  <c r="P837" i="1"/>
  <c r="Q837" i="1"/>
  <c r="R837" i="1"/>
  <c r="S837" i="1"/>
  <c r="T837" i="1"/>
  <c r="U837" i="1"/>
  <c r="O838" i="1"/>
  <c r="P838" i="1"/>
  <c r="Q838" i="1"/>
  <c r="R838" i="1"/>
  <c r="S838" i="1"/>
  <c r="T838" i="1"/>
  <c r="U838" i="1"/>
  <c r="O839" i="1"/>
  <c r="P839" i="1"/>
  <c r="Q839" i="1"/>
  <c r="R839" i="1"/>
  <c r="S839" i="1"/>
  <c r="T839" i="1"/>
  <c r="U839" i="1"/>
  <c r="O840" i="1"/>
  <c r="P840" i="1"/>
  <c r="Q840" i="1"/>
  <c r="R840" i="1"/>
  <c r="S840" i="1"/>
  <c r="T840" i="1"/>
  <c r="U840" i="1"/>
  <c r="O841" i="1"/>
  <c r="P841" i="1"/>
  <c r="Q841" i="1"/>
  <c r="R841" i="1"/>
  <c r="S841" i="1"/>
  <c r="T841" i="1"/>
  <c r="U841" i="1"/>
  <c r="O842" i="1"/>
  <c r="P842" i="1"/>
  <c r="Q842" i="1"/>
  <c r="R842" i="1"/>
  <c r="S842" i="1"/>
  <c r="T842" i="1"/>
  <c r="U842" i="1"/>
  <c r="O843" i="1"/>
  <c r="P843" i="1"/>
  <c r="Q843" i="1"/>
  <c r="R843" i="1"/>
  <c r="S843" i="1"/>
  <c r="T843" i="1"/>
  <c r="U843" i="1"/>
  <c r="O844" i="1"/>
  <c r="P844" i="1"/>
  <c r="Q844" i="1"/>
  <c r="R844" i="1"/>
  <c r="S844" i="1"/>
  <c r="T844" i="1"/>
  <c r="U844" i="1"/>
  <c r="O845" i="1"/>
  <c r="P845" i="1"/>
  <c r="Q845" i="1"/>
  <c r="R845" i="1"/>
  <c r="S845" i="1"/>
  <c r="T845" i="1"/>
  <c r="U845" i="1"/>
  <c r="O846" i="1"/>
  <c r="P846" i="1"/>
  <c r="Q846" i="1"/>
  <c r="R846" i="1"/>
  <c r="S846" i="1"/>
  <c r="T846" i="1"/>
  <c r="U846" i="1"/>
  <c r="O847" i="1"/>
  <c r="P847" i="1"/>
  <c r="Q847" i="1"/>
  <c r="R847" i="1"/>
  <c r="S847" i="1"/>
  <c r="T847" i="1"/>
  <c r="U847" i="1"/>
  <c r="O848" i="1"/>
  <c r="P848" i="1"/>
  <c r="Q848" i="1"/>
  <c r="R848" i="1"/>
  <c r="S848" i="1"/>
  <c r="T848" i="1"/>
  <c r="U848" i="1"/>
  <c r="O849" i="1"/>
  <c r="P849" i="1"/>
  <c r="Q849" i="1"/>
  <c r="R849" i="1"/>
  <c r="S849" i="1"/>
  <c r="T849" i="1"/>
  <c r="U849" i="1"/>
  <c r="O850" i="1"/>
  <c r="P850" i="1"/>
  <c r="Q850" i="1"/>
  <c r="R850" i="1"/>
  <c r="S850" i="1"/>
  <c r="T850" i="1"/>
  <c r="U850" i="1"/>
  <c r="O851" i="1"/>
  <c r="P851" i="1"/>
  <c r="Q851" i="1"/>
  <c r="R851" i="1"/>
  <c r="S851" i="1"/>
  <c r="T851" i="1"/>
  <c r="U851" i="1"/>
  <c r="O852" i="1"/>
  <c r="P852" i="1"/>
  <c r="Q852" i="1"/>
  <c r="R852" i="1"/>
  <c r="S852" i="1"/>
  <c r="T852" i="1"/>
  <c r="U852" i="1"/>
  <c r="O853" i="1"/>
  <c r="P853" i="1"/>
  <c r="Q853" i="1"/>
  <c r="R853" i="1"/>
  <c r="S853" i="1"/>
  <c r="T853" i="1"/>
  <c r="U853" i="1"/>
  <c r="O854" i="1"/>
  <c r="P854" i="1"/>
  <c r="Q854" i="1"/>
  <c r="R854" i="1"/>
  <c r="S854" i="1"/>
  <c r="T854" i="1"/>
  <c r="U854" i="1"/>
  <c r="O855" i="1"/>
  <c r="P855" i="1"/>
  <c r="Q855" i="1"/>
  <c r="R855" i="1"/>
  <c r="S855" i="1"/>
  <c r="T855" i="1"/>
  <c r="U855" i="1"/>
  <c r="O856" i="1"/>
  <c r="P856" i="1"/>
  <c r="Q856" i="1"/>
  <c r="R856" i="1"/>
  <c r="S856" i="1"/>
  <c r="T856" i="1"/>
  <c r="U856" i="1"/>
  <c r="O857" i="1"/>
  <c r="P857" i="1"/>
  <c r="Q857" i="1"/>
  <c r="R857" i="1"/>
  <c r="S857" i="1"/>
  <c r="T857" i="1"/>
  <c r="U857" i="1"/>
  <c r="O858" i="1"/>
  <c r="P858" i="1"/>
  <c r="Q858" i="1"/>
  <c r="R858" i="1"/>
  <c r="S858" i="1"/>
  <c r="T858" i="1"/>
  <c r="U858" i="1"/>
  <c r="O859" i="1"/>
  <c r="P859" i="1"/>
  <c r="Q859" i="1"/>
  <c r="R859" i="1"/>
  <c r="S859" i="1"/>
  <c r="T859" i="1"/>
  <c r="U859" i="1"/>
  <c r="O860" i="1"/>
  <c r="P860" i="1"/>
  <c r="Q860" i="1"/>
  <c r="R860" i="1"/>
  <c r="S860" i="1"/>
  <c r="T860" i="1"/>
  <c r="U860" i="1"/>
  <c r="O861" i="1"/>
  <c r="P861" i="1"/>
  <c r="Q861" i="1"/>
  <c r="R861" i="1"/>
  <c r="S861" i="1"/>
  <c r="T861" i="1"/>
  <c r="U861" i="1"/>
  <c r="O862" i="1"/>
  <c r="P862" i="1"/>
  <c r="Q862" i="1"/>
  <c r="R862" i="1"/>
  <c r="S862" i="1"/>
  <c r="T862" i="1"/>
  <c r="U862" i="1"/>
  <c r="O863" i="1"/>
  <c r="P863" i="1"/>
  <c r="Q863" i="1"/>
  <c r="R863" i="1"/>
  <c r="S863" i="1"/>
  <c r="T863" i="1"/>
  <c r="U863" i="1"/>
  <c r="O864" i="1"/>
  <c r="P864" i="1"/>
  <c r="Q864" i="1"/>
  <c r="R864" i="1"/>
  <c r="S864" i="1"/>
  <c r="T864" i="1"/>
  <c r="U864" i="1"/>
  <c r="O865" i="1"/>
  <c r="P865" i="1"/>
  <c r="Q865" i="1"/>
  <c r="R865" i="1"/>
  <c r="S865" i="1"/>
  <c r="T865" i="1"/>
  <c r="U865" i="1"/>
  <c r="O866" i="1"/>
  <c r="P866" i="1"/>
  <c r="Q866" i="1"/>
  <c r="R866" i="1"/>
  <c r="S866" i="1"/>
  <c r="T866" i="1"/>
  <c r="U866" i="1"/>
  <c r="O867" i="1"/>
  <c r="P867" i="1"/>
  <c r="Q867" i="1"/>
  <c r="R867" i="1"/>
  <c r="S867" i="1"/>
  <c r="T867" i="1"/>
  <c r="U867" i="1"/>
  <c r="O868" i="1"/>
  <c r="P868" i="1"/>
  <c r="Q868" i="1"/>
  <c r="R868" i="1"/>
  <c r="S868" i="1"/>
  <c r="T868" i="1"/>
  <c r="U868" i="1"/>
  <c r="O869" i="1"/>
  <c r="P869" i="1"/>
  <c r="Q869" i="1"/>
  <c r="R869" i="1"/>
  <c r="S869" i="1"/>
  <c r="T869" i="1"/>
  <c r="U869" i="1"/>
  <c r="O870" i="1"/>
  <c r="P870" i="1"/>
  <c r="Q870" i="1"/>
  <c r="R870" i="1"/>
  <c r="S870" i="1"/>
  <c r="T870" i="1"/>
  <c r="U870" i="1"/>
  <c r="O871" i="1"/>
  <c r="P871" i="1"/>
  <c r="Q871" i="1"/>
  <c r="R871" i="1"/>
  <c r="S871" i="1"/>
  <c r="T871" i="1"/>
  <c r="U871" i="1"/>
  <c r="O872" i="1"/>
  <c r="P872" i="1"/>
  <c r="Q872" i="1"/>
  <c r="R872" i="1"/>
  <c r="S872" i="1"/>
  <c r="T872" i="1"/>
  <c r="U872" i="1"/>
  <c r="O873" i="1"/>
  <c r="P873" i="1"/>
  <c r="Q873" i="1"/>
  <c r="R873" i="1"/>
  <c r="S873" i="1"/>
  <c r="T873" i="1"/>
  <c r="U873" i="1"/>
  <c r="O874" i="1"/>
  <c r="P874" i="1"/>
  <c r="Q874" i="1"/>
  <c r="R874" i="1"/>
  <c r="S874" i="1"/>
  <c r="T874" i="1"/>
  <c r="U874" i="1"/>
  <c r="O875" i="1"/>
  <c r="P875" i="1"/>
  <c r="Q875" i="1"/>
  <c r="R875" i="1"/>
  <c r="S875" i="1"/>
  <c r="T875" i="1"/>
  <c r="U875" i="1"/>
  <c r="O876" i="1"/>
  <c r="P876" i="1"/>
  <c r="Q876" i="1"/>
  <c r="R876" i="1"/>
  <c r="S876" i="1"/>
  <c r="T876" i="1"/>
  <c r="U876" i="1"/>
  <c r="O877" i="1"/>
  <c r="P877" i="1"/>
  <c r="Q877" i="1"/>
  <c r="R877" i="1"/>
  <c r="S877" i="1"/>
  <c r="T877" i="1"/>
  <c r="U877" i="1"/>
  <c r="O878" i="1"/>
  <c r="P878" i="1"/>
  <c r="Q878" i="1"/>
  <c r="R878" i="1"/>
  <c r="S878" i="1"/>
  <c r="T878" i="1"/>
  <c r="U878" i="1"/>
  <c r="O879" i="1"/>
  <c r="P879" i="1"/>
  <c r="Q879" i="1"/>
  <c r="R879" i="1"/>
  <c r="S879" i="1"/>
  <c r="T879" i="1"/>
  <c r="U879" i="1"/>
  <c r="O880" i="1"/>
  <c r="P880" i="1"/>
  <c r="Q880" i="1"/>
  <c r="R880" i="1"/>
  <c r="S880" i="1"/>
  <c r="T880" i="1"/>
  <c r="U880" i="1"/>
  <c r="O881" i="1"/>
  <c r="P881" i="1"/>
  <c r="Q881" i="1"/>
  <c r="R881" i="1"/>
  <c r="S881" i="1"/>
  <c r="T881" i="1"/>
  <c r="U881" i="1"/>
  <c r="O882" i="1"/>
  <c r="P882" i="1"/>
  <c r="Q882" i="1"/>
  <c r="R882" i="1"/>
  <c r="S882" i="1"/>
  <c r="T882" i="1"/>
  <c r="U882" i="1"/>
  <c r="O883" i="1"/>
  <c r="P883" i="1"/>
  <c r="Q883" i="1"/>
  <c r="R883" i="1"/>
  <c r="S883" i="1"/>
  <c r="T883" i="1"/>
  <c r="U883" i="1"/>
  <c r="O884" i="1"/>
  <c r="P884" i="1"/>
  <c r="Q884" i="1"/>
  <c r="R884" i="1"/>
  <c r="S884" i="1"/>
  <c r="T884" i="1"/>
  <c r="U884" i="1"/>
  <c r="O885" i="1"/>
  <c r="P885" i="1"/>
  <c r="Q885" i="1"/>
  <c r="R885" i="1"/>
  <c r="S885" i="1"/>
  <c r="T885" i="1"/>
  <c r="U885" i="1"/>
  <c r="O886" i="1"/>
  <c r="P886" i="1"/>
  <c r="Q886" i="1"/>
  <c r="R886" i="1"/>
  <c r="S886" i="1"/>
  <c r="T886" i="1"/>
  <c r="U886" i="1"/>
  <c r="O887" i="1"/>
  <c r="P887" i="1"/>
  <c r="Q887" i="1"/>
  <c r="R887" i="1"/>
  <c r="S887" i="1"/>
  <c r="T887" i="1"/>
  <c r="U887" i="1"/>
  <c r="O888" i="1"/>
  <c r="P888" i="1"/>
  <c r="Q888" i="1"/>
  <c r="R888" i="1"/>
  <c r="S888" i="1"/>
  <c r="T888" i="1"/>
  <c r="U888" i="1"/>
  <c r="O889" i="1"/>
  <c r="P889" i="1"/>
  <c r="Q889" i="1"/>
  <c r="R889" i="1"/>
  <c r="S889" i="1"/>
  <c r="T889" i="1"/>
  <c r="U889" i="1"/>
  <c r="O890" i="1"/>
  <c r="P890" i="1"/>
  <c r="Q890" i="1"/>
  <c r="R890" i="1"/>
  <c r="S890" i="1"/>
  <c r="T890" i="1"/>
  <c r="U890" i="1"/>
  <c r="O891" i="1"/>
  <c r="P891" i="1"/>
  <c r="Q891" i="1"/>
  <c r="R891" i="1"/>
  <c r="S891" i="1"/>
  <c r="T891" i="1"/>
  <c r="U891" i="1"/>
  <c r="O892" i="1"/>
  <c r="P892" i="1"/>
  <c r="Q892" i="1"/>
  <c r="R892" i="1"/>
  <c r="S892" i="1"/>
  <c r="T892" i="1"/>
  <c r="U892" i="1"/>
  <c r="O893" i="1"/>
  <c r="P893" i="1"/>
  <c r="Q893" i="1"/>
  <c r="R893" i="1"/>
  <c r="S893" i="1"/>
  <c r="T893" i="1"/>
  <c r="U893" i="1"/>
  <c r="O894" i="1"/>
  <c r="P894" i="1"/>
  <c r="Q894" i="1"/>
  <c r="R894" i="1"/>
  <c r="S894" i="1"/>
  <c r="T894" i="1"/>
  <c r="U894" i="1"/>
  <c r="O895" i="1"/>
  <c r="P895" i="1"/>
  <c r="Q895" i="1"/>
  <c r="R895" i="1"/>
  <c r="S895" i="1"/>
  <c r="T895" i="1"/>
  <c r="U895" i="1"/>
  <c r="O896" i="1"/>
  <c r="P896" i="1"/>
  <c r="Q896" i="1"/>
  <c r="R896" i="1"/>
  <c r="S896" i="1"/>
  <c r="T896" i="1"/>
  <c r="U896" i="1"/>
  <c r="O897" i="1"/>
  <c r="P897" i="1"/>
  <c r="Q897" i="1"/>
  <c r="R897" i="1"/>
  <c r="S897" i="1"/>
  <c r="T897" i="1"/>
  <c r="U897" i="1"/>
  <c r="O898" i="1"/>
  <c r="P898" i="1"/>
  <c r="Q898" i="1"/>
  <c r="R898" i="1"/>
  <c r="S898" i="1"/>
  <c r="T898" i="1"/>
  <c r="U898" i="1"/>
  <c r="O899" i="1"/>
  <c r="P899" i="1"/>
  <c r="Q899" i="1"/>
  <c r="R899" i="1"/>
  <c r="S899" i="1"/>
  <c r="T899" i="1"/>
  <c r="U899" i="1"/>
  <c r="O900" i="1"/>
  <c r="P900" i="1"/>
  <c r="Q900" i="1"/>
  <c r="R900" i="1"/>
  <c r="S900" i="1"/>
  <c r="T900" i="1"/>
  <c r="U900" i="1"/>
  <c r="O901" i="1"/>
  <c r="P901" i="1"/>
  <c r="Q901" i="1"/>
  <c r="R901" i="1"/>
  <c r="S901" i="1"/>
  <c r="T901" i="1"/>
  <c r="U901" i="1"/>
  <c r="O902" i="1"/>
  <c r="P902" i="1"/>
  <c r="Q902" i="1"/>
  <c r="R902" i="1"/>
  <c r="S902" i="1"/>
  <c r="T902" i="1"/>
  <c r="U902" i="1"/>
  <c r="O903" i="1"/>
  <c r="P903" i="1"/>
  <c r="Q903" i="1"/>
  <c r="R903" i="1"/>
  <c r="S903" i="1"/>
  <c r="T903" i="1"/>
  <c r="U903" i="1"/>
  <c r="O904" i="1"/>
  <c r="P904" i="1"/>
  <c r="Q904" i="1"/>
  <c r="R904" i="1"/>
  <c r="S904" i="1"/>
  <c r="T904" i="1"/>
  <c r="U904" i="1"/>
  <c r="O905" i="1"/>
  <c r="P905" i="1"/>
  <c r="Q905" i="1"/>
  <c r="R905" i="1"/>
  <c r="S905" i="1"/>
  <c r="T905" i="1"/>
  <c r="U905" i="1"/>
  <c r="O906" i="1"/>
  <c r="P906" i="1"/>
  <c r="Q906" i="1"/>
  <c r="R906" i="1"/>
  <c r="S906" i="1"/>
  <c r="T906" i="1"/>
  <c r="U906" i="1"/>
  <c r="O907" i="1"/>
  <c r="P907" i="1"/>
  <c r="Q907" i="1"/>
  <c r="R907" i="1"/>
  <c r="S907" i="1"/>
  <c r="T907" i="1"/>
  <c r="U907" i="1"/>
  <c r="O908" i="1"/>
  <c r="P908" i="1"/>
  <c r="Q908" i="1"/>
  <c r="R908" i="1"/>
  <c r="S908" i="1"/>
  <c r="T908" i="1"/>
  <c r="U908" i="1"/>
  <c r="O909" i="1"/>
  <c r="P909" i="1"/>
  <c r="Q909" i="1"/>
  <c r="R909" i="1"/>
  <c r="S909" i="1"/>
  <c r="T909" i="1"/>
  <c r="U909" i="1"/>
  <c r="O910" i="1"/>
  <c r="P910" i="1"/>
  <c r="Q910" i="1"/>
  <c r="R910" i="1"/>
  <c r="S910" i="1"/>
  <c r="T910" i="1"/>
  <c r="U910" i="1"/>
  <c r="O911" i="1"/>
  <c r="P911" i="1"/>
  <c r="Q911" i="1"/>
  <c r="R911" i="1"/>
  <c r="S911" i="1"/>
  <c r="T911" i="1"/>
  <c r="U911" i="1"/>
  <c r="O912" i="1"/>
  <c r="P912" i="1"/>
  <c r="Q912" i="1"/>
  <c r="R912" i="1"/>
  <c r="S912" i="1"/>
  <c r="T912" i="1"/>
  <c r="U912" i="1"/>
  <c r="O913" i="1"/>
  <c r="P913" i="1"/>
  <c r="Q913" i="1"/>
  <c r="R913" i="1"/>
  <c r="S913" i="1"/>
  <c r="T913" i="1"/>
  <c r="U913" i="1"/>
  <c r="O914" i="1"/>
  <c r="P914" i="1"/>
  <c r="Q914" i="1"/>
  <c r="R914" i="1"/>
  <c r="S914" i="1"/>
  <c r="T914" i="1"/>
  <c r="U914" i="1"/>
  <c r="O915" i="1"/>
  <c r="P915" i="1"/>
  <c r="Q915" i="1"/>
  <c r="R915" i="1"/>
  <c r="S915" i="1"/>
  <c r="T915" i="1"/>
  <c r="U915" i="1"/>
  <c r="O916" i="1"/>
  <c r="P916" i="1"/>
  <c r="Q916" i="1"/>
  <c r="R916" i="1"/>
  <c r="S916" i="1"/>
  <c r="T916" i="1"/>
  <c r="U916" i="1"/>
  <c r="O917" i="1"/>
  <c r="P917" i="1"/>
  <c r="Q917" i="1"/>
  <c r="R917" i="1"/>
  <c r="S917" i="1"/>
  <c r="T917" i="1"/>
  <c r="U917" i="1"/>
  <c r="O918" i="1"/>
  <c r="P918" i="1"/>
  <c r="Q918" i="1"/>
  <c r="R918" i="1"/>
  <c r="S918" i="1"/>
  <c r="T918" i="1"/>
  <c r="U918" i="1"/>
  <c r="O919" i="1"/>
  <c r="P919" i="1"/>
  <c r="Q919" i="1"/>
  <c r="R919" i="1"/>
  <c r="S919" i="1"/>
  <c r="T919" i="1"/>
  <c r="U919" i="1"/>
  <c r="O920" i="1"/>
  <c r="P920" i="1"/>
  <c r="Q920" i="1"/>
  <c r="R920" i="1"/>
  <c r="S920" i="1"/>
  <c r="T920" i="1"/>
  <c r="U920" i="1"/>
  <c r="O921" i="1"/>
  <c r="P921" i="1"/>
  <c r="Q921" i="1"/>
  <c r="R921" i="1"/>
  <c r="S921" i="1"/>
  <c r="T921" i="1"/>
  <c r="U921" i="1"/>
  <c r="O922" i="1"/>
  <c r="P922" i="1"/>
  <c r="Q922" i="1"/>
  <c r="R922" i="1"/>
  <c r="S922" i="1"/>
  <c r="T922" i="1"/>
  <c r="U922" i="1"/>
  <c r="O923" i="1"/>
  <c r="P923" i="1"/>
  <c r="Q923" i="1"/>
  <c r="R923" i="1"/>
  <c r="S923" i="1"/>
  <c r="T923" i="1"/>
  <c r="U923" i="1"/>
  <c r="O924" i="1"/>
  <c r="P924" i="1"/>
  <c r="Q924" i="1"/>
  <c r="R924" i="1"/>
  <c r="S924" i="1"/>
  <c r="T924" i="1"/>
  <c r="U924" i="1"/>
  <c r="O925" i="1"/>
  <c r="P925" i="1"/>
  <c r="Q925" i="1"/>
  <c r="R925" i="1"/>
  <c r="S925" i="1"/>
  <c r="T925" i="1"/>
  <c r="U925" i="1"/>
  <c r="O926" i="1"/>
  <c r="P926" i="1"/>
  <c r="Q926" i="1"/>
  <c r="R926" i="1"/>
  <c r="S926" i="1"/>
  <c r="T926" i="1"/>
  <c r="U926" i="1"/>
  <c r="O927" i="1"/>
  <c r="P927" i="1"/>
  <c r="Q927" i="1"/>
  <c r="R927" i="1"/>
  <c r="S927" i="1"/>
  <c r="T927" i="1"/>
  <c r="U927" i="1"/>
  <c r="O928" i="1"/>
  <c r="P928" i="1"/>
  <c r="Q928" i="1"/>
  <c r="R928" i="1"/>
  <c r="S928" i="1"/>
  <c r="T928" i="1"/>
  <c r="U928" i="1"/>
  <c r="O929" i="1"/>
  <c r="P929" i="1"/>
  <c r="Q929" i="1"/>
  <c r="R929" i="1"/>
  <c r="S929" i="1"/>
  <c r="T929" i="1"/>
  <c r="U929" i="1"/>
  <c r="O930" i="1"/>
  <c r="P930" i="1"/>
  <c r="Q930" i="1"/>
  <c r="R930" i="1"/>
  <c r="S930" i="1"/>
  <c r="T930" i="1"/>
  <c r="U930" i="1"/>
  <c r="O931" i="1"/>
  <c r="P931" i="1"/>
  <c r="Q931" i="1"/>
  <c r="R931" i="1"/>
  <c r="S931" i="1"/>
  <c r="T931" i="1"/>
  <c r="U931" i="1"/>
  <c r="O932" i="1"/>
  <c r="P932" i="1"/>
  <c r="Q932" i="1"/>
  <c r="R932" i="1"/>
  <c r="S932" i="1"/>
  <c r="T932" i="1"/>
  <c r="U932" i="1"/>
  <c r="O933" i="1"/>
  <c r="P933" i="1"/>
  <c r="Q933" i="1"/>
  <c r="R933" i="1"/>
  <c r="S933" i="1"/>
  <c r="T933" i="1"/>
  <c r="U933" i="1"/>
  <c r="O934" i="1"/>
  <c r="P934" i="1"/>
  <c r="Q934" i="1"/>
  <c r="R934" i="1"/>
  <c r="S934" i="1"/>
  <c r="T934" i="1"/>
  <c r="U934" i="1"/>
  <c r="O935" i="1"/>
  <c r="P935" i="1"/>
  <c r="Q935" i="1"/>
  <c r="R935" i="1"/>
  <c r="S935" i="1"/>
  <c r="T935" i="1"/>
  <c r="U935" i="1"/>
  <c r="O936" i="1"/>
  <c r="P936" i="1"/>
  <c r="Q936" i="1"/>
  <c r="R936" i="1"/>
  <c r="S936" i="1"/>
  <c r="T936" i="1"/>
  <c r="U936" i="1"/>
  <c r="O937" i="1"/>
  <c r="P937" i="1"/>
  <c r="Q937" i="1"/>
  <c r="R937" i="1"/>
  <c r="S937" i="1"/>
  <c r="T937" i="1"/>
  <c r="U937" i="1"/>
  <c r="O938" i="1"/>
  <c r="P938" i="1"/>
  <c r="Q938" i="1"/>
  <c r="R938" i="1"/>
  <c r="S938" i="1"/>
  <c r="T938" i="1"/>
  <c r="U938" i="1"/>
  <c r="O939" i="1"/>
  <c r="P939" i="1"/>
  <c r="Q939" i="1"/>
  <c r="R939" i="1"/>
  <c r="S939" i="1"/>
  <c r="T939" i="1"/>
  <c r="U939" i="1"/>
  <c r="O940" i="1"/>
  <c r="P940" i="1"/>
  <c r="Q940" i="1"/>
  <c r="R940" i="1"/>
  <c r="S940" i="1"/>
  <c r="T940" i="1"/>
  <c r="U940" i="1"/>
  <c r="O941" i="1"/>
  <c r="P941" i="1"/>
  <c r="Q941" i="1"/>
  <c r="R941" i="1"/>
  <c r="S941" i="1"/>
  <c r="T941" i="1"/>
  <c r="U941" i="1"/>
  <c r="O942" i="1"/>
  <c r="P942" i="1"/>
  <c r="Q942" i="1"/>
  <c r="R942" i="1"/>
  <c r="S942" i="1"/>
  <c r="T942" i="1"/>
  <c r="U942" i="1"/>
  <c r="O943" i="1"/>
  <c r="P943" i="1"/>
  <c r="Q943" i="1"/>
  <c r="R943" i="1"/>
  <c r="S943" i="1"/>
  <c r="T943" i="1"/>
  <c r="U943" i="1"/>
  <c r="O944" i="1"/>
  <c r="P944" i="1"/>
  <c r="Q944" i="1"/>
  <c r="R944" i="1"/>
  <c r="S944" i="1"/>
  <c r="T944" i="1"/>
  <c r="U944" i="1"/>
  <c r="O945" i="1"/>
  <c r="P945" i="1"/>
  <c r="Q945" i="1"/>
  <c r="R945" i="1"/>
  <c r="S945" i="1"/>
  <c r="T945" i="1"/>
  <c r="U945" i="1"/>
  <c r="O946" i="1"/>
  <c r="P946" i="1"/>
  <c r="Q946" i="1"/>
  <c r="R946" i="1"/>
  <c r="S946" i="1"/>
  <c r="T946" i="1"/>
  <c r="U946" i="1"/>
  <c r="O947" i="1"/>
  <c r="P947" i="1"/>
  <c r="Q947" i="1"/>
  <c r="R947" i="1"/>
  <c r="S947" i="1"/>
  <c r="T947" i="1"/>
  <c r="U947" i="1"/>
  <c r="O948" i="1"/>
  <c r="P948" i="1"/>
  <c r="Q948" i="1"/>
  <c r="R948" i="1"/>
  <c r="S948" i="1"/>
  <c r="T948" i="1"/>
  <c r="U948" i="1"/>
  <c r="O949" i="1"/>
  <c r="P949" i="1"/>
  <c r="Q949" i="1"/>
  <c r="R949" i="1"/>
  <c r="S949" i="1"/>
  <c r="T949" i="1"/>
  <c r="U949" i="1"/>
  <c r="O950" i="1"/>
  <c r="P950" i="1"/>
  <c r="Q950" i="1"/>
  <c r="R950" i="1"/>
  <c r="S950" i="1"/>
  <c r="T950" i="1"/>
  <c r="U950" i="1"/>
  <c r="O951" i="1"/>
  <c r="P951" i="1"/>
  <c r="Q951" i="1"/>
  <c r="R951" i="1"/>
  <c r="S951" i="1"/>
  <c r="T951" i="1"/>
  <c r="U951" i="1"/>
  <c r="O952" i="1"/>
  <c r="P952" i="1"/>
  <c r="Q952" i="1"/>
  <c r="R952" i="1"/>
  <c r="S952" i="1"/>
  <c r="T952" i="1"/>
  <c r="U952" i="1"/>
  <c r="O953" i="1"/>
  <c r="P953" i="1"/>
  <c r="Q953" i="1"/>
  <c r="R953" i="1"/>
  <c r="S953" i="1"/>
  <c r="T953" i="1"/>
  <c r="U953" i="1"/>
  <c r="O954" i="1"/>
  <c r="P954" i="1"/>
  <c r="Q954" i="1"/>
  <c r="R954" i="1"/>
  <c r="S954" i="1"/>
  <c r="T954" i="1"/>
  <c r="U954" i="1"/>
  <c r="O955" i="1"/>
  <c r="P955" i="1"/>
  <c r="Q955" i="1"/>
  <c r="R955" i="1"/>
  <c r="S955" i="1"/>
  <c r="T955" i="1"/>
  <c r="U955" i="1"/>
  <c r="O956" i="1"/>
  <c r="P956" i="1"/>
  <c r="Q956" i="1"/>
  <c r="R956" i="1"/>
  <c r="S956" i="1"/>
  <c r="T956" i="1"/>
  <c r="U956" i="1"/>
  <c r="O957" i="1"/>
  <c r="P957" i="1"/>
  <c r="Q957" i="1"/>
  <c r="R957" i="1"/>
  <c r="S957" i="1"/>
  <c r="T957" i="1"/>
  <c r="U957" i="1"/>
  <c r="O958" i="1"/>
  <c r="P958" i="1"/>
  <c r="Q958" i="1"/>
  <c r="R958" i="1"/>
  <c r="S958" i="1"/>
  <c r="T958" i="1"/>
  <c r="U958" i="1"/>
  <c r="O959" i="1"/>
  <c r="P959" i="1"/>
  <c r="Q959" i="1"/>
  <c r="R959" i="1"/>
  <c r="S959" i="1"/>
  <c r="T959" i="1"/>
  <c r="U959" i="1"/>
  <c r="O960" i="1"/>
  <c r="P960" i="1"/>
  <c r="Q960" i="1"/>
  <c r="R960" i="1"/>
  <c r="S960" i="1"/>
  <c r="T960" i="1"/>
  <c r="U960" i="1"/>
  <c r="O961" i="1"/>
  <c r="P961" i="1"/>
  <c r="Q961" i="1"/>
  <c r="R961" i="1"/>
  <c r="S961" i="1"/>
  <c r="T961" i="1"/>
  <c r="U961" i="1"/>
  <c r="O962" i="1"/>
  <c r="P962" i="1"/>
  <c r="Q962" i="1"/>
  <c r="R962" i="1"/>
  <c r="S962" i="1"/>
  <c r="T962" i="1"/>
  <c r="U962" i="1"/>
  <c r="O963" i="1"/>
  <c r="P963" i="1"/>
  <c r="Q963" i="1"/>
  <c r="R963" i="1"/>
  <c r="S963" i="1"/>
  <c r="T963" i="1"/>
  <c r="U963" i="1"/>
  <c r="O964" i="1"/>
  <c r="P964" i="1"/>
  <c r="Q964" i="1"/>
  <c r="R964" i="1"/>
  <c r="S964" i="1"/>
  <c r="T964" i="1"/>
  <c r="U964" i="1"/>
  <c r="O965" i="1"/>
  <c r="P965" i="1"/>
  <c r="Q965" i="1"/>
  <c r="R965" i="1"/>
  <c r="S965" i="1"/>
  <c r="T965" i="1"/>
  <c r="U965" i="1"/>
  <c r="O966" i="1"/>
  <c r="P966" i="1"/>
  <c r="Q966" i="1"/>
  <c r="R966" i="1"/>
  <c r="S966" i="1"/>
  <c r="T966" i="1"/>
  <c r="U966" i="1"/>
  <c r="O967" i="1"/>
  <c r="P967" i="1"/>
  <c r="Q967" i="1"/>
  <c r="R967" i="1"/>
  <c r="S967" i="1"/>
  <c r="T967" i="1"/>
  <c r="U967" i="1"/>
  <c r="O968" i="1"/>
  <c r="P968" i="1"/>
  <c r="Q968" i="1"/>
  <c r="R968" i="1"/>
  <c r="S968" i="1"/>
  <c r="T968" i="1"/>
  <c r="U968" i="1"/>
  <c r="O969" i="1"/>
  <c r="P969" i="1"/>
  <c r="Q969" i="1"/>
  <c r="R969" i="1"/>
  <c r="S969" i="1"/>
  <c r="T969" i="1"/>
  <c r="U969" i="1"/>
  <c r="O970" i="1"/>
  <c r="P970" i="1"/>
  <c r="Q970" i="1"/>
  <c r="R970" i="1"/>
  <c r="S970" i="1"/>
  <c r="T970" i="1"/>
  <c r="U970" i="1"/>
  <c r="O971" i="1"/>
  <c r="P971" i="1"/>
  <c r="Q971" i="1"/>
  <c r="R971" i="1"/>
  <c r="S971" i="1"/>
  <c r="T971" i="1"/>
  <c r="U971" i="1"/>
  <c r="O972" i="1"/>
  <c r="P972" i="1"/>
  <c r="Q972" i="1"/>
  <c r="R972" i="1"/>
  <c r="S972" i="1"/>
  <c r="T972" i="1"/>
  <c r="U972" i="1"/>
  <c r="O973" i="1"/>
  <c r="P973" i="1"/>
  <c r="Q973" i="1"/>
  <c r="R973" i="1"/>
  <c r="S973" i="1"/>
  <c r="T973" i="1"/>
  <c r="U973" i="1"/>
  <c r="O974" i="1"/>
  <c r="P974" i="1"/>
  <c r="Q974" i="1"/>
  <c r="R974" i="1"/>
  <c r="S974" i="1"/>
  <c r="T974" i="1"/>
  <c r="U974" i="1"/>
  <c r="O975" i="1"/>
  <c r="P975" i="1"/>
  <c r="Q975" i="1"/>
  <c r="R975" i="1"/>
  <c r="S975" i="1"/>
  <c r="T975" i="1"/>
  <c r="U975" i="1"/>
  <c r="O976" i="1"/>
  <c r="P976" i="1"/>
  <c r="Q976" i="1"/>
  <c r="R976" i="1"/>
  <c r="S976" i="1"/>
  <c r="T976" i="1"/>
  <c r="U976" i="1"/>
  <c r="O977" i="1"/>
  <c r="P977" i="1"/>
  <c r="Q977" i="1"/>
  <c r="R977" i="1"/>
  <c r="S977" i="1"/>
  <c r="T977" i="1"/>
  <c r="U977" i="1"/>
  <c r="O978" i="1"/>
  <c r="P978" i="1"/>
  <c r="Q978" i="1"/>
  <c r="R978" i="1"/>
  <c r="S978" i="1"/>
  <c r="T978" i="1"/>
  <c r="U978" i="1"/>
  <c r="O979" i="1"/>
  <c r="P979" i="1"/>
  <c r="Q979" i="1"/>
  <c r="R979" i="1"/>
  <c r="S979" i="1"/>
  <c r="T979" i="1"/>
  <c r="U979" i="1"/>
  <c r="O980" i="1"/>
  <c r="P980" i="1"/>
  <c r="Q980" i="1"/>
  <c r="R980" i="1"/>
  <c r="S980" i="1"/>
  <c r="T980" i="1"/>
  <c r="U980" i="1"/>
  <c r="O981" i="1"/>
  <c r="P981" i="1"/>
  <c r="Q981" i="1"/>
  <c r="R981" i="1"/>
  <c r="S981" i="1"/>
  <c r="T981" i="1"/>
  <c r="U981" i="1"/>
  <c r="O982" i="1"/>
  <c r="P982" i="1"/>
  <c r="Q982" i="1"/>
  <c r="R982" i="1"/>
  <c r="S982" i="1"/>
  <c r="T982" i="1"/>
  <c r="U982" i="1"/>
  <c r="O983" i="1"/>
  <c r="P983" i="1"/>
  <c r="Q983" i="1"/>
  <c r="R983" i="1"/>
  <c r="S983" i="1"/>
  <c r="T983" i="1"/>
  <c r="U983" i="1"/>
  <c r="O984" i="1"/>
  <c r="P984" i="1"/>
  <c r="Q984" i="1"/>
  <c r="R984" i="1"/>
  <c r="S984" i="1"/>
  <c r="T984" i="1"/>
  <c r="U984" i="1"/>
  <c r="O985" i="1"/>
  <c r="P985" i="1"/>
  <c r="Q985" i="1"/>
  <c r="R985" i="1"/>
  <c r="S985" i="1"/>
  <c r="T985" i="1"/>
  <c r="U985" i="1"/>
  <c r="O986" i="1"/>
  <c r="P986" i="1"/>
  <c r="Q986" i="1"/>
  <c r="R986" i="1"/>
  <c r="S986" i="1"/>
  <c r="T986" i="1"/>
  <c r="U986" i="1"/>
  <c r="O987" i="1"/>
  <c r="P987" i="1"/>
  <c r="Q987" i="1"/>
  <c r="R987" i="1"/>
  <c r="S987" i="1"/>
  <c r="T987" i="1"/>
  <c r="U987" i="1"/>
  <c r="O988" i="1"/>
  <c r="P988" i="1"/>
  <c r="Q988" i="1"/>
  <c r="R988" i="1"/>
  <c r="S988" i="1"/>
  <c r="T988" i="1"/>
  <c r="U988" i="1"/>
  <c r="O989" i="1"/>
  <c r="P989" i="1"/>
  <c r="Q989" i="1"/>
  <c r="R989" i="1"/>
  <c r="S989" i="1"/>
  <c r="T989" i="1"/>
  <c r="U989" i="1"/>
  <c r="O990" i="1"/>
  <c r="P990" i="1"/>
  <c r="Q990" i="1"/>
  <c r="R990" i="1"/>
  <c r="S990" i="1"/>
  <c r="T990" i="1"/>
  <c r="U990" i="1"/>
  <c r="O991" i="1"/>
  <c r="P991" i="1"/>
  <c r="Q991" i="1"/>
  <c r="R991" i="1"/>
  <c r="S991" i="1"/>
  <c r="T991" i="1"/>
  <c r="U991" i="1"/>
  <c r="O992" i="1"/>
  <c r="P992" i="1"/>
  <c r="Q992" i="1"/>
  <c r="R992" i="1"/>
  <c r="S992" i="1"/>
  <c r="T992" i="1"/>
  <c r="U992" i="1"/>
  <c r="O993" i="1"/>
  <c r="P993" i="1"/>
  <c r="Q993" i="1"/>
  <c r="R993" i="1"/>
  <c r="S993" i="1"/>
  <c r="T993" i="1"/>
  <c r="U993" i="1"/>
  <c r="O994" i="1"/>
  <c r="P994" i="1"/>
  <c r="Q994" i="1"/>
  <c r="R994" i="1"/>
  <c r="S994" i="1"/>
  <c r="T994" i="1"/>
  <c r="U994" i="1"/>
  <c r="O995" i="1"/>
  <c r="P995" i="1"/>
  <c r="Q995" i="1"/>
  <c r="R995" i="1"/>
  <c r="S995" i="1"/>
  <c r="T995" i="1"/>
  <c r="U995" i="1"/>
  <c r="O996" i="1"/>
  <c r="P996" i="1"/>
  <c r="Q996" i="1"/>
  <c r="R996" i="1"/>
  <c r="S996" i="1"/>
  <c r="T996" i="1"/>
  <c r="U996" i="1"/>
  <c r="O997" i="1"/>
  <c r="P997" i="1"/>
  <c r="Q997" i="1"/>
  <c r="R997" i="1"/>
  <c r="S997" i="1"/>
  <c r="T997" i="1"/>
  <c r="U997" i="1"/>
  <c r="O998" i="1"/>
  <c r="P998" i="1"/>
  <c r="Q998" i="1"/>
  <c r="R998" i="1"/>
  <c r="S998" i="1"/>
  <c r="T998" i="1"/>
  <c r="U998" i="1"/>
  <c r="O999" i="1"/>
  <c r="P999" i="1"/>
  <c r="Q999" i="1"/>
  <c r="R999" i="1"/>
  <c r="S999" i="1"/>
  <c r="T999" i="1"/>
  <c r="U999" i="1"/>
  <c r="O1000" i="1"/>
  <c r="P1000" i="1"/>
  <c r="Q1000" i="1"/>
  <c r="R1000" i="1"/>
  <c r="S1000" i="1"/>
  <c r="T1000" i="1"/>
  <c r="U1000" i="1"/>
  <c r="O1001" i="1"/>
  <c r="P1001" i="1"/>
  <c r="Q1001" i="1"/>
  <c r="R1001" i="1"/>
  <c r="S1001" i="1"/>
  <c r="T1001" i="1"/>
  <c r="U1001" i="1"/>
  <c r="O1002" i="1"/>
  <c r="P1002" i="1"/>
  <c r="Q1002" i="1"/>
  <c r="R1002" i="1"/>
  <c r="S1002" i="1"/>
  <c r="T1002" i="1"/>
  <c r="U1002" i="1"/>
  <c r="O1003" i="1"/>
  <c r="P1003" i="1"/>
  <c r="Q1003" i="1"/>
  <c r="R1003" i="1"/>
  <c r="S1003" i="1"/>
  <c r="T1003" i="1"/>
  <c r="U1003" i="1"/>
  <c r="O1004" i="1"/>
  <c r="P1004" i="1"/>
  <c r="Q1004" i="1"/>
  <c r="R1004" i="1"/>
  <c r="S1004" i="1"/>
  <c r="T1004" i="1"/>
  <c r="U1004" i="1"/>
  <c r="O1005" i="1"/>
  <c r="P1005" i="1"/>
  <c r="Q1005" i="1"/>
  <c r="R1005" i="1"/>
  <c r="S1005" i="1"/>
  <c r="T1005" i="1"/>
  <c r="U1005" i="1"/>
  <c r="O1006" i="1"/>
  <c r="P1006" i="1"/>
  <c r="Q1006" i="1"/>
  <c r="R1006" i="1"/>
  <c r="S1006" i="1"/>
  <c r="T1006" i="1"/>
  <c r="U1006" i="1"/>
  <c r="O1007" i="1"/>
  <c r="P1007" i="1"/>
  <c r="Q1007" i="1"/>
  <c r="R1007" i="1"/>
  <c r="S1007" i="1"/>
  <c r="T1007" i="1"/>
  <c r="U1007" i="1"/>
  <c r="O1008" i="1"/>
  <c r="P1008" i="1"/>
  <c r="Q1008" i="1"/>
  <c r="R1008" i="1"/>
  <c r="S1008" i="1"/>
  <c r="T1008" i="1"/>
  <c r="U1008" i="1"/>
  <c r="O1009" i="1"/>
  <c r="P1009" i="1"/>
  <c r="Q1009" i="1"/>
  <c r="R1009" i="1"/>
  <c r="S1009" i="1"/>
  <c r="T1009" i="1"/>
  <c r="U1009" i="1"/>
  <c r="O1010" i="1"/>
  <c r="P1010" i="1"/>
  <c r="Q1010" i="1"/>
  <c r="R1010" i="1"/>
  <c r="S1010" i="1"/>
  <c r="T1010" i="1"/>
  <c r="U1010" i="1"/>
  <c r="O1011" i="1"/>
  <c r="P1011" i="1"/>
  <c r="Q1011" i="1"/>
  <c r="R1011" i="1"/>
  <c r="S1011" i="1"/>
  <c r="T1011" i="1"/>
  <c r="U1011" i="1"/>
  <c r="O1012" i="1"/>
  <c r="P1012" i="1"/>
  <c r="Q1012" i="1"/>
  <c r="R1012" i="1"/>
  <c r="S1012" i="1"/>
  <c r="T1012" i="1"/>
  <c r="U1012" i="1"/>
  <c r="O1013" i="1"/>
  <c r="P1013" i="1"/>
  <c r="Q1013" i="1"/>
  <c r="R1013" i="1"/>
  <c r="S1013" i="1"/>
  <c r="T1013" i="1"/>
  <c r="U1013" i="1"/>
  <c r="O1014" i="1"/>
  <c r="P1014" i="1"/>
  <c r="Q1014" i="1"/>
  <c r="R1014" i="1"/>
  <c r="S1014" i="1"/>
  <c r="T1014" i="1"/>
  <c r="U1014" i="1"/>
  <c r="O1015" i="1"/>
  <c r="P1015" i="1"/>
  <c r="Q1015" i="1"/>
  <c r="R1015" i="1"/>
  <c r="S1015" i="1"/>
  <c r="T1015" i="1"/>
  <c r="U1015" i="1"/>
  <c r="O1016" i="1"/>
  <c r="P1016" i="1"/>
  <c r="Q1016" i="1"/>
  <c r="R1016" i="1"/>
  <c r="S1016" i="1"/>
  <c r="T1016" i="1"/>
  <c r="U1016" i="1"/>
  <c r="O1017" i="1"/>
  <c r="P1017" i="1"/>
  <c r="Q1017" i="1"/>
  <c r="R1017" i="1"/>
  <c r="S1017" i="1"/>
  <c r="T1017" i="1"/>
  <c r="U1017" i="1"/>
  <c r="O1018" i="1"/>
  <c r="P1018" i="1"/>
  <c r="Q1018" i="1"/>
  <c r="R1018" i="1"/>
  <c r="S1018" i="1"/>
  <c r="T1018" i="1"/>
  <c r="U1018" i="1"/>
  <c r="O1019" i="1"/>
  <c r="P1019" i="1"/>
  <c r="Q1019" i="1"/>
  <c r="R1019" i="1"/>
  <c r="S1019" i="1"/>
  <c r="T1019" i="1"/>
  <c r="U1019" i="1"/>
  <c r="O1020" i="1"/>
  <c r="P1020" i="1"/>
  <c r="Q1020" i="1"/>
  <c r="R1020" i="1"/>
  <c r="S1020" i="1"/>
  <c r="T1020" i="1"/>
  <c r="U1020" i="1"/>
  <c r="O1021" i="1"/>
  <c r="P1021" i="1"/>
  <c r="Q1021" i="1"/>
  <c r="R1021" i="1"/>
  <c r="S1021" i="1"/>
  <c r="T1021" i="1"/>
  <c r="U1021" i="1"/>
  <c r="O1022" i="1"/>
  <c r="P1022" i="1"/>
  <c r="Q1022" i="1"/>
  <c r="R1022" i="1"/>
  <c r="S1022" i="1"/>
  <c r="T1022" i="1"/>
  <c r="U1022" i="1"/>
  <c r="O1023" i="1"/>
  <c r="P1023" i="1"/>
  <c r="Q1023" i="1"/>
  <c r="R1023" i="1"/>
  <c r="S1023" i="1"/>
  <c r="T1023" i="1"/>
  <c r="U1023" i="1"/>
  <c r="O1024" i="1"/>
  <c r="P1024" i="1"/>
  <c r="Q1024" i="1"/>
  <c r="R1024" i="1"/>
  <c r="S1024" i="1"/>
  <c r="T1024" i="1"/>
  <c r="U1024" i="1"/>
  <c r="O1025" i="1"/>
  <c r="P1025" i="1"/>
  <c r="Q1025" i="1"/>
  <c r="R1025" i="1"/>
  <c r="S1025" i="1"/>
  <c r="T1025" i="1"/>
  <c r="U1025" i="1"/>
  <c r="O1026" i="1"/>
  <c r="P1026" i="1"/>
  <c r="Q1026" i="1"/>
  <c r="R1026" i="1"/>
  <c r="S1026" i="1"/>
  <c r="T1026" i="1"/>
  <c r="U1026" i="1"/>
  <c r="O1027" i="1"/>
  <c r="P1027" i="1"/>
  <c r="Q1027" i="1"/>
  <c r="R1027" i="1"/>
  <c r="S1027" i="1"/>
  <c r="T1027" i="1"/>
  <c r="U1027" i="1"/>
  <c r="O1028" i="1"/>
  <c r="P1028" i="1"/>
  <c r="Q1028" i="1"/>
  <c r="R1028" i="1"/>
  <c r="S1028" i="1"/>
  <c r="T1028" i="1"/>
  <c r="U1028" i="1"/>
  <c r="O1029" i="1"/>
  <c r="P1029" i="1"/>
  <c r="Q1029" i="1"/>
  <c r="R1029" i="1"/>
  <c r="S1029" i="1"/>
  <c r="T1029" i="1"/>
  <c r="U1029" i="1"/>
  <c r="O1030" i="1"/>
  <c r="P1030" i="1"/>
  <c r="Q1030" i="1"/>
  <c r="R1030" i="1"/>
  <c r="S1030" i="1"/>
  <c r="T1030" i="1"/>
  <c r="U1030" i="1"/>
  <c r="O1031" i="1"/>
  <c r="P1031" i="1"/>
  <c r="Q1031" i="1"/>
  <c r="R1031" i="1"/>
  <c r="S1031" i="1"/>
  <c r="T1031" i="1"/>
  <c r="U1031" i="1"/>
  <c r="O1032" i="1"/>
  <c r="P1032" i="1"/>
  <c r="Q1032" i="1"/>
  <c r="R1032" i="1"/>
  <c r="S1032" i="1"/>
  <c r="T1032" i="1"/>
  <c r="U1032" i="1"/>
  <c r="O1033" i="1"/>
  <c r="P1033" i="1"/>
  <c r="Q1033" i="1"/>
  <c r="R1033" i="1"/>
  <c r="S1033" i="1"/>
  <c r="T1033" i="1"/>
  <c r="U1033" i="1"/>
  <c r="O1034" i="1"/>
  <c r="P1034" i="1"/>
  <c r="Q1034" i="1"/>
  <c r="R1034" i="1"/>
  <c r="S1034" i="1"/>
  <c r="T1034" i="1"/>
  <c r="U1034" i="1"/>
  <c r="O1035" i="1"/>
  <c r="P1035" i="1"/>
  <c r="Q1035" i="1"/>
  <c r="R1035" i="1"/>
  <c r="S1035" i="1"/>
  <c r="T1035" i="1"/>
  <c r="U1035" i="1"/>
  <c r="O1036" i="1"/>
  <c r="P1036" i="1"/>
  <c r="Q1036" i="1"/>
  <c r="R1036" i="1"/>
  <c r="S1036" i="1"/>
  <c r="T1036" i="1"/>
  <c r="U1036" i="1"/>
  <c r="O1037" i="1"/>
  <c r="P1037" i="1"/>
  <c r="Q1037" i="1"/>
  <c r="R1037" i="1"/>
  <c r="S1037" i="1"/>
  <c r="T1037" i="1"/>
  <c r="U1037" i="1"/>
  <c r="O1038" i="1"/>
  <c r="P1038" i="1"/>
  <c r="Q1038" i="1"/>
  <c r="R1038" i="1"/>
  <c r="S1038" i="1"/>
  <c r="T1038" i="1"/>
  <c r="U1038" i="1"/>
  <c r="O1039" i="1"/>
  <c r="P1039" i="1"/>
  <c r="Q1039" i="1"/>
  <c r="R1039" i="1"/>
  <c r="S1039" i="1"/>
  <c r="T1039" i="1"/>
  <c r="U1039" i="1"/>
  <c r="O1040" i="1"/>
  <c r="P1040" i="1"/>
  <c r="Q1040" i="1"/>
  <c r="R1040" i="1"/>
  <c r="S1040" i="1"/>
  <c r="T1040" i="1"/>
  <c r="U1040" i="1"/>
  <c r="O1041" i="1"/>
  <c r="P1041" i="1"/>
  <c r="Q1041" i="1"/>
  <c r="R1041" i="1"/>
  <c r="S1041" i="1"/>
  <c r="T1041" i="1"/>
  <c r="U1041" i="1"/>
  <c r="O1042" i="1"/>
  <c r="P1042" i="1"/>
  <c r="Q1042" i="1"/>
  <c r="R1042" i="1"/>
  <c r="S1042" i="1"/>
  <c r="T1042" i="1"/>
  <c r="U1042" i="1"/>
  <c r="O1043" i="1"/>
  <c r="P1043" i="1"/>
  <c r="Q1043" i="1"/>
  <c r="R1043" i="1"/>
  <c r="S1043" i="1"/>
  <c r="T1043" i="1"/>
  <c r="U1043" i="1"/>
  <c r="O1044" i="1"/>
  <c r="P1044" i="1"/>
  <c r="Q1044" i="1"/>
  <c r="R1044" i="1"/>
  <c r="S1044" i="1"/>
  <c r="T1044" i="1"/>
  <c r="U1044" i="1"/>
  <c r="O1045" i="1"/>
  <c r="P1045" i="1"/>
  <c r="Q1045" i="1"/>
  <c r="R1045" i="1"/>
  <c r="S1045" i="1"/>
  <c r="T1045" i="1"/>
  <c r="U1045" i="1"/>
  <c r="O1046" i="1"/>
  <c r="P1046" i="1"/>
  <c r="Q1046" i="1"/>
  <c r="R1046" i="1"/>
  <c r="S1046" i="1"/>
  <c r="T1046" i="1"/>
  <c r="U1046" i="1"/>
  <c r="O1047" i="1"/>
  <c r="P1047" i="1"/>
  <c r="Q1047" i="1"/>
  <c r="R1047" i="1"/>
  <c r="S1047" i="1"/>
  <c r="T1047" i="1"/>
  <c r="U1047" i="1"/>
  <c r="O1048" i="1"/>
  <c r="P1048" i="1"/>
  <c r="Q1048" i="1"/>
  <c r="R1048" i="1"/>
  <c r="S1048" i="1"/>
  <c r="T1048" i="1"/>
  <c r="U1048" i="1"/>
  <c r="O1049" i="1"/>
  <c r="P1049" i="1"/>
  <c r="Q1049" i="1"/>
  <c r="R1049" i="1"/>
  <c r="S1049" i="1"/>
  <c r="T1049" i="1"/>
  <c r="U1049" i="1"/>
  <c r="O1050" i="1"/>
  <c r="P1050" i="1"/>
  <c r="Q1050" i="1"/>
  <c r="R1050" i="1"/>
  <c r="S1050" i="1"/>
  <c r="T1050" i="1"/>
  <c r="U1050" i="1"/>
  <c r="O1051" i="1"/>
  <c r="P1051" i="1"/>
  <c r="Q1051" i="1"/>
  <c r="R1051" i="1"/>
  <c r="S1051" i="1"/>
  <c r="T1051" i="1"/>
  <c r="U1051" i="1"/>
  <c r="O1052" i="1"/>
  <c r="P1052" i="1"/>
  <c r="Q1052" i="1"/>
  <c r="R1052" i="1"/>
  <c r="S1052" i="1"/>
  <c r="T1052" i="1"/>
  <c r="U1052" i="1"/>
  <c r="O1053" i="1"/>
  <c r="P1053" i="1"/>
  <c r="Q1053" i="1"/>
  <c r="R1053" i="1"/>
  <c r="S1053" i="1"/>
  <c r="T1053" i="1"/>
  <c r="U1053" i="1"/>
  <c r="O1054" i="1"/>
  <c r="P1054" i="1"/>
  <c r="Q1054" i="1"/>
  <c r="R1054" i="1"/>
  <c r="S1054" i="1"/>
  <c r="T1054" i="1"/>
  <c r="U1054" i="1"/>
  <c r="O1055" i="1"/>
  <c r="P1055" i="1"/>
  <c r="Q1055" i="1"/>
  <c r="R1055" i="1"/>
  <c r="S1055" i="1"/>
  <c r="T1055" i="1"/>
  <c r="U1055" i="1"/>
  <c r="O1056" i="1"/>
  <c r="P1056" i="1"/>
  <c r="Q1056" i="1"/>
  <c r="R1056" i="1"/>
  <c r="S1056" i="1"/>
  <c r="T1056" i="1"/>
  <c r="U1056" i="1"/>
  <c r="O1057" i="1"/>
  <c r="P1057" i="1"/>
  <c r="Q1057" i="1"/>
  <c r="R1057" i="1"/>
  <c r="S1057" i="1"/>
  <c r="T1057" i="1"/>
  <c r="U1057" i="1"/>
  <c r="O1058" i="1"/>
  <c r="P1058" i="1"/>
  <c r="Q1058" i="1"/>
  <c r="R1058" i="1"/>
  <c r="S1058" i="1"/>
  <c r="T1058" i="1"/>
  <c r="U1058" i="1"/>
  <c r="O1059" i="1"/>
  <c r="P1059" i="1"/>
  <c r="Q1059" i="1"/>
  <c r="R1059" i="1"/>
  <c r="S1059" i="1"/>
  <c r="T1059" i="1"/>
  <c r="U1059" i="1"/>
  <c r="O1060" i="1"/>
  <c r="P1060" i="1"/>
  <c r="Q1060" i="1"/>
  <c r="R1060" i="1"/>
  <c r="S1060" i="1"/>
  <c r="T1060" i="1"/>
  <c r="U1060" i="1"/>
  <c r="O1061" i="1"/>
  <c r="P1061" i="1"/>
  <c r="Q1061" i="1"/>
  <c r="R1061" i="1"/>
  <c r="S1061" i="1"/>
  <c r="T1061" i="1"/>
  <c r="U1061" i="1"/>
  <c r="O1062" i="1"/>
  <c r="P1062" i="1"/>
  <c r="Q1062" i="1"/>
  <c r="R1062" i="1"/>
  <c r="S1062" i="1"/>
  <c r="T1062" i="1"/>
  <c r="U1062" i="1"/>
  <c r="O1063" i="1"/>
  <c r="P1063" i="1"/>
  <c r="Q1063" i="1"/>
  <c r="R1063" i="1"/>
  <c r="S1063" i="1"/>
  <c r="T1063" i="1"/>
  <c r="U1063" i="1"/>
  <c r="O1064" i="1"/>
  <c r="P1064" i="1"/>
  <c r="Q1064" i="1"/>
  <c r="R1064" i="1"/>
  <c r="S1064" i="1"/>
  <c r="T1064" i="1"/>
  <c r="U1064" i="1"/>
  <c r="O1065" i="1"/>
  <c r="P1065" i="1"/>
  <c r="Q1065" i="1"/>
  <c r="R1065" i="1"/>
  <c r="S1065" i="1"/>
  <c r="T1065" i="1"/>
  <c r="U1065" i="1"/>
  <c r="O1066" i="1"/>
  <c r="P1066" i="1"/>
  <c r="Q1066" i="1"/>
  <c r="R1066" i="1"/>
  <c r="S1066" i="1"/>
  <c r="T1066" i="1"/>
  <c r="U1066" i="1"/>
  <c r="O1067" i="1"/>
  <c r="P1067" i="1"/>
  <c r="Q1067" i="1"/>
  <c r="R1067" i="1"/>
  <c r="S1067" i="1"/>
  <c r="T1067" i="1"/>
  <c r="U1067" i="1"/>
  <c r="O1068" i="1"/>
  <c r="P1068" i="1"/>
  <c r="Q1068" i="1"/>
  <c r="R1068" i="1"/>
  <c r="S1068" i="1"/>
  <c r="T1068" i="1"/>
  <c r="U1068" i="1"/>
  <c r="O1069" i="1"/>
  <c r="P1069" i="1"/>
  <c r="Q1069" i="1"/>
  <c r="R1069" i="1"/>
  <c r="S1069" i="1"/>
  <c r="T1069" i="1"/>
  <c r="U1069" i="1"/>
  <c r="O1070" i="1"/>
  <c r="P1070" i="1"/>
  <c r="Q1070" i="1"/>
  <c r="R1070" i="1"/>
  <c r="S1070" i="1"/>
  <c r="T1070" i="1"/>
  <c r="U1070" i="1"/>
  <c r="O1071" i="1"/>
  <c r="P1071" i="1"/>
  <c r="Q1071" i="1"/>
  <c r="R1071" i="1"/>
  <c r="S1071" i="1"/>
  <c r="T1071" i="1"/>
  <c r="U1071" i="1"/>
  <c r="O1072" i="1"/>
  <c r="P1072" i="1"/>
  <c r="Q1072" i="1"/>
  <c r="R1072" i="1"/>
  <c r="S1072" i="1"/>
  <c r="T1072" i="1"/>
  <c r="U1072" i="1"/>
  <c r="O1073" i="1"/>
  <c r="P1073" i="1"/>
  <c r="Q1073" i="1"/>
  <c r="R1073" i="1"/>
  <c r="S1073" i="1"/>
  <c r="T1073" i="1"/>
  <c r="U1073" i="1"/>
  <c r="O1074" i="1"/>
  <c r="P1074" i="1"/>
  <c r="Q1074" i="1"/>
  <c r="R1074" i="1"/>
  <c r="S1074" i="1"/>
  <c r="T1074" i="1"/>
  <c r="U1074" i="1"/>
  <c r="O1075" i="1"/>
  <c r="P1075" i="1"/>
  <c r="Q1075" i="1"/>
  <c r="R1075" i="1"/>
  <c r="S1075" i="1"/>
  <c r="T1075" i="1"/>
  <c r="U1075" i="1"/>
  <c r="O1076" i="1"/>
  <c r="P1076" i="1"/>
  <c r="Q1076" i="1"/>
  <c r="R1076" i="1"/>
  <c r="S1076" i="1"/>
  <c r="T1076" i="1"/>
  <c r="U1076" i="1"/>
  <c r="O1077" i="1"/>
  <c r="P1077" i="1"/>
  <c r="Q1077" i="1"/>
  <c r="R1077" i="1"/>
  <c r="S1077" i="1"/>
  <c r="T1077" i="1"/>
  <c r="U1077" i="1"/>
  <c r="O1078" i="1"/>
  <c r="P1078" i="1"/>
  <c r="Q1078" i="1"/>
  <c r="R1078" i="1"/>
  <c r="S1078" i="1"/>
  <c r="T1078" i="1"/>
  <c r="U1078" i="1"/>
  <c r="O1079" i="1"/>
  <c r="P1079" i="1"/>
  <c r="Q1079" i="1"/>
  <c r="R1079" i="1"/>
  <c r="S1079" i="1"/>
  <c r="T1079" i="1"/>
  <c r="U1079" i="1"/>
  <c r="O1080" i="1"/>
  <c r="P1080" i="1"/>
  <c r="Q1080" i="1"/>
  <c r="R1080" i="1"/>
  <c r="S1080" i="1"/>
  <c r="T1080" i="1"/>
  <c r="U1080" i="1"/>
  <c r="O1081" i="1"/>
  <c r="P1081" i="1"/>
  <c r="Q1081" i="1"/>
  <c r="R1081" i="1"/>
  <c r="S1081" i="1"/>
  <c r="T1081" i="1"/>
  <c r="U1081" i="1"/>
  <c r="O1082" i="1"/>
  <c r="P1082" i="1"/>
  <c r="Q1082" i="1"/>
  <c r="R1082" i="1"/>
  <c r="S1082" i="1"/>
  <c r="T1082" i="1"/>
  <c r="U1082" i="1"/>
  <c r="O1083" i="1"/>
  <c r="P1083" i="1"/>
  <c r="Q1083" i="1"/>
  <c r="R1083" i="1"/>
  <c r="S1083" i="1"/>
  <c r="T1083" i="1"/>
  <c r="U1083" i="1"/>
  <c r="O1084" i="1"/>
  <c r="P1084" i="1"/>
  <c r="Q1084" i="1"/>
  <c r="R1084" i="1"/>
  <c r="S1084" i="1"/>
  <c r="T1084" i="1"/>
  <c r="U1084" i="1"/>
  <c r="O1085" i="1"/>
  <c r="P1085" i="1"/>
  <c r="Q1085" i="1"/>
  <c r="R1085" i="1"/>
  <c r="S1085" i="1"/>
  <c r="T1085" i="1"/>
  <c r="U1085" i="1"/>
  <c r="O1086" i="1"/>
  <c r="P1086" i="1"/>
  <c r="Q1086" i="1"/>
  <c r="R1086" i="1"/>
  <c r="S1086" i="1"/>
  <c r="T1086" i="1"/>
  <c r="U1086" i="1"/>
  <c r="O1087" i="1"/>
  <c r="P1087" i="1"/>
  <c r="Q1087" i="1"/>
  <c r="R1087" i="1"/>
  <c r="S1087" i="1"/>
  <c r="T1087" i="1"/>
  <c r="U1087" i="1"/>
  <c r="O1088" i="1"/>
  <c r="P1088" i="1"/>
  <c r="Q1088" i="1"/>
  <c r="R1088" i="1"/>
  <c r="S1088" i="1"/>
  <c r="T1088" i="1"/>
  <c r="U1088" i="1"/>
  <c r="O1089" i="1"/>
  <c r="P1089" i="1"/>
  <c r="Q1089" i="1"/>
  <c r="R1089" i="1"/>
  <c r="S1089" i="1"/>
  <c r="T1089" i="1"/>
  <c r="U1089" i="1"/>
  <c r="O1090" i="1"/>
  <c r="P1090" i="1"/>
  <c r="Q1090" i="1"/>
  <c r="R1090" i="1"/>
  <c r="S1090" i="1"/>
  <c r="T1090" i="1"/>
  <c r="U1090" i="1"/>
  <c r="O1091" i="1"/>
  <c r="P1091" i="1"/>
  <c r="Q1091" i="1"/>
  <c r="R1091" i="1"/>
  <c r="S1091" i="1"/>
  <c r="T1091" i="1"/>
  <c r="U1091" i="1"/>
  <c r="O1092" i="1"/>
  <c r="P1092" i="1"/>
  <c r="Q1092" i="1"/>
  <c r="R1092" i="1"/>
  <c r="S1092" i="1"/>
  <c r="T1092" i="1"/>
  <c r="U1092" i="1"/>
  <c r="O1093" i="1"/>
  <c r="P1093" i="1"/>
  <c r="Q1093" i="1"/>
  <c r="R1093" i="1"/>
  <c r="S1093" i="1"/>
  <c r="T1093" i="1"/>
  <c r="U1093" i="1"/>
  <c r="O1094" i="1"/>
  <c r="P1094" i="1"/>
  <c r="Q1094" i="1"/>
  <c r="R1094" i="1"/>
  <c r="S1094" i="1"/>
  <c r="T1094" i="1"/>
  <c r="U1094" i="1"/>
  <c r="O1095" i="1"/>
  <c r="P1095" i="1"/>
  <c r="Q1095" i="1"/>
  <c r="R1095" i="1"/>
  <c r="S1095" i="1"/>
  <c r="T1095" i="1"/>
  <c r="U1095" i="1"/>
  <c r="O1096" i="1"/>
  <c r="P1096" i="1"/>
  <c r="Q1096" i="1"/>
  <c r="R1096" i="1"/>
  <c r="S1096" i="1"/>
  <c r="T1096" i="1"/>
  <c r="U1096" i="1"/>
  <c r="O1097" i="1"/>
  <c r="P1097" i="1"/>
  <c r="Q1097" i="1"/>
  <c r="R1097" i="1"/>
  <c r="S1097" i="1"/>
  <c r="T1097" i="1"/>
  <c r="U1097" i="1"/>
  <c r="O1098" i="1"/>
  <c r="P1098" i="1"/>
  <c r="Q1098" i="1"/>
  <c r="R1098" i="1"/>
  <c r="S1098" i="1"/>
  <c r="T1098" i="1"/>
  <c r="U1098" i="1"/>
  <c r="O1099" i="1"/>
  <c r="P1099" i="1"/>
  <c r="Q1099" i="1"/>
  <c r="R1099" i="1"/>
  <c r="S1099" i="1"/>
  <c r="T1099" i="1"/>
  <c r="U1099" i="1"/>
  <c r="O1100" i="1"/>
  <c r="P1100" i="1"/>
  <c r="Q1100" i="1"/>
  <c r="R1100" i="1"/>
  <c r="S1100" i="1"/>
  <c r="T1100" i="1"/>
  <c r="U1100" i="1"/>
  <c r="O1101" i="1"/>
  <c r="P1101" i="1"/>
  <c r="Q1101" i="1"/>
  <c r="R1101" i="1"/>
  <c r="S1101" i="1"/>
  <c r="T1101" i="1"/>
  <c r="U1101" i="1"/>
  <c r="O1102" i="1"/>
  <c r="P1102" i="1"/>
  <c r="Q1102" i="1"/>
  <c r="R1102" i="1"/>
  <c r="S1102" i="1"/>
  <c r="T1102" i="1"/>
  <c r="U1102" i="1"/>
  <c r="O1103" i="1"/>
  <c r="P1103" i="1"/>
  <c r="Q1103" i="1"/>
  <c r="R1103" i="1"/>
  <c r="S1103" i="1"/>
  <c r="T1103" i="1"/>
  <c r="U1103" i="1"/>
  <c r="O1104" i="1"/>
  <c r="P1104" i="1"/>
  <c r="Q1104" i="1"/>
  <c r="R1104" i="1"/>
  <c r="S1104" i="1"/>
  <c r="T1104" i="1"/>
  <c r="U1104" i="1"/>
  <c r="O1105" i="1"/>
  <c r="P1105" i="1"/>
  <c r="Q1105" i="1"/>
  <c r="R1105" i="1"/>
  <c r="S1105" i="1"/>
  <c r="T1105" i="1"/>
  <c r="U1105" i="1"/>
  <c r="O1106" i="1"/>
  <c r="P1106" i="1"/>
  <c r="Q1106" i="1"/>
  <c r="R1106" i="1"/>
  <c r="S1106" i="1"/>
  <c r="T1106" i="1"/>
  <c r="U1106" i="1"/>
  <c r="O1107" i="1"/>
  <c r="P1107" i="1"/>
  <c r="Q1107" i="1"/>
  <c r="R1107" i="1"/>
  <c r="S1107" i="1"/>
  <c r="T1107" i="1"/>
  <c r="U1107" i="1"/>
  <c r="O1108" i="1"/>
  <c r="P1108" i="1"/>
  <c r="Q1108" i="1"/>
  <c r="R1108" i="1"/>
  <c r="S1108" i="1"/>
  <c r="T1108" i="1"/>
  <c r="U1108" i="1"/>
  <c r="O1109" i="1"/>
  <c r="P1109" i="1"/>
  <c r="Q1109" i="1"/>
  <c r="R1109" i="1"/>
  <c r="S1109" i="1"/>
  <c r="T1109" i="1"/>
  <c r="U1109" i="1"/>
  <c r="O1110" i="1"/>
  <c r="P1110" i="1"/>
  <c r="Q1110" i="1"/>
  <c r="R1110" i="1"/>
  <c r="S1110" i="1"/>
  <c r="T1110" i="1"/>
  <c r="U1110" i="1"/>
  <c r="O1111" i="1"/>
  <c r="P1111" i="1"/>
  <c r="Q1111" i="1"/>
  <c r="R1111" i="1"/>
  <c r="S1111" i="1"/>
  <c r="T1111" i="1"/>
  <c r="U1111" i="1"/>
  <c r="O1112" i="1"/>
  <c r="P1112" i="1"/>
  <c r="Q1112" i="1"/>
  <c r="R1112" i="1"/>
  <c r="S1112" i="1"/>
  <c r="T1112" i="1"/>
  <c r="U1112" i="1"/>
  <c r="O1113" i="1"/>
  <c r="P1113" i="1"/>
  <c r="Q1113" i="1"/>
  <c r="R1113" i="1"/>
  <c r="S1113" i="1"/>
  <c r="T1113" i="1"/>
  <c r="U1113" i="1"/>
  <c r="O1114" i="1"/>
  <c r="P1114" i="1"/>
  <c r="Q1114" i="1"/>
  <c r="R1114" i="1"/>
  <c r="S1114" i="1"/>
  <c r="T1114" i="1"/>
  <c r="U1114" i="1"/>
  <c r="O1115" i="1"/>
  <c r="P1115" i="1"/>
  <c r="Q1115" i="1"/>
  <c r="R1115" i="1"/>
  <c r="S1115" i="1"/>
  <c r="T1115" i="1"/>
  <c r="U1115" i="1"/>
  <c r="O1116" i="1"/>
  <c r="P1116" i="1"/>
  <c r="Q1116" i="1"/>
  <c r="R1116" i="1"/>
  <c r="S1116" i="1"/>
  <c r="T1116" i="1"/>
  <c r="U1116" i="1"/>
  <c r="O1117" i="1"/>
  <c r="P1117" i="1"/>
  <c r="Q1117" i="1"/>
  <c r="R1117" i="1"/>
  <c r="S1117" i="1"/>
  <c r="T1117" i="1"/>
  <c r="U1117" i="1"/>
  <c r="O1118" i="1"/>
  <c r="P1118" i="1"/>
  <c r="Q1118" i="1"/>
  <c r="R1118" i="1"/>
  <c r="S1118" i="1"/>
  <c r="T1118" i="1"/>
  <c r="U1118" i="1"/>
  <c r="O1119" i="1"/>
  <c r="P1119" i="1"/>
  <c r="Q1119" i="1"/>
  <c r="R1119" i="1"/>
  <c r="S1119" i="1"/>
  <c r="T1119" i="1"/>
  <c r="U1119" i="1"/>
  <c r="O1120" i="1"/>
  <c r="P1120" i="1"/>
  <c r="Q1120" i="1"/>
  <c r="R1120" i="1"/>
  <c r="S1120" i="1"/>
  <c r="T1120" i="1"/>
  <c r="U1120" i="1"/>
  <c r="O1121" i="1"/>
  <c r="P1121" i="1"/>
  <c r="Q1121" i="1"/>
  <c r="R1121" i="1"/>
  <c r="S1121" i="1"/>
  <c r="T1121" i="1"/>
  <c r="U1121" i="1"/>
  <c r="O1122" i="1"/>
  <c r="P1122" i="1"/>
  <c r="Q1122" i="1"/>
  <c r="R1122" i="1"/>
  <c r="S1122" i="1"/>
  <c r="T1122" i="1"/>
  <c r="U1122" i="1"/>
  <c r="O1123" i="1"/>
  <c r="P1123" i="1"/>
  <c r="Q1123" i="1"/>
  <c r="R1123" i="1"/>
  <c r="S1123" i="1"/>
  <c r="T1123" i="1"/>
  <c r="U1123" i="1"/>
  <c r="O1124" i="1"/>
  <c r="P1124" i="1"/>
  <c r="Q1124" i="1"/>
  <c r="R1124" i="1"/>
  <c r="S1124" i="1"/>
  <c r="T1124" i="1"/>
  <c r="U1124" i="1"/>
  <c r="O1125" i="1"/>
  <c r="P1125" i="1"/>
  <c r="Q1125" i="1"/>
  <c r="R1125" i="1"/>
  <c r="S1125" i="1"/>
  <c r="T1125" i="1"/>
  <c r="U1125" i="1"/>
  <c r="O1126" i="1"/>
  <c r="P1126" i="1"/>
  <c r="Q1126" i="1"/>
  <c r="R1126" i="1"/>
  <c r="S1126" i="1"/>
  <c r="T1126" i="1"/>
  <c r="U1126" i="1"/>
  <c r="O1127" i="1"/>
  <c r="P1127" i="1"/>
  <c r="Q1127" i="1"/>
  <c r="R1127" i="1"/>
  <c r="S1127" i="1"/>
  <c r="T1127" i="1"/>
  <c r="U1127" i="1"/>
  <c r="O1128" i="1"/>
  <c r="P1128" i="1"/>
  <c r="Q1128" i="1"/>
  <c r="R1128" i="1"/>
  <c r="S1128" i="1"/>
  <c r="T1128" i="1"/>
  <c r="U1128" i="1"/>
  <c r="O1129" i="1"/>
  <c r="P1129" i="1"/>
  <c r="Q1129" i="1"/>
  <c r="R1129" i="1"/>
  <c r="S1129" i="1"/>
  <c r="T1129" i="1"/>
  <c r="U1129" i="1"/>
  <c r="O1130" i="1"/>
  <c r="P1130" i="1"/>
  <c r="Q1130" i="1"/>
  <c r="R1130" i="1"/>
  <c r="S1130" i="1"/>
  <c r="T1130" i="1"/>
  <c r="U1130" i="1"/>
  <c r="O1131" i="1"/>
  <c r="P1131" i="1"/>
  <c r="Q1131" i="1"/>
  <c r="R1131" i="1"/>
  <c r="S1131" i="1"/>
  <c r="T1131" i="1"/>
  <c r="U1131" i="1"/>
  <c r="O1132" i="1"/>
  <c r="P1132" i="1"/>
  <c r="Q1132" i="1"/>
  <c r="R1132" i="1"/>
  <c r="S1132" i="1"/>
  <c r="T1132" i="1"/>
  <c r="U1132" i="1"/>
  <c r="O1133" i="1"/>
  <c r="P1133" i="1"/>
  <c r="Q1133" i="1"/>
  <c r="R1133" i="1"/>
  <c r="S1133" i="1"/>
  <c r="T1133" i="1"/>
  <c r="U1133" i="1"/>
  <c r="O1134" i="1"/>
  <c r="P1134" i="1"/>
  <c r="Q1134" i="1"/>
  <c r="R1134" i="1"/>
  <c r="S1134" i="1"/>
  <c r="T1134" i="1"/>
  <c r="U1134" i="1"/>
  <c r="O1135" i="1"/>
  <c r="P1135" i="1"/>
  <c r="Q1135" i="1"/>
  <c r="R1135" i="1"/>
  <c r="S1135" i="1"/>
  <c r="T1135" i="1"/>
  <c r="U1135" i="1"/>
  <c r="O1136" i="1"/>
  <c r="P1136" i="1"/>
  <c r="Q1136" i="1"/>
  <c r="R1136" i="1"/>
  <c r="S1136" i="1"/>
  <c r="T1136" i="1"/>
  <c r="U1136" i="1"/>
  <c r="O1137" i="1"/>
  <c r="P1137" i="1"/>
  <c r="Q1137" i="1"/>
  <c r="R1137" i="1"/>
  <c r="S1137" i="1"/>
  <c r="T1137" i="1"/>
  <c r="U1137" i="1"/>
  <c r="O1138" i="1"/>
  <c r="P1138" i="1"/>
  <c r="Q1138" i="1"/>
  <c r="R1138" i="1"/>
  <c r="S1138" i="1"/>
  <c r="T1138" i="1"/>
  <c r="U1138" i="1"/>
  <c r="O1139" i="1"/>
  <c r="P1139" i="1"/>
  <c r="Q1139" i="1"/>
  <c r="R1139" i="1"/>
  <c r="S1139" i="1"/>
  <c r="T1139" i="1"/>
  <c r="U1139" i="1"/>
  <c r="O1140" i="1"/>
  <c r="P1140" i="1"/>
  <c r="Q1140" i="1"/>
  <c r="R1140" i="1"/>
  <c r="S1140" i="1"/>
  <c r="T1140" i="1"/>
  <c r="U1140" i="1"/>
  <c r="O1141" i="1"/>
  <c r="P1141" i="1"/>
  <c r="Q1141" i="1"/>
  <c r="R1141" i="1"/>
  <c r="S1141" i="1"/>
  <c r="T1141" i="1"/>
  <c r="U1141" i="1"/>
  <c r="O1142" i="1"/>
  <c r="P1142" i="1"/>
  <c r="Q1142" i="1"/>
  <c r="R1142" i="1"/>
  <c r="S1142" i="1"/>
  <c r="T1142" i="1"/>
  <c r="U1142" i="1"/>
  <c r="O1143" i="1"/>
  <c r="P1143" i="1"/>
  <c r="Q1143" i="1"/>
  <c r="R1143" i="1"/>
  <c r="S1143" i="1"/>
  <c r="T1143" i="1"/>
  <c r="U1143" i="1"/>
  <c r="O1144" i="1"/>
  <c r="P1144" i="1"/>
  <c r="Q1144" i="1"/>
  <c r="R1144" i="1"/>
  <c r="S1144" i="1"/>
  <c r="T1144" i="1"/>
  <c r="U1144" i="1"/>
  <c r="O1145" i="1"/>
  <c r="P1145" i="1"/>
  <c r="Q1145" i="1"/>
  <c r="R1145" i="1"/>
  <c r="S1145" i="1"/>
  <c r="T1145" i="1"/>
  <c r="U1145" i="1"/>
  <c r="O1146" i="1"/>
  <c r="P1146" i="1"/>
  <c r="Q1146" i="1"/>
  <c r="R1146" i="1"/>
  <c r="S1146" i="1"/>
  <c r="T1146" i="1"/>
  <c r="U1146" i="1"/>
  <c r="O1147" i="1"/>
  <c r="P1147" i="1"/>
  <c r="Q1147" i="1"/>
  <c r="R1147" i="1"/>
  <c r="S1147" i="1"/>
  <c r="T1147" i="1"/>
  <c r="U1147" i="1"/>
  <c r="O1148" i="1"/>
  <c r="P1148" i="1"/>
  <c r="Q1148" i="1"/>
  <c r="R1148" i="1"/>
  <c r="S1148" i="1"/>
  <c r="T1148" i="1"/>
  <c r="U1148" i="1"/>
  <c r="O1149" i="1"/>
  <c r="P1149" i="1"/>
  <c r="Q1149" i="1"/>
  <c r="R1149" i="1"/>
  <c r="S1149" i="1"/>
  <c r="T1149" i="1"/>
  <c r="U1149" i="1"/>
  <c r="O1150" i="1"/>
  <c r="P1150" i="1"/>
  <c r="Q1150" i="1"/>
  <c r="R1150" i="1"/>
  <c r="S1150" i="1"/>
  <c r="T1150" i="1"/>
  <c r="U1150" i="1"/>
  <c r="O1151" i="1"/>
  <c r="P1151" i="1"/>
  <c r="Q1151" i="1"/>
  <c r="R1151" i="1"/>
  <c r="S1151" i="1"/>
  <c r="T1151" i="1"/>
  <c r="U1151" i="1"/>
  <c r="O1152" i="1"/>
  <c r="P1152" i="1"/>
  <c r="Q1152" i="1"/>
  <c r="R1152" i="1"/>
  <c r="S1152" i="1"/>
  <c r="T1152" i="1"/>
  <c r="U1152" i="1"/>
  <c r="O1153" i="1"/>
  <c r="P1153" i="1"/>
  <c r="Q1153" i="1"/>
  <c r="R1153" i="1"/>
  <c r="S1153" i="1"/>
  <c r="T1153" i="1"/>
  <c r="U1153" i="1"/>
  <c r="O1154" i="1"/>
  <c r="P1154" i="1"/>
  <c r="Q1154" i="1"/>
  <c r="R1154" i="1"/>
  <c r="S1154" i="1"/>
  <c r="T1154" i="1"/>
  <c r="U1154" i="1"/>
  <c r="O1155" i="1"/>
  <c r="P1155" i="1"/>
  <c r="Q1155" i="1"/>
  <c r="R1155" i="1"/>
  <c r="S1155" i="1"/>
  <c r="T1155" i="1"/>
  <c r="U1155" i="1"/>
  <c r="O1156" i="1"/>
  <c r="P1156" i="1"/>
  <c r="Q1156" i="1"/>
  <c r="R1156" i="1"/>
  <c r="S1156" i="1"/>
  <c r="T1156" i="1"/>
  <c r="U1156" i="1"/>
  <c r="O1157" i="1"/>
  <c r="P1157" i="1"/>
  <c r="Q1157" i="1"/>
  <c r="R1157" i="1"/>
  <c r="S1157" i="1"/>
  <c r="T1157" i="1"/>
  <c r="U1157" i="1"/>
  <c r="O1158" i="1"/>
  <c r="P1158" i="1"/>
  <c r="Q1158" i="1"/>
  <c r="R1158" i="1"/>
  <c r="S1158" i="1"/>
  <c r="T1158" i="1"/>
  <c r="U1158" i="1"/>
  <c r="O1159" i="1"/>
  <c r="P1159" i="1"/>
  <c r="Q1159" i="1"/>
  <c r="R1159" i="1"/>
  <c r="S1159" i="1"/>
  <c r="T1159" i="1"/>
  <c r="U1159" i="1"/>
  <c r="O1160" i="1"/>
  <c r="P1160" i="1"/>
  <c r="Q1160" i="1"/>
  <c r="R1160" i="1"/>
  <c r="S1160" i="1"/>
  <c r="T1160" i="1"/>
  <c r="U1160" i="1"/>
  <c r="O1161" i="1"/>
  <c r="P1161" i="1"/>
  <c r="Q1161" i="1"/>
  <c r="R1161" i="1"/>
  <c r="S1161" i="1"/>
  <c r="T1161" i="1"/>
  <c r="U1161" i="1"/>
  <c r="O1162" i="1"/>
  <c r="P1162" i="1"/>
  <c r="Q1162" i="1"/>
  <c r="R1162" i="1"/>
  <c r="S1162" i="1"/>
  <c r="T1162" i="1"/>
  <c r="U1162" i="1"/>
  <c r="O1163" i="1"/>
  <c r="P1163" i="1"/>
  <c r="Q1163" i="1"/>
  <c r="R1163" i="1"/>
  <c r="S1163" i="1"/>
  <c r="T1163" i="1"/>
  <c r="U1163" i="1"/>
  <c r="O1164" i="1"/>
  <c r="P1164" i="1"/>
  <c r="Q1164" i="1"/>
  <c r="R1164" i="1"/>
  <c r="S1164" i="1"/>
  <c r="T1164" i="1"/>
  <c r="U1164" i="1"/>
  <c r="O1165" i="1"/>
  <c r="P1165" i="1"/>
  <c r="Q1165" i="1"/>
  <c r="R1165" i="1"/>
  <c r="S1165" i="1"/>
  <c r="T1165" i="1"/>
  <c r="U1165" i="1"/>
  <c r="O1166" i="1"/>
  <c r="P1166" i="1"/>
  <c r="Q1166" i="1"/>
  <c r="R1166" i="1"/>
  <c r="S1166" i="1"/>
  <c r="T1166" i="1"/>
  <c r="U1166" i="1"/>
  <c r="O1167" i="1"/>
  <c r="P1167" i="1"/>
  <c r="Q1167" i="1"/>
  <c r="R1167" i="1"/>
  <c r="S1167" i="1"/>
  <c r="T1167" i="1"/>
  <c r="U1167" i="1"/>
  <c r="O1168" i="1"/>
  <c r="P1168" i="1"/>
  <c r="Q1168" i="1"/>
  <c r="R1168" i="1"/>
  <c r="S1168" i="1"/>
  <c r="T1168" i="1"/>
  <c r="U1168" i="1"/>
  <c r="O1169" i="1"/>
  <c r="P1169" i="1"/>
  <c r="Q1169" i="1"/>
  <c r="R1169" i="1"/>
  <c r="S1169" i="1"/>
  <c r="T1169" i="1"/>
  <c r="U1169" i="1"/>
  <c r="O1170" i="1"/>
  <c r="P1170" i="1"/>
  <c r="Q1170" i="1"/>
  <c r="R1170" i="1"/>
  <c r="S1170" i="1"/>
  <c r="T1170" i="1"/>
  <c r="U1170" i="1"/>
  <c r="O1171" i="1"/>
  <c r="P1171" i="1"/>
  <c r="Q1171" i="1"/>
  <c r="R1171" i="1"/>
  <c r="S1171" i="1"/>
  <c r="T1171" i="1"/>
  <c r="U1171" i="1"/>
  <c r="O1172" i="1"/>
  <c r="P1172" i="1"/>
  <c r="Q1172" i="1"/>
  <c r="R1172" i="1"/>
  <c r="S1172" i="1"/>
  <c r="T1172" i="1"/>
  <c r="U1172" i="1"/>
  <c r="O1173" i="1"/>
  <c r="P1173" i="1"/>
  <c r="Q1173" i="1"/>
  <c r="R1173" i="1"/>
  <c r="S1173" i="1"/>
  <c r="T1173" i="1"/>
  <c r="U1173" i="1"/>
  <c r="O1174" i="1"/>
  <c r="P1174" i="1"/>
  <c r="Q1174" i="1"/>
  <c r="R1174" i="1"/>
  <c r="S1174" i="1"/>
  <c r="T1174" i="1"/>
  <c r="U1174" i="1"/>
  <c r="O1175" i="1"/>
  <c r="P1175" i="1"/>
  <c r="Q1175" i="1"/>
  <c r="R1175" i="1"/>
  <c r="S1175" i="1"/>
  <c r="T1175" i="1"/>
  <c r="U1175" i="1"/>
  <c r="O1176" i="1"/>
  <c r="P1176" i="1"/>
  <c r="Q1176" i="1"/>
  <c r="R1176" i="1"/>
  <c r="S1176" i="1"/>
  <c r="T1176" i="1"/>
  <c r="U1176" i="1"/>
  <c r="O1177" i="1"/>
  <c r="P1177" i="1"/>
  <c r="Q1177" i="1"/>
  <c r="R1177" i="1"/>
  <c r="S1177" i="1"/>
  <c r="T1177" i="1"/>
  <c r="U1177" i="1"/>
  <c r="O1178" i="1"/>
  <c r="P1178" i="1"/>
  <c r="Q1178" i="1"/>
  <c r="R1178" i="1"/>
  <c r="S1178" i="1"/>
  <c r="T1178" i="1"/>
  <c r="U1178" i="1"/>
  <c r="O1179" i="1"/>
  <c r="P1179" i="1"/>
  <c r="Q1179" i="1"/>
  <c r="R1179" i="1"/>
  <c r="S1179" i="1"/>
  <c r="T1179" i="1"/>
  <c r="U1179" i="1"/>
  <c r="O1180" i="1"/>
  <c r="P1180" i="1"/>
  <c r="Q1180" i="1"/>
  <c r="R1180" i="1"/>
  <c r="S1180" i="1"/>
  <c r="T1180" i="1"/>
  <c r="U1180" i="1"/>
  <c r="O1181" i="1"/>
  <c r="P1181" i="1"/>
  <c r="Q1181" i="1"/>
  <c r="R1181" i="1"/>
  <c r="S1181" i="1"/>
  <c r="T1181" i="1"/>
  <c r="U1181" i="1"/>
  <c r="O1182" i="1"/>
  <c r="P1182" i="1"/>
  <c r="Q1182" i="1"/>
  <c r="R1182" i="1"/>
  <c r="S1182" i="1"/>
  <c r="T1182" i="1"/>
  <c r="U1182" i="1"/>
  <c r="O1183" i="1"/>
  <c r="P1183" i="1"/>
  <c r="Q1183" i="1"/>
  <c r="R1183" i="1"/>
  <c r="S1183" i="1"/>
  <c r="T1183" i="1"/>
  <c r="U1183" i="1"/>
  <c r="O1184" i="1"/>
  <c r="P1184" i="1"/>
  <c r="Q1184" i="1"/>
  <c r="R1184" i="1"/>
  <c r="S1184" i="1"/>
  <c r="T1184" i="1"/>
  <c r="U1184" i="1"/>
  <c r="O1185" i="1"/>
  <c r="P1185" i="1"/>
  <c r="Q1185" i="1"/>
  <c r="R1185" i="1"/>
  <c r="S1185" i="1"/>
  <c r="T1185" i="1"/>
  <c r="U1185" i="1"/>
  <c r="O1186" i="1"/>
  <c r="P1186" i="1"/>
  <c r="Q1186" i="1"/>
  <c r="R1186" i="1"/>
  <c r="S1186" i="1"/>
  <c r="T1186" i="1"/>
  <c r="U1186" i="1"/>
  <c r="O1187" i="1"/>
  <c r="P1187" i="1"/>
  <c r="Q1187" i="1"/>
  <c r="R1187" i="1"/>
  <c r="S1187" i="1"/>
  <c r="T1187" i="1"/>
  <c r="U1187" i="1"/>
  <c r="O1188" i="1"/>
  <c r="P1188" i="1"/>
  <c r="Q1188" i="1"/>
  <c r="R1188" i="1"/>
  <c r="S1188" i="1"/>
  <c r="T1188" i="1"/>
  <c r="U1188" i="1"/>
  <c r="O1189" i="1"/>
  <c r="P1189" i="1"/>
  <c r="Q1189" i="1"/>
  <c r="R1189" i="1"/>
  <c r="S1189" i="1"/>
  <c r="T1189" i="1"/>
  <c r="U1189" i="1"/>
  <c r="O1190" i="1"/>
  <c r="P1190" i="1"/>
  <c r="Q1190" i="1"/>
  <c r="R1190" i="1"/>
  <c r="S1190" i="1"/>
  <c r="T1190" i="1"/>
  <c r="U1190" i="1"/>
  <c r="O1191" i="1"/>
  <c r="P1191" i="1"/>
  <c r="Q1191" i="1"/>
  <c r="R1191" i="1"/>
  <c r="S1191" i="1"/>
  <c r="T1191" i="1"/>
  <c r="U1191" i="1"/>
  <c r="O1192" i="1"/>
  <c r="P1192" i="1"/>
  <c r="Q1192" i="1"/>
  <c r="R1192" i="1"/>
  <c r="S1192" i="1"/>
  <c r="T1192" i="1"/>
  <c r="U1192" i="1"/>
  <c r="O1193" i="1"/>
  <c r="P1193" i="1"/>
  <c r="Q1193" i="1"/>
  <c r="R1193" i="1"/>
  <c r="S1193" i="1"/>
  <c r="T1193" i="1"/>
  <c r="U1193" i="1"/>
  <c r="O1194" i="1"/>
  <c r="P1194" i="1"/>
  <c r="Q1194" i="1"/>
  <c r="R1194" i="1"/>
  <c r="S1194" i="1"/>
  <c r="T1194" i="1"/>
  <c r="U1194" i="1"/>
  <c r="O1195" i="1"/>
  <c r="P1195" i="1"/>
  <c r="Q1195" i="1"/>
  <c r="R1195" i="1"/>
  <c r="S1195" i="1"/>
  <c r="T1195" i="1"/>
  <c r="U1195" i="1"/>
  <c r="O1196" i="1"/>
  <c r="P1196" i="1"/>
  <c r="Q1196" i="1"/>
  <c r="R1196" i="1"/>
  <c r="S1196" i="1"/>
  <c r="T1196" i="1"/>
  <c r="U1196" i="1"/>
  <c r="O1197" i="1"/>
  <c r="P1197" i="1"/>
  <c r="Q1197" i="1"/>
  <c r="R1197" i="1"/>
  <c r="S1197" i="1"/>
  <c r="T1197" i="1"/>
  <c r="U1197" i="1"/>
  <c r="O1198" i="1"/>
  <c r="P1198" i="1"/>
  <c r="Q1198" i="1"/>
  <c r="R1198" i="1"/>
  <c r="S1198" i="1"/>
  <c r="T1198" i="1"/>
  <c r="U1198" i="1"/>
  <c r="O1199" i="1"/>
  <c r="P1199" i="1"/>
  <c r="Q1199" i="1"/>
  <c r="R1199" i="1"/>
  <c r="S1199" i="1"/>
  <c r="T1199" i="1"/>
  <c r="U1199" i="1"/>
  <c r="O1200" i="1"/>
  <c r="P1200" i="1"/>
  <c r="Q1200" i="1"/>
  <c r="R1200" i="1"/>
  <c r="S1200" i="1"/>
  <c r="T1200" i="1"/>
  <c r="U1200" i="1"/>
  <c r="O1201" i="1"/>
  <c r="P1201" i="1"/>
  <c r="Q1201" i="1"/>
  <c r="R1201" i="1"/>
  <c r="S1201" i="1"/>
  <c r="T1201" i="1"/>
  <c r="U1201" i="1"/>
  <c r="O1202" i="1"/>
  <c r="P1202" i="1"/>
  <c r="Q1202" i="1"/>
  <c r="R1202" i="1"/>
  <c r="S1202" i="1"/>
  <c r="T1202" i="1"/>
  <c r="U1202" i="1"/>
  <c r="O1203" i="1"/>
  <c r="P1203" i="1"/>
  <c r="Q1203" i="1"/>
  <c r="R1203" i="1"/>
  <c r="S1203" i="1"/>
  <c r="T1203" i="1"/>
  <c r="U1203" i="1"/>
  <c r="O1204" i="1"/>
  <c r="P1204" i="1"/>
  <c r="Q1204" i="1"/>
  <c r="R1204" i="1"/>
  <c r="S1204" i="1"/>
  <c r="T1204" i="1"/>
  <c r="U1204" i="1"/>
  <c r="O1205" i="1"/>
  <c r="P1205" i="1"/>
  <c r="Q1205" i="1"/>
  <c r="R1205" i="1"/>
  <c r="S1205" i="1"/>
  <c r="T1205" i="1"/>
  <c r="U1205" i="1"/>
  <c r="O1206" i="1"/>
  <c r="P1206" i="1"/>
  <c r="Q1206" i="1"/>
  <c r="R1206" i="1"/>
  <c r="S1206" i="1"/>
  <c r="T1206" i="1"/>
  <c r="U1206" i="1"/>
  <c r="O1207" i="1"/>
  <c r="P1207" i="1"/>
  <c r="Q1207" i="1"/>
  <c r="R1207" i="1"/>
  <c r="S1207" i="1"/>
  <c r="T1207" i="1"/>
  <c r="U1207" i="1"/>
  <c r="O1208" i="1"/>
  <c r="P1208" i="1"/>
  <c r="Q1208" i="1"/>
  <c r="R1208" i="1"/>
  <c r="S1208" i="1"/>
  <c r="T1208" i="1"/>
  <c r="U1208" i="1"/>
  <c r="O1209" i="1"/>
  <c r="P1209" i="1"/>
  <c r="Q1209" i="1"/>
  <c r="R1209" i="1"/>
  <c r="S1209" i="1"/>
  <c r="T1209" i="1"/>
  <c r="U1209" i="1"/>
  <c r="O1210" i="1"/>
  <c r="P1210" i="1"/>
  <c r="Q1210" i="1"/>
  <c r="R1210" i="1"/>
  <c r="S1210" i="1"/>
  <c r="T1210" i="1"/>
  <c r="U1210" i="1"/>
  <c r="O1211" i="1"/>
  <c r="P1211" i="1"/>
  <c r="Q1211" i="1"/>
  <c r="R1211" i="1"/>
  <c r="S1211" i="1"/>
  <c r="T1211" i="1"/>
  <c r="U1211" i="1"/>
  <c r="O1212" i="1"/>
  <c r="P1212" i="1"/>
  <c r="Q1212" i="1"/>
  <c r="R1212" i="1"/>
  <c r="S1212" i="1"/>
  <c r="T1212" i="1"/>
  <c r="U1212" i="1"/>
  <c r="O1213" i="1"/>
  <c r="P1213" i="1"/>
  <c r="Q1213" i="1"/>
  <c r="R1213" i="1"/>
  <c r="S1213" i="1"/>
  <c r="T1213" i="1"/>
  <c r="U1213" i="1"/>
  <c r="O1214" i="1"/>
  <c r="P1214" i="1"/>
  <c r="Q1214" i="1"/>
  <c r="R1214" i="1"/>
  <c r="S1214" i="1"/>
  <c r="T1214" i="1"/>
  <c r="U1214" i="1"/>
  <c r="O1215" i="1"/>
  <c r="P1215" i="1"/>
  <c r="Q1215" i="1"/>
  <c r="R1215" i="1"/>
  <c r="S1215" i="1"/>
  <c r="T1215" i="1"/>
  <c r="U1215" i="1"/>
  <c r="O1216" i="1"/>
  <c r="P1216" i="1"/>
  <c r="Q1216" i="1"/>
  <c r="R1216" i="1"/>
  <c r="S1216" i="1"/>
  <c r="T1216" i="1"/>
  <c r="U1216" i="1"/>
  <c r="O1217" i="1"/>
  <c r="P1217" i="1"/>
  <c r="Q1217" i="1"/>
  <c r="R1217" i="1"/>
  <c r="S1217" i="1"/>
  <c r="T1217" i="1"/>
  <c r="U1217" i="1"/>
  <c r="O1218" i="1"/>
  <c r="P1218" i="1"/>
  <c r="Q1218" i="1"/>
  <c r="R1218" i="1"/>
  <c r="S1218" i="1"/>
  <c r="T1218" i="1"/>
  <c r="U1218" i="1"/>
  <c r="O1219" i="1"/>
  <c r="P1219" i="1"/>
  <c r="Q1219" i="1"/>
  <c r="R1219" i="1"/>
  <c r="S1219" i="1"/>
  <c r="T1219" i="1"/>
  <c r="U1219" i="1"/>
  <c r="O1220" i="1"/>
  <c r="P1220" i="1"/>
  <c r="Q1220" i="1"/>
  <c r="R1220" i="1"/>
  <c r="S1220" i="1"/>
  <c r="T1220" i="1"/>
  <c r="U1220" i="1"/>
  <c r="O1221" i="1"/>
  <c r="P1221" i="1"/>
  <c r="Q1221" i="1"/>
  <c r="R1221" i="1"/>
  <c r="S1221" i="1"/>
  <c r="T1221" i="1"/>
  <c r="U1221" i="1"/>
  <c r="O1222" i="1"/>
  <c r="P1222" i="1"/>
  <c r="Q1222" i="1"/>
  <c r="R1222" i="1"/>
  <c r="S1222" i="1"/>
  <c r="T1222" i="1"/>
  <c r="U1222" i="1"/>
  <c r="O1223" i="1"/>
  <c r="P1223" i="1"/>
  <c r="Q1223" i="1"/>
  <c r="R1223" i="1"/>
  <c r="S1223" i="1"/>
  <c r="T1223" i="1"/>
  <c r="U1223" i="1"/>
  <c r="O1224" i="1"/>
  <c r="P1224" i="1"/>
  <c r="Q1224" i="1"/>
  <c r="R1224" i="1"/>
  <c r="S1224" i="1"/>
  <c r="T1224" i="1"/>
  <c r="U1224" i="1"/>
  <c r="O1225" i="1"/>
  <c r="P1225" i="1"/>
  <c r="Q1225" i="1"/>
  <c r="R1225" i="1"/>
  <c r="S1225" i="1"/>
  <c r="T1225" i="1"/>
  <c r="U1225" i="1"/>
  <c r="O1226" i="1"/>
  <c r="P1226" i="1"/>
  <c r="Q1226" i="1"/>
  <c r="R1226" i="1"/>
  <c r="S1226" i="1"/>
  <c r="T1226" i="1"/>
  <c r="U1226" i="1"/>
  <c r="O1227" i="1"/>
  <c r="P1227" i="1"/>
  <c r="Q1227" i="1"/>
  <c r="R1227" i="1"/>
  <c r="S1227" i="1"/>
  <c r="T1227" i="1"/>
  <c r="U1227" i="1"/>
  <c r="O1228" i="1"/>
  <c r="P1228" i="1"/>
  <c r="Q1228" i="1"/>
  <c r="R1228" i="1"/>
  <c r="S1228" i="1"/>
  <c r="T1228" i="1"/>
  <c r="U1228" i="1"/>
  <c r="O1229" i="1"/>
  <c r="P1229" i="1"/>
  <c r="Q1229" i="1"/>
  <c r="R1229" i="1"/>
  <c r="S1229" i="1"/>
  <c r="T1229" i="1"/>
  <c r="U1229" i="1"/>
  <c r="O1230" i="1"/>
  <c r="P1230" i="1"/>
  <c r="Q1230" i="1"/>
  <c r="R1230" i="1"/>
  <c r="S1230" i="1"/>
  <c r="T1230" i="1"/>
  <c r="U1230" i="1"/>
  <c r="O1231" i="1"/>
  <c r="P1231" i="1"/>
  <c r="Q1231" i="1"/>
  <c r="R1231" i="1"/>
  <c r="S1231" i="1"/>
  <c r="T1231" i="1"/>
  <c r="U1231" i="1"/>
  <c r="O1232" i="1"/>
  <c r="P1232" i="1"/>
  <c r="Q1232" i="1"/>
  <c r="R1232" i="1"/>
  <c r="S1232" i="1"/>
  <c r="T1232" i="1"/>
  <c r="U1232" i="1"/>
  <c r="O1233" i="1"/>
  <c r="P1233" i="1"/>
  <c r="Q1233" i="1"/>
  <c r="R1233" i="1"/>
  <c r="S1233" i="1"/>
  <c r="T1233" i="1"/>
  <c r="U1233" i="1"/>
  <c r="O1234" i="1"/>
  <c r="P1234" i="1"/>
  <c r="Q1234" i="1"/>
  <c r="R1234" i="1"/>
  <c r="S1234" i="1"/>
  <c r="T1234" i="1"/>
  <c r="U1234" i="1"/>
  <c r="O1235" i="1"/>
  <c r="P1235" i="1"/>
  <c r="Q1235" i="1"/>
  <c r="R1235" i="1"/>
  <c r="S1235" i="1"/>
  <c r="T1235" i="1"/>
  <c r="U1235" i="1"/>
  <c r="O1236" i="1"/>
  <c r="P1236" i="1"/>
  <c r="Q1236" i="1"/>
  <c r="R1236" i="1"/>
  <c r="S1236" i="1"/>
  <c r="T1236" i="1"/>
  <c r="U1236" i="1"/>
  <c r="O1237" i="1"/>
  <c r="P1237" i="1"/>
  <c r="Q1237" i="1"/>
  <c r="R1237" i="1"/>
  <c r="S1237" i="1"/>
  <c r="T1237" i="1"/>
  <c r="U1237" i="1"/>
  <c r="O1238" i="1"/>
  <c r="P1238" i="1"/>
  <c r="Q1238" i="1"/>
  <c r="R1238" i="1"/>
  <c r="S1238" i="1"/>
  <c r="T1238" i="1"/>
  <c r="U1238" i="1"/>
  <c r="O1239" i="1"/>
  <c r="P1239" i="1"/>
  <c r="Q1239" i="1"/>
  <c r="R1239" i="1"/>
  <c r="S1239" i="1"/>
  <c r="T1239" i="1"/>
  <c r="U1239" i="1"/>
  <c r="O1240" i="1"/>
  <c r="P1240" i="1"/>
  <c r="Q1240" i="1"/>
  <c r="R1240" i="1"/>
  <c r="S1240" i="1"/>
  <c r="T1240" i="1"/>
  <c r="U1240" i="1"/>
  <c r="O1241" i="1"/>
  <c r="P1241" i="1"/>
  <c r="Q1241" i="1"/>
  <c r="R1241" i="1"/>
  <c r="S1241" i="1"/>
  <c r="T1241" i="1"/>
  <c r="U1241" i="1"/>
  <c r="O1242" i="1"/>
  <c r="P1242" i="1"/>
  <c r="Q1242" i="1"/>
  <c r="R1242" i="1"/>
  <c r="S1242" i="1"/>
  <c r="T1242" i="1"/>
  <c r="U1242" i="1"/>
  <c r="O1243" i="1"/>
  <c r="P1243" i="1"/>
  <c r="Q1243" i="1"/>
  <c r="R1243" i="1"/>
  <c r="S1243" i="1"/>
  <c r="T1243" i="1"/>
  <c r="U1243" i="1"/>
  <c r="O1244" i="1"/>
  <c r="P1244" i="1"/>
  <c r="Q1244" i="1"/>
  <c r="R1244" i="1"/>
  <c r="S1244" i="1"/>
  <c r="T1244" i="1"/>
  <c r="U1244" i="1"/>
  <c r="O1245" i="1"/>
  <c r="P1245" i="1"/>
  <c r="Q1245" i="1"/>
  <c r="R1245" i="1"/>
  <c r="S1245" i="1"/>
  <c r="T1245" i="1"/>
  <c r="U1245" i="1"/>
  <c r="O1246" i="1"/>
  <c r="P1246" i="1"/>
  <c r="Q1246" i="1"/>
  <c r="R1246" i="1"/>
  <c r="S1246" i="1"/>
  <c r="T1246" i="1"/>
  <c r="U1246" i="1"/>
  <c r="O1247" i="1"/>
  <c r="P1247" i="1"/>
  <c r="Q1247" i="1"/>
  <c r="R1247" i="1"/>
  <c r="S1247" i="1"/>
  <c r="T1247" i="1"/>
  <c r="U1247" i="1"/>
  <c r="O1248" i="1"/>
  <c r="P1248" i="1"/>
  <c r="Q1248" i="1"/>
  <c r="R1248" i="1"/>
  <c r="S1248" i="1"/>
  <c r="T1248" i="1"/>
  <c r="U1248" i="1"/>
  <c r="O1249" i="1"/>
  <c r="P1249" i="1"/>
  <c r="Q1249" i="1"/>
  <c r="R1249" i="1"/>
  <c r="S1249" i="1"/>
  <c r="T1249" i="1"/>
  <c r="U1249" i="1"/>
  <c r="O1250" i="1"/>
  <c r="P1250" i="1"/>
  <c r="Q1250" i="1"/>
  <c r="R1250" i="1"/>
  <c r="S1250" i="1"/>
  <c r="T1250" i="1"/>
  <c r="U1250" i="1"/>
  <c r="O1251" i="1"/>
  <c r="P1251" i="1"/>
  <c r="Q1251" i="1"/>
  <c r="R1251" i="1"/>
  <c r="S1251" i="1"/>
  <c r="T1251" i="1"/>
  <c r="U1251" i="1"/>
  <c r="O1252" i="1"/>
  <c r="P1252" i="1"/>
  <c r="Q1252" i="1"/>
  <c r="R1252" i="1"/>
  <c r="S1252" i="1"/>
  <c r="T1252" i="1"/>
  <c r="U1252" i="1"/>
  <c r="O1253" i="1"/>
  <c r="P1253" i="1"/>
  <c r="Q1253" i="1"/>
  <c r="R1253" i="1"/>
  <c r="S1253" i="1"/>
  <c r="T1253" i="1"/>
  <c r="U1253" i="1"/>
  <c r="O1254" i="1"/>
  <c r="P1254" i="1"/>
  <c r="Q1254" i="1"/>
  <c r="R1254" i="1"/>
  <c r="S1254" i="1"/>
  <c r="T1254" i="1"/>
  <c r="U1254" i="1"/>
  <c r="O1255" i="1"/>
  <c r="P1255" i="1"/>
  <c r="Q1255" i="1"/>
  <c r="R1255" i="1"/>
  <c r="S1255" i="1"/>
  <c r="T1255" i="1"/>
  <c r="U1255" i="1"/>
  <c r="O1256" i="1"/>
  <c r="P1256" i="1"/>
  <c r="Q1256" i="1"/>
  <c r="R1256" i="1"/>
  <c r="S1256" i="1"/>
  <c r="T1256" i="1"/>
  <c r="U1256" i="1"/>
  <c r="O1257" i="1"/>
  <c r="P1257" i="1"/>
  <c r="Q1257" i="1"/>
  <c r="R1257" i="1"/>
  <c r="S1257" i="1"/>
  <c r="T1257" i="1"/>
  <c r="U1257" i="1"/>
  <c r="O1258" i="1"/>
  <c r="P1258" i="1"/>
  <c r="Q1258" i="1"/>
  <c r="R1258" i="1"/>
  <c r="S1258" i="1"/>
  <c r="T1258" i="1"/>
  <c r="U1258" i="1"/>
  <c r="O1259" i="1"/>
  <c r="P1259" i="1"/>
  <c r="Q1259" i="1"/>
  <c r="R1259" i="1"/>
  <c r="S1259" i="1"/>
  <c r="T1259" i="1"/>
  <c r="U1259" i="1"/>
  <c r="O1260" i="1"/>
  <c r="P1260" i="1"/>
  <c r="Q1260" i="1"/>
  <c r="R1260" i="1"/>
  <c r="S1260" i="1"/>
  <c r="T1260" i="1"/>
  <c r="U1260" i="1"/>
  <c r="O1261" i="1"/>
  <c r="P1261" i="1"/>
  <c r="Q1261" i="1"/>
  <c r="R1261" i="1"/>
  <c r="S1261" i="1"/>
  <c r="T1261" i="1"/>
  <c r="U1261" i="1"/>
  <c r="O1262" i="1"/>
  <c r="P1262" i="1"/>
  <c r="Q1262" i="1"/>
  <c r="R1262" i="1"/>
  <c r="S1262" i="1"/>
  <c r="T1262" i="1"/>
  <c r="U1262" i="1"/>
  <c r="O1263" i="1"/>
  <c r="P1263" i="1"/>
  <c r="Q1263" i="1"/>
  <c r="R1263" i="1"/>
  <c r="S1263" i="1"/>
  <c r="T1263" i="1"/>
  <c r="U1263" i="1"/>
  <c r="O1264" i="1"/>
  <c r="P1264" i="1"/>
  <c r="Q1264" i="1"/>
  <c r="R1264" i="1"/>
  <c r="S1264" i="1"/>
  <c r="T1264" i="1"/>
  <c r="U1264" i="1"/>
  <c r="O1265" i="1"/>
  <c r="P1265" i="1"/>
  <c r="Q1265" i="1"/>
  <c r="R1265" i="1"/>
  <c r="S1265" i="1"/>
  <c r="T1265" i="1"/>
  <c r="U1265" i="1"/>
  <c r="O1266" i="1"/>
  <c r="P1266" i="1"/>
  <c r="Q1266" i="1"/>
  <c r="R1266" i="1"/>
  <c r="S1266" i="1"/>
  <c r="T1266" i="1"/>
  <c r="U1266" i="1"/>
  <c r="O1267" i="1"/>
  <c r="P1267" i="1"/>
  <c r="Q1267" i="1"/>
  <c r="R1267" i="1"/>
  <c r="S1267" i="1"/>
  <c r="T1267" i="1"/>
  <c r="U1267" i="1"/>
  <c r="O1268" i="1"/>
  <c r="P1268" i="1"/>
  <c r="Q1268" i="1"/>
  <c r="R1268" i="1"/>
  <c r="S1268" i="1"/>
  <c r="T1268" i="1"/>
  <c r="U1268" i="1"/>
  <c r="O1269" i="1"/>
  <c r="P1269" i="1"/>
  <c r="Q1269" i="1"/>
  <c r="R1269" i="1"/>
  <c r="S1269" i="1"/>
  <c r="T1269" i="1"/>
  <c r="U1269" i="1"/>
  <c r="O1270" i="1"/>
  <c r="P1270" i="1"/>
  <c r="Q1270" i="1"/>
  <c r="R1270" i="1"/>
  <c r="S1270" i="1"/>
  <c r="T1270" i="1"/>
  <c r="U1270" i="1"/>
  <c r="O1271" i="1"/>
  <c r="P1271" i="1"/>
  <c r="Q1271" i="1"/>
  <c r="R1271" i="1"/>
  <c r="S1271" i="1"/>
  <c r="T1271" i="1"/>
  <c r="U1271" i="1"/>
  <c r="O1272" i="1"/>
  <c r="P1272" i="1"/>
  <c r="Q1272" i="1"/>
  <c r="R1272" i="1"/>
  <c r="S1272" i="1"/>
  <c r="T1272" i="1"/>
  <c r="U1272" i="1"/>
  <c r="O1273" i="1"/>
  <c r="P1273" i="1"/>
  <c r="Q1273" i="1"/>
  <c r="R1273" i="1"/>
  <c r="S1273" i="1"/>
  <c r="T1273" i="1"/>
  <c r="U1273" i="1"/>
  <c r="O1274" i="1"/>
  <c r="P1274" i="1"/>
  <c r="Q1274" i="1"/>
  <c r="R1274" i="1"/>
  <c r="S1274" i="1"/>
  <c r="T1274" i="1"/>
  <c r="U1274" i="1"/>
  <c r="O1275" i="1"/>
  <c r="P1275" i="1"/>
  <c r="Q1275" i="1"/>
  <c r="R1275" i="1"/>
  <c r="S1275" i="1"/>
  <c r="T1275" i="1"/>
  <c r="U1275" i="1"/>
  <c r="O1276" i="1"/>
  <c r="P1276" i="1"/>
  <c r="Q1276" i="1"/>
  <c r="R1276" i="1"/>
  <c r="S1276" i="1"/>
  <c r="T1276" i="1"/>
  <c r="U1276" i="1"/>
  <c r="O1277" i="1"/>
  <c r="P1277" i="1"/>
  <c r="Q1277" i="1"/>
  <c r="R1277" i="1"/>
  <c r="S1277" i="1"/>
  <c r="T1277" i="1"/>
  <c r="U1277" i="1"/>
  <c r="O1278" i="1"/>
  <c r="P1278" i="1"/>
  <c r="Q1278" i="1"/>
  <c r="R1278" i="1"/>
  <c r="S1278" i="1"/>
  <c r="T1278" i="1"/>
  <c r="U1278" i="1"/>
  <c r="O1279" i="1"/>
  <c r="P1279" i="1"/>
  <c r="Q1279" i="1"/>
  <c r="R1279" i="1"/>
  <c r="S1279" i="1"/>
  <c r="T1279" i="1"/>
  <c r="U1279" i="1"/>
  <c r="O1280" i="1"/>
  <c r="P1280" i="1"/>
  <c r="Q1280" i="1"/>
  <c r="R1280" i="1"/>
  <c r="S1280" i="1"/>
  <c r="T1280" i="1"/>
  <c r="U1280" i="1"/>
  <c r="O1281" i="1"/>
  <c r="P1281" i="1"/>
  <c r="Q1281" i="1"/>
  <c r="R1281" i="1"/>
  <c r="S1281" i="1"/>
  <c r="T1281" i="1"/>
  <c r="U1281" i="1"/>
  <c r="O1282" i="1"/>
  <c r="P1282" i="1"/>
  <c r="Q1282" i="1"/>
  <c r="R1282" i="1"/>
  <c r="S1282" i="1"/>
  <c r="T1282" i="1"/>
  <c r="U1282" i="1"/>
  <c r="O1283" i="1"/>
  <c r="P1283" i="1"/>
  <c r="Q1283" i="1"/>
  <c r="R1283" i="1"/>
  <c r="S1283" i="1"/>
  <c r="T1283" i="1"/>
  <c r="U1283" i="1"/>
  <c r="O1284" i="1"/>
  <c r="P1284" i="1"/>
  <c r="Q1284" i="1"/>
  <c r="R1284" i="1"/>
  <c r="S1284" i="1"/>
  <c r="T1284" i="1"/>
  <c r="U1284" i="1"/>
  <c r="O1285" i="1"/>
  <c r="P1285" i="1"/>
  <c r="Q1285" i="1"/>
  <c r="R1285" i="1"/>
  <c r="S1285" i="1"/>
  <c r="T1285" i="1"/>
  <c r="U1285" i="1"/>
  <c r="O1286" i="1"/>
  <c r="P1286" i="1"/>
  <c r="Q1286" i="1"/>
  <c r="R1286" i="1"/>
  <c r="S1286" i="1"/>
  <c r="T1286" i="1"/>
  <c r="U1286" i="1"/>
  <c r="O1287" i="1"/>
  <c r="P1287" i="1"/>
  <c r="Q1287" i="1"/>
  <c r="R1287" i="1"/>
  <c r="S1287" i="1"/>
  <c r="T1287" i="1"/>
  <c r="U1287" i="1"/>
  <c r="O1288" i="1"/>
  <c r="P1288" i="1"/>
  <c r="Q1288" i="1"/>
  <c r="R1288" i="1"/>
  <c r="S1288" i="1"/>
  <c r="T1288" i="1"/>
  <c r="U1288" i="1"/>
  <c r="O1289" i="1"/>
  <c r="P1289" i="1"/>
  <c r="Q1289" i="1"/>
  <c r="R1289" i="1"/>
  <c r="S1289" i="1"/>
  <c r="T1289" i="1"/>
  <c r="U1289" i="1"/>
  <c r="O1290" i="1"/>
  <c r="P1290" i="1"/>
  <c r="Q1290" i="1"/>
  <c r="R1290" i="1"/>
  <c r="S1290" i="1"/>
  <c r="T1290" i="1"/>
  <c r="U1290" i="1"/>
  <c r="O1291" i="1"/>
  <c r="P1291" i="1"/>
  <c r="Q1291" i="1"/>
  <c r="R1291" i="1"/>
  <c r="S1291" i="1"/>
  <c r="T1291" i="1"/>
  <c r="U1291" i="1"/>
  <c r="O1292" i="1"/>
  <c r="P1292" i="1"/>
  <c r="Q1292" i="1"/>
  <c r="R1292" i="1"/>
  <c r="S1292" i="1"/>
  <c r="T1292" i="1"/>
  <c r="U1292" i="1"/>
  <c r="O1293" i="1"/>
  <c r="P1293" i="1"/>
  <c r="Q1293" i="1"/>
  <c r="R1293" i="1"/>
  <c r="S1293" i="1"/>
  <c r="T1293" i="1"/>
  <c r="U1293" i="1"/>
  <c r="O1294" i="1"/>
  <c r="P1294" i="1"/>
  <c r="Q1294" i="1"/>
  <c r="R1294" i="1"/>
  <c r="S1294" i="1"/>
  <c r="T1294" i="1"/>
  <c r="U1294" i="1"/>
  <c r="O1295" i="1"/>
  <c r="P1295" i="1"/>
  <c r="Q1295" i="1"/>
  <c r="R1295" i="1"/>
  <c r="S1295" i="1"/>
  <c r="T1295" i="1"/>
  <c r="U1295" i="1"/>
  <c r="O1296" i="1"/>
  <c r="P1296" i="1"/>
  <c r="Q1296" i="1"/>
  <c r="R1296" i="1"/>
  <c r="S1296" i="1"/>
  <c r="T1296" i="1"/>
  <c r="U1296" i="1"/>
  <c r="O1297" i="1"/>
  <c r="P1297" i="1"/>
  <c r="Q1297" i="1"/>
  <c r="R1297" i="1"/>
  <c r="S1297" i="1"/>
  <c r="T1297" i="1"/>
  <c r="U1297" i="1"/>
  <c r="O1298" i="1"/>
  <c r="P1298" i="1"/>
  <c r="Q1298" i="1"/>
  <c r="R1298" i="1"/>
  <c r="S1298" i="1"/>
  <c r="T1298" i="1"/>
  <c r="U1298" i="1"/>
  <c r="O1299" i="1"/>
  <c r="P1299" i="1"/>
  <c r="Q1299" i="1"/>
  <c r="R1299" i="1"/>
  <c r="S1299" i="1"/>
  <c r="T1299" i="1"/>
  <c r="U1299" i="1"/>
  <c r="O1300" i="1"/>
  <c r="P1300" i="1"/>
  <c r="Q1300" i="1"/>
  <c r="R1300" i="1"/>
  <c r="S1300" i="1"/>
  <c r="T1300" i="1"/>
  <c r="U1300" i="1"/>
  <c r="O1301" i="1"/>
  <c r="P1301" i="1"/>
  <c r="Q1301" i="1"/>
  <c r="R1301" i="1"/>
  <c r="S1301" i="1"/>
  <c r="T1301" i="1"/>
  <c r="U1301" i="1"/>
  <c r="O1302" i="1"/>
  <c r="P1302" i="1"/>
  <c r="Q1302" i="1"/>
  <c r="R1302" i="1"/>
  <c r="S1302" i="1"/>
  <c r="T1302" i="1"/>
  <c r="U1302" i="1"/>
  <c r="O1303" i="1"/>
  <c r="P1303" i="1"/>
  <c r="Q1303" i="1"/>
  <c r="R1303" i="1"/>
  <c r="S1303" i="1"/>
  <c r="T1303" i="1"/>
  <c r="U1303" i="1"/>
  <c r="O1304" i="1"/>
  <c r="P1304" i="1"/>
  <c r="Q1304" i="1"/>
  <c r="R1304" i="1"/>
  <c r="S1304" i="1"/>
  <c r="T1304" i="1"/>
  <c r="U1304" i="1"/>
  <c r="O1305" i="1"/>
  <c r="P1305" i="1"/>
  <c r="Q1305" i="1"/>
  <c r="R1305" i="1"/>
  <c r="S1305" i="1"/>
  <c r="T1305" i="1"/>
  <c r="U1305" i="1"/>
  <c r="O1306" i="1"/>
  <c r="P1306" i="1"/>
  <c r="Q1306" i="1"/>
  <c r="R1306" i="1"/>
  <c r="S1306" i="1"/>
  <c r="T1306" i="1"/>
  <c r="U1306" i="1"/>
  <c r="O1307" i="1"/>
  <c r="P1307" i="1"/>
  <c r="Q1307" i="1"/>
  <c r="R1307" i="1"/>
  <c r="S1307" i="1"/>
  <c r="T1307" i="1"/>
  <c r="U1307" i="1"/>
  <c r="O1308" i="1"/>
  <c r="P1308" i="1"/>
  <c r="Q1308" i="1"/>
  <c r="R1308" i="1"/>
  <c r="S1308" i="1"/>
  <c r="T1308" i="1"/>
  <c r="U1308" i="1"/>
  <c r="O1309" i="1"/>
  <c r="P1309" i="1"/>
  <c r="Q1309" i="1"/>
  <c r="R1309" i="1"/>
  <c r="S1309" i="1"/>
  <c r="T1309" i="1"/>
  <c r="U1309" i="1"/>
  <c r="O1310" i="1"/>
  <c r="P1310" i="1"/>
  <c r="Q1310" i="1"/>
  <c r="R1310" i="1"/>
  <c r="S1310" i="1"/>
  <c r="T1310" i="1"/>
  <c r="U1310" i="1"/>
  <c r="O1311" i="1"/>
  <c r="P1311" i="1"/>
  <c r="Q1311" i="1"/>
  <c r="R1311" i="1"/>
  <c r="S1311" i="1"/>
  <c r="T1311" i="1"/>
  <c r="U1311" i="1"/>
  <c r="O1312" i="1"/>
  <c r="P1312" i="1"/>
  <c r="Q1312" i="1"/>
  <c r="R1312" i="1"/>
  <c r="S1312" i="1"/>
  <c r="T1312" i="1"/>
  <c r="U1312" i="1"/>
  <c r="O1313" i="1"/>
  <c r="P1313" i="1"/>
  <c r="Q1313" i="1"/>
  <c r="R1313" i="1"/>
  <c r="S1313" i="1"/>
  <c r="T1313" i="1"/>
  <c r="U1313" i="1"/>
  <c r="O1314" i="1"/>
  <c r="P1314" i="1"/>
  <c r="Q1314" i="1"/>
  <c r="R1314" i="1"/>
  <c r="S1314" i="1"/>
  <c r="T1314" i="1"/>
  <c r="U1314" i="1"/>
  <c r="O1315" i="1"/>
  <c r="P1315" i="1"/>
  <c r="Q1315" i="1"/>
  <c r="R1315" i="1"/>
  <c r="S1315" i="1"/>
  <c r="T1315" i="1"/>
  <c r="U1315" i="1"/>
  <c r="O1316" i="1"/>
  <c r="P1316" i="1"/>
  <c r="Q1316" i="1"/>
  <c r="R1316" i="1"/>
  <c r="S1316" i="1"/>
  <c r="T1316" i="1"/>
  <c r="U1316" i="1"/>
  <c r="O1317" i="1"/>
  <c r="P1317" i="1"/>
  <c r="Q1317" i="1"/>
  <c r="R1317" i="1"/>
  <c r="S1317" i="1"/>
  <c r="T1317" i="1"/>
  <c r="U1317" i="1"/>
  <c r="O1318" i="1"/>
  <c r="P1318" i="1"/>
  <c r="Q1318" i="1"/>
  <c r="R1318" i="1"/>
  <c r="S1318" i="1"/>
  <c r="T1318" i="1"/>
  <c r="U1318" i="1"/>
  <c r="O1319" i="1"/>
  <c r="P1319" i="1"/>
  <c r="Q1319" i="1"/>
  <c r="R1319" i="1"/>
  <c r="S1319" i="1"/>
  <c r="T1319" i="1"/>
  <c r="U1319" i="1"/>
  <c r="O1320" i="1"/>
  <c r="P1320" i="1"/>
  <c r="Q1320" i="1"/>
  <c r="R1320" i="1"/>
  <c r="S1320" i="1"/>
  <c r="T1320" i="1"/>
  <c r="U1320" i="1"/>
  <c r="O1321" i="1"/>
  <c r="P1321" i="1"/>
  <c r="Q1321" i="1"/>
  <c r="R1321" i="1"/>
  <c r="S1321" i="1"/>
  <c r="T1321" i="1"/>
  <c r="U1321" i="1"/>
  <c r="O1322" i="1"/>
  <c r="P1322" i="1"/>
  <c r="Q1322" i="1"/>
  <c r="R1322" i="1"/>
  <c r="S1322" i="1"/>
  <c r="T1322" i="1"/>
  <c r="U1322" i="1"/>
  <c r="O1323" i="1"/>
  <c r="P1323" i="1"/>
  <c r="Q1323" i="1"/>
  <c r="R1323" i="1"/>
  <c r="S1323" i="1"/>
  <c r="T1323" i="1"/>
  <c r="U1323" i="1"/>
  <c r="O1324" i="1"/>
  <c r="P1324" i="1"/>
  <c r="Q1324" i="1"/>
  <c r="R1324" i="1"/>
  <c r="S1324" i="1"/>
  <c r="T1324" i="1"/>
  <c r="U1324" i="1"/>
  <c r="O1325" i="1"/>
  <c r="P1325" i="1"/>
  <c r="Q1325" i="1"/>
  <c r="R1325" i="1"/>
  <c r="S1325" i="1"/>
  <c r="T1325" i="1"/>
  <c r="U1325" i="1"/>
  <c r="O1326" i="1"/>
  <c r="P1326" i="1"/>
  <c r="Q1326" i="1"/>
  <c r="R1326" i="1"/>
  <c r="S1326" i="1"/>
  <c r="T1326" i="1"/>
  <c r="U1326" i="1"/>
  <c r="O1327" i="1"/>
  <c r="P1327" i="1"/>
  <c r="Q1327" i="1"/>
  <c r="R1327" i="1"/>
  <c r="S1327" i="1"/>
  <c r="T1327" i="1"/>
  <c r="U1327" i="1"/>
  <c r="O1328" i="1"/>
  <c r="P1328" i="1"/>
  <c r="Q1328" i="1"/>
  <c r="R1328" i="1"/>
  <c r="S1328" i="1"/>
  <c r="T1328" i="1"/>
  <c r="U1328" i="1"/>
  <c r="O1329" i="1"/>
  <c r="P1329" i="1"/>
  <c r="Q1329" i="1"/>
  <c r="R1329" i="1"/>
  <c r="S1329" i="1"/>
  <c r="T1329" i="1"/>
  <c r="U1329" i="1"/>
  <c r="O1330" i="1"/>
  <c r="P1330" i="1"/>
  <c r="Q1330" i="1"/>
  <c r="R1330" i="1"/>
  <c r="S1330" i="1"/>
  <c r="T1330" i="1"/>
  <c r="U1330" i="1"/>
  <c r="O1331" i="1"/>
  <c r="P1331" i="1"/>
  <c r="Q1331" i="1"/>
  <c r="R1331" i="1"/>
  <c r="S1331" i="1"/>
  <c r="T1331" i="1"/>
  <c r="U1331" i="1"/>
  <c r="O1332" i="1"/>
  <c r="P1332" i="1"/>
  <c r="Q1332" i="1"/>
  <c r="R1332" i="1"/>
  <c r="S1332" i="1"/>
  <c r="T1332" i="1"/>
  <c r="U1332" i="1"/>
  <c r="O1333" i="1"/>
  <c r="P1333" i="1"/>
  <c r="Q1333" i="1"/>
  <c r="R1333" i="1"/>
  <c r="S1333" i="1"/>
  <c r="T1333" i="1"/>
  <c r="U1333" i="1"/>
  <c r="O1334" i="1"/>
  <c r="P1334" i="1"/>
  <c r="Q1334" i="1"/>
  <c r="R1334" i="1"/>
  <c r="S1334" i="1"/>
  <c r="T1334" i="1"/>
  <c r="U1334" i="1"/>
  <c r="O1335" i="1"/>
  <c r="P1335" i="1"/>
  <c r="Q1335" i="1"/>
  <c r="R1335" i="1"/>
  <c r="S1335" i="1"/>
  <c r="T1335" i="1"/>
  <c r="U1335" i="1"/>
  <c r="O1336" i="1"/>
  <c r="P1336" i="1"/>
  <c r="Q1336" i="1"/>
  <c r="R1336" i="1"/>
  <c r="S1336" i="1"/>
  <c r="T1336" i="1"/>
  <c r="U1336" i="1"/>
  <c r="O1337" i="1"/>
  <c r="P1337" i="1"/>
  <c r="Q1337" i="1"/>
  <c r="R1337" i="1"/>
  <c r="S1337" i="1"/>
  <c r="T1337" i="1"/>
  <c r="U1337" i="1"/>
  <c r="O1338" i="1"/>
  <c r="P1338" i="1"/>
  <c r="Q1338" i="1"/>
  <c r="R1338" i="1"/>
  <c r="S1338" i="1"/>
  <c r="T1338" i="1"/>
  <c r="U1338" i="1"/>
  <c r="O1339" i="1"/>
  <c r="P1339" i="1"/>
  <c r="Q1339" i="1"/>
  <c r="R1339" i="1"/>
  <c r="S1339" i="1"/>
  <c r="T1339" i="1"/>
  <c r="U1339" i="1"/>
  <c r="O1340" i="1"/>
  <c r="P1340" i="1"/>
  <c r="Q1340" i="1"/>
  <c r="R1340" i="1"/>
  <c r="S1340" i="1"/>
  <c r="T1340" i="1"/>
  <c r="U1340" i="1"/>
  <c r="O1341" i="1"/>
  <c r="P1341" i="1"/>
  <c r="Q1341" i="1"/>
  <c r="R1341" i="1"/>
  <c r="S1341" i="1"/>
  <c r="T1341" i="1"/>
  <c r="U1341" i="1"/>
  <c r="O1342" i="1"/>
  <c r="P1342" i="1"/>
  <c r="Q1342" i="1"/>
  <c r="R1342" i="1"/>
  <c r="S1342" i="1"/>
  <c r="T1342" i="1"/>
  <c r="U1342" i="1"/>
  <c r="O1343" i="1"/>
  <c r="P1343" i="1"/>
  <c r="Q1343" i="1"/>
  <c r="R1343" i="1"/>
  <c r="S1343" i="1"/>
  <c r="T1343" i="1"/>
  <c r="U1343" i="1"/>
  <c r="O1344" i="1"/>
  <c r="P1344" i="1"/>
  <c r="Q1344" i="1"/>
  <c r="R1344" i="1"/>
  <c r="S1344" i="1"/>
  <c r="T1344" i="1"/>
  <c r="U1344" i="1"/>
  <c r="O1345" i="1"/>
  <c r="P1345" i="1"/>
  <c r="Q1345" i="1"/>
  <c r="R1345" i="1"/>
  <c r="S1345" i="1"/>
  <c r="T1345" i="1"/>
  <c r="U1345" i="1"/>
  <c r="O1346" i="1"/>
  <c r="P1346" i="1"/>
  <c r="Q1346" i="1"/>
  <c r="R1346" i="1"/>
  <c r="S1346" i="1"/>
  <c r="T1346" i="1"/>
  <c r="U1346" i="1"/>
  <c r="O1347" i="1"/>
  <c r="P1347" i="1"/>
  <c r="Q1347" i="1"/>
  <c r="R1347" i="1"/>
  <c r="S1347" i="1"/>
  <c r="T1347" i="1"/>
  <c r="U1347" i="1"/>
  <c r="O1348" i="1"/>
  <c r="P1348" i="1"/>
  <c r="Q1348" i="1"/>
  <c r="R1348" i="1"/>
  <c r="S1348" i="1"/>
  <c r="T1348" i="1"/>
  <c r="U1348" i="1"/>
  <c r="O1349" i="1"/>
  <c r="P1349" i="1"/>
  <c r="Q1349" i="1"/>
  <c r="R1349" i="1"/>
  <c r="S1349" i="1"/>
  <c r="T1349" i="1"/>
  <c r="U1349" i="1"/>
  <c r="O1350" i="1"/>
  <c r="P1350" i="1"/>
  <c r="Q1350" i="1"/>
  <c r="R1350" i="1"/>
  <c r="S1350" i="1"/>
  <c r="T1350" i="1"/>
  <c r="U1350" i="1"/>
  <c r="O1351" i="1"/>
  <c r="P1351" i="1"/>
  <c r="Q1351" i="1"/>
  <c r="R1351" i="1"/>
  <c r="S1351" i="1"/>
  <c r="T1351" i="1"/>
  <c r="U1351" i="1"/>
  <c r="O1352" i="1"/>
  <c r="P1352" i="1"/>
  <c r="Q1352" i="1"/>
  <c r="R1352" i="1"/>
  <c r="S1352" i="1"/>
  <c r="T1352" i="1"/>
  <c r="U1352" i="1"/>
  <c r="O1353" i="1"/>
  <c r="P1353" i="1"/>
  <c r="Q1353" i="1"/>
  <c r="R1353" i="1"/>
  <c r="S1353" i="1"/>
  <c r="T1353" i="1"/>
  <c r="U1353" i="1"/>
  <c r="O1354" i="1"/>
  <c r="P1354" i="1"/>
  <c r="Q1354" i="1"/>
  <c r="R1354" i="1"/>
  <c r="S1354" i="1"/>
  <c r="T1354" i="1"/>
  <c r="U1354" i="1"/>
  <c r="O1355" i="1"/>
  <c r="P1355" i="1"/>
  <c r="Q1355" i="1"/>
  <c r="R1355" i="1"/>
  <c r="S1355" i="1"/>
  <c r="T1355" i="1"/>
  <c r="U1355" i="1"/>
  <c r="O1356" i="1"/>
  <c r="P1356" i="1"/>
  <c r="Q1356" i="1"/>
  <c r="R1356" i="1"/>
  <c r="S1356" i="1"/>
  <c r="T1356" i="1"/>
  <c r="U1356" i="1"/>
  <c r="O1357" i="1"/>
  <c r="P1357" i="1"/>
  <c r="Q1357" i="1"/>
  <c r="R1357" i="1"/>
  <c r="S1357" i="1"/>
  <c r="T1357" i="1"/>
  <c r="U1357" i="1"/>
  <c r="O1358" i="1"/>
  <c r="P1358" i="1"/>
  <c r="Q1358" i="1"/>
  <c r="R1358" i="1"/>
  <c r="S1358" i="1"/>
  <c r="T1358" i="1"/>
  <c r="U1358" i="1"/>
  <c r="O1359" i="1"/>
  <c r="P1359" i="1"/>
  <c r="Q1359" i="1"/>
  <c r="R1359" i="1"/>
  <c r="S1359" i="1"/>
  <c r="T1359" i="1"/>
  <c r="U1359" i="1"/>
  <c r="O1360" i="1"/>
  <c r="P1360" i="1"/>
  <c r="Q1360" i="1"/>
  <c r="R1360" i="1"/>
  <c r="S1360" i="1"/>
  <c r="T1360" i="1"/>
  <c r="U1360" i="1"/>
  <c r="O1361" i="1"/>
  <c r="P1361" i="1"/>
  <c r="Q1361" i="1"/>
  <c r="R1361" i="1"/>
  <c r="S1361" i="1"/>
  <c r="T1361" i="1"/>
  <c r="U1361" i="1"/>
  <c r="O1362" i="1"/>
  <c r="P1362" i="1"/>
  <c r="Q1362" i="1"/>
  <c r="R1362" i="1"/>
  <c r="S1362" i="1"/>
  <c r="T1362" i="1"/>
  <c r="U1362" i="1"/>
  <c r="O1363" i="1"/>
  <c r="P1363" i="1"/>
  <c r="Q1363" i="1"/>
  <c r="R1363" i="1"/>
  <c r="S1363" i="1"/>
  <c r="T1363" i="1"/>
  <c r="U1363" i="1"/>
  <c r="O1364" i="1"/>
  <c r="P1364" i="1"/>
  <c r="Q1364" i="1"/>
  <c r="R1364" i="1"/>
  <c r="S1364" i="1"/>
  <c r="T1364" i="1"/>
  <c r="U1364" i="1"/>
  <c r="O1365" i="1"/>
  <c r="P1365" i="1"/>
  <c r="Q1365" i="1"/>
  <c r="R1365" i="1"/>
  <c r="S1365" i="1"/>
  <c r="T1365" i="1"/>
  <c r="U1365" i="1"/>
  <c r="O1366" i="1"/>
  <c r="P1366" i="1"/>
  <c r="Q1366" i="1"/>
  <c r="R1366" i="1"/>
  <c r="S1366" i="1"/>
  <c r="T1366" i="1"/>
  <c r="U1366" i="1"/>
  <c r="O1367" i="1"/>
  <c r="P1367" i="1"/>
  <c r="Q1367" i="1"/>
  <c r="R1367" i="1"/>
  <c r="S1367" i="1"/>
  <c r="T1367" i="1"/>
  <c r="U1367" i="1"/>
  <c r="O1368" i="1"/>
  <c r="P1368" i="1"/>
  <c r="Q1368" i="1"/>
  <c r="R1368" i="1"/>
  <c r="S1368" i="1"/>
  <c r="T1368" i="1"/>
  <c r="U1368" i="1"/>
  <c r="O1369" i="1"/>
  <c r="P1369" i="1"/>
  <c r="Q1369" i="1"/>
  <c r="R1369" i="1"/>
  <c r="S1369" i="1"/>
  <c r="T1369" i="1"/>
  <c r="U1369" i="1"/>
  <c r="O1370" i="1"/>
  <c r="P1370" i="1"/>
  <c r="Q1370" i="1"/>
  <c r="R1370" i="1"/>
  <c r="S1370" i="1"/>
  <c r="T1370" i="1"/>
  <c r="U1370" i="1"/>
  <c r="O1371" i="1"/>
  <c r="P1371" i="1"/>
  <c r="Q1371" i="1"/>
  <c r="R1371" i="1"/>
  <c r="S1371" i="1"/>
  <c r="T1371" i="1"/>
  <c r="U1371" i="1"/>
  <c r="O1372" i="1"/>
  <c r="P1372" i="1"/>
  <c r="Q1372" i="1"/>
  <c r="R1372" i="1"/>
  <c r="S1372" i="1"/>
  <c r="T1372" i="1"/>
  <c r="U1372" i="1"/>
  <c r="O1373" i="1"/>
  <c r="P1373" i="1"/>
  <c r="Q1373" i="1"/>
  <c r="R1373" i="1"/>
  <c r="S1373" i="1"/>
  <c r="T1373" i="1"/>
  <c r="U1373" i="1"/>
  <c r="O1374" i="1"/>
  <c r="P1374" i="1"/>
  <c r="Q1374" i="1"/>
  <c r="R1374" i="1"/>
  <c r="S1374" i="1"/>
  <c r="T1374" i="1"/>
  <c r="U1374" i="1"/>
  <c r="O1375" i="1"/>
  <c r="P1375" i="1"/>
  <c r="Q1375" i="1"/>
  <c r="R1375" i="1"/>
  <c r="S1375" i="1"/>
  <c r="T1375" i="1"/>
  <c r="U1375" i="1"/>
  <c r="O1376" i="1"/>
  <c r="P1376" i="1"/>
  <c r="Q1376" i="1"/>
  <c r="R1376" i="1"/>
  <c r="S1376" i="1"/>
  <c r="T1376" i="1"/>
  <c r="U1376" i="1"/>
  <c r="O1377" i="1"/>
  <c r="P1377" i="1"/>
  <c r="Q1377" i="1"/>
  <c r="R1377" i="1"/>
  <c r="S1377" i="1"/>
  <c r="T1377" i="1"/>
  <c r="U1377" i="1"/>
  <c r="O1378" i="1"/>
  <c r="P1378" i="1"/>
  <c r="Q1378" i="1"/>
  <c r="R1378" i="1"/>
  <c r="S1378" i="1"/>
  <c r="T1378" i="1"/>
  <c r="U1378" i="1"/>
  <c r="O1379" i="1"/>
  <c r="P1379" i="1"/>
  <c r="Q1379" i="1"/>
  <c r="R1379" i="1"/>
  <c r="S1379" i="1"/>
  <c r="T1379" i="1"/>
  <c r="U1379" i="1"/>
  <c r="O1380" i="1"/>
  <c r="P1380" i="1"/>
  <c r="Q1380" i="1"/>
  <c r="R1380" i="1"/>
  <c r="S1380" i="1"/>
  <c r="T1380" i="1"/>
  <c r="U1380" i="1"/>
  <c r="O1381" i="1"/>
  <c r="P1381" i="1"/>
  <c r="Q1381" i="1"/>
  <c r="R1381" i="1"/>
  <c r="S1381" i="1"/>
  <c r="T1381" i="1"/>
  <c r="U1381" i="1"/>
  <c r="O1382" i="1"/>
  <c r="P1382" i="1"/>
  <c r="Q1382" i="1"/>
  <c r="R1382" i="1"/>
  <c r="S1382" i="1"/>
  <c r="T1382" i="1"/>
  <c r="U1382" i="1"/>
  <c r="O1383" i="1"/>
  <c r="P1383" i="1"/>
  <c r="Q1383" i="1"/>
  <c r="R1383" i="1"/>
  <c r="S1383" i="1"/>
  <c r="T1383" i="1"/>
  <c r="U1383" i="1"/>
  <c r="O1384" i="1"/>
  <c r="P1384" i="1"/>
  <c r="Q1384" i="1"/>
  <c r="R1384" i="1"/>
  <c r="S1384" i="1"/>
  <c r="T1384" i="1"/>
  <c r="U1384" i="1"/>
  <c r="O1385" i="1"/>
  <c r="P1385" i="1"/>
  <c r="Q1385" i="1"/>
  <c r="R1385" i="1"/>
  <c r="S1385" i="1"/>
  <c r="T1385" i="1"/>
  <c r="U1385" i="1"/>
  <c r="O1386" i="1"/>
  <c r="P1386" i="1"/>
  <c r="Q1386" i="1"/>
  <c r="R1386" i="1"/>
  <c r="S1386" i="1"/>
  <c r="T1386" i="1"/>
  <c r="U1386" i="1"/>
  <c r="O1387" i="1"/>
  <c r="P1387" i="1"/>
  <c r="Q1387" i="1"/>
  <c r="R1387" i="1"/>
  <c r="S1387" i="1"/>
  <c r="T1387" i="1"/>
  <c r="U1387" i="1"/>
  <c r="O1388" i="1"/>
  <c r="P1388" i="1"/>
  <c r="Q1388" i="1"/>
  <c r="R1388" i="1"/>
  <c r="S1388" i="1"/>
  <c r="T1388" i="1"/>
  <c r="U1388" i="1"/>
  <c r="O1389" i="1"/>
  <c r="P1389" i="1"/>
  <c r="Q1389" i="1"/>
  <c r="R1389" i="1"/>
  <c r="S1389" i="1"/>
  <c r="T1389" i="1"/>
  <c r="U1389" i="1"/>
  <c r="O1390" i="1"/>
  <c r="P1390" i="1"/>
  <c r="Q1390" i="1"/>
  <c r="R1390" i="1"/>
  <c r="S1390" i="1"/>
  <c r="T1390" i="1"/>
  <c r="U1390" i="1"/>
  <c r="O1391" i="1"/>
  <c r="P1391" i="1"/>
  <c r="Q1391" i="1"/>
  <c r="R1391" i="1"/>
  <c r="S1391" i="1"/>
  <c r="T1391" i="1"/>
  <c r="U1391" i="1"/>
  <c r="O1392" i="1"/>
  <c r="P1392" i="1"/>
  <c r="Q1392" i="1"/>
  <c r="R1392" i="1"/>
  <c r="S1392" i="1"/>
  <c r="T1392" i="1"/>
  <c r="U1392" i="1"/>
  <c r="O1393" i="1"/>
  <c r="P1393" i="1"/>
  <c r="Q1393" i="1"/>
  <c r="R1393" i="1"/>
  <c r="S1393" i="1"/>
  <c r="T1393" i="1"/>
  <c r="U1393" i="1"/>
  <c r="O1394" i="1"/>
  <c r="P1394" i="1"/>
  <c r="Q1394" i="1"/>
  <c r="R1394" i="1"/>
  <c r="S1394" i="1"/>
  <c r="T1394" i="1"/>
  <c r="U1394" i="1"/>
  <c r="O1395" i="1"/>
  <c r="P1395" i="1"/>
  <c r="Q1395" i="1"/>
  <c r="R1395" i="1"/>
  <c r="S1395" i="1"/>
  <c r="T1395" i="1"/>
  <c r="U1395" i="1"/>
  <c r="O1396" i="1"/>
  <c r="P1396" i="1"/>
  <c r="Q1396" i="1"/>
  <c r="R1396" i="1"/>
  <c r="S1396" i="1"/>
  <c r="T1396" i="1"/>
  <c r="U1396" i="1"/>
  <c r="O1397" i="1"/>
  <c r="P1397" i="1"/>
  <c r="Q1397" i="1"/>
  <c r="R1397" i="1"/>
  <c r="S1397" i="1"/>
  <c r="T1397" i="1"/>
  <c r="U1397" i="1"/>
  <c r="O1398" i="1"/>
  <c r="P1398" i="1"/>
  <c r="Q1398" i="1"/>
  <c r="R1398" i="1"/>
  <c r="S1398" i="1"/>
  <c r="T1398" i="1"/>
  <c r="U1398" i="1"/>
  <c r="O1399" i="1"/>
  <c r="P1399" i="1"/>
  <c r="Q1399" i="1"/>
  <c r="R1399" i="1"/>
  <c r="S1399" i="1"/>
  <c r="T1399" i="1"/>
  <c r="U1399" i="1"/>
  <c r="O1400" i="1"/>
  <c r="P1400" i="1"/>
  <c r="Q1400" i="1"/>
  <c r="R1400" i="1"/>
  <c r="S1400" i="1"/>
  <c r="T1400" i="1"/>
  <c r="U1400" i="1"/>
  <c r="O1401" i="1"/>
  <c r="P1401" i="1"/>
  <c r="Q1401" i="1"/>
  <c r="R1401" i="1"/>
  <c r="S1401" i="1"/>
  <c r="T1401" i="1"/>
  <c r="U1401" i="1"/>
  <c r="O1402" i="1"/>
  <c r="P1402" i="1"/>
  <c r="Q1402" i="1"/>
  <c r="R1402" i="1"/>
  <c r="S1402" i="1"/>
  <c r="T1402" i="1"/>
  <c r="U1402" i="1"/>
  <c r="O1403" i="1"/>
  <c r="P1403" i="1"/>
  <c r="Q1403" i="1"/>
  <c r="R1403" i="1"/>
  <c r="S1403" i="1"/>
  <c r="T1403" i="1"/>
  <c r="U1403" i="1"/>
  <c r="O1404" i="1"/>
  <c r="P1404" i="1"/>
  <c r="Q1404" i="1"/>
  <c r="R1404" i="1"/>
  <c r="S1404" i="1"/>
  <c r="T1404" i="1"/>
  <c r="U1404" i="1"/>
  <c r="O1405" i="1"/>
  <c r="P1405" i="1"/>
  <c r="Q1405" i="1"/>
  <c r="R1405" i="1"/>
  <c r="S1405" i="1"/>
  <c r="T1405" i="1"/>
  <c r="U1405" i="1"/>
  <c r="O1406" i="1"/>
  <c r="P1406" i="1"/>
  <c r="Q1406" i="1"/>
  <c r="R1406" i="1"/>
  <c r="S1406" i="1"/>
  <c r="T1406" i="1"/>
  <c r="U1406" i="1"/>
  <c r="O1407" i="1"/>
  <c r="P1407" i="1"/>
  <c r="Q1407" i="1"/>
  <c r="R1407" i="1"/>
  <c r="S1407" i="1"/>
  <c r="T1407" i="1"/>
  <c r="U1407" i="1"/>
  <c r="O1408" i="1"/>
  <c r="P1408" i="1"/>
  <c r="Q1408" i="1"/>
  <c r="R1408" i="1"/>
  <c r="S1408" i="1"/>
  <c r="T1408" i="1"/>
  <c r="U1408" i="1"/>
  <c r="O1409" i="1"/>
  <c r="P1409" i="1"/>
  <c r="Q1409" i="1"/>
  <c r="R1409" i="1"/>
  <c r="S1409" i="1"/>
  <c r="T1409" i="1"/>
  <c r="U1409" i="1"/>
  <c r="O1410" i="1"/>
  <c r="P1410" i="1"/>
  <c r="Q1410" i="1"/>
  <c r="R1410" i="1"/>
  <c r="S1410" i="1"/>
  <c r="T1410" i="1"/>
  <c r="U1410" i="1"/>
  <c r="O1411" i="1"/>
  <c r="P1411" i="1"/>
  <c r="Q1411" i="1"/>
  <c r="R1411" i="1"/>
  <c r="S1411" i="1"/>
  <c r="T1411" i="1"/>
  <c r="U1411" i="1"/>
  <c r="O1412" i="1"/>
  <c r="P1412" i="1"/>
  <c r="Q1412" i="1"/>
  <c r="R1412" i="1"/>
  <c r="S1412" i="1"/>
  <c r="T1412" i="1"/>
  <c r="U1412" i="1"/>
  <c r="O1413" i="1"/>
  <c r="P1413" i="1"/>
  <c r="Q1413" i="1"/>
  <c r="R1413" i="1"/>
  <c r="S1413" i="1"/>
  <c r="T1413" i="1"/>
  <c r="U1413" i="1"/>
  <c r="O1414" i="1"/>
  <c r="P1414" i="1"/>
  <c r="Q1414" i="1"/>
  <c r="R1414" i="1"/>
  <c r="S1414" i="1"/>
  <c r="T1414" i="1"/>
  <c r="U1414" i="1"/>
  <c r="O1415" i="1"/>
  <c r="P1415" i="1"/>
  <c r="Q1415" i="1"/>
  <c r="R1415" i="1"/>
  <c r="S1415" i="1"/>
  <c r="T1415" i="1"/>
  <c r="U1415" i="1"/>
  <c r="O1416" i="1"/>
  <c r="P1416" i="1"/>
  <c r="Q1416" i="1"/>
  <c r="R1416" i="1"/>
  <c r="S1416" i="1"/>
  <c r="T1416" i="1"/>
  <c r="U1416" i="1"/>
  <c r="O1417" i="1"/>
  <c r="P1417" i="1"/>
  <c r="Q1417" i="1"/>
  <c r="R1417" i="1"/>
  <c r="S1417" i="1"/>
  <c r="T1417" i="1"/>
  <c r="U1417" i="1"/>
  <c r="O1418" i="1"/>
  <c r="P1418" i="1"/>
  <c r="Q1418" i="1"/>
  <c r="R1418" i="1"/>
  <c r="S1418" i="1"/>
  <c r="T1418" i="1"/>
  <c r="U1418" i="1"/>
  <c r="O1419" i="1"/>
  <c r="P1419" i="1"/>
  <c r="Q1419" i="1"/>
  <c r="R1419" i="1"/>
  <c r="S1419" i="1"/>
  <c r="T1419" i="1"/>
  <c r="U1419" i="1"/>
  <c r="O1420" i="1"/>
  <c r="P1420" i="1"/>
  <c r="Q1420" i="1"/>
  <c r="R1420" i="1"/>
  <c r="S1420" i="1"/>
  <c r="T1420" i="1"/>
  <c r="U1420" i="1"/>
  <c r="O1421" i="1"/>
  <c r="P1421" i="1"/>
  <c r="Q1421" i="1"/>
  <c r="R1421" i="1"/>
  <c r="S1421" i="1"/>
  <c r="T1421" i="1"/>
  <c r="U1421" i="1"/>
  <c r="O1422" i="1"/>
  <c r="P1422" i="1"/>
  <c r="Q1422" i="1"/>
  <c r="R1422" i="1"/>
  <c r="S1422" i="1"/>
  <c r="T1422" i="1"/>
  <c r="U1422" i="1"/>
  <c r="O1423" i="1"/>
  <c r="P1423" i="1"/>
  <c r="Q1423" i="1"/>
  <c r="R1423" i="1"/>
  <c r="S1423" i="1"/>
  <c r="T1423" i="1"/>
  <c r="U1423" i="1"/>
  <c r="O1424" i="1"/>
  <c r="P1424" i="1"/>
  <c r="Q1424" i="1"/>
  <c r="R1424" i="1"/>
  <c r="S1424" i="1"/>
  <c r="T1424" i="1"/>
  <c r="U1424" i="1"/>
  <c r="O1425" i="1"/>
  <c r="P1425" i="1"/>
  <c r="Q1425" i="1"/>
  <c r="R1425" i="1"/>
  <c r="S1425" i="1"/>
  <c r="T1425" i="1"/>
  <c r="U1425" i="1"/>
  <c r="O1426" i="1"/>
  <c r="P1426" i="1"/>
  <c r="Q1426" i="1"/>
  <c r="R1426" i="1"/>
  <c r="S1426" i="1"/>
  <c r="T1426" i="1"/>
  <c r="U1426" i="1"/>
  <c r="O1427" i="1"/>
  <c r="P1427" i="1"/>
  <c r="Q1427" i="1"/>
  <c r="R1427" i="1"/>
  <c r="S1427" i="1"/>
  <c r="T1427" i="1"/>
  <c r="U1427" i="1"/>
  <c r="O1428" i="1"/>
  <c r="P1428" i="1"/>
  <c r="Q1428" i="1"/>
  <c r="R1428" i="1"/>
  <c r="S1428" i="1"/>
  <c r="T1428" i="1"/>
  <c r="U1428" i="1"/>
  <c r="O1429" i="1"/>
  <c r="P1429" i="1"/>
  <c r="Q1429" i="1"/>
  <c r="R1429" i="1"/>
  <c r="S1429" i="1"/>
  <c r="T1429" i="1"/>
  <c r="U1429" i="1"/>
  <c r="O1430" i="1"/>
  <c r="P1430" i="1"/>
  <c r="Q1430" i="1"/>
  <c r="R1430" i="1"/>
  <c r="S1430" i="1"/>
  <c r="T1430" i="1"/>
  <c r="U1430" i="1"/>
  <c r="O1431" i="1"/>
  <c r="P1431" i="1"/>
  <c r="Q1431" i="1"/>
  <c r="R1431" i="1"/>
  <c r="S1431" i="1"/>
  <c r="T1431" i="1"/>
  <c r="U1431" i="1"/>
  <c r="O1432" i="1"/>
  <c r="P1432" i="1"/>
  <c r="Q1432" i="1"/>
  <c r="R1432" i="1"/>
  <c r="S1432" i="1"/>
  <c r="T1432" i="1"/>
  <c r="U1432" i="1"/>
  <c r="O1433" i="1"/>
  <c r="P1433" i="1"/>
  <c r="Q1433" i="1"/>
  <c r="R1433" i="1"/>
  <c r="S1433" i="1"/>
  <c r="T1433" i="1"/>
  <c r="U1433" i="1"/>
  <c r="O1434" i="1"/>
  <c r="P1434" i="1"/>
  <c r="Q1434" i="1"/>
  <c r="R1434" i="1"/>
  <c r="S1434" i="1"/>
  <c r="T1434" i="1"/>
  <c r="U1434" i="1"/>
  <c r="O1435" i="1"/>
  <c r="P1435" i="1"/>
  <c r="Q1435" i="1"/>
  <c r="R1435" i="1"/>
  <c r="S1435" i="1"/>
  <c r="T1435" i="1"/>
  <c r="U1435" i="1"/>
  <c r="O1436" i="1"/>
  <c r="P1436" i="1"/>
  <c r="Q1436" i="1"/>
  <c r="R1436" i="1"/>
  <c r="S1436" i="1"/>
  <c r="T1436" i="1"/>
  <c r="U1436" i="1"/>
  <c r="O1437" i="1"/>
  <c r="P1437" i="1"/>
  <c r="Q1437" i="1"/>
  <c r="R1437" i="1"/>
  <c r="S1437" i="1"/>
  <c r="T1437" i="1"/>
  <c r="U1437" i="1"/>
  <c r="O1438" i="1"/>
  <c r="P1438" i="1"/>
  <c r="Q1438" i="1"/>
  <c r="R1438" i="1"/>
  <c r="S1438" i="1"/>
  <c r="T1438" i="1"/>
  <c r="U1438" i="1"/>
  <c r="O1439" i="1"/>
  <c r="P1439" i="1"/>
  <c r="Q1439" i="1"/>
  <c r="R1439" i="1"/>
  <c r="S1439" i="1"/>
  <c r="T1439" i="1"/>
  <c r="U1439" i="1"/>
  <c r="O1440" i="1"/>
  <c r="P1440" i="1"/>
  <c r="Q1440" i="1"/>
  <c r="R1440" i="1"/>
  <c r="S1440" i="1"/>
  <c r="T1440" i="1"/>
  <c r="U1440" i="1"/>
  <c r="O1441" i="1"/>
  <c r="P1441" i="1"/>
  <c r="Q1441" i="1"/>
  <c r="R1441" i="1"/>
  <c r="S1441" i="1"/>
  <c r="T1441" i="1"/>
  <c r="U1441" i="1"/>
  <c r="O1442" i="1"/>
  <c r="P1442" i="1"/>
  <c r="Q1442" i="1"/>
  <c r="R1442" i="1"/>
  <c r="S1442" i="1"/>
  <c r="T1442" i="1"/>
  <c r="U1442" i="1"/>
  <c r="O1443" i="1"/>
  <c r="P1443" i="1"/>
  <c r="Q1443" i="1"/>
  <c r="R1443" i="1"/>
  <c r="S1443" i="1"/>
  <c r="T1443" i="1"/>
  <c r="U1443" i="1"/>
  <c r="O1444" i="1"/>
  <c r="P1444" i="1"/>
  <c r="Q1444" i="1"/>
  <c r="R1444" i="1"/>
  <c r="S1444" i="1"/>
  <c r="T1444" i="1"/>
  <c r="U1444" i="1"/>
  <c r="O1445" i="1"/>
  <c r="P1445" i="1"/>
  <c r="Q1445" i="1"/>
  <c r="R1445" i="1"/>
  <c r="S1445" i="1"/>
  <c r="T1445" i="1"/>
  <c r="U1445" i="1"/>
  <c r="O1446" i="1"/>
  <c r="P1446" i="1"/>
  <c r="Q1446" i="1"/>
  <c r="R1446" i="1"/>
  <c r="S1446" i="1"/>
  <c r="T1446" i="1"/>
  <c r="U1446" i="1"/>
  <c r="O1447" i="1"/>
  <c r="P1447" i="1"/>
  <c r="Q1447" i="1"/>
  <c r="R1447" i="1"/>
  <c r="S1447" i="1"/>
  <c r="T1447" i="1"/>
  <c r="U1447" i="1"/>
  <c r="O1448" i="1"/>
  <c r="P1448" i="1"/>
  <c r="Q1448" i="1"/>
  <c r="R1448" i="1"/>
  <c r="S1448" i="1"/>
  <c r="T1448" i="1"/>
  <c r="U1448" i="1"/>
  <c r="O1449" i="1"/>
  <c r="P1449" i="1"/>
  <c r="Q1449" i="1"/>
  <c r="R1449" i="1"/>
  <c r="S1449" i="1"/>
  <c r="T1449" i="1"/>
  <c r="U1449" i="1"/>
  <c r="O1450" i="1"/>
  <c r="P1450" i="1"/>
  <c r="Q1450" i="1"/>
  <c r="R1450" i="1"/>
  <c r="S1450" i="1"/>
  <c r="T1450" i="1"/>
  <c r="U1450" i="1"/>
  <c r="O1451" i="1"/>
  <c r="P1451" i="1"/>
  <c r="Q1451" i="1"/>
  <c r="R1451" i="1"/>
  <c r="S1451" i="1"/>
  <c r="T1451" i="1"/>
  <c r="U1451" i="1"/>
  <c r="O1452" i="1"/>
  <c r="P1452" i="1"/>
  <c r="Q1452" i="1"/>
  <c r="R1452" i="1"/>
  <c r="S1452" i="1"/>
  <c r="T1452" i="1"/>
  <c r="U1452" i="1"/>
  <c r="O1453" i="1"/>
  <c r="P1453" i="1"/>
  <c r="Q1453" i="1"/>
  <c r="R1453" i="1"/>
  <c r="S1453" i="1"/>
  <c r="T1453" i="1"/>
  <c r="U1453" i="1"/>
  <c r="P18" i="1"/>
  <c r="Q18" i="1"/>
  <c r="R18" i="1"/>
  <c r="S18" i="1"/>
  <c r="T18" i="1"/>
  <c r="U18" i="1"/>
  <c r="H19" i="1"/>
  <c r="I19" i="1"/>
  <c r="J19" i="1"/>
  <c r="K19" i="1"/>
  <c r="L19" i="1"/>
  <c r="M19" i="1"/>
  <c r="N19" i="1"/>
  <c r="H20" i="1"/>
  <c r="I20" i="1"/>
  <c r="J20" i="1"/>
  <c r="K20" i="1"/>
  <c r="L20" i="1"/>
  <c r="M20" i="1"/>
  <c r="N20" i="1"/>
  <c r="H21" i="1"/>
  <c r="I21" i="1"/>
  <c r="J21" i="1"/>
  <c r="K21" i="1"/>
  <c r="L21" i="1"/>
  <c r="M21" i="1"/>
  <c r="N21" i="1"/>
  <c r="H22" i="1"/>
  <c r="I22" i="1"/>
  <c r="J22" i="1"/>
  <c r="K22" i="1"/>
  <c r="L22" i="1"/>
  <c r="M22" i="1"/>
  <c r="N22" i="1"/>
  <c r="H23" i="1"/>
  <c r="I23" i="1"/>
  <c r="J23" i="1"/>
  <c r="K23" i="1"/>
  <c r="L23" i="1"/>
  <c r="M23" i="1"/>
  <c r="N23" i="1"/>
  <c r="H24" i="1"/>
  <c r="I24" i="1"/>
  <c r="J24" i="1"/>
  <c r="K24" i="1"/>
  <c r="L24" i="1"/>
  <c r="M24" i="1"/>
  <c r="N24" i="1"/>
  <c r="H25" i="1"/>
  <c r="I25" i="1"/>
  <c r="J25" i="1"/>
  <c r="K25" i="1"/>
  <c r="L25" i="1"/>
  <c r="M25" i="1"/>
  <c r="N25" i="1"/>
  <c r="H26" i="1"/>
  <c r="I26" i="1"/>
  <c r="J26" i="1"/>
  <c r="K26" i="1"/>
  <c r="L26" i="1"/>
  <c r="M26" i="1"/>
  <c r="N26" i="1"/>
  <c r="H27" i="1"/>
  <c r="I27" i="1"/>
  <c r="J27" i="1"/>
  <c r="K27" i="1"/>
  <c r="L27" i="1"/>
  <c r="M27" i="1"/>
  <c r="N27" i="1"/>
  <c r="H28" i="1"/>
  <c r="I28" i="1"/>
  <c r="J28" i="1"/>
  <c r="K28" i="1"/>
  <c r="L28" i="1"/>
  <c r="M28" i="1"/>
  <c r="N28" i="1"/>
  <c r="H29" i="1"/>
  <c r="I29" i="1"/>
  <c r="J29" i="1"/>
  <c r="K29" i="1"/>
  <c r="L29" i="1"/>
  <c r="M29" i="1"/>
  <c r="N29" i="1"/>
  <c r="H30" i="1"/>
  <c r="I30" i="1"/>
  <c r="J30" i="1"/>
  <c r="K30" i="1"/>
  <c r="L30" i="1"/>
  <c r="M30" i="1"/>
  <c r="N30" i="1"/>
  <c r="H31" i="1"/>
  <c r="I31" i="1"/>
  <c r="J31" i="1"/>
  <c r="K31" i="1"/>
  <c r="L31" i="1"/>
  <c r="M31" i="1"/>
  <c r="N31" i="1"/>
  <c r="H32" i="1"/>
  <c r="I32" i="1"/>
  <c r="J32" i="1"/>
  <c r="K32" i="1"/>
  <c r="L32" i="1"/>
  <c r="M32" i="1"/>
  <c r="N32" i="1"/>
  <c r="H33" i="1"/>
  <c r="I33" i="1"/>
  <c r="J33" i="1"/>
  <c r="K33" i="1"/>
  <c r="L33" i="1"/>
  <c r="M33" i="1"/>
  <c r="N33" i="1"/>
  <c r="H34" i="1"/>
  <c r="I34" i="1"/>
  <c r="J34" i="1"/>
  <c r="K34" i="1"/>
  <c r="L34" i="1"/>
  <c r="M34" i="1"/>
  <c r="N34" i="1"/>
  <c r="H35" i="1"/>
  <c r="I35" i="1"/>
  <c r="J35" i="1"/>
  <c r="K35" i="1"/>
  <c r="L35" i="1"/>
  <c r="M35" i="1"/>
  <c r="N35" i="1"/>
  <c r="H36" i="1"/>
  <c r="I36" i="1"/>
  <c r="J36" i="1"/>
  <c r="K36" i="1"/>
  <c r="L36" i="1"/>
  <c r="M36" i="1"/>
  <c r="N36" i="1"/>
  <c r="H37" i="1"/>
  <c r="I37" i="1"/>
  <c r="J37" i="1"/>
  <c r="K37" i="1"/>
  <c r="L37" i="1"/>
  <c r="M37" i="1"/>
  <c r="N37" i="1"/>
  <c r="H38" i="1"/>
  <c r="I38" i="1"/>
  <c r="J38" i="1"/>
  <c r="K38" i="1"/>
  <c r="L38" i="1"/>
  <c r="M38" i="1"/>
  <c r="N38" i="1"/>
  <c r="H39" i="1"/>
  <c r="I39" i="1"/>
  <c r="J39" i="1"/>
  <c r="K39" i="1"/>
  <c r="L39" i="1"/>
  <c r="M39" i="1"/>
  <c r="N39" i="1"/>
  <c r="H40" i="1"/>
  <c r="I40" i="1"/>
  <c r="J40" i="1"/>
  <c r="K40" i="1"/>
  <c r="L40" i="1"/>
  <c r="M40" i="1"/>
  <c r="N40" i="1"/>
  <c r="H41" i="1"/>
  <c r="I41" i="1"/>
  <c r="J41" i="1"/>
  <c r="K41" i="1"/>
  <c r="L41" i="1"/>
  <c r="M41" i="1"/>
  <c r="N41" i="1"/>
  <c r="H42" i="1"/>
  <c r="I42" i="1"/>
  <c r="J42" i="1"/>
  <c r="K42" i="1"/>
  <c r="L42" i="1"/>
  <c r="M42" i="1"/>
  <c r="N42" i="1"/>
  <c r="H43" i="1"/>
  <c r="I43" i="1"/>
  <c r="J43" i="1"/>
  <c r="K43" i="1"/>
  <c r="L43" i="1"/>
  <c r="M43" i="1"/>
  <c r="N43" i="1"/>
  <c r="H44" i="1"/>
  <c r="I44" i="1"/>
  <c r="J44" i="1"/>
  <c r="K44" i="1"/>
  <c r="L44" i="1"/>
  <c r="M44" i="1"/>
  <c r="N44" i="1"/>
  <c r="H45" i="1"/>
  <c r="I45" i="1"/>
  <c r="J45" i="1"/>
  <c r="K45" i="1"/>
  <c r="L45" i="1"/>
  <c r="M45" i="1"/>
  <c r="N45" i="1"/>
  <c r="H46" i="1"/>
  <c r="I46" i="1"/>
  <c r="J46" i="1"/>
  <c r="K46" i="1"/>
  <c r="L46" i="1"/>
  <c r="M46" i="1"/>
  <c r="N46" i="1"/>
  <c r="H47" i="1"/>
  <c r="I47" i="1"/>
  <c r="J47" i="1"/>
  <c r="K47" i="1"/>
  <c r="L47" i="1"/>
  <c r="M47" i="1"/>
  <c r="N47" i="1"/>
  <c r="H48" i="1"/>
  <c r="I48" i="1"/>
  <c r="J48" i="1"/>
  <c r="K48" i="1"/>
  <c r="L48" i="1"/>
  <c r="M48" i="1"/>
  <c r="N48" i="1"/>
  <c r="H49" i="1"/>
  <c r="I49" i="1"/>
  <c r="J49" i="1"/>
  <c r="K49" i="1"/>
  <c r="L49" i="1"/>
  <c r="M49" i="1"/>
  <c r="N49" i="1"/>
  <c r="H50" i="1"/>
  <c r="I50" i="1"/>
  <c r="J50" i="1"/>
  <c r="K50" i="1"/>
  <c r="L50" i="1"/>
  <c r="M50" i="1"/>
  <c r="N50" i="1"/>
  <c r="H51" i="1"/>
  <c r="I51" i="1"/>
  <c r="J51" i="1"/>
  <c r="K51" i="1"/>
  <c r="L51" i="1"/>
  <c r="M51" i="1"/>
  <c r="N51" i="1"/>
  <c r="H52" i="1"/>
  <c r="I52" i="1"/>
  <c r="J52" i="1"/>
  <c r="K52" i="1"/>
  <c r="L52" i="1"/>
  <c r="M52" i="1"/>
  <c r="N52" i="1"/>
  <c r="H53" i="1"/>
  <c r="I53" i="1"/>
  <c r="J53" i="1"/>
  <c r="K53" i="1"/>
  <c r="L53" i="1"/>
  <c r="M53" i="1"/>
  <c r="N53" i="1"/>
  <c r="H54" i="1"/>
  <c r="I54" i="1"/>
  <c r="J54" i="1"/>
  <c r="K54" i="1"/>
  <c r="L54" i="1"/>
  <c r="M54" i="1"/>
  <c r="N54" i="1"/>
  <c r="H55" i="1"/>
  <c r="I55" i="1"/>
  <c r="J55" i="1"/>
  <c r="K55" i="1"/>
  <c r="L55" i="1"/>
  <c r="M55" i="1"/>
  <c r="N55" i="1"/>
  <c r="H56" i="1"/>
  <c r="I56" i="1"/>
  <c r="J56" i="1"/>
  <c r="K56" i="1"/>
  <c r="L56" i="1"/>
  <c r="M56" i="1"/>
  <c r="N56" i="1"/>
  <c r="H57" i="1"/>
  <c r="I57" i="1"/>
  <c r="J57" i="1"/>
  <c r="K57" i="1"/>
  <c r="L57" i="1"/>
  <c r="M57" i="1"/>
  <c r="N57" i="1"/>
  <c r="H58" i="1"/>
  <c r="I58" i="1"/>
  <c r="J58" i="1"/>
  <c r="K58" i="1"/>
  <c r="L58" i="1"/>
  <c r="M58" i="1"/>
  <c r="N58" i="1"/>
  <c r="H59" i="1"/>
  <c r="I59" i="1"/>
  <c r="J59" i="1"/>
  <c r="K59" i="1"/>
  <c r="L59" i="1"/>
  <c r="M59" i="1"/>
  <c r="N59" i="1"/>
  <c r="H60" i="1"/>
  <c r="I60" i="1"/>
  <c r="J60" i="1"/>
  <c r="K60" i="1"/>
  <c r="L60" i="1"/>
  <c r="M60" i="1"/>
  <c r="N60" i="1"/>
  <c r="H61" i="1"/>
  <c r="I61" i="1"/>
  <c r="J61" i="1"/>
  <c r="K61" i="1"/>
  <c r="L61" i="1"/>
  <c r="M61" i="1"/>
  <c r="N61" i="1"/>
  <c r="H62" i="1"/>
  <c r="I62" i="1"/>
  <c r="J62" i="1"/>
  <c r="K62" i="1"/>
  <c r="L62" i="1"/>
  <c r="M62" i="1"/>
  <c r="N62" i="1"/>
  <c r="H63" i="1"/>
  <c r="I63" i="1"/>
  <c r="J63" i="1"/>
  <c r="K63" i="1"/>
  <c r="L63" i="1"/>
  <c r="M63" i="1"/>
  <c r="N63" i="1"/>
  <c r="H64" i="1"/>
  <c r="I64" i="1"/>
  <c r="J64" i="1"/>
  <c r="K64" i="1"/>
  <c r="L64" i="1"/>
  <c r="M64" i="1"/>
  <c r="N64" i="1"/>
  <c r="H65" i="1"/>
  <c r="I65" i="1"/>
  <c r="J65" i="1"/>
  <c r="K65" i="1"/>
  <c r="L65" i="1"/>
  <c r="M65" i="1"/>
  <c r="N65" i="1"/>
  <c r="H66" i="1"/>
  <c r="I66" i="1"/>
  <c r="J66" i="1"/>
  <c r="K66" i="1"/>
  <c r="L66" i="1"/>
  <c r="M66" i="1"/>
  <c r="N66" i="1"/>
  <c r="H67" i="1"/>
  <c r="I67" i="1"/>
  <c r="J67" i="1"/>
  <c r="K67" i="1"/>
  <c r="L67" i="1"/>
  <c r="M67" i="1"/>
  <c r="N67" i="1"/>
  <c r="H68" i="1"/>
  <c r="I68" i="1"/>
  <c r="J68" i="1"/>
  <c r="K68" i="1"/>
  <c r="L68" i="1"/>
  <c r="M68" i="1"/>
  <c r="N68" i="1"/>
  <c r="H69" i="1"/>
  <c r="I69" i="1"/>
  <c r="J69" i="1"/>
  <c r="K69" i="1"/>
  <c r="L69" i="1"/>
  <c r="M69" i="1"/>
  <c r="N69" i="1"/>
  <c r="H70" i="1"/>
  <c r="I70" i="1"/>
  <c r="J70" i="1"/>
  <c r="K70" i="1"/>
  <c r="L70" i="1"/>
  <c r="M70" i="1"/>
  <c r="N70" i="1"/>
  <c r="H71" i="1"/>
  <c r="I71" i="1"/>
  <c r="J71" i="1"/>
  <c r="K71" i="1"/>
  <c r="L71" i="1"/>
  <c r="M71" i="1"/>
  <c r="N71" i="1"/>
  <c r="H72" i="1"/>
  <c r="I72" i="1"/>
  <c r="J72" i="1"/>
  <c r="K72" i="1"/>
  <c r="L72" i="1"/>
  <c r="M72" i="1"/>
  <c r="N72" i="1"/>
  <c r="H73" i="1"/>
  <c r="I73" i="1"/>
  <c r="J73" i="1"/>
  <c r="K73" i="1"/>
  <c r="L73" i="1"/>
  <c r="M73" i="1"/>
  <c r="N73" i="1"/>
  <c r="H74" i="1"/>
  <c r="I74" i="1"/>
  <c r="J74" i="1"/>
  <c r="K74" i="1"/>
  <c r="L74" i="1"/>
  <c r="M74" i="1"/>
  <c r="N74" i="1"/>
  <c r="H75" i="1"/>
  <c r="I75" i="1"/>
  <c r="J75" i="1"/>
  <c r="K75" i="1"/>
  <c r="L75" i="1"/>
  <c r="M75" i="1"/>
  <c r="N75" i="1"/>
  <c r="H76" i="1"/>
  <c r="I76" i="1"/>
  <c r="J76" i="1"/>
  <c r="K76" i="1"/>
  <c r="L76" i="1"/>
  <c r="M76" i="1"/>
  <c r="N76" i="1"/>
  <c r="H77" i="1"/>
  <c r="I77" i="1"/>
  <c r="J77" i="1"/>
  <c r="K77" i="1"/>
  <c r="L77" i="1"/>
  <c r="M77" i="1"/>
  <c r="N77" i="1"/>
  <c r="H78" i="1"/>
  <c r="I78" i="1"/>
  <c r="J78" i="1"/>
  <c r="K78" i="1"/>
  <c r="L78" i="1"/>
  <c r="M78" i="1"/>
  <c r="N78" i="1"/>
  <c r="H79" i="1"/>
  <c r="I79" i="1"/>
  <c r="J79" i="1"/>
  <c r="K79" i="1"/>
  <c r="L79" i="1"/>
  <c r="M79" i="1"/>
  <c r="N79" i="1"/>
  <c r="H80" i="1"/>
  <c r="I80" i="1"/>
  <c r="J80" i="1"/>
  <c r="K80" i="1"/>
  <c r="L80" i="1"/>
  <c r="M80" i="1"/>
  <c r="N80" i="1"/>
  <c r="H81" i="1"/>
  <c r="I81" i="1"/>
  <c r="J81" i="1"/>
  <c r="K81" i="1"/>
  <c r="L81" i="1"/>
  <c r="M81" i="1"/>
  <c r="N81" i="1"/>
  <c r="H82" i="1"/>
  <c r="I82" i="1"/>
  <c r="J82" i="1"/>
  <c r="K82" i="1"/>
  <c r="L82" i="1"/>
  <c r="M82" i="1"/>
  <c r="N82" i="1"/>
  <c r="H83" i="1"/>
  <c r="I83" i="1"/>
  <c r="J83" i="1"/>
  <c r="K83" i="1"/>
  <c r="L83" i="1"/>
  <c r="M83" i="1"/>
  <c r="N83" i="1"/>
  <c r="H84" i="1"/>
  <c r="I84" i="1"/>
  <c r="J84" i="1"/>
  <c r="K84" i="1"/>
  <c r="L84" i="1"/>
  <c r="M84" i="1"/>
  <c r="N84" i="1"/>
  <c r="H85" i="1"/>
  <c r="I85" i="1"/>
  <c r="J85" i="1"/>
  <c r="K85" i="1"/>
  <c r="L85" i="1"/>
  <c r="M85" i="1"/>
  <c r="N85" i="1"/>
  <c r="H86" i="1"/>
  <c r="I86" i="1"/>
  <c r="J86" i="1"/>
  <c r="K86" i="1"/>
  <c r="L86" i="1"/>
  <c r="M86" i="1"/>
  <c r="N86" i="1"/>
  <c r="H87" i="1"/>
  <c r="I87" i="1"/>
  <c r="J87" i="1"/>
  <c r="K87" i="1"/>
  <c r="L87" i="1"/>
  <c r="M87" i="1"/>
  <c r="N87" i="1"/>
  <c r="H88" i="1"/>
  <c r="I88" i="1"/>
  <c r="J88" i="1"/>
  <c r="K88" i="1"/>
  <c r="L88" i="1"/>
  <c r="M88" i="1"/>
  <c r="N88" i="1"/>
  <c r="H89" i="1"/>
  <c r="I89" i="1"/>
  <c r="J89" i="1"/>
  <c r="K89" i="1"/>
  <c r="L89" i="1"/>
  <c r="M89" i="1"/>
  <c r="N89" i="1"/>
  <c r="H90" i="1"/>
  <c r="I90" i="1"/>
  <c r="J90" i="1"/>
  <c r="K90" i="1"/>
  <c r="L90" i="1"/>
  <c r="M90" i="1"/>
  <c r="N90" i="1"/>
  <c r="H91" i="1"/>
  <c r="I91" i="1"/>
  <c r="J91" i="1"/>
  <c r="K91" i="1"/>
  <c r="L91" i="1"/>
  <c r="M91" i="1"/>
  <c r="N91" i="1"/>
  <c r="H92" i="1"/>
  <c r="I92" i="1"/>
  <c r="J92" i="1"/>
  <c r="K92" i="1"/>
  <c r="L92" i="1"/>
  <c r="M92" i="1"/>
  <c r="N92" i="1"/>
  <c r="H93" i="1"/>
  <c r="I93" i="1"/>
  <c r="J93" i="1"/>
  <c r="K93" i="1"/>
  <c r="L93" i="1"/>
  <c r="M93" i="1"/>
  <c r="N93" i="1"/>
  <c r="H94" i="1"/>
  <c r="I94" i="1"/>
  <c r="J94" i="1"/>
  <c r="K94" i="1"/>
  <c r="L94" i="1"/>
  <c r="M94" i="1"/>
  <c r="N94" i="1"/>
  <c r="H95" i="1"/>
  <c r="I95" i="1"/>
  <c r="J95" i="1"/>
  <c r="K95" i="1"/>
  <c r="L95" i="1"/>
  <c r="M95" i="1"/>
  <c r="N95" i="1"/>
  <c r="H96" i="1"/>
  <c r="I96" i="1"/>
  <c r="J96" i="1"/>
  <c r="K96" i="1"/>
  <c r="L96" i="1"/>
  <c r="M96" i="1"/>
  <c r="N96" i="1"/>
  <c r="H97" i="1"/>
  <c r="I97" i="1"/>
  <c r="J97" i="1"/>
  <c r="K97" i="1"/>
  <c r="L97" i="1"/>
  <c r="M97" i="1"/>
  <c r="N97" i="1"/>
  <c r="H98" i="1"/>
  <c r="I98" i="1"/>
  <c r="J98" i="1"/>
  <c r="K98" i="1"/>
  <c r="L98" i="1"/>
  <c r="M98" i="1"/>
  <c r="N98" i="1"/>
  <c r="H99" i="1"/>
  <c r="I99" i="1"/>
  <c r="J99" i="1"/>
  <c r="K99" i="1"/>
  <c r="L99" i="1"/>
  <c r="M99" i="1"/>
  <c r="N99" i="1"/>
  <c r="H100" i="1"/>
  <c r="I100" i="1"/>
  <c r="J100" i="1"/>
  <c r="K100" i="1"/>
  <c r="L100" i="1"/>
  <c r="M100" i="1"/>
  <c r="N100" i="1"/>
  <c r="H101" i="1"/>
  <c r="I101" i="1"/>
  <c r="J101" i="1"/>
  <c r="K101" i="1"/>
  <c r="L101" i="1"/>
  <c r="M101" i="1"/>
  <c r="N101" i="1"/>
  <c r="H102" i="1"/>
  <c r="I102" i="1"/>
  <c r="J102" i="1"/>
  <c r="K102" i="1"/>
  <c r="L102" i="1"/>
  <c r="M102" i="1"/>
  <c r="N102" i="1"/>
  <c r="H103" i="1"/>
  <c r="I103" i="1"/>
  <c r="J103" i="1"/>
  <c r="K103" i="1"/>
  <c r="L103" i="1"/>
  <c r="M103" i="1"/>
  <c r="N103" i="1"/>
  <c r="H104" i="1"/>
  <c r="I104" i="1"/>
  <c r="J104" i="1"/>
  <c r="K104" i="1"/>
  <c r="L104" i="1"/>
  <c r="M104" i="1"/>
  <c r="N104" i="1"/>
  <c r="H105" i="1"/>
  <c r="I105" i="1"/>
  <c r="J105" i="1"/>
  <c r="K105" i="1"/>
  <c r="L105" i="1"/>
  <c r="M105" i="1"/>
  <c r="N105" i="1"/>
  <c r="H106" i="1"/>
  <c r="I106" i="1"/>
  <c r="J106" i="1"/>
  <c r="K106" i="1"/>
  <c r="L106" i="1"/>
  <c r="M106" i="1"/>
  <c r="N106" i="1"/>
  <c r="H107" i="1"/>
  <c r="I107" i="1"/>
  <c r="J107" i="1"/>
  <c r="K107" i="1"/>
  <c r="L107" i="1"/>
  <c r="M107" i="1"/>
  <c r="N107" i="1"/>
  <c r="H108" i="1"/>
  <c r="I108" i="1"/>
  <c r="J108" i="1"/>
  <c r="K108" i="1"/>
  <c r="L108" i="1"/>
  <c r="M108" i="1"/>
  <c r="N108" i="1"/>
  <c r="H109" i="1"/>
  <c r="I109" i="1"/>
  <c r="J109" i="1"/>
  <c r="K109" i="1"/>
  <c r="L109" i="1"/>
  <c r="M109" i="1"/>
  <c r="N109" i="1"/>
  <c r="H110" i="1"/>
  <c r="I110" i="1"/>
  <c r="J110" i="1"/>
  <c r="K110" i="1"/>
  <c r="L110" i="1"/>
  <c r="M110" i="1"/>
  <c r="N110" i="1"/>
  <c r="H111" i="1"/>
  <c r="I111" i="1"/>
  <c r="J111" i="1"/>
  <c r="K111" i="1"/>
  <c r="L111" i="1"/>
  <c r="M111" i="1"/>
  <c r="N111" i="1"/>
  <c r="H112" i="1"/>
  <c r="I112" i="1"/>
  <c r="J112" i="1"/>
  <c r="K112" i="1"/>
  <c r="L112" i="1"/>
  <c r="M112" i="1"/>
  <c r="N112" i="1"/>
  <c r="H113" i="1"/>
  <c r="I113" i="1"/>
  <c r="J113" i="1"/>
  <c r="K113" i="1"/>
  <c r="L113" i="1"/>
  <c r="M113" i="1"/>
  <c r="N113" i="1"/>
  <c r="H114" i="1"/>
  <c r="I114" i="1"/>
  <c r="J114" i="1"/>
  <c r="K114" i="1"/>
  <c r="L114" i="1"/>
  <c r="M114" i="1"/>
  <c r="N114" i="1"/>
  <c r="H115" i="1"/>
  <c r="I115" i="1"/>
  <c r="J115" i="1"/>
  <c r="K115" i="1"/>
  <c r="L115" i="1"/>
  <c r="M115" i="1"/>
  <c r="N115" i="1"/>
  <c r="H116" i="1"/>
  <c r="I116" i="1"/>
  <c r="J116" i="1"/>
  <c r="K116" i="1"/>
  <c r="L116" i="1"/>
  <c r="M116" i="1"/>
  <c r="N116" i="1"/>
  <c r="H117" i="1"/>
  <c r="I117" i="1"/>
  <c r="J117" i="1"/>
  <c r="K117" i="1"/>
  <c r="L117" i="1"/>
  <c r="M117" i="1"/>
  <c r="N117" i="1"/>
  <c r="H118" i="1"/>
  <c r="I118" i="1"/>
  <c r="J118" i="1"/>
  <c r="K118" i="1"/>
  <c r="L118" i="1"/>
  <c r="M118" i="1"/>
  <c r="N118" i="1"/>
  <c r="H119" i="1"/>
  <c r="I119" i="1"/>
  <c r="J119" i="1"/>
  <c r="K119" i="1"/>
  <c r="L119" i="1"/>
  <c r="M119" i="1"/>
  <c r="N119" i="1"/>
  <c r="H120" i="1"/>
  <c r="I120" i="1"/>
  <c r="J120" i="1"/>
  <c r="K120" i="1"/>
  <c r="L120" i="1"/>
  <c r="M120" i="1"/>
  <c r="N120" i="1"/>
  <c r="H121" i="1"/>
  <c r="I121" i="1"/>
  <c r="J121" i="1"/>
  <c r="K121" i="1"/>
  <c r="L121" i="1"/>
  <c r="M121" i="1"/>
  <c r="N121" i="1"/>
  <c r="H122" i="1"/>
  <c r="I122" i="1"/>
  <c r="J122" i="1"/>
  <c r="K122" i="1"/>
  <c r="L122" i="1"/>
  <c r="M122" i="1"/>
  <c r="N122" i="1"/>
  <c r="H123" i="1"/>
  <c r="I123" i="1"/>
  <c r="J123" i="1"/>
  <c r="K123" i="1"/>
  <c r="L123" i="1"/>
  <c r="M123" i="1"/>
  <c r="N123" i="1"/>
  <c r="H124" i="1"/>
  <c r="I124" i="1"/>
  <c r="J124" i="1"/>
  <c r="K124" i="1"/>
  <c r="L124" i="1"/>
  <c r="M124" i="1"/>
  <c r="N124" i="1"/>
  <c r="H125" i="1"/>
  <c r="I125" i="1"/>
  <c r="J125" i="1"/>
  <c r="K125" i="1"/>
  <c r="L125" i="1"/>
  <c r="M125" i="1"/>
  <c r="N125" i="1"/>
  <c r="H126" i="1"/>
  <c r="I126" i="1"/>
  <c r="J126" i="1"/>
  <c r="K126" i="1"/>
  <c r="L126" i="1"/>
  <c r="M126" i="1"/>
  <c r="N126" i="1"/>
  <c r="H127" i="1"/>
  <c r="I127" i="1"/>
  <c r="J127" i="1"/>
  <c r="K127" i="1"/>
  <c r="L127" i="1"/>
  <c r="M127" i="1"/>
  <c r="N127" i="1"/>
  <c r="H128" i="1"/>
  <c r="I128" i="1"/>
  <c r="J128" i="1"/>
  <c r="K128" i="1"/>
  <c r="L128" i="1"/>
  <c r="M128" i="1"/>
  <c r="N128" i="1"/>
  <c r="H129" i="1"/>
  <c r="I129" i="1"/>
  <c r="J129" i="1"/>
  <c r="K129" i="1"/>
  <c r="L129" i="1"/>
  <c r="M129" i="1"/>
  <c r="N129" i="1"/>
  <c r="H130" i="1"/>
  <c r="I130" i="1"/>
  <c r="J130" i="1"/>
  <c r="K130" i="1"/>
  <c r="L130" i="1"/>
  <c r="M130" i="1"/>
  <c r="N130" i="1"/>
  <c r="H131" i="1"/>
  <c r="I131" i="1"/>
  <c r="J131" i="1"/>
  <c r="K131" i="1"/>
  <c r="L131" i="1"/>
  <c r="M131" i="1"/>
  <c r="N131" i="1"/>
  <c r="H132" i="1"/>
  <c r="I132" i="1"/>
  <c r="J132" i="1"/>
  <c r="K132" i="1"/>
  <c r="L132" i="1"/>
  <c r="M132" i="1"/>
  <c r="N132" i="1"/>
  <c r="H133" i="1"/>
  <c r="I133" i="1"/>
  <c r="J133" i="1"/>
  <c r="K133" i="1"/>
  <c r="L133" i="1"/>
  <c r="M133" i="1"/>
  <c r="N133" i="1"/>
  <c r="H134" i="1"/>
  <c r="I134" i="1"/>
  <c r="J134" i="1"/>
  <c r="K134" i="1"/>
  <c r="L134" i="1"/>
  <c r="M134" i="1"/>
  <c r="N134" i="1"/>
  <c r="H135" i="1"/>
  <c r="I135" i="1"/>
  <c r="J135" i="1"/>
  <c r="K135" i="1"/>
  <c r="L135" i="1"/>
  <c r="M135" i="1"/>
  <c r="N135" i="1"/>
  <c r="H136" i="1"/>
  <c r="I136" i="1"/>
  <c r="J136" i="1"/>
  <c r="K136" i="1"/>
  <c r="L136" i="1"/>
  <c r="M136" i="1"/>
  <c r="N136" i="1"/>
  <c r="H137" i="1"/>
  <c r="I137" i="1"/>
  <c r="J137" i="1"/>
  <c r="K137" i="1"/>
  <c r="L137" i="1"/>
  <c r="M137" i="1"/>
  <c r="N137" i="1"/>
  <c r="H138" i="1"/>
  <c r="I138" i="1"/>
  <c r="J138" i="1"/>
  <c r="K138" i="1"/>
  <c r="L138" i="1"/>
  <c r="M138" i="1"/>
  <c r="N138" i="1"/>
  <c r="H139" i="1"/>
  <c r="I139" i="1"/>
  <c r="J139" i="1"/>
  <c r="K139" i="1"/>
  <c r="L139" i="1"/>
  <c r="M139" i="1"/>
  <c r="N139" i="1"/>
  <c r="H140" i="1"/>
  <c r="I140" i="1"/>
  <c r="J140" i="1"/>
  <c r="K140" i="1"/>
  <c r="L140" i="1"/>
  <c r="M140" i="1"/>
  <c r="N140" i="1"/>
  <c r="H141" i="1"/>
  <c r="I141" i="1"/>
  <c r="J141" i="1"/>
  <c r="K141" i="1"/>
  <c r="L141" i="1"/>
  <c r="M141" i="1"/>
  <c r="N141" i="1"/>
  <c r="H142" i="1"/>
  <c r="I142" i="1"/>
  <c r="J142" i="1"/>
  <c r="K142" i="1"/>
  <c r="L142" i="1"/>
  <c r="M142" i="1"/>
  <c r="N142" i="1"/>
  <c r="H143" i="1"/>
  <c r="I143" i="1"/>
  <c r="J143" i="1"/>
  <c r="K143" i="1"/>
  <c r="L143" i="1"/>
  <c r="M143" i="1"/>
  <c r="N143" i="1"/>
  <c r="H144" i="1"/>
  <c r="I144" i="1"/>
  <c r="J144" i="1"/>
  <c r="K144" i="1"/>
  <c r="L144" i="1"/>
  <c r="M144" i="1"/>
  <c r="N144" i="1"/>
  <c r="H145" i="1"/>
  <c r="I145" i="1"/>
  <c r="J145" i="1"/>
  <c r="K145" i="1"/>
  <c r="L145" i="1"/>
  <c r="M145" i="1"/>
  <c r="N145" i="1"/>
  <c r="H146" i="1"/>
  <c r="I146" i="1"/>
  <c r="J146" i="1"/>
  <c r="K146" i="1"/>
  <c r="L146" i="1"/>
  <c r="M146" i="1"/>
  <c r="N146" i="1"/>
  <c r="H147" i="1"/>
  <c r="I147" i="1"/>
  <c r="J147" i="1"/>
  <c r="K147" i="1"/>
  <c r="L147" i="1"/>
  <c r="M147" i="1"/>
  <c r="N147" i="1"/>
  <c r="H148" i="1"/>
  <c r="I148" i="1"/>
  <c r="J148" i="1"/>
  <c r="K148" i="1"/>
  <c r="L148" i="1"/>
  <c r="M148" i="1"/>
  <c r="N148" i="1"/>
  <c r="H149" i="1"/>
  <c r="I149" i="1"/>
  <c r="J149" i="1"/>
  <c r="K149" i="1"/>
  <c r="L149" i="1"/>
  <c r="M149" i="1"/>
  <c r="N149" i="1"/>
  <c r="H150" i="1"/>
  <c r="I150" i="1"/>
  <c r="J150" i="1"/>
  <c r="K150" i="1"/>
  <c r="L150" i="1"/>
  <c r="M150" i="1"/>
  <c r="N150" i="1"/>
  <c r="H151" i="1"/>
  <c r="I151" i="1"/>
  <c r="J151" i="1"/>
  <c r="K151" i="1"/>
  <c r="L151" i="1"/>
  <c r="M151" i="1"/>
  <c r="N151" i="1"/>
  <c r="H152" i="1"/>
  <c r="I152" i="1"/>
  <c r="J152" i="1"/>
  <c r="K152" i="1"/>
  <c r="L152" i="1"/>
  <c r="M152" i="1"/>
  <c r="N152" i="1"/>
  <c r="H153" i="1"/>
  <c r="I153" i="1"/>
  <c r="J153" i="1"/>
  <c r="K153" i="1"/>
  <c r="L153" i="1"/>
  <c r="M153" i="1"/>
  <c r="N153" i="1"/>
  <c r="H154" i="1"/>
  <c r="I154" i="1"/>
  <c r="J154" i="1"/>
  <c r="K154" i="1"/>
  <c r="L154" i="1"/>
  <c r="M154" i="1"/>
  <c r="N154" i="1"/>
  <c r="H155" i="1"/>
  <c r="I155" i="1"/>
  <c r="J155" i="1"/>
  <c r="K155" i="1"/>
  <c r="L155" i="1"/>
  <c r="M155" i="1"/>
  <c r="N155" i="1"/>
  <c r="H156" i="1"/>
  <c r="I156" i="1"/>
  <c r="J156" i="1"/>
  <c r="K156" i="1"/>
  <c r="L156" i="1"/>
  <c r="M156" i="1"/>
  <c r="N156" i="1"/>
  <c r="H157" i="1"/>
  <c r="I157" i="1"/>
  <c r="J157" i="1"/>
  <c r="K157" i="1"/>
  <c r="L157" i="1"/>
  <c r="M157" i="1"/>
  <c r="N157" i="1"/>
  <c r="H158" i="1"/>
  <c r="I158" i="1"/>
  <c r="J158" i="1"/>
  <c r="K158" i="1"/>
  <c r="L158" i="1"/>
  <c r="M158" i="1"/>
  <c r="N158" i="1"/>
  <c r="H159" i="1"/>
  <c r="I159" i="1"/>
  <c r="J159" i="1"/>
  <c r="K159" i="1"/>
  <c r="L159" i="1"/>
  <c r="M159" i="1"/>
  <c r="N159" i="1"/>
  <c r="H160" i="1"/>
  <c r="I160" i="1"/>
  <c r="J160" i="1"/>
  <c r="K160" i="1"/>
  <c r="L160" i="1"/>
  <c r="M160" i="1"/>
  <c r="N160" i="1"/>
  <c r="H161" i="1"/>
  <c r="I161" i="1"/>
  <c r="J161" i="1"/>
  <c r="K161" i="1"/>
  <c r="L161" i="1"/>
  <c r="M161" i="1"/>
  <c r="N161" i="1"/>
  <c r="H162" i="1"/>
  <c r="I162" i="1"/>
  <c r="J162" i="1"/>
  <c r="K162" i="1"/>
  <c r="L162" i="1"/>
  <c r="M162" i="1"/>
  <c r="N162" i="1"/>
  <c r="H163" i="1"/>
  <c r="I163" i="1"/>
  <c r="J163" i="1"/>
  <c r="K163" i="1"/>
  <c r="L163" i="1"/>
  <c r="M163" i="1"/>
  <c r="N163" i="1"/>
  <c r="H164" i="1"/>
  <c r="I164" i="1"/>
  <c r="J164" i="1"/>
  <c r="K164" i="1"/>
  <c r="L164" i="1"/>
  <c r="M164" i="1"/>
  <c r="N164" i="1"/>
  <c r="H165" i="1"/>
  <c r="I165" i="1"/>
  <c r="J165" i="1"/>
  <c r="K165" i="1"/>
  <c r="L165" i="1"/>
  <c r="M165" i="1"/>
  <c r="N165" i="1"/>
  <c r="H166" i="1"/>
  <c r="I166" i="1"/>
  <c r="J166" i="1"/>
  <c r="K166" i="1"/>
  <c r="L166" i="1"/>
  <c r="M166" i="1"/>
  <c r="N166" i="1"/>
  <c r="H167" i="1"/>
  <c r="I167" i="1"/>
  <c r="J167" i="1"/>
  <c r="K167" i="1"/>
  <c r="L167" i="1"/>
  <c r="M167" i="1"/>
  <c r="N167" i="1"/>
  <c r="H168" i="1"/>
  <c r="I168" i="1"/>
  <c r="J168" i="1"/>
  <c r="K168" i="1"/>
  <c r="L168" i="1"/>
  <c r="M168" i="1"/>
  <c r="N168" i="1"/>
  <c r="H169" i="1"/>
  <c r="I169" i="1"/>
  <c r="J169" i="1"/>
  <c r="K169" i="1"/>
  <c r="L169" i="1"/>
  <c r="M169" i="1"/>
  <c r="N169" i="1"/>
  <c r="H170" i="1"/>
  <c r="I170" i="1"/>
  <c r="J170" i="1"/>
  <c r="K170" i="1"/>
  <c r="L170" i="1"/>
  <c r="M170" i="1"/>
  <c r="N170" i="1"/>
  <c r="H171" i="1"/>
  <c r="I171" i="1"/>
  <c r="J171" i="1"/>
  <c r="K171" i="1"/>
  <c r="L171" i="1"/>
  <c r="M171" i="1"/>
  <c r="N171" i="1"/>
  <c r="H172" i="1"/>
  <c r="I172" i="1"/>
  <c r="J172" i="1"/>
  <c r="K172" i="1"/>
  <c r="L172" i="1"/>
  <c r="M172" i="1"/>
  <c r="N172" i="1"/>
  <c r="H173" i="1"/>
  <c r="I173" i="1"/>
  <c r="J173" i="1"/>
  <c r="K173" i="1"/>
  <c r="L173" i="1"/>
  <c r="M173" i="1"/>
  <c r="N173" i="1"/>
  <c r="H174" i="1"/>
  <c r="I174" i="1"/>
  <c r="J174" i="1"/>
  <c r="K174" i="1"/>
  <c r="L174" i="1"/>
  <c r="M174" i="1"/>
  <c r="N174" i="1"/>
  <c r="H175" i="1"/>
  <c r="I175" i="1"/>
  <c r="J175" i="1"/>
  <c r="K175" i="1"/>
  <c r="L175" i="1"/>
  <c r="M175" i="1"/>
  <c r="N175" i="1"/>
  <c r="H176" i="1"/>
  <c r="I176" i="1"/>
  <c r="J176" i="1"/>
  <c r="K176" i="1"/>
  <c r="L176" i="1"/>
  <c r="M176" i="1"/>
  <c r="N176" i="1"/>
  <c r="H177" i="1"/>
  <c r="I177" i="1"/>
  <c r="J177" i="1"/>
  <c r="K177" i="1"/>
  <c r="L177" i="1"/>
  <c r="M177" i="1"/>
  <c r="N177" i="1"/>
  <c r="H178" i="1"/>
  <c r="I178" i="1"/>
  <c r="J178" i="1"/>
  <c r="K178" i="1"/>
  <c r="L178" i="1"/>
  <c r="M178" i="1"/>
  <c r="N178" i="1"/>
  <c r="H179" i="1"/>
  <c r="I179" i="1"/>
  <c r="J179" i="1"/>
  <c r="K179" i="1"/>
  <c r="L179" i="1"/>
  <c r="M179" i="1"/>
  <c r="N179" i="1"/>
  <c r="H180" i="1"/>
  <c r="I180" i="1"/>
  <c r="J180" i="1"/>
  <c r="K180" i="1"/>
  <c r="L180" i="1"/>
  <c r="M180" i="1"/>
  <c r="N180" i="1"/>
  <c r="H181" i="1"/>
  <c r="I181" i="1"/>
  <c r="J181" i="1"/>
  <c r="K181" i="1"/>
  <c r="L181" i="1"/>
  <c r="M181" i="1"/>
  <c r="N181" i="1"/>
  <c r="H182" i="1"/>
  <c r="I182" i="1"/>
  <c r="J182" i="1"/>
  <c r="K182" i="1"/>
  <c r="L182" i="1"/>
  <c r="M182" i="1"/>
  <c r="N182" i="1"/>
  <c r="H183" i="1"/>
  <c r="I183" i="1"/>
  <c r="J183" i="1"/>
  <c r="K183" i="1"/>
  <c r="L183" i="1"/>
  <c r="M183" i="1"/>
  <c r="N183" i="1"/>
  <c r="H184" i="1"/>
  <c r="I184" i="1"/>
  <c r="J184" i="1"/>
  <c r="K184" i="1"/>
  <c r="L184" i="1"/>
  <c r="M184" i="1"/>
  <c r="N184" i="1"/>
  <c r="H185" i="1"/>
  <c r="I185" i="1"/>
  <c r="J185" i="1"/>
  <c r="K185" i="1"/>
  <c r="L185" i="1"/>
  <c r="M185" i="1"/>
  <c r="N185" i="1"/>
  <c r="H186" i="1"/>
  <c r="I186" i="1"/>
  <c r="J186" i="1"/>
  <c r="K186" i="1"/>
  <c r="L186" i="1"/>
  <c r="M186" i="1"/>
  <c r="N186" i="1"/>
  <c r="H187" i="1"/>
  <c r="I187" i="1"/>
  <c r="J187" i="1"/>
  <c r="K187" i="1"/>
  <c r="L187" i="1"/>
  <c r="M187" i="1"/>
  <c r="N187" i="1"/>
  <c r="H188" i="1"/>
  <c r="I188" i="1"/>
  <c r="J188" i="1"/>
  <c r="K188" i="1"/>
  <c r="L188" i="1"/>
  <c r="M188" i="1"/>
  <c r="N188" i="1"/>
  <c r="H189" i="1"/>
  <c r="I189" i="1"/>
  <c r="J189" i="1"/>
  <c r="K189" i="1"/>
  <c r="L189" i="1"/>
  <c r="M189" i="1"/>
  <c r="N189" i="1"/>
  <c r="H190" i="1"/>
  <c r="I190" i="1"/>
  <c r="J190" i="1"/>
  <c r="K190" i="1"/>
  <c r="L190" i="1"/>
  <c r="M190" i="1"/>
  <c r="N190" i="1"/>
  <c r="H191" i="1"/>
  <c r="I191" i="1"/>
  <c r="J191" i="1"/>
  <c r="K191" i="1"/>
  <c r="L191" i="1"/>
  <c r="M191" i="1"/>
  <c r="N191" i="1"/>
  <c r="H192" i="1"/>
  <c r="I192" i="1"/>
  <c r="J192" i="1"/>
  <c r="K192" i="1"/>
  <c r="L192" i="1"/>
  <c r="M192" i="1"/>
  <c r="N192" i="1"/>
  <c r="H193" i="1"/>
  <c r="I193" i="1"/>
  <c r="J193" i="1"/>
  <c r="K193" i="1"/>
  <c r="L193" i="1"/>
  <c r="M193" i="1"/>
  <c r="N193" i="1"/>
  <c r="H194" i="1"/>
  <c r="I194" i="1"/>
  <c r="J194" i="1"/>
  <c r="K194" i="1"/>
  <c r="L194" i="1"/>
  <c r="M194" i="1"/>
  <c r="N194" i="1"/>
  <c r="H195" i="1"/>
  <c r="I195" i="1"/>
  <c r="J195" i="1"/>
  <c r="K195" i="1"/>
  <c r="L195" i="1"/>
  <c r="M195" i="1"/>
  <c r="N195" i="1"/>
  <c r="H196" i="1"/>
  <c r="I196" i="1"/>
  <c r="J196" i="1"/>
  <c r="K196" i="1"/>
  <c r="L196" i="1"/>
  <c r="M196" i="1"/>
  <c r="N196" i="1"/>
  <c r="H197" i="1"/>
  <c r="I197" i="1"/>
  <c r="J197" i="1"/>
  <c r="K197" i="1"/>
  <c r="L197" i="1"/>
  <c r="M197" i="1"/>
  <c r="N197" i="1"/>
  <c r="H198" i="1"/>
  <c r="I198" i="1"/>
  <c r="J198" i="1"/>
  <c r="K198" i="1"/>
  <c r="L198" i="1"/>
  <c r="M198" i="1"/>
  <c r="N198" i="1"/>
  <c r="H199" i="1"/>
  <c r="I199" i="1"/>
  <c r="J199" i="1"/>
  <c r="K199" i="1"/>
  <c r="L199" i="1"/>
  <c r="M199" i="1"/>
  <c r="N199" i="1"/>
  <c r="H200" i="1"/>
  <c r="I200" i="1"/>
  <c r="J200" i="1"/>
  <c r="K200" i="1"/>
  <c r="L200" i="1"/>
  <c r="M200" i="1"/>
  <c r="N200" i="1"/>
  <c r="H201" i="1"/>
  <c r="I201" i="1"/>
  <c r="J201" i="1"/>
  <c r="K201" i="1"/>
  <c r="L201" i="1"/>
  <c r="M201" i="1"/>
  <c r="N201" i="1"/>
  <c r="H202" i="1"/>
  <c r="I202" i="1"/>
  <c r="J202" i="1"/>
  <c r="K202" i="1"/>
  <c r="L202" i="1"/>
  <c r="M202" i="1"/>
  <c r="N202" i="1"/>
  <c r="H203" i="1"/>
  <c r="I203" i="1"/>
  <c r="J203" i="1"/>
  <c r="K203" i="1"/>
  <c r="L203" i="1"/>
  <c r="M203" i="1"/>
  <c r="N203" i="1"/>
  <c r="H204" i="1"/>
  <c r="I204" i="1"/>
  <c r="J204" i="1"/>
  <c r="K204" i="1"/>
  <c r="L204" i="1"/>
  <c r="M204" i="1"/>
  <c r="N204" i="1"/>
  <c r="H205" i="1"/>
  <c r="I205" i="1"/>
  <c r="J205" i="1"/>
  <c r="K205" i="1"/>
  <c r="L205" i="1"/>
  <c r="M205" i="1"/>
  <c r="N205" i="1"/>
  <c r="H206" i="1"/>
  <c r="I206" i="1"/>
  <c r="J206" i="1"/>
  <c r="K206" i="1"/>
  <c r="L206" i="1"/>
  <c r="M206" i="1"/>
  <c r="N206" i="1"/>
  <c r="H207" i="1"/>
  <c r="I207" i="1"/>
  <c r="J207" i="1"/>
  <c r="K207" i="1"/>
  <c r="L207" i="1"/>
  <c r="M207" i="1"/>
  <c r="N207" i="1"/>
  <c r="H208" i="1"/>
  <c r="I208" i="1"/>
  <c r="J208" i="1"/>
  <c r="K208" i="1"/>
  <c r="L208" i="1"/>
  <c r="M208" i="1"/>
  <c r="N208" i="1"/>
  <c r="H209" i="1"/>
  <c r="I209" i="1"/>
  <c r="J209" i="1"/>
  <c r="K209" i="1"/>
  <c r="L209" i="1"/>
  <c r="M209" i="1"/>
  <c r="N209" i="1"/>
  <c r="H210" i="1"/>
  <c r="I210" i="1"/>
  <c r="J210" i="1"/>
  <c r="K210" i="1"/>
  <c r="L210" i="1"/>
  <c r="M210" i="1"/>
  <c r="N210" i="1"/>
  <c r="H211" i="1"/>
  <c r="I211" i="1"/>
  <c r="J211" i="1"/>
  <c r="K211" i="1"/>
  <c r="L211" i="1"/>
  <c r="M211" i="1"/>
  <c r="N211" i="1"/>
  <c r="H212" i="1"/>
  <c r="I212" i="1"/>
  <c r="J212" i="1"/>
  <c r="K212" i="1"/>
  <c r="L212" i="1"/>
  <c r="M212" i="1"/>
  <c r="N212" i="1"/>
  <c r="H213" i="1"/>
  <c r="I213" i="1"/>
  <c r="J213" i="1"/>
  <c r="K213" i="1"/>
  <c r="L213" i="1"/>
  <c r="M213" i="1"/>
  <c r="N213" i="1"/>
  <c r="H214" i="1"/>
  <c r="I214" i="1"/>
  <c r="J214" i="1"/>
  <c r="K214" i="1"/>
  <c r="L214" i="1"/>
  <c r="M214" i="1"/>
  <c r="N214" i="1"/>
  <c r="H215" i="1"/>
  <c r="I215" i="1"/>
  <c r="J215" i="1"/>
  <c r="K215" i="1"/>
  <c r="L215" i="1"/>
  <c r="M215" i="1"/>
  <c r="N215" i="1"/>
  <c r="H216" i="1"/>
  <c r="I216" i="1"/>
  <c r="J216" i="1"/>
  <c r="K216" i="1"/>
  <c r="L216" i="1"/>
  <c r="M216" i="1"/>
  <c r="N216" i="1"/>
  <c r="H217" i="1"/>
  <c r="I217" i="1"/>
  <c r="J217" i="1"/>
  <c r="K217" i="1"/>
  <c r="L217" i="1"/>
  <c r="M217" i="1"/>
  <c r="N217" i="1"/>
  <c r="H218" i="1"/>
  <c r="I218" i="1"/>
  <c r="J218" i="1"/>
  <c r="K218" i="1"/>
  <c r="L218" i="1"/>
  <c r="M218" i="1"/>
  <c r="N218" i="1"/>
  <c r="H219" i="1"/>
  <c r="I219" i="1"/>
  <c r="J219" i="1"/>
  <c r="K219" i="1"/>
  <c r="L219" i="1"/>
  <c r="M219" i="1"/>
  <c r="N219" i="1"/>
  <c r="H220" i="1"/>
  <c r="I220" i="1"/>
  <c r="J220" i="1"/>
  <c r="K220" i="1"/>
  <c r="L220" i="1"/>
  <c r="M220" i="1"/>
  <c r="N220" i="1"/>
  <c r="H221" i="1"/>
  <c r="I221" i="1"/>
  <c r="J221" i="1"/>
  <c r="K221" i="1"/>
  <c r="L221" i="1"/>
  <c r="M221" i="1"/>
  <c r="N221" i="1"/>
  <c r="H222" i="1"/>
  <c r="I222" i="1"/>
  <c r="J222" i="1"/>
  <c r="K222" i="1"/>
  <c r="L222" i="1"/>
  <c r="M222" i="1"/>
  <c r="N222" i="1"/>
  <c r="H223" i="1"/>
  <c r="I223" i="1"/>
  <c r="J223" i="1"/>
  <c r="K223" i="1"/>
  <c r="L223" i="1"/>
  <c r="M223" i="1"/>
  <c r="N223" i="1"/>
  <c r="H224" i="1"/>
  <c r="I224" i="1"/>
  <c r="J224" i="1"/>
  <c r="K224" i="1"/>
  <c r="L224" i="1"/>
  <c r="M224" i="1"/>
  <c r="N224" i="1"/>
  <c r="H225" i="1"/>
  <c r="I225" i="1"/>
  <c r="J225" i="1"/>
  <c r="K225" i="1"/>
  <c r="L225" i="1"/>
  <c r="M225" i="1"/>
  <c r="N225" i="1"/>
  <c r="H226" i="1"/>
  <c r="I226" i="1"/>
  <c r="J226" i="1"/>
  <c r="K226" i="1"/>
  <c r="L226" i="1"/>
  <c r="M226" i="1"/>
  <c r="N226" i="1"/>
  <c r="H227" i="1"/>
  <c r="I227" i="1"/>
  <c r="J227" i="1"/>
  <c r="K227" i="1"/>
  <c r="L227" i="1"/>
  <c r="M227" i="1"/>
  <c r="N227" i="1"/>
  <c r="H228" i="1"/>
  <c r="I228" i="1"/>
  <c r="J228" i="1"/>
  <c r="K228" i="1"/>
  <c r="L228" i="1"/>
  <c r="M228" i="1"/>
  <c r="N228" i="1"/>
  <c r="H229" i="1"/>
  <c r="I229" i="1"/>
  <c r="J229" i="1"/>
  <c r="K229" i="1"/>
  <c r="L229" i="1"/>
  <c r="M229" i="1"/>
  <c r="N229" i="1"/>
  <c r="H230" i="1"/>
  <c r="I230" i="1"/>
  <c r="J230" i="1"/>
  <c r="K230" i="1"/>
  <c r="L230" i="1"/>
  <c r="M230" i="1"/>
  <c r="N230" i="1"/>
  <c r="H231" i="1"/>
  <c r="I231" i="1"/>
  <c r="J231" i="1"/>
  <c r="K231" i="1"/>
  <c r="L231" i="1"/>
  <c r="M231" i="1"/>
  <c r="N231" i="1"/>
  <c r="H232" i="1"/>
  <c r="I232" i="1"/>
  <c r="J232" i="1"/>
  <c r="K232" i="1"/>
  <c r="L232" i="1"/>
  <c r="M232" i="1"/>
  <c r="N232" i="1"/>
  <c r="H233" i="1"/>
  <c r="I233" i="1"/>
  <c r="J233" i="1"/>
  <c r="K233" i="1"/>
  <c r="L233" i="1"/>
  <c r="M233" i="1"/>
  <c r="N233" i="1"/>
  <c r="H234" i="1"/>
  <c r="I234" i="1"/>
  <c r="J234" i="1"/>
  <c r="K234" i="1"/>
  <c r="L234" i="1"/>
  <c r="M234" i="1"/>
  <c r="N234" i="1"/>
  <c r="H235" i="1"/>
  <c r="I235" i="1"/>
  <c r="J235" i="1"/>
  <c r="K235" i="1"/>
  <c r="L235" i="1"/>
  <c r="M235" i="1"/>
  <c r="N235" i="1"/>
  <c r="H236" i="1"/>
  <c r="I236" i="1"/>
  <c r="J236" i="1"/>
  <c r="K236" i="1"/>
  <c r="L236" i="1"/>
  <c r="M236" i="1"/>
  <c r="N236" i="1"/>
  <c r="H237" i="1"/>
  <c r="I237" i="1"/>
  <c r="J237" i="1"/>
  <c r="K237" i="1"/>
  <c r="L237" i="1"/>
  <c r="M237" i="1"/>
  <c r="N237" i="1"/>
  <c r="H238" i="1"/>
  <c r="I238" i="1"/>
  <c r="J238" i="1"/>
  <c r="K238" i="1"/>
  <c r="L238" i="1"/>
  <c r="M238" i="1"/>
  <c r="N238" i="1"/>
  <c r="H239" i="1"/>
  <c r="I239" i="1"/>
  <c r="J239" i="1"/>
  <c r="K239" i="1"/>
  <c r="L239" i="1"/>
  <c r="M239" i="1"/>
  <c r="N239" i="1"/>
  <c r="H240" i="1"/>
  <c r="I240" i="1"/>
  <c r="J240" i="1"/>
  <c r="K240" i="1"/>
  <c r="L240" i="1"/>
  <c r="M240" i="1"/>
  <c r="N240" i="1"/>
  <c r="H241" i="1"/>
  <c r="I241" i="1"/>
  <c r="J241" i="1"/>
  <c r="K241" i="1"/>
  <c r="L241" i="1"/>
  <c r="M241" i="1"/>
  <c r="N241" i="1"/>
  <c r="H242" i="1"/>
  <c r="I242" i="1"/>
  <c r="J242" i="1"/>
  <c r="K242" i="1"/>
  <c r="L242" i="1"/>
  <c r="M242" i="1"/>
  <c r="N242" i="1"/>
  <c r="H243" i="1"/>
  <c r="I243" i="1"/>
  <c r="J243" i="1"/>
  <c r="K243" i="1"/>
  <c r="L243" i="1"/>
  <c r="M243" i="1"/>
  <c r="N243" i="1"/>
  <c r="H244" i="1"/>
  <c r="I244" i="1"/>
  <c r="J244" i="1"/>
  <c r="K244" i="1"/>
  <c r="L244" i="1"/>
  <c r="M244" i="1"/>
  <c r="N244" i="1"/>
  <c r="H245" i="1"/>
  <c r="I245" i="1"/>
  <c r="J245" i="1"/>
  <c r="K245" i="1"/>
  <c r="L245" i="1"/>
  <c r="M245" i="1"/>
  <c r="N245" i="1"/>
  <c r="H246" i="1"/>
  <c r="I246" i="1"/>
  <c r="J246" i="1"/>
  <c r="K246" i="1"/>
  <c r="L246" i="1"/>
  <c r="M246" i="1"/>
  <c r="N246" i="1"/>
  <c r="H247" i="1"/>
  <c r="I247" i="1"/>
  <c r="J247" i="1"/>
  <c r="K247" i="1"/>
  <c r="L247" i="1"/>
  <c r="M247" i="1"/>
  <c r="N247" i="1"/>
  <c r="H248" i="1"/>
  <c r="I248" i="1"/>
  <c r="J248" i="1"/>
  <c r="K248" i="1"/>
  <c r="L248" i="1"/>
  <c r="M248" i="1"/>
  <c r="N248" i="1"/>
  <c r="H249" i="1"/>
  <c r="I249" i="1"/>
  <c r="J249" i="1"/>
  <c r="K249" i="1"/>
  <c r="L249" i="1"/>
  <c r="M249" i="1"/>
  <c r="N249" i="1"/>
  <c r="H250" i="1"/>
  <c r="I250" i="1"/>
  <c r="J250" i="1"/>
  <c r="K250" i="1"/>
  <c r="L250" i="1"/>
  <c r="M250" i="1"/>
  <c r="N250" i="1"/>
  <c r="H251" i="1"/>
  <c r="I251" i="1"/>
  <c r="J251" i="1"/>
  <c r="K251" i="1"/>
  <c r="L251" i="1"/>
  <c r="M251" i="1"/>
  <c r="N251" i="1"/>
  <c r="H252" i="1"/>
  <c r="I252" i="1"/>
  <c r="J252" i="1"/>
  <c r="K252" i="1"/>
  <c r="L252" i="1"/>
  <c r="M252" i="1"/>
  <c r="N252" i="1"/>
  <c r="H253" i="1"/>
  <c r="I253" i="1"/>
  <c r="J253" i="1"/>
  <c r="K253" i="1"/>
  <c r="L253" i="1"/>
  <c r="M253" i="1"/>
  <c r="N253" i="1"/>
  <c r="H254" i="1"/>
  <c r="I254" i="1"/>
  <c r="J254" i="1"/>
  <c r="K254" i="1"/>
  <c r="L254" i="1"/>
  <c r="M254" i="1"/>
  <c r="N254" i="1"/>
  <c r="H255" i="1"/>
  <c r="I255" i="1"/>
  <c r="J255" i="1"/>
  <c r="K255" i="1"/>
  <c r="L255" i="1"/>
  <c r="M255" i="1"/>
  <c r="N255" i="1"/>
  <c r="H256" i="1"/>
  <c r="I256" i="1"/>
  <c r="J256" i="1"/>
  <c r="K256" i="1"/>
  <c r="L256" i="1"/>
  <c r="M256" i="1"/>
  <c r="N256" i="1"/>
  <c r="H257" i="1"/>
  <c r="I257" i="1"/>
  <c r="J257" i="1"/>
  <c r="K257" i="1"/>
  <c r="L257" i="1"/>
  <c r="M257" i="1"/>
  <c r="N257" i="1"/>
  <c r="H258" i="1"/>
  <c r="I258" i="1"/>
  <c r="J258" i="1"/>
  <c r="K258" i="1"/>
  <c r="L258" i="1"/>
  <c r="M258" i="1"/>
  <c r="N258" i="1"/>
  <c r="H259" i="1"/>
  <c r="I259" i="1"/>
  <c r="J259" i="1"/>
  <c r="K259" i="1"/>
  <c r="L259" i="1"/>
  <c r="M259" i="1"/>
  <c r="N259" i="1"/>
  <c r="H260" i="1"/>
  <c r="I260" i="1"/>
  <c r="J260" i="1"/>
  <c r="K260" i="1"/>
  <c r="L260" i="1"/>
  <c r="M260" i="1"/>
  <c r="N260" i="1"/>
  <c r="H261" i="1"/>
  <c r="I261" i="1"/>
  <c r="J261" i="1"/>
  <c r="K261" i="1"/>
  <c r="L261" i="1"/>
  <c r="M261" i="1"/>
  <c r="N261" i="1"/>
  <c r="H262" i="1"/>
  <c r="I262" i="1"/>
  <c r="J262" i="1"/>
  <c r="K262" i="1"/>
  <c r="L262" i="1"/>
  <c r="M262" i="1"/>
  <c r="N262" i="1"/>
  <c r="H263" i="1"/>
  <c r="I263" i="1"/>
  <c r="J263" i="1"/>
  <c r="K263" i="1"/>
  <c r="L263" i="1"/>
  <c r="M263" i="1"/>
  <c r="N263" i="1"/>
  <c r="H264" i="1"/>
  <c r="I264" i="1"/>
  <c r="J264" i="1"/>
  <c r="K264" i="1"/>
  <c r="L264" i="1"/>
  <c r="M264" i="1"/>
  <c r="N264" i="1"/>
  <c r="H265" i="1"/>
  <c r="I265" i="1"/>
  <c r="J265" i="1"/>
  <c r="K265" i="1"/>
  <c r="L265" i="1"/>
  <c r="M265" i="1"/>
  <c r="N265" i="1"/>
  <c r="H266" i="1"/>
  <c r="I266" i="1"/>
  <c r="J266" i="1"/>
  <c r="K266" i="1"/>
  <c r="L266" i="1"/>
  <c r="M266" i="1"/>
  <c r="N266" i="1"/>
  <c r="H267" i="1"/>
  <c r="I267" i="1"/>
  <c r="J267" i="1"/>
  <c r="K267" i="1"/>
  <c r="L267" i="1"/>
  <c r="M267" i="1"/>
  <c r="N267" i="1"/>
  <c r="H268" i="1"/>
  <c r="I268" i="1"/>
  <c r="J268" i="1"/>
  <c r="K268" i="1"/>
  <c r="L268" i="1"/>
  <c r="M268" i="1"/>
  <c r="N268" i="1"/>
  <c r="H269" i="1"/>
  <c r="I269" i="1"/>
  <c r="J269" i="1"/>
  <c r="K269" i="1"/>
  <c r="L269" i="1"/>
  <c r="M269" i="1"/>
  <c r="N269" i="1"/>
  <c r="H270" i="1"/>
  <c r="I270" i="1"/>
  <c r="J270" i="1"/>
  <c r="K270" i="1"/>
  <c r="L270" i="1"/>
  <c r="M270" i="1"/>
  <c r="N270" i="1"/>
  <c r="H271" i="1"/>
  <c r="I271" i="1"/>
  <c r="J271" i="1"/>
  <c r="K271" i="1"/>
  <c r="L271" i="1"/>
  <c r="M271" i="1"/>
  <c r="N271" i="1"/>
  <c r="H272" i="1"/>
  <c r="I272" i="1"/>
  <c r="J272" i="1"/>
  <c r="K272" i="1"/>
  <c r="L272" i="1"/>
  <c r="M272" i="1"/>
  <c r="N272" i="1"/>
  <c r="H273" i="1"/>
  <c r="I273" i="1"/>
  <c r="J273" i="1"/>
  <c r="K273" i="1"/>
  <c r="L273" i="1"/>
  <c r="M273" i="1"/>
  <c r="N273" i="1"/>
  <c r="H274" i="1"/>
  <c r="I274" i="1"/>
  <c r="J274" i="1"/>
  <c r="K274" i="1"/>
  <c r="L274" i="1"/>
  <c r="M274" i="1"/>
  <c r="N274" i="1"/>
  <c r="H275" i="1"/>
  <c r="I275" i="1"/>
  <c r="J275" i="1"/>
  <c r="K275" i="1"/>
  <c r="L275" i="1"/>
  <c r="M275" i="1"/>
  <c r="N275" i="1"/>
  <c r="H276" i="1"/>
  <c r="I276" i="1"/>
  <c r="J276" i="1"/>
  <c r="K276" i="1"/>
  <c r="L276" i="1"/>
  <c r="M276" i="1"/>
  <c r="N276" i="1"/>
  <c r="H277" i="1"/>
  <c r="I277" i="1"/>
  <c r="J277" i="1"/>
  <c r="K277" i="1"/>
  <c r="L277" i="1"/>
  <c r="M277" i="1"/>
  <c r="N277" i="1"/>
  <c r="H278" i="1"/>
  <c r="I278" i="1"/>
  <c r="J278" i="1"/>
  <c r="K278" i="1"/>
  <c r="L278" i="1"/>
  <c r="M278" i="1"/>
  <c r="N278" i="1"/>
  <c r="H279" i="1"/>
  <c r="I279" i="1"/>
  <c r="J279" i="1"/>
  <c r="K279" i="1"/>
  <c r="L279" i="1"/>
  <c r="M279" i="1"/>
  <c r="N279" i="1"/>
  <c r="H280" i="1"/>
  <c r="I280" i="1"/>
  <c r="J280" i="1"/>
  <c r="K280" i="1"/>
  <c r="L280" i="1"/>
  <c r="M280" i="1"/>
  <c r="N280" i="1"/>
  <c r="H281" i="1"/>
  <c r="I281" i="1"/>
  <c r="J281" i="1"/>
  <c r="K281" i="1"/>
  <c r="L281" i="1"/>
  <c r="M281" i="1"/>
  <c r="N281" i="1"/>
  <c r="H282" i="1"/>
  <c r="I282" i="1"/>
  <c r="J282" i="1"/>
  <c r="K282" i="1"/>
  <c r="L282" i="1"/>
  <c r="M282" i="1"/>
  <c r="N282" i="1"/>
  <c r="H283" i="1"/>
  <c r="I283" i="1"/>
  <c r="J283" i="1"/>
  <c r="K283" i="1"/>
  <c r="L283" i="1"/>
  <c r="M283" i="1"/>
  <c r="N283" i="1"/>
  <c r="H284" i="1"/>
  <c r="I284" i="1"/>
  <c r="J284" i="1"/>
  <c r="K284" i="1"/>
  <c r="L284" i="1"/>
  <c r="M284" i="1"/>
  <c r="N284" i="1"/>
  <c r="H285" i="1"/>
  <c r="I285" i="1"/>
  <c r="J285" i="1"/>
  <c r="K285" i="1"/>
  <c r="L285" i="1"/>
  <c r="M285" i="1"/>
  <c r="N285" i="1"/>
  <c r="H286" i="1"/>
  <c r="I286" i="1"/>
  <c r="J286" i="1"/>
  <c r="K286" i="1"/>
  <c r="L286" i="1"/>
  <c r="M286" i="1"/>
  <c r="N286" i="1"/>
  <c r="H287" i="1"/>
  <c r="I287" i="1"/>
  <c r="J287" i="1"/>
  <c r="K287" i="1"/>
  <c r="L287" i="1"/>
  <c r="M287" i="1"/>
  <c r="N287" i="1"/>
  <c r="H288" i="1"/>
  <c r="I288" i="1"/>
  <c r="J288" i="1"/>
  <c r="K288" i="1"/>
  <c r="L288" i="1"/>
  <c r="M288" i="1"/>
  <c r="N288" i="1"/>
  <c r="H289" i="1"/>
  <c r="I289" i="1"/>
  <c r="J289" i="1"/>
  <c r="K289" i="1"/>
  <c r="L289" i="1"/>
  <c r="M289" i="1"/>
  <c r="N289" i="1"/>
  <c r="H290" i="1"/>
  <c r="I290" i="1"/>
  <c r="J290" i="1"/>
  <c r="K290" i="1"/>
  <c r="L290" i="1"/>
  <c r="M290" i="1"/>
  <c r="N290" i="1"/>
  <c r="H291" i="1"/>
  <c r="I291" i="1"/>
  <c r="J291" i="1"/>
  <c r="K291" i="1"/>
  <c r="L291" i="1"/>
  <c r="M291" i="1"/>
  <c r="N291" i="1"/>
  <c r="H292" i="1"/>
  <c r="I292" i="1"/>
  <c r="J292" i="1"/>
  <c r="K292" i="1"/>
  <c r="L292" i="1"/>
  <c r="M292" i="1"/>
  <c r="N292" i="1"/>
  <c r="H293" i="1"/>
  <c r="I293" i="1"/>
  <c r="J293" i="1"/>
  <c r="K293" i="1"/>
  <c r="L293" i="1"/>
  <c r="M293" i="1"/>
  <c r="N293" i="1"/>
  <c r="H294" i="1"/>
  <c r="I294" i="1"/>
  <c r="J294" i="1"/>
  <c r="K294" i="1"/>
  <c r="L294" i="1"/>
  <c r="M294" i="1"/>
  <c r="N294" i="1"/>
  <c r="H295" i="1"/>
  <c r="I295" i="1"/>
  <c r="J295" i="1"/>
  <c r="K295" i="1"/>
  <c r="L295" i="1"/>
  <c r="M295" i="1"/>
  <c r="N295" i="1"/>
  <c r="H296" i="1"/>
  <c r="I296" i="1"/>
  <c r="J296" i="1"/>
  <c r="K296" i="1"/>
  <c r="L296" i="1"/>
  <c r="M296" i="1"/>
  <c r="N296" i="1"/>
  <c r="H297" i="1"/>
  <c r="I297" i="1"/>
  <c r="J297" i="1"/>
  <c r="K297" i="1"/>
  <c r="L297" i="1"/>
  <c r="M297" i="1"/>
  <c r="N297" i="1"/>
  <c r="H298" i="1"/>
  <c r="I298" i="1"/>
  <c r="J298" i="1"/>
  <c r="K298" i="1"/>
  <c r="L298" i="1"/>
  <c r="M298" i="1"/>
  <c r="N298" i="1"/>
  <c r="H299" i="1"/>
  <c r="I299" i="1"/>
  <c r="J299" i="1"/>
  <c r="K299" i="1"/>
  <c r="L299" i="1"/>
  <c r="M299" i="1"/>
  <c r="N299" i="1"/>
  <c r="H300" i="1"/>
  <c r="I300" i="1"/>
  <c r="J300" i="1"/>
  <c r="K300" i="1"/>
  <c r="L300" i="1"/>
  <c r="M300" i="1"/>
  <c r="N300" i="1"/>
  <c r="H301" i="1"/>
  <c r="I301" i="1"/>
  <c r="J301" i="1"/>
  <c r="K301" i="1"/>
  <c r="L301" i="1"/>
  <c r="M301" i="1"/>
  <c r="N301" i="1"/>
  <c r="H302" i="1"/>
  <c r="I302" i="1"/>
  <c r="J302" i="1"/>
  <c r="K302" i="1"/>
  <c r="L302" i="1"/>
  <c r="M302" i="1"/>
  <c r="N302" i="1"/>
  <c r="H303" i="1"/>
  <c r="I303" i="1"/>
  <c r="J303" i="1"/>
  <c r="K303" i="1"/>
  <c r="L303" i="1"/>
  <c r="M303" i="1"/>
  <c r="N303" i="1"/>
  <c r="H304" i="1"/>
  <c r="I304" i="1"/>
  <c r="J304" i="1"/>
  <c r="K304" i="1"/>
  <c r="L304" i="1"/>
  <c r="M304" i="1"/>
  <c r="N304" i="1"/>
  <c r="H305" i="1"/>
  <c r="I305" i="1"/>
  <c r="J305" i="1"/>
  <c r="K305" i="1"/>
  <c r="L305" i="1"/>
  <c r="M305" i="1"/>
  <c r="N305" i="1"/>
  <c r="H306" i="1"/>
  <c r="I306" i="1"/>
  <c r="J306" i="1"/>
  <c r="K306" i="1"/>
  <c r="L306" i="1"/>
  <c r="M306" i="1"/>
  <c r="N306" i="1"/>
  <c r="H307" i="1"/>
  <c r="I307" i="1"/>
  <c r="J307" i="1"/>
  <c r="K307" i="1"/>
  <c r="L307" i="1"/>
  <c r="M307" i="1"/>
  <c r="N307" i="1"/>
  <c r="H308" i="1"/>
  <c r="I308" i="1"/>
  <c r="J308" i="1"/>
  <c r="K308" i="1"/>
  <c r="L308" i="1"/>
  <c r="M308" i="1"/>
  <c r="N308" i="1"/>
  <c r="H309" i="1"/>
  <c r="I309" i="1"/>
  <c r="J309" i="1"/>
  <c r="K309" i="1"/>
  <c r="L309" i="1"/>
  <c r="M309" i="1"/>
  <c r="N309" i="1"/>
  <c r="H310" i="1"/>
  <c r="I310" i="1"/>
  <c r="J310" i="1"/>
  <c r="K310" i="1"/>
  <c r="L310" i="1"/>
  <c r="M310" i="1"/>
  <c r="N310" i="1"/>
  <c r="H311" i="1"/>
  <c r="I311" i="1"/>
  <c r="J311" i="1"/>
  <c r="K311" i="1"/>
  <c r="L311" i="1"/>
  <c r="M311" i="1"/>
  <c r="N311" i="1"/>
  <c r="H312" i="1"/>
  <c r="I312" i="1"/>
  <c r="J312" i="1"/>
  <c r="K312" i="1"/>
  <c r="L312" i="1"/>
  <c r="M312" i="1"/>
  <c r="N312" i="1"/>
  <c r="H313" i="1"/>
  <c r="I313" i="1"/>
  <c r="J313" i="1"/>
  <c r="K313" i="1"/>
  <c r="L313" i="1"/>
  <c r="M313" i="1"/>
  <c r="N313" i="1"/>
  <c r="H314" i="1"/>
  <c r="I314" i="1"/>
  <c r="J314" i="1"/>
  <c r="K314" i="1"/>
  <c r="L314" i="1"/>
  <c r="M314" i="1"/>
  <c r="N314" i="1"/>
  <c r="H315" i="1"/>
  <c r="I315" i="1"/>
  <c r="J315" i="1"/>
  <c r="K315" i="1"/>
  <c r="L315" i="1"/>
  <c r="M315" i="1"/>
  <c r="N315" i="1"/>
  <c r="H316" i="1"/>
  <c r="I316" i="1"/>
  <c r="J316" i="1"/>
  <c r="K316" i="1"/>
  <c r="L316" i="1"/>
  <c r="M316" i="1"/>
  <c r="N316" i="1"/>
  <c r="H317" i="1"/>
  <c r="I317" i="1"/>
  <c r="J317" i="1"/>
  <c r="K317" i="1"/>
  <c r="L317" i="1"/>
  <c r="M317" i="1"/>
  <c r="N317" i="1"/>
  <c r="H318" i="1"/>
  <c r="I318" i="1"/>
  <c r="J318" i="1"/>
  <c r="K318" i="1"/>
  <c r="L318" i="1"/>
  <c r="M318" i="1"/>
  <c r="N318" i="1"/>
  <c r="H319" i="1"/>
  <c r="I319" i="1"/>
  <c r="J319" i="1"/>
  <c r="K319" i="1"/>
  <c r="L319" i="1"/>
  <c r="M319" i="1"/>
  <c r="N319" i="1"/>
  <c r="H320" i="1"/>
  <c r="I320" i="1"/>
  <c r="J320" i="1"/>
  <c r="K320" i="1"/>
  <c r="L320" i="1"/>
  <c r="M320" i="1"/>
  <c r="N320" i="1"/>
  <c r="H321" i="1"/>
  <c r="I321" i="1"/>
  <c r="J321" i="1"/>
  <c r="K321" i="1"/>
  <c r="L321" i="1"/>
  <c r="M321" i="1"/>
  <c r="N321" i="1"/>
  <c r="H322" i="1"/>
  <c r="I322" i="1"/>
  <c r="J322" i="1"/>
  <c r="K322" i="1"/>
  <c r="L322" i="1"/>
  <c r="M322" i="1"/>
  <c r="N322" i="1"/>
  <c r="H323" i="1"/>
  <c r="I323" i="1"/>
  <c r="J323" i="1"/>
  <c r="K323" i="1"/>
  <c r="L323" i="1"/>
  <c r="M323" i="1"/>
  <c r="N323" i="1"/>
  <c r="H324" i="1"/>
  <c r="I324" i="1"/>
  <c r="J324" i="1"/>
  <c r="K324" i="1"/>
  <c r="L324" i="1"/>
  <c r="M324" i="1"/>
  <c r="N324" i="1"/>
  <c r="H325" i="1"/>
  <c r="I325" i="1"/>
  <c r="J325" i="1"/>
  <c r="K325" i="1"/>
  <c r="L325" i="1"/>
  <c r="M325" i="1"/>
  <c r="N325" i="1"/>
  <c r="H326" i="1"/>
  <c r="I326" i="1"/>
  <c r="J326" i="1"/>
  <c r="K326" i="1"/>
  <c r="L326" i="1"/>
  <c r="M326" i="1"/>
  <c r="N326" i="1"/>
  <c r="H327" i="1"/>
  <c r="I327" i="1"/>
  <c r="J327" i="1"/>
  <c r="K327" i="1"/>
  <c r="L327" i="1"/>
  <c r="M327" i="1"/>
  <c r="N327" i="1"/>
  <c r="H328" i="1"/>
  <c r="I328" i="1"/>
  <c r="J328" i="1"/>
  <c r="K328" i="1"/>
  <c r="L328" i="1"/>
  <c r="M328" i="1"/>
  <c r="N328" i="1"/>
  <c r="H329" i="1"/>
  <c r="I329" i="1"/>
  <c r="J329" i="1"/>
  <c r="K329" i="1"/>
  <c r="L329" i="1"/>
  <c r="M329" i="1"/>
  <c r="N329" i="1"/>
  <c r="H330" i="1"/>
  <c r="I330" i="1"/>
  <c r="J330" i="1"/>
  <c r="K330" i="1"/>
  <c r="L330" i="1"/>
  <c r="M330" i="1"/>
  <c r="N330" i="1"/>
  <c r="H331" i="1"/>
  <c r="I331" i="1"/>
  <c r="J331" i="1"/>
  <c r="K331" i="1"/>
  <c r="L331" i="1"/>
  <c r="M331" i="1"/>
  <c r="N331" i="1"/>
  <c r="H332" i="1"/>
  <c r="I332" i="1"/>
  <c r="J332" i="1"/>
  <c r="K332" i="1"/>
  <c r="L332" i="1"/>
  <c r="M332" i="1"/>
  <c r="N332" i="1"/>
  <c r="H333" i="1"/>
  <c r="I333" i="1"/>
  <c r="J333" i="1"/>
  <c r="K333" i="1"/>
  <c r="L333" i="1"/>
  <c r="M333" i="1"/>
  <c r="N333" i="1"/>
  <c r="H334" i="1"/>
  <c r="I334" i="1"/>
  <c r="J334" i="1"/>
  <c r="K334" i="1"/>
  <c r="L334" i="1"/>
  <c r="M334" i="1"/>
  <c r="N334" i="1"/>
  <c r="H335" i="1"/>
  <c r="I335" i="1"/>
  <c r="J335" i="1"/>
  <c r="K335" i="1"/>
  <c r="L335" i="1"/>
  <c r="M335" i="1"/>
  <c r="N335" i="1"/>
  <c r="H336" i="1"/>
  <c r="I336" i="1"/>
  <c r="J336" i="1"/>
  <c r="K336" i="1"/>
  <c r="L336" i="1"/>
  <c r="M336" i="1"/>
  <c r="N336" i="1"/>
  <c r="H337" i="1"/>
  <c r="I337" i="1"/>
  <c r="J337" i="1"/>
  <c r="K337" i="1"/>
  <c r="L337" i="1"/>
  <c r="M337" i="1"/>
  <c r="N337" i="1"/>
  <c r="H338" i="1"/>
  <c r="I338" i="1"/>
  <c r="J338" i="1"/>
  <c r="K338" i="1"/>
  <c r="L338" i="1"/>
  <c r="M338" i="1"/>
  <c r="N338" i="1"/>
  <c r="H339" i="1"/>
  <c r="I339" i="1"/>
  <c r="J339" i="1"/>
  <c r="K339" i="1"/>
  <c r="L339" i="1"/>
  <c r="M339" i="1"/>
  <c r="N339" i="1"/>
  <c r="H340" i="1"/>
  <c r="I340" i="1"/>
  <c r="J340" i="1"/>
  <c r="K340" i="1"/>
  <c r="L340" i="1"/>
  <c r="M340" i="1"/>
  <c r="N340" i="1"/>
  <c r="H341" i="1"/>
  <c r="I341" i="1"/>
  <c r="J341" i="1"/>
  <c r="K341" i="1"/>
  <c r="L341" i="1"/>
  <c r="M341" i="1"/>
  <c r="N341" i="1"/>
  <c r="H342" i="1"/>
  <c r="I342" i="1"/>
  <c r="J342" i="1"/>
  <c r="K342" i="1"/>
  <c r="L342" i="1"/>
  <c r="M342" i="1"/>
  <c r="N342" i="1"/>
  <c r="H343" i="1"/>
  <c r="I343" i="1"/>
  <c r="J343" i="1"/>
  <c r="K343" i="1"/>
  <c r="L343" i="1"/>
  <c r="M343" i="1"/>
  <c r="N343" i="1"/>
  <c r="H344" i="1"/>
  <c r="I344" i="1"/>
  <c r="J344" i="1"/>
  <c r="K344" i="1"/>
  <c r="L344" i="1"/>
  <c r="M344" i="1"/>
  <c r="N344" i="1"/>
  <c r="H345" i="1"/>
  <c r="I345" i="1"/>
  <c r="J345" i="1"/>
  <c r="K345" i="1"/>
  <c r="L345" i="1"/>
  <c r="M345" i="1"/>
  <c r="N345" i="1"/>
  <c r="H346" i="1"/>
  <c r="I346" i="1"/>
  <c r="J346" i="1"/>
  <c r="K346" i="1"/>
  <c r="L346" i="1"/>
  <c r="M346" i="1"/>
  <c r="N346" i="1"/>
  <c r="H347" i="1"/>
  <c r="I347" i="1"/>
  <c r="J347" i="1"/>
  <c r="K347" i="1"/>
  <c r="L347" i="1"/>
  <c r="M347" i="1"/>
  <c r="N347" i="1"/>
  <c r="H348" i="1"/>
  <c r="I348" i="1"/>
  <c r="J348" i="1"/>
  <c r="K348" i="1"/>
  <c r="L348" i="1"/>
  <c r="M348" i="1"/>
  <c r="N348" i="1"/>
  <c r="H349" i="1"/>
  <c r="I349" i="1"/>
  <c r="J349" i="1"/>
  <c r="K349" i="1"/>
  <c r="L349" i="1"/>
  <c r="M349" i="1"/>
  <c r="N349" i="1"/>
  <c r="H350" i="1"/>
  <c r="I350" i="1"/>
  <c r="J350" i="1"/>
  <c r="K350" i="1"/>
  <c r="L350" i="1"/>
  <c r="M350" i="1"/>
  <c r="N350" i="1"/>
  <c r="H351" i="1"/>
  <c r="I351" i="1"/>
  <c r="J351" i="1"/>
  <c r="K351" i="1"/>
  <c r="L351" i="1"/>
  <c r="M351" i="1"/>
  <c r="N351" i="1"/>
  <c r="H352" i="1"/>
  <c r="I352" i="1"/>
  <c r="J352" i="1"/>
  <c r="K352" i="1"/>
  <c r="L352" i="1"/>
  <c r="M352" i="1"/>
  <c r="N352" i="1"/>
  <c r="H353" i="1"/>
  <c r="I353" i="1"/>
  <c r="J353" i="1"/>
  <c r="K353" i="1"/>
  <c r="L353" i="1"/>
  <c r="M353" i="1"/>
  <c r="N353" i="1"/>
  <c r="H354" i="1"/>
  <c r="I354" i="1"/>
  <c r="J354" i="1"/>
  <c r="K354" i="1"/>
  <c r="L354" i="1"/>
  <c r="M354" i="1"/>
  <c r="N354" i="1"/>
  <c r="H355" i="1"/>
  <c r="I355" i="1"/>
  <c r="J355" i="1"/>
  <c r="K355" i="1"/>
  <c r="L355" i="1"/>
  <c r="M355" i="1"/>
  <c r="N355" i="1"/>
  <c r="H356" i="1"/>
  <c r="I356" i="1"/>
  <c r="J356" i="1"/>
  <c r="K356" i="1"/>
  <c r="L356" i="1"/>
  <c r="M356" i="1"/>
  <c r="N356" i="1"/>
  <c r="H357" i="1"/>
  <c r="I357" i="1"/>
  <c r="J357" i="1"/>
  <c r="K357" i="1"/>
  <c r="L357" i="1"/>
  <c r="M357" i="1"/>
  <c r="N357" i="1"/>
  <c r="H358" i="1"/>
  <c r="I358" i="1"/>
  <c r="J358" i="1"/>
  <c r="K358" i="1"/>
  <c r="L358" i="1"/>
  <c r="M358" i="1"/>
  <c r="N358" i="1"/>
  <c r="H359" i="1"/>
  <c r="I359" i="1"/>
  <c r="J359" i="1"/>
  <c r="K359" i="1"/>
  <c r="L359" i="1"/>
  <c r="M359" i="1"/>
  <c r="N359" i="1"/>
  <c r="H360" i="1"/>
  <c r="I360" i="1"/>
  <c r="J360" i="1"/>
  <c r="K360" i="1"/>
  <c r="L360" i="1"/>
  <c r="M360" i="1"/>
  <c r="N360" i="1"/>
  <c r="H361" i="1"/>
  <c r="I361" i="1"/>
  <c r="J361" i="1"/>
  <c r="K361" i="1"/>
  <c r="L361" i="1"/>
  <c r="M361" i="1"/>
  <c r="N361" i="1"/>
  <c r="H362" i="1"/>
  <c r="I362" i="1"/>
  <c r="J362" i="1"/>
  <c r="K362" i="1"/>
  <c r="L362" i="1"/>
  <c r="M362" i="1"/>
  <c r="N362" i="1"/>
  <c r="H363" i="1"/>
  <c r="I363" i="1"/>
  <c r="J363" i="1"/>
  <c r="K363" i="1"/>
  <c r="L363" i="1"/>
  <c r="M363" i="1"/>
  <c r="N363" i="1"/>
  <c r="H364" i="1"/>
  <c r="I364" i="1"/>
  <c r="J364" i="1"/>
  <c r="K364" i="1"/>
  <c r="L364" i="1"/>
  <c r="M364" i="1"/>
  <c r="N364" i="1"/>
  <c r="H365" i="1"/>
  <c r="I365" i="1"/>
  <c r="J365" i="1"/>
  <c r="K365" i="1"/>
  <c r="L365" i="1"/>
  <c r="M365" i="1"/>
  <c r="N365" i="1"/>
  <c r="H366" i="1"/>
  <c r="I366" i="1"/>
  <c r="J366" i="1"/>
  <c r="K366" i="1"/>
  <c r="L366" i="1"/>
  <c r="M366" i="1"/>
  <c r="N366" i="1"/>
  <c r="H367" i="1"/>
  <c r="I367" i="1"/>
  <c r="J367" i="1"/>
  <c r="K367" i="1"/>
  <c r="L367" i="1"/>
  <c r="M367" i="1"/>
  <c r="N367" i="1"/>
  <c r="H368" i="1"/>
  <c r="I368" i="1"/>
  <c r="J368" i="1"/>
  <c r="K368" i="1"/>
  <c r="L368" i="1"/>
  <c r="M368" i="1"/>
  <c r="N368" i="1"/>
  <c r="H369" i="1"/>
  <c r="I369" i="1"/>
  <c r="J369" i="1"/>
  <c r="K369" i="1"/>
  <c r="L369" i="1"/>
  <c r="M369" i="1"/>
  <c r="N369" i="1"/>
  <c r="H370" i="1"/>
  <c r="I370" i="1"/>
  <c r="J370" i="1"/>
  <c r="K370" i="1"/>
  <c r="L370" i="1"/>
  <c r="M370" i="1"/>
  <c r="N370" i="1"/>
  <c r="H371" i="1"/>
  <c r="I371" i="1"/>
  <c r="J371" i="1"/>
  <c r="K371" i="1"/>
  <c r="L371" i="1"/>
  <c r="M371" i="1"/>
  <c r="N371" i="1"/>
  <c r="H372" i="1"/>
  <c r="I372" i="1"/>
  <c r="J372" i="1"/>
  <c r="K372" i="1"/>
  <c r="L372" i="1"/>
  <c r="M372" i="1"/>
  <c r="N372" i="1"/>
  <c r="H373" i="1"/>
  <c r="I373" i="1"/>
  <c r="J373" i="1"/>
  <c r="K373" i="1"/>
  <c r="L373" i="1"/>
  <c r="M373" i="1"/>
  <c r="N373" i="1"/>
  <c r="H374" i="1"/>
  <c r="I374" i="1"/>
  <c r="J374" i="1"/>
  <c r="K374" i="1"/>
  <c r="L374" i="1"/>
  <c r="M374" i="1"/>
  <c r="N374" i="1"/>
  <c r="H375" i="1"/>
  <c r="I375" i="1"/>
  <c r="J375" i="1"/>
  <c r="K375" i="1"/>
  <c r="L375" i="1"/>
  <c r="M375" i="1"/>
  <c r="N375" i="1"/>
  <c r="H376" i="1"/>
  <c r="I376" i="1"/>
  <c r="J376" i="1"/>
  <c r="K376" i="1"/>
  <c r="L376" i="1"/>
  <c r="M376" i="1"/>
  <c r="N376" i="1"/>
  <c r="H377" i="1"/>
  <c r="I377" i="1"/>
  <c r="J377" i="1"/>
  <c r="K377" i="1"/>
  <c r="L377" i="1"/>
  <c r="M377" i="1"/>
  <c r="N377" i="1"/>
  <c r="H378" i="1"/>
  <c r="I378" i="1"/>
  <c r="J378" i="1"/>
  <c r="K378" i="1"/>
  <c r="L378" i="1"/>
  <c r="M378" i="1"/>
  <c r="N378" i="1"/>
  <c r="H379" i="1"/>
  <c r="I379" i="1"/>
  <c r="J379" i="1"/>
  <c r="K379" i="1"/>
  <c r="L379" i="1"/>
  <c r="M379" i="1"/>
  <c r="N379" i="1"/>
  <c r="H380" i="1"/>
  <c r="I380" i="1"/>
  <c r="J380" i="1"/>
  <c r="K380" i="1"/>
  <c r="L380" i="1"/>
  <c r="M380" i="1"/>
  <c r="N380" i="1"/>
  <c r="H381" i="1"/>
  <c r="I381" i="1"/>
  <c r="J381" i="1"/>
  <c r="K381" i="1"/>
  <c r="L381" i="1"/>
  <c r="M381" i="1"/>
  <c r="N381" i="1"/>
  <c r="H382" i="1"/>
  <c r="I382" i="1"/>
  <c r="J382" i="1"/>
  <c r="K382" i="1"/>
  <c r="L382" i="1"/>
  <c r="M382" i="1"/>
  <c r="N382" i="1"/>
  <c r="H383" i="1"/>
  <c r="I383" i="1"/>
  <c r="J383" i="1"/>
  <c r="K383" i="1"/>
  <c r="L383" i="1"/>
  <c r="M383" i="1"/>
  <c r="N383" i="1"/>
  <c r="H384" i="1"/>
  <c r="I384" i="1"/>
  <c r="J384" i="1"/>
  <c r="K384" i="1"/>
  <c r="L384" i="1"/>
  <c r="M384" i="1"/>
  <c r="N384" i="1"/>
  <c r="H385" i="1"/>
  <c r="I385" i="1"/>
  <c r="J385" i="1"/>
  <c r="K385" i="1"/>
  <c r="L385" i="1"/>
  <c r="M385" i="1"/>
  <c r="N385" i="1"/>
  <c r="H386" i="1"/>
  <c r="I386" i="1"/>
  <c r="J386" i="1"/>
  <c r="K386" i="1"/>
  <c r="L386" i="1"/>
  <c r="M386" i="1"/>
  <c r="N386" i="1"/>
  <c r="H387" i="1"/>
  <c r="I387" i="1"/>
  <c r="J387" i="1"/>
  <c r="K387" i="1"/>
  <c r="L387" i="1"/>
  <c r="M387" i="1"/>
  <c r="N387" i="1"/>
  <c r="H388" i="1"/>
  <c r="I388" i="1"/>
  <c r="J388" i="1"/>
  <c r="K388" i="1"/>
  <c r="L388" i="1"/>
  <c r="M388" i="1"/>
  <c r="N388" i="1"/>
  <c r="H389" i="1"/>
  <c r="I389" i="1"/>
  <c r="J389" i="1"/>
  <c r="K389" i="1"/>
  <c r="L389" i="1"/>
  <c r="M389" i="1"/>
  <c r="N389" i="1"/>
  <c r="H390" i="1"/>
  <c r="I390" i="1"/>
  <c r="J390" i="1"/>
  <c r="K390" i="1"/>
  <c r="L390" i="1"/>
  <c r="M390" i="1"/>
  <c r="N390" i="1"/>
  <c r="H391" i="1"/>
  <c r="I391" i="1"/>
  <c r="J391" i="1"/>
  <c r="K391" i="1"/>
  <c r="L391" i="1"/>
  <c r="M391" i="1"/>
  <c r="N391" i="1"/>
  <c r="H392" i="1"/>
  <c r="I392" i="1"/>
  <c r="J392" i="1"/>
  <c r="K392" i="1"/>
  <c r="L392" i="1"/>
  <c r="M392" i="1"/>
  <c r="N392" i="1"/>
  <c r="H393" i="1"/>
  <c r="I393" i="1"/>
  <c r="J393" i="1"/>
  <c r="K393" i="1"/>
  <c r="L393" i="1"/>
  <c r="M393" i="1"/>
  <c r="N393" i="1"/>
  <c r="H394" i="1"/>
  <c r="I394" i="1"/>
  <c r="J394" i="1"/>
  <c r="K394" i="1"/>
  <c r="L394" i="1"/>
  <c r="M394" i="1"/>
  <c r="N394" i="1"/>
  <c r="H395" i="1"/>
  <c r="I395" i="1"/>
  <c r="J395" i="1"/>
  <c r="K395" i="1"/>
  <c r="L395" i="1"/>
  <c r="M395" i="1"/>
  <c r="N395" i="1"/>
  <c r="H396" i="1"/>
  <c r="I396" i="1"/>
  <c r="J396" i="1"/>
  <c r="K396" i="1"/>
  <c r="L396" i="1"/>
  <c r="M396" i="1"/>
  <c r="N396" i="1"/>
  <c r="H397" i="1"/>
  <c r="I397" i="1"/>
  <c r="J397" i="1"/>
  <c r="K397" i="1"/>
  <c r="L397" i="1"/>
  <c r="M397" i="1"/>
  <c r="N397" i="1"/>
  <c r="H398" i="1"/>
  <c r="I398" i="1"/>
  <c r="J398" i="1"/>
  <c r="K398" i="1"/>
  <c r="L398" i="1"/>
  <c r="M398" i="1"/>
  <c r="N398" i="1"/>
  <c r="H399" i="1"/>
  <c r="I399" i="1"/>
  <c r="J399" i="1"/>
  <c r="K399" i="1"/>
  <c r="L399" i="1"/>
  <c r="M399" i="1"/>
  <c r="N399" i="1"/>
  <c r="H400" i="1"/>
  <c r="I400" i="1"/>
  <c r="J400" i="1"/>
  <c r="K400" i="1"/>
  <c r="L400" i="1"/>
  <c r="M400" i="1"/>
  <c r="N400" i="1"/>
  <c r="H401" i="1"/>
  <c r="I401" i="1"/>
  <c r="J401" i="1"/>
  <c r="K401" i="1"/>
  <c r="L401" i="1"/>
  <c r="M401" i="1"/>
  <c r="N401" i="1"/>
  <c r="H402" i="1"/>
  <c r="I402" i="1"/>
  <c r="J402" i="1"/>
  <c r="K402" i="1"/>
  <c r="L402" i="1"/>
  <c r="M402" i="1"/>
  <c r="N402" i="1"/>
  <c r="H403" i="1"/>
  <c r="I403" i="1"/>
  <c r="J403" i="1"/>
  <c r="K403" i="1"/>
  <c r="L403" i="1"/>
  <c r="M403" i="1"/>
  <c r="N403" i="1"/>
  <c r="H404" i="1"/>
  <c r="I404" i="1"/>
  <c r="J404" i="1"/>
  <c r="K404" i="1"/>
  <c r="L404" i="1"/>
  <c r="M404" i="1"/>
  <c r="N404" i="1"/>
  <c r="H405" i="1"/>
  <c r="I405" i="1"/>
  <c r="J405" i="1"/>
  <c r="K405" i="1"/>
  <c r="L405" i="1"/>
  <c r="M405" i="1"/>
  <c r="N405" i="1"/>
  <c r="H406" i="1"/>
  <c r="I406" i="1"/>
  <c r="J406" i="1"/>
  <c r="K406" i="1"/>
  <c r="L406" i="1"/>
  <c r="M406" i="1"/>
  <c r="N406" i="1"/>
  <c r="H407" i="1"/>
  <c r="I407" i="1"/>
  <c r="J407" i="1"/>
  <c r="K407" i="1"/>
  <c r="L407" i="1"/>
  <c r="M407" i="1"/>
  <c r="N407" i="1"/>
  <c r="H408" i="1"/>
  <c r="I408" i="1"/>
  <c r="J408" i="1"/>
  <c r="K408" i="1"/>
  <c r="L408" i="1"/>
  <c r="M408" i="1"/>
  <c r="N408" i="1"/>
  <c r="H409" i="1"/>
  <c r="I409" i="1"/>
  <c r="J409" i="1"/>
  <c r="K409" i="1"/>
  <c r="L409" i="1"/>
  <c r="M409" i="1"/>
  <c r="N409" i="1"/>
  <c r="H410" i="1"/>
  <c r="I410" i="1"/>
  <c r="J410" i="1"/>
  <c r="K410" i="1"/>
  <c r="L410" i="1"/>
  <c r="M410" i="1"/>
  <c r="N410" i="1"/>
  <c r="H411" i="1"/>
  <c r="I411" i="1"/>
  <c r="J411" i="1"/>
  <c r="K411" i="1"/>
  <c r="L411" i="1"/>
  <c r="M411" i="1"/>
  <c r="N411" i="1"/>
  <c r="H412" i="1"/>
  <c r="I412" i="1"/>
  <c r="J412" i="1"/>
  <c r="K412" i="1"/>
  <c r="L412" i="1"/>
  <c r="M412" i="1"/>
  <c r="N412" i="1"/>
  <c r="H413" i="1"/>
  <c r="I413" i="1"/>
  <c r="J413" i="1"/>
  <c r="K413" i="1"/>
  <c r="L413" i="1"/>
  <c r="M413" i="1"/>
  <c r="N413" i="1"/>
  <c r="H414" i="1"/>
  <c r="I414" i="1"/>
  <c r="J414" i="1"/>
  <c r="K414" i="1"/>
  <c r="L414" i="1"/>
  <c r="M414" i="1"/>
  <c r="N414" i="1"/>
  <c r="H415" i="1"/>
  <c r="I415" i="1"/>
  <c r="J415" i="1"/>
  <c r="K415" i="1"/>
  <c r="L415" i="1"/>
  <c r="M415" i="1"/>
  <c r="N415" i="1"/>
  <c r="H416" i="1"/>
  <c r="I416" i="1"/>
  <c r="J416" i="1"/>
  <c r="K416" i="1"/>
  <c r="L416" i="1"/>
  <c r="M416" i="1"/>
  <c r="N416" i="1"/>
  <c r="H417" i="1"/>
  <c r="I417" i="1"/>
  <c r="J417" i="1"/>
  <c r="K417" i="1"/>
  <c r="L417" i="1"/>
  <c r="M417" i="1"/>
  <c r="N417" i="1"/>
  <c r="H418" i="1"/>
  <c r="I418" i="1"/>
  <c r="J418" i="1"/>
  <c r="K418" i="1"/>
  <c r="L418" i="1"/>
  <c r="M418" i="1"/>
  <c r="N418" i="1"/>
  <c r="H419" i="1"/>
  <c r="I419" i="1"/>
  <c r="J419" i="1"/>
  <c r="K419" i="1"/>
  <c r="L419" i="1"/>
  <c r="M419" i="1"/>
  <c r="N419" i="1"/>
  <c r="H420" i="1"/>
  <c r="I420" i="1"/>
  <c r="J420" i="1"/>
  <c r="K420" i="1"/>
  <c r="L420" i="1"/>
  <c r="M420" i="1"/>
  <c r="N420" i="1"/>
  <c r="H421" i="1"/>
  <c r="I421" i="1"/>
  <c r="J421" i="1"/>
  <c r="K421" i="1"/>
  <c r="L421" i="1"/>
  <c r="M421" i="1"/>
  <c r="N421" i="1"/>
  <c r="H422" i="1"/>
  <c r="I422" i="1"/>
  <c r="J422" i="1"/>
  <c r="K422" i="1"/>
  <c r="L422" i="1"/>
  <c r="M422" i="1"/>
  <c r="N422" i="1"/>
  <c r="H423" i="1"/>
  <c r="I423" i="1"/>
  <c r="J423" i="1"/>
  <c r="K423" i="1"/>
  <c r="L423" i="1"/>
  <c r="M423" i="1"/>
  <c r="N423" i="1"/>
  <c r="H424" i="1"/>
  <c r="I424" i="1"/>
  <c r="J424" i="1"/>
  <c r="K424" i="1"/>
  <c r="L424" i="1"/>
  <c r="M424" i="1"/>
  <c r="N424" i="1"/>
  <c r="H425" i="1"/>
  <c r="I425" i="1"/>
  <c r="J425" i="1"/>
  <c r="K425" i="1"/>
  <c r="L425" i="1"/>
  <c r="M425" i="1"/>
  <c r="N425" i="1"/>
  <c r="H426" i="1"/>
  <c r="I426" i="1"/>
  <c r="J426" i="1"/>
  <c r="K426" i="1"/>
  <c r="L426" i="1"/>
  <c r="M426" i="1"/>
  <c r="N426" i="1"/>
  <c r="H427" i="1"/>
  <c r="I427" i="1"/>
  <c r="J427" i="1"/>
  <c r="K427" i="1"/>
  <c r="L427" i="1"/>
  <c r="M427" i="1"/>
  <c r="N427" i="1"/>
  <c r="H428" i="1"/>
  <c r="I428" i="1"/>
  <c r="J428" i="1"/>
  <c r="K428" i="1"/>
  <c r="L428" i="1"/>
  <c r="M428" i="1"/>
  <c r="N428" i="1"/>
  <c r="H429" i="1"/>
  <c r="I429" i="1"/>
  <c r="J429" i="1"/>
  <c r="K429" i="1"/>
  <c r="L429" i="1"/>
  <c r="M429" i="1"/>
  <c r="N429" i="1"/>
  <c r="H430" i="1"/>
  <c r="I430" i="1"/>
  <c r="J430" i="1"/>
  <c r="K430" i="1"/>
  <c r="L430" i="1"/>
  <c r="M430" i="1"/>
  <c r="N430" i="1"/>
  <c r="H431" i="1"/>
  <c r="I431" i="1"/>
  <c r="J431" i="1"/>
  <c r="K431" i="1"/>
  <c r="L431" i="1"/>
  <c r="M431" i="1"/>
  <c r="N431" i="1"/>
  <c r="H432" i="1"/>
  <c r="I432" i="1"/>
  <c r="J432" i="1"/>
  <c r="K432" i="1"/>
  <c r="L432" i="1"/>
  <c r="M432" i="1"/>
  <c r="N432" i="1"/>
  <c r="H433" i="1"/>
  <c r="I433" i="1"/>
  <c r="J433" i="1"/>
  <c r="K433" i="1"/>
  <c r="L433" i="1"/>
  <c r="M433" i="1"/>
  <c r="N433" i="1"/>
  <c r="H434" i="1"/>
  <c r="I434" i="1"/>
  <c r="J434" i="1"/>
  <c r="K434" i="1"/>
  <c r="L434" i="1"/>
  <c r="M434" i="1"/>
  <c r="N434" i="1"/>
  <c r="H435" i="1"/>
  <c r="I435" i="1"/>
  <c r="J435" i="1"/>
  <c r="K435" i="1"/>
  <c r="L435" i="1"/>
  <c r="M435" i="1"/>
  <c r="N435" i="1"/>
  <c r="H436" i="1"/>
  <c r="I436" i="1"/>
  <c r="J436" i="1"/>
  <c r="K436" i="1"/>
  <c r="L436" i="1"/>
  <c r="M436" i="1"/>
  <c r="N436" i="1"/>
  <c r="H437" i="1"/>
  <c r="I437" i="1"/>
  <c r="J437" i="1"/>
  <c r="K437" i="1"/>
  <c r="L437" i="1"/>
  <c r="M437" i="1"/>
  <c r="N437" i="1"/>
  <c r="H438" i="1"/>
  <c r="I438" i="1"/>
  <c r="J438" i="1"/>
  <c r="K438" i="1"/>
  <c r="L438" i="1"/>
  <c r="M438" i="1"/>
  <c r="N438" i="1"/>
  <c r="H439" i="1"/>
  <c r="I439" i="1"/>
  <c r="J439" i="1"/>
  <c r="K439" i="1"/>
  <c r="L439" i="1"/>
  <c r="M439" i="1"/>
  <c r="N439" i="1"/>
  <c r="H440" i="1"/>
  <c r="I440" i="1"/>
  <c r="J440" i="1"/>
  <c r="K440" i="1"/>
  <c r="L440" i="1"/>
  <c r="M440" i="1"/>
  <c r="N440" i="1"/>
  <c r="H441" i="1"/>
  <c r="I441" i="1"/>
  <c r="J441" i="1"/>
  <c r="K441" i="1"/>
  <c r="L441" i="1"/>
  <c r="M441" i="1"/>
  <c r="N441" i="1"/>
  <c r="H442" i="1"/>
  <c r="I442" i="1"/>
  <c r="J442" i="1"/>
  <c r="K442" i="1"/>
  <c r="L442" i="1"/>
  <c r="M442" i="1"/>
  <c r="N442" i="1"/>
  <c r="H443" i="1"/>
  <c r="I443" i="1"/>
  <c r="J443" i="1"/>
  <c r="K443" i="1"/>
  <c r="L443" i="1"/>
  <c r="M443" i="1"/>
  <c r="N443" i="1"/>
  <c r="H444" i="1"/>
  <c r="I444" i="1"/>
  <c r="J444" i="1"/>
  <c r="K444" i="1"/>
  <c r="L444" i="1"/>
  <c r="M444" i="1"/>
  <c r="N444" i="1"/>
  <c r="H445" i="1"/>
  <c r="I445" i="1"/>
  <c r="J445" i="1"/>
  <c r="K445" i="1"/>
  <c r="L445" i="1"/>
  <c r="M445" i="1"/>
  <c r="N445" i="1"/>
  <c r="H446" i="1"/>
  <c r="I446" i="1"/>
  <c r="J446" i="1"/>
  <c r="K446" i="1"/>
  <c r="L446" i="1"/>
  <c r="M446" i="1"/>
  <c r="N446" i="1"/>
  <c r="H447" i="1"/>
  <c r="I447" i="1"/>
  <c r="J447" i="1"/>
  <c r="K447" i="1"/>
  <c r="L447" i="1"/>
  <c r="M447" i="1"/>
  <c r="N447" i="1"/>
  <c r="H448" i="1"/>
  <c r="I448" i="1"/>
  <c r="J448" i="1"/>
  <c r="K448" i="1"/>
  <c r="L448" i="1"/>
  <c r="M448" i="1"/>
  <c r="N448" i="1"/>
  <c r="H449" i="1"/>
  <c r="I449" i="1"/>
  <c r="J449" i="1"/>
  <c r="K449" i="1"/>
  <c r="L449" i="1"/>
  <c r="M449" i="1"/>
  <c r="N449" i="1"/>
  <c r="H450" i="1"/>
  <c r="I450" i="1"/>
  <c r="J450" i="1"/>
  <c r="K450" i="1"/>
  <c r="L450" i="1"/>
  <c r="M450" i="1"/>
  <c r="N450" i="1"/>
  <c r="H451" i="1"/>
  <c r="I451" i="1"/>
  <c r="J451" i="1"/>
  <c r="K451" i="1"/>
  <c r="L451" i="1"/>
  <c r="M451" i="1"/>
  <c r="N451" i="1"/>
  <c r="H452" i="1"/>
  <c r="I452" i="1"/>
  <c r="J452" i="1"/>
  <c r="K452" i="1"/>
  <c r="L452" i="1"/>
  <c r="M452" i="1"/>
  <c r="N452" i="1"/>
  <c r="H453" i="1"/>
  <c r="I453" i="1"/>
  <c r="J453" i="1"/>
  <c r="K453" i="1"/>
  <c r="L453" i="1"/>
  <c r="M453" i="1"/>
  <c r="N453" i="1"/>
  <c r="H454" i="1"/>
  <c r="I454" i="1"/>
  <c r="J454" i="1"/>
  <c r="K454" i="1"/>
  <c r="L454" i="1"/>
  <c r="M454" i="1"/>
  <c r="N454" i="1"/>
  <c r="H455" i="1"/>
  <c r="I455" i="1"/>
  <c r="J455" i="1"/>
  <c r="K455" i="1"/>
  <c r="L455" i="1"/>
  <c r="M455" i="1"/>
  <c r="N455" i="1"/>
  <c r="H456" i="1"/>
  <c r="I456" i="1"/>
  <c r="J456" i="1"/>
  <c r="K456" i="1"/>
  <c r="L456" i="1"/>
  <c r="M456" i="1"/>
  <c r="N456" i="1"/>
  <c r="H457" i="1"/>
  <c r="I457" i="1"/>
  <c r="J457" i="1"/>
  <c r="K457" i="1"/>
  <c r="L457" i="1"/>
  <c r="M457" i="1"/>
  <c r="N457" i="1"/>
  <c r="H458" i="1"/>
  <c r="I458" i="1"/>
  <c r="J458" i="1"/>
  <c r="K458" i="1"/>
  <c r="L458" i="1"/>
  <c r="M458" i="1"/>
  <c r="N458" i="1"/>
  <c r="H459" i="1"/>
  <c r="I459" i="1"/>
  <c r="J459" i="1"/>
  <c r="K459" i="1"/>
  <c r="L459" i="1"/>
  <c r="M459" i="1"/>
  <c r="N459" i="1"/>
  <c r="H460" i="1"/>
  <c r="I460" i="1"/>
  <c r="J460" i="1"/>
  <c r="K460" i="1"/>
  <c r="L460" i="1"/>
  <c r="M460" i="1"/>
  <c r="N460" i="1"/>
  <c r="H461" i="1"/>
  <c r="I461" i="1"/>
  <c r="J461" i="1"/>
  <c r="K461" i="1"/>
  <c r="L461" i="1"/>
  <c r="M461" i="1"/>
  <c r="N461" i="1"/>
  <c r="H462" i="1"/>
  <c r="I462" i="1"/>
  <c r="J462" i="1"/>
  <c r="K462" i="1"/>
  <c r="L462" i="1"/>
  <c r="M462" i="1"/>
  <c r="N462" i="1"/>
  <c r="H463" i="1"/>
  <c r="I463" i="1"/>
  <c r="J463" i="1"/>
  <c r="K463" i="1"/>
  <c r="L463" i="1"/>
  <c r="M463" i="1"/>
  <c r="N463" i="1"/>
  <c r="H464" i="1"/>
  <c r="I464" i="1"/>
  <c r="J464" i="1"/>
  <c r="K464" i="1"/>
  <c r="L464" i="1"/>
  <c r="M464" i="1"/>
  <c r="N464" i="1"/>
  <c r="H465" i="1"/>
  <c r="I465" i="1"/>
  <c r="J465" i="1"/>
  <c r="K465" i="1"/>
  <c r="L465" i="1"/>
  <c r="M465" i="1"/>
  <c r="N465" i="1"/>
  <c r="H466" i="1"/>
  <c r="I466" i="1"/>
  <c r="J466" i="1"/>
  <c r="K466" i="1"/>
  <c r="L466" i="1"/>
  <c r="M466" i="1"/>
  <c r="N466" i="1"/>
  <c r="H467" i="1"/>
  <c r="I467" i="1"/>
  <c r="J467" i="1"/>
  <c r="K467" i="1"/>
  <c r="L467" i="1"/>
  <c r="M467" i="1"/>
  <c r="N467" i="1"/>
  <c r="H468" i="1"/>
  <c r="I468" i="1"/>
  <c r="J468" i="1"/>
  <c r="K468" i="1"/>
  <c r="L468" i="1"/>
  <c r="M468" i="1"/>
  <c r="N468" i="1"/>
  <c r="H469" i="1"/>
  <c r="I469" i="1"/>
  <c r="J469" i="1"/>
  <c r="K469" i="1"/>
  <c r="L469" i="1"/>
  <c r="M469" i="1"/>
  <c r="N469" i="1"/>
  <c r="H470" i="1"/>
  <c r="I470" i="1"/>
  <c r="J470" i="1"/>
  <c r="K470" i="1"/>
  <c r="L470" i="1"/>
  <c r="M470" i="1"/>
  <c r="N470" i="1"/>
  <c r="H471" i="1"/>
  <c r="I471" i="1"/>
  <c r="J471" i="1"/>
  <c r="K471" i="1"/>
  <c r="L471" i="1"/>
  <c r="M471" i="1"/>
  <c r="N471" i="1"/>
  <c r="H472" i="1"/>
  <c r="I472" i="1"/>
  <c r="J472" i="1"/>
  <c r="K472" i="1"/>
  <c r="L472" i="1"/>
  <c r="M472" i="1"/>
  <c r="N472" i="1"/>
  <c r="H473" i="1"/>
  <c r="I473" i="1"/>
  <c r="J473" i="1"/>
  <c r="K473" i="1"/>
  <c r="L473" i="1"/>
  <c r="M473" i="1"/>
  <c r="N473" i="1"/>
  <c r="H474" i="1"/>
  <c r="I474" i="1"/>
  <c r="J474" i="1"/>
  <c r="K474" i="1"/>
  <c r="L474" i="1"/>
  <c r="M474" i="1"/>
  <c r="N474" i="1"/>
  <c r="H475" i="1"/>
  <c r="I475" i="1"/>
  <c r="J475" i="1"/>
  <c r="K475" i="1"/>
  <c r="L475" i="1"/>
  <c r="M475" i="1"/>
  <c r="N475" i="1"/>
  <c r="H476" i="1"/>
  <c r="I476" i="1"/>
  <c r="J476" i="1"/>
  <c r="K476" i="1"/>
  <c r="L476" i="1"/>
  <c r="M476" i="1"/>
  <c r="N476" i="1"/>
  <c r="H477" i="1"/>
  <c r="I477" i="1"/>
  <c r="J477" i="1"/>
  <c r="K477" i="1"/>
  <c r="L477" i="1"/>
  <c r="M477" i="1"/>
  <c r="N477" i="1"/>
  <c r="H478" i="1"/>
  <c r="I478" i="1"/>
  <c r="J478" i="1"/>
  <c r="K478" i="1"/>
  <c r="L478" i="1"/>
  <c r="M478" i="1"/>
  <c r="N478" i="1"/>
  <c r="H479" i="1"/>
  <c r="I479" i="1"/>
  <c r="J479" i="1"/>
  <c r="K479" i="1"/>
  <c r="L479" i="1"/>
  <c r="M479" i="1"/>
  <c r="N479" i="1"/>
  <c r="H480" i="1"/>
  <c r="I480" i="1"/>
  <c r="J480" i="1"/>
  <c r="K480" i="1"/>
  <c r="L480" i="1"/>
  <c r="M480" i="1"/>
  <c r="N480" i="1"/>
  <c r="H481" i="1"/>
  <c r="I481" i="1"/>
  <c r="J481" i="1"/>
  <c r="K481" i="1"/>
  <c r="L481" i="1"/>
  <c r="M481" i="1"/>
  <c r="N481" i="1"/>
  <c r="H482" i="1"/>
  <c r="I482" i="1"/>
  <c r="J482" i="1"/>
  <c r="K482" i="1"/>
  <c r="L482" i="1"/>
  <c r="M482" i="1"/>
  <c r="N482" i="1"/>
  <c r="H483" i="1"/>
  <c r="I483" i="1"/>
  <c r="J483" i="1"/>
  <c r="K483" i="1"/>
  <c r="L483" i="1"/>
  <c r="M483" i="1"/>
  <c r="N483" i="1"/>
  <c r="H484" i="1"/>
  <c r="I484" i="1"/>
  <c r="J484" i="1"/>
  <c r="K484" i="1"/>
  <c r="L484" i="1"/>
  <c r="M484" i="1"/>
  <c r="N484" i="1"/>
  <c r="H485" i="1"/>
  <c r="I485" i="1"/>
  <c r="J485" i="1"/>
  <c r="K485" i="1"/>
  <c r="L485" i="1"/>
  <c r="M485" i="1"/>
  <c r="N485" i="1"/>
  <c r="H486" i="1"/>
  <c r="I486" i="1"/>
  <c r="J486" i="1"/>
  <c r="K486" i="1"/>
  <c r="L486" i="1"/>
  <c r="M486" i="1"/>
  <c r="N486" i="1"/>
  <c r="H487" i="1"/>
  <c r="I487" i="1"/>
  <c r="J487" i="1"/>
  <c r="K487" i="1"/>
  <c r="L487" i="1"/>
  <c r="M487" i="1"/>
  <c r="N487" i="1"/>
  <c r="H488" i="1"/>
  <c r="I488" i="1"/>
  <c r="J488" i="1"/>
  <c r="K488" i="1"/>
  <c r="L488" i="1"/>
  <c r="M488" i="1"/>
  <c r="N488" i="1"/>
  <c r="H489" i="1"/>
  <c r="I489" i="1"/>
  <c r="J489" i="1"/>
  <c r="K489" i="1"/>
  <c r="L489" i="1"/>
  <c r="M489" i="1"/>
  <c r="N489" i="1"/>
  <c r="H490" i="1"/>
  <c r="I490" i="1"/>
  <c r="J490" i="1"/>
  <c r="K490" i="1"/>
  <c r="L490" i="1"/>
  <c r="M490" i="1"/>
  <c r="N490" i="1"/>
  <c r="H491" i="1"/>
  <c r="I491" i="1"/>
  <c r="J491" i="1"/>
  <c r="K491" i="1"/>
  <c r="L491" i="1"/>
  <c r="M491" i="1"/>
  <c r="N491" i="1"/>
  <c r="H492" i="1"/>
  <c r="I492" i="1"/>
  <c r="J492" i="1"/>
  <c r="K492" i="1"/>
  <c r="L492" i="1"/>
  <c r="M492" i="1"/>
  <c r="N492" i="1"/>
  <c r="H493" i="1"/>
  <c r="I493" i="1"/>
  <c r="J493" i="1"/>
  <c r="K493" i="1"/>
  <c r="L493" i="1"/>
  <c r="M493" i="1"/>
  <c r="N493" i="1"/>
  <c r="H494" i="1"/>
  <c r="I494" i="1"/>
  <c r="J494" i="1"/>
  <c r="K494" i="1"/>
  <c r="L494" i="1"/>
  <c r="M494" i="1"/>
  <c r="N494" i="1"/>
  <c r="H495" i="1"/>
  <c r="I495" i="1"/>
  <c r="J495" i="1"/>
  <c r="K495" i="1"/>
  <c r="L495" i="1"/>
  <c r="M495" i="1"/>
  <c r="N495" i="1"/>
  <c r="H496" i="1"/>
  <c r="I496" i="1"/>
  <c r="J496" i="1"/>
  <c r="K496" i="1"/>
  <c r="L496" i="1"/>
  <c r="M496" i="1"/>
  <c r="N496" i="1"/>
  <c r="H497" i="1"/>
  <c r="I497" i="1"/>
  <c r="J497" i="1"/>
  <c r="K497" i="1"/>
  <c r="L497" i="1"/>
  <c r="M497" i="1"/>
  <c r="N497" i="1"/>
  <c r="H498" i="1"/>
  <c r="I498" i="1"/>
  <c r="J498" i="1"/>
  <c r="K498" i="1"/>
  <c r="L498" i="1"/>
  <c r="M498" i="1"/>
  <c r="N498" i="1"/>
  <c r="H499" i="1"/>
  <c r="I499" i="1"/>
  <c r="J499" i="1"/>
  <c r="K499" i="1"/>
  <c r="L499" i="1"/>
  <c r="M499" i="1"/>
  <c r="N499" i="1"/>
  <c r="H500" i="1"/>
  <c r="I500" i="1"/>
  <c r="J500" i="1"/>
  <c r="K500" i="1"/>
  <c r="L500" i="1"/>
  <c r="M500" i="1"/>
  <c r="N500" i="1"/>
  <c r="H501" i="1"/>
  <c r="I501" i="1"/>
  <c r="J501" i="1"/>
  <c r="K501" i="1"/>
  <c r="L501" i="1"/>
  <c r="M501" i="1"/>
  <c r="N501" i="1"/>
  <c r="H502" i="1"/>
  <c r="I502" i="1"/>
  <c r="J502" i="1"/>
  <c r="K502" i="1"/>
  <c r="L502" i="1"/>
  <c r="M502" i="1"/>
  <c r="N502" i="1"/>
  <c r="H503" i="1"/>
  <c r="I503" i="1"/>
  <c r="J503" i="1"/>
  <c r="K503" i="1"/>
  <c r="L503" i="1"/>
  <c r="M503" i="1"/>
  <c r="N503" i="1"/>
  <c r="H504" i="1"/>
  <c r="I504" i="1"/>
  <c r="J504" i="1"/>
  <c r="K504" i="1"/>
  <c r="L504" i="1"/>
  <c r="M504" i="1"/>
  <c r="N504" i="1"/>
  <c r="H505" i="1"/>
  <c r="I505" i="1"/>
  <c r="J505" i="1"/>
  <c r="K505" i="1"/>
  <c r="L505" i="1"/>
  <c r="M505" i="1"/>
  <c r="N505" i="1"/>
  <c r="H506" i="1"/>
  <c r="I506" i="1"/>
  <c r="J506" i="1"/>
  <c r="K506" i="1"/>
  <c r="L506" i="1"/>
  <c r="M506" i="1"/>
  <c r="N506" i="1"/>
  <c r="H507" i="1"/>
  <c r="I507" i="1"/>
  <c r="J507" i="1"/>
  <c r="K507" i="1"/>
  <c r="L507" i="1"/>
  <c r="M507" i="1"/>
  <c r="N507" i="1"/>
  <c r="H508" i="1"/>
  <c r="I508" i="1"/>
  <c r="J508" i="1"/>
  <c r="K508" i="1"/>
  <c r="L508" i="1"/>
  <c r="M508" i="1"/>
  <c r="N508" i="1"/>
  <c r="H509" i="1"/>
  <c r="I509" i="1"/>
  <c r="J509" i="1"/>
  <c r="K509" i="1"/>
  <c r="L509" i="1"/>
  <c r="M509" i="1"/>
  <c r="N509" i="1"/>
  <c r="H510" i="1"/>
  <c r="I510" i="1"/>
  <c r="J510" i="1"/>
  <c r="K510" i="1"/>
  <c r="L510" i="1"/>
  <c r="M510" i="1"/>
  <c r="N510" i="1"/>
  <c r="H511" i="1"/>
  <c r="I511" i="1"/>
  <c r="J511" i="1"/>
  <c r="K511" i="1"/>
  <c r="L511" i="1"/>
  <c r="M511" i="1"/>
  <c r="N511" i="1"/>
  <c r="H512" i="1"/>
  <c r="I512" i="1"/>
  <c r="J512" i="1"/>
  <c r="K512" i="1"/>
  <c r="L512" i="1"/>
  <c r="M512" i="1"/>
  <c r="N512" i="1"/>
  <c r="H513" i="1"/>
  <c r="I513" i="1"/>
  <c r="J513" i="1"/>
  <c r="K513" i="1"/>
  <c r="L513" i="1"/>
  <c r="M513" i="1"/>
  <c r="N513" i="1"/>
  <c r="H514" i="1"/>
  <c r="I514" i="1"/>
  <c r="J514" i="1"/>
  <c r="K514" i="1"/>
  <c r="L514" i="1"/>
  <c r="M514" i="1"/>
  <c r="N514" i="1"/>
  <c r="H515" i="1"/>
  <c r="I515" i="1"/>
  <c r="J515" i="1"/>
  <c r="K515" i="1"/>
  <c r="L515" i="1"/>
  <c r="M515" i="1"/>
  <c r="N515" i="1"/>
  <c r="H516" i="1"/>
  <c r="I516" i="1"/>
  <c r="J516" i="1"/>
  <c r="K516" i="1"/>
  <c r="L516" i="1"/>
  <c r="M516" i="1"/>
  <c r="N516" i="1"/>
  <c r="H517" i="1"/>
  <c r="I517" i="1"/>
  <c r="J517" i="1"/>
  <c r="K517" i="1"/>
  <c r="L517" i="1"/>
  <c r="M517" i="1"/>
  <c r="N517" i="1"/>
  <c r="H518" i="1"/>
  <c r="I518" i="1"/>
  <c r="J518" i="1"/>
  <c r="K518" i="1"/>
  <c r="L518" i="1"/>
  <c r="M518" i="1"/>
  <c r="N518" i="1"/>
  <c r="H519" i="1"/>
  <c r="I519" i="1"/>
  <c r="J519" i="1"/>
  <c r="K519" i="1"/>
  <c r="L519" i="1"/>
  <c r="M519" i="1"/>
  <c r="N519" i="1"/>
  <c r="H520" i="1"/>
  <c r="I520" i="1"/>
  <c r="J520" i="1"/>
  <c r="K520" i="1"/>
  <c r="L520" i="1"/>
  <c r="M520" i="1"/>
  <c r="N520" i="1"/>
  <c r="H521" i="1"/>
  <c r="I521" i="1"/>
  <c r="J521" i="1"/>
  <c r="K521" i="1"/>
  <c r="L521" i="1"/>
  <c r="M521" i="1"/>
  <c r="N521" i="1"/>
  <c r="H522" i="1"/>
  <c r="I522" i="1"/>
  <c r="J522" i="1"/>
  <c r="K522" i="1"/>
  <c r="L522" i="1"/>
  <c r="M522" i="1"/>
  <c r="N522" i="1"/>
  <c r="H523" i="1"/>
  <c r="I523" i="1"/>
  <c r="J523" i="1"/>
  <c r="K523" i="1"/>
  <c r="L523" i="1"/>
  <c r="M523" i="1"/>
  <c r="N523" i="1"/>
  <c r="H524" i="1"/>
  <c r="I524" i="1"/>
  <c r="J524" i="1"/>
  <c r="K524" i="1"/>
  <c r="L524" i="1"/>
  <c r="M524" i="1"/>
  <c r="N524" i="1"/>
  <c r="H525" i="1"/>
  <c r="I525" i="1"/>
  <c r="J525" i="1"/>
  <c r="K525" i="1"/>
  <c r="L525" i="1"/>
  <c r="M525" i="1"/>
  <c r="N525" i="1"/>
  <c r="H526" i="1"/>
  <c r="I526" i="1"/>
  <c r="J526" i="1"/>
  <c r="K526" i="1"/>
  <c r="L526" i="1"/>
  <c r="M526" i="1"/>
  <c r="N526" i="1"/>
  <c r="H527" i="1"/>
  <c r="I527" i="1"/>
  <c r="J527" i="1"/>
  <c r="K527" i="1"/>
  <c r="L527" i="1"/>
  <c r="M527" i="1"/>
  <c r="N527" i="1"/>
  <c r="H528" i="1"/>
  <c r="I528" i="1"/>
  <c r="J528" i="1"/>
  <c r="K528" i="1"/>
  <c r="L528" i="1"/>
  <c r="M528" i="1"/>
  <c r="N528" i="1"/>
  <c r="H529" i="1"/>
  <c r="I529" i="1"/>
  <c r="J529" i="1"/>
  <c r="K529" i="1"/>
  <c r="L529" i="1"/>
  <c r="M529" i="1"/>
  <c r="N529" i="1"/>
  <c r="H530" i="1"/>
  <c r="I530" i="1"/>
  <c r="J530" i="1"/>
  <c r="K530" i="1"/>
  <c r="L530" i="1"/>
  <c r="M530" i="1"/>
  <c r="N530" i="1"/>
  <c r="H531" i="1"/>
  <c r="I531" i="1"/>
  <c r="J531" i="1"/>
  <c r="K531" i="1"/>
  <c r="L531" i="1"/>
  <c r="M531" i="1"/>
  <c r="N531" i="1"/>
  <c r="H532" i="1"/>
  <c r="I532" i="1"/>
  <c r="J532" i="1"/>
  <c r="K532" i="1"/>
  <c r="L532" i="1"/>
  <c r="M532" i="1"/>
  <c r="N532" i="1"/>
  <c r="H533" i="1"/>
  <c r="I533" i="1"/>
  <c r="J533" i="1"/>
  <c r="K533" i="1"/>
  <c r="L533" i="1"/>
  <c r="M533" i="1"/>
  <c r="N533" i="1"/>
  <c r="H534" i="1"/>
  <c r="I534" i="1"/>
  <c r="J534" i="1"/>
  <c r="K534" i="1"/>
  <c r="L534" i="1"/>
  <c r="M534" i="1"/>
  <c r="N534" i="1"/>
  <c r="H535" i="1"/>
  <c r="I535" i="1"/>
  <c r="J535" i="1"/>
  <c r="K535" i="1"/>
  <c r="L535" i="1"/>
  <c r="M535" i="1"/>
  <c r="N535" i="1"/>
  <c r="H536" i="1"/>
  <c r="I536" i="1"/>
  <c r="J536" i="1"/>
  <c r="K536" i="1"/>
  <c r="L536" i="1"/>
  <c r="M536" i="1"/>
  <c r="N536" i="1"/>
  <c r="H537" i="1"/>
  <c r="I537" i="1"/>
  <c r="J537" i="1"/>
  <c r="K537" i="1"/>
  <c r="L537" i="1"/>
  <c r="M537" i="1"/>
  <c r="N537" i="1"/>
  <c r="H538" i="1"/>
  <c r="I538" i="1"/>
  <c r="J538" i="1"/>
  <c r="K538" i="1"/>
  <c r="L538" i="1"/>
  <c r="M538" i="1"/>
  <c r="N538" i="1"/>
  <c r="H539" i="1"/>
  <c r="I539" i="1"/>
  <c r="J539" i="1"/>
  <c r="K539" i="1"/>
  <c r="L539" i="1"/>
  <c r="M539" i="1"/>
  <c r="N539" i="1"/>
  <c r="H540" i="1"/>
  <c r="I540" i="1"/>
  <c r="J540" i="1"/>
  <c r="K540" i="1"/>
  <c r="L540" i="1"/>
  <c r="M540" i="1"/>
  <c r="N540" i="1"/>
  <c r="H541" i="1"/>
  <c r="I541" i="1"/>
  <c r="J541" i="1"/>
  <c r="K541" i="1"/>
  <c r="L541" i="1"/>
  <c r="M541" i="1"/>
  <c r="N541" i="1"/>
  <c r="H542" i="1"/>
  <c r="I542" i="1"/>
  <c r="J542" i="1"/>
  <c r="K542" i="1"/>
  <c r="L542" i="1"/>
  <c r="M542" i="1"/>
  <c r="N542" i="1"/>
  <c r="H543" i="1"/>
  <c r="I543" i="1"/>
  <c r="J543" i="1"/>
  <c r="K543" i="1"/>
  <c r="L543" i="1"/>
  <c r="M543" i="1"/>
  <c r="N543" i="1"/>
  <c r="H544" i="1"/>
  <c r="I544" i="1"/>
  <c r="J544" i="1"/>
  <c r="K544" i="1"/>
  <c r="L544" i="1"/>
  <c r="M544" i="1"/>
  <c r="N544" i="1"/>
  <c r="H545" i="1"/>
  <c r="I545" i="1"/>
  <c r="J545" i="1"/>
  <c r="K545" i="1"/>
  <c r="L545" i="1"/>
  <c r="M545" i="1"/>
  <c r="N545" i="1"/>
  <c r="H546" i="1"/>
  <c r="I546" i="1"/>
  <c r="J546" i="1"/>
  <c r="K546" i="1"/>
  <c r="L546" i="1"/>
  <c r="M546" i="1"/>
  <c r="N546" i="1"/>
  <c r="H547" i="1"/>
  <c r="I547" i="1"/>
  <c r="J547" i="1"/>
  <c r="K547" i="1"/>
  <c r="L547" i="1"/>
  <c r="M547" i="1"/>
  <c r="N547" i="1"/>
  <c r="H548" i="1"/>
  <c r="I548" i="1"/>
  <c r="J548" i="1"/>
  <c r="K548" i="1"/>
  <c r="L548" i="1"/>
  <c r="M548" i="1"/>
  <c r="N548" i="1"/>
  <c r="H549" i="1"/>
  <c r="I549" i="1"/>
  <c r="J549" i="1"/>
  <c r="K549" i="1"/>
  <c r="L549" i="1"/>
  <c r="M549" i="1"/>
  <c r="N549" i="1"/>
  <c r="H550" i="1"/>
  <c r="I550" i="1"/>
  <c r="J550" i="1"/>
  <c r="K550" i="1"/>
  <c r="L550" i="1"/>
  <c r="M550" i="1"/>
  <c r="N550" i="1"/>
  <c r="H551" i="1"/>
  <c r="I551" i="1"/>
  <c r="J551" i="1"/>
  <c r="K551" i="1"/>
  <c r="L551" i="1"/>
  <c r="M551" i="1"/>
  <c r="N551" i="1"/>
  <c r="H552" i="1"/>
  <c r="I552" i="1"/>
  <c r="J552" i="1"/>
  <c r="K552" i="1"/>
  <c r="L552" i="1"/>
  <c r="M552" i="1"/>
  <c r="N552" i="1"/>
  <c r="H553" i="1"/>
  <c r="I553" i="1"/>
  <c r="J553" i="1"/>
  <c r="K553" i="1"/>
  <c r="L553" i="1"/>
  <c r="M553" i="1"/>
  <c r="N553" i="1"/>
  <c r="H554" i="1"/>
  <c r="I554" i="1"/>
  <c r="J554" i="1"/>
  <c r="K554" i="1"/>
  <c r="L554" i="1"/>
  <c r="M554" i="1"/>
  <c r="N554" i="1"/>
  <c r="H555" i="1"/>
  <c r="I555" i="1"/>
  <c r="J555" i="1"/>
  <c r="K555" i="1"/>
  <c r="L555" i="1"/>
  <c r="M555" i="1"/>
  <c r="N555" i="1"/>
  <c r="H556" i="1"/>
  <c r="I556" i="1"/>
  <c r="J556" i="1"/>
  <c r="K556" i="1"/>
  <c r="L556" i="1"/>
  <c r="M556" i="1"/>
  <c r="N556" i="1"/>
  <c r="H557" i="1"/>
  <c r="I557" i="1"/>
  <c r="J557" i="1"/>
  <c r="K557" i="1"/>
  <c r="L557" i="1"/>
  <c r="M557" i="1"/>
  <c r="N557" i="1"/>
  <c r="H558" i="1"/>
  <c r="I558" i="1"/>
  <c r="J558" i="1"/>
  <c r="K558" i="1"/>
  <c r="L558" i="1"/>
  <c r="M558" i="1"/>
  <c r="N558" i="1"/>
  <c r="H559" i="1"/>
  <c r="I559" i="1"/>
  <c r="J559" i="1"/>
  <c r="K559" i="1"/>
  <c r="L559" i="1"/>
  <c r="M559" i="1"/>
  <c r="N559" i="1"/>
  <c r="H560" i="1"/>
  <c r="I560" i="1"/>
  <c r="J560" i="1"/>
  <c r="K560" i="1"/>
  <c r="L560" i="1"/>
  <c r="M560" i="1"/>
  <c r="N560" i="1"/>
  <c r="H561" i="1"/>
  <c r="I561" i="1"/>
  <c r="J561" i="1"/>
  <c r="K561" i="1"/>
  <c r="L561" i="1"/>
  <c r="M561" i="1"/>
  <c r="N561" i="1"/>
  <c r="H562" i="1"/>
  <c r="I562" i="1"/>
  <c r="J562" i="1"/>
  <c r="K562" i="1"/>
  <c r="L562" i="1"/>
  <c r="M562" i="1"/>
  <c r="N562" i="1"/>
  <c r="H563" i="1"/>
  <c r="I563" i="1"/>
  <c r="J563" i="1"/>
  <c r="K563" i="1"/>
  <c r="L563" i="1"/>
  <c r="M563" i="1"/>
  <c r="N563" i="1"/>
  <c r="H564" i="1"/>
  <c r="I564" i="1"/>
  <c r="J564" i="1"/>
  <c r="K564" i="1"/>
  <c r="L564" i="1"/>
  <c r="M564" i="1"/>
  <c r="N564" i="1"/>
  <c r="H565" i="1"/>
  <c r="I565" i="1"/>
  <c r="J565" i="1"/>
  <c r="K565" i="1"/>
  <c r="L565" i="1"/>
  <c r="M565" i="1"/>
  <c r="N565" i="1"/>
  <c r="H566" i="1"/>
  <c r="I566" i="1"/>
  <c r="J566" i="1"/>
  <c r="K566" i="1"/>
  <c r="L566" i="1"/>
  <c r="M566" i="1"/>
  <c r="N566" i="1"/>
  <c r="H567" i="1"/>
  <c r="I567" i="1"/>
  <c r="J567" i="1"/>
  <c r="K567" i="1"/>
  <c r="L567" i="1"/>
  <c r="M567" i="1"/>
  <c r="N567" i="1"/>
  <c r="H568" i="1"/>
  <c r="I568" i="1"/>
  <c r="J568" i="1"/>
  <c r="K568" i="1"/>
  <c r="L568" i="1"/>
  <c r="M568" i="1"/>
  <c r="N568" i="1"/>
  <c r="H569" i="1"/>
  <c r="I569" i="1"/>
  <c r="J569" i="1"/>
  <c r="K569" i="1"/>
  <c r="L569" i="1"/>
  <c r="M569" i="1"/>
  <c r="N569" i="1"/>
  <c r="H570" i="1"/>
  <c r="I570" i="1"/>
  <c r="J570" i="1"/>
  <c r="K570" i="1"/>
  <c r="L570" i="1"/>
  <c r="M570" i="1"/>
  <c r="N570" i="1"/>
  <c r="H571" i="1"/>
  <c r="I571" i="1"/>
  <c r="J571" i="1"/>
  <c r="K571" i="1"/>
  <c r="L571" i="1"/>
  <c r="M571" i="1"/>
  <c r="N571" i="1"/>
  <c r="H572" i="1"/>
  <c r="I572" i="1"/>
  <c r="J572" i="1"/>
  <c r="K572" i="1"/>
  <c r="L572" i="1"/>
  <c r="M572" i="1"/>
  <c r="N572" i="1"/>
  <c r="H573" i="1"/>
  <c r="I573" i="1"/>
  <c r="J573" i="1"/>
  <c r="K573" i="1"/>
  <c r="L573" i="1"/>
  <c r="M573" i="1"/>
  <c r="N573" i="1"/>
  <c r="H574" i="1"/>
  <c r="I574" i="1"/>
  <c r="J574" i="1"/>
  <c r="K574" i="1"/>
  <c r="L574" i="1"/>
  <c r="M574" i="1"/>
  <c r="N574" i="1"/>
  <c r="H575" i="1"/>
  <c r="I575" i="1"/>
  <c r="J575" i="1"/>
  <c r="K575" i="1"/>
  <c r="L575" i="1"/>
  <c r="M575" i="1"/>
  <c r="N575" i="1"/>
  <c r="H576" i="1"/>
  <c r="I576" i="1"/>
  <c r="J576" i="1"/>
  <c r="K576" i="1"/>
  <c r="L576" i="1"/>
  <c r="M576" i="1"/>
  <c r="N576" i="1"/>
  <c r="H577" i="1"/>
  <c r="I577" i="1"/>
  <c r="J577" i="1"/>
  <c r="K577" i="1"/>
  <c r="L577" i="1"/>
  <c r="M577" i="1"/>
  <c r="N577" i="1"/>
  <c r="H578" i="1"/>
  <c r="I578" i="1"/>
  <c r="J578" i="1"/>
  <c r="K578" i="1"/>
  <c r="L578" i="1"/>
  <c r="M578" i="1"/>
  <c r="N578" i="1"/>
  <c r="H579" i="1"/>
  <c r="I579" i="1"/>
  <c r="J579" i="1"/>
  <c r="K579" i="1"/>
  <c r="L579" i="1"/>
  <c r="M579" i="1"/>
  <c r="N579" i="1"/>
  <c r="H580" i="1"/>
  <c r="I580" i="1"/>
  <c r="J580" i="1"/>
  <c r="K580" i="1"/>
  <c r="L580" i="1"/>
  <c r="M580" i="1"/>
  <c r="N580" i="1"/>
  <c r="H581" i="1"/>
  <c r="I581" i="1"/>
  <c r="J581" i="1"/>
  <c r="K581" i="1"/>
  <c r="L581" i="1"/>
  <c r="M581" i="1"/>
  <c r="N581" i="1"/>
  <c r="H582" i="1"/>
  <c r="I582" i="1"/>
  <c r="J582" i="1"/>
  <c r="K582" i="1"/>
  <c r="L582" i="1"/>
  <c r="M582" i="1"/>
  <c r="N582" i="1"/>
  <c r="H583" i="1"/>
  <c r="I583" i="1"/>
  <c r="J583" i="1"/>
  <c r="K583" i="1"/>
  <c r="L583" i="1"/>
  <c r="M583" i="1"/>
  <c r="N583" i="1"/>
  <c r="H584" i="1"/>
  <c r="I584" i="1"/>
  <c r="J584" i="1"/>
  <c r="K584" i="1"/>
  <c r="L584" i="1"/>
  <c r="M584" i="1"/>
  <c r="N584" i="1"/>
  <c r="H585" i="1"/>
  <c r="I585" i="1"/>
  <c r="J585" i="1"/>
  <c r="K585" i="1"/>
  <c r="L585" i="1"/>
  <c r="M585" i="1"/>
  <c r="N585" i="1"/>
  <c r="H586" i="1"/>
  <c r="I586" i="1"/>
  <c r="J586" i="1"/>
  <c r="K586" i="1"/>
  <c r="L586" i="1"/>
  <c r="M586" i="1"/>
  <c r="N586" i="1"/>
  <c r="H587" i="1"/>
  <c r="I587" i="1"/>
  <c r="J587" i="1"/>
  <c r="K587" i="1"/>
  <c r="L587" i="1"/>
  <c r="M587" i="1"/>
  <c r="N587" i="1"/>
  <c r="H588" i="1"/>
  <c r="I588" i="1"/>
  <c r="J588" i="1"/>
  <c r="K588" i="1"/>
  <c r="L588" i="1"/>
  <c r="M588" i="1"/>
  <c r="N588" i="1"/>
  <c r="H589" i="1"/>
  <c r="I589" i="1"/>
  <c r="J589" i="1"/>
  <c r="K589" i="1"/>
  <c r="L589" i="1"/>
  <c r="M589" i="1"/>
  <c r="N589" i="1"/>
  <c r="H590" i="1"/>
  <c r="I590" i="1"/>
  <c r="J590" i="1"/>
  <c r="K590" i="1"/>
  <c r="L590" i="1"/>
  <c r="M590" i="1"/>
  <c r="N590" i="1"/>
  <c r="H591" i="1"/>
  <c r="I591" i="1"/>
  <c r="J591" i="1"/>
  <c r="K591" i="1"/>
  <c r="L591" i="1"/>
  <c r="M591" i="1"/>
  <c r="N591" i="1"/>
  <c r="H592" i="1"/>
  <c r="I592" i="1"/>
  <c r="J592" i="1"/>
  <c r="K592" i="1"/>
  <c r="L592" i="1"/>
  <c r="M592" i="1"/>
  <c r="N592" i="1"/>
  <c r="H593" i="1"/>
  <c r="I593" i="1"/>
  <c r="J593" i="1"/>
  <c r="K593" i="1"/>
  <c r="L593" i="1"/>
  <c r="M593" i="1"/>
  <c r="N593" i="1"/>
  <c r="H594" i="1"/>
  <c r="I594" i="1"/>
  <c r="J594" i="1"/>
  <c r="K594" i="1"/>
  <c r="L594" i="1"/>
  <c r="M594" i="1"/>
  <c r="N594" i="1"/>
  <c r="H595" i="1"/>
  <c r="I595" i="1"/>
  <c r="J595" i="1"/>
  <c r="K595" i="1"/>
  <c r="L595" i="1"/>
  <c r="M595" i="1"/>
  <c r="N595" i="1"/>
  <c r="H596" i="1"/>
  <c r="I596" i="1"/>
  <c r="J596" i="1"/>
  <c r="K596" i="1"/>
  <c r="L596" i="1"/>
  <c r="M596" i="1"/>
  <c r="N596" i="1"/>
  <c r="H597" i="1"/>
  <c r="I597" i="1"/>
  <c r="J597" i="1"/>
  <c r="K597" i="1"/>
  <c r="L597" i="1"/>
  <c r="M597" i="1"/>
  <c r="N597" i="1"/>
  <c r="H598" i="1"/>
  <c r="I598" i="1"/>
  <c r="J598" i="1"/>
  <c r="K598" i="1"/>
  <c r="L598" i="1"/>
  <c r="M598" i="1"/>
  <c r="N598" i="1"/>
  <c r="H599" i="1"/>
  <c r="I599" i="1"/>
  <c r="J599" i="1"/>
  <c r="K599" i="1"/>
  <c r="L599" i="1"/>
  <c r="M599" i="1"/>
  <c r="N599" i="1"/>
  <c r="H600" i="1"/>
  <c r="I600" i="1"/>
  <c r="J600" i="1"/>
  <c r="K600" i="1"/>
  <c r="L600" i="1"/>
  <c r="M600" i="1"/>
  <c r="N600" i="1"/>
  <c r="H601" i="1"/>
  <c r="I601" i="1"/>
  <c r="J601" i="1"/>
  <c r="K601" i="1"/>
  <c r="L601" i="1"/>
  <c r="M601" i="1"/>
  <c r="N601" i="1"/>
  <c r="H602" i="1"/>
  <c r="I602" i="1"/>
  <c r="J602" i="1"/>
  <c r="K602" i="1"/>
  <c r="L602" i="1"/>
  <c r="M602" i="1"/>
  <c r="N602" i="1"/>
  <c r="H603" i="1"/>
  <c r="I603" i="1"/>
  <c r="J603" i="1"/>
  <c r="K603" i="1"/>
  <c r="L603" i="1"/>
  <c r="M603" i="1"/>
  <c r="N603" i="1"/>
  <c r="H604" i="1"/>
  <c r="I604" i="1"/>
  <c r="J604" i="1"/>
  <c r="K604" i="1"/>
  <c r="L604" i="1"/>
  <c r="M604" i="1"/>
  <c r="N604" i="1"/>
  <c r="H605" i="1"/>
  <c r="I605" i="1"/>
  <c r="J605" i="1"/>
  <c r="K605" i="1"/>
  <c r="L605" i="1"/>
  <c r="M605" i="1"/>
  <c r="N605" i="1"/>
  <c r="H606" i="1"/>
  <c r="I606" i="1"/>
  <c r="J606" i="1"/>
  <c r="K606" i="1"/>
  <c r="L606" i="1"/>
  <c r="M606" i="1"/>
  <c r="N606" i="1"/>
  <c r="H607" i="1"/>
  <c r="I607" i="1"/>
  <c r="J607" i="1"/>
  <c r="K607" i="1"/>
  <c r="L607" i="1"/>
  <c r="M607" i="1"/>
  <c r="N607" i="1"/>
  <c r="H608" i="1"/>
  <c r="I608" i="1"/>
  <c r="J608" i="1"/>
  <c r="K608" i="1"/>
  <c r="L608" i="1"/>
  <c r="M608" i="1"/>
  <c r="N608" i="1"/>
  <c r="H609" i="1"/>
  <c r="I609" i="1"/>
  <c r="J609" i="1"/>
  <c r="K609" i="1"/>
  <c r="L609" i="1"/>
  <c r="M609" i="1"/>
  <c r="N609" i="1"/>
  <c r="H610" i="1"/>
  <c r="I610" i="1"/>
  <c r="J610" i="1"/>
  <c r="K610" i="1"/>
  <c r="L610" i="1"/>
  <c r="M610" i="1"/>
  <c r="N610" i="1"/>
  <c r="H611" i="1"/>
  <c r="I611" i="1"/>
  <c r="J611" i="1"/>
  <c r="K611" i="1"/>
  <c r="L611" i="1"/>
  <c r="M611" i="1"/>
  <c r="N611" i="1"/>
  <c r="H612" i="1"/>
  <c r="I612" i="1"/>
  <c r="J612" i="1"/>
  <c r="K612" i="1"/>
  <c r="L612" i="1"/>
  <c r="M612" i="1"/>
  <c r="N612" i="1"/>
  <c r="H613" i="1"/>
  <c r="I613" i="1"/>
  <c r="J613" i="1"/>
  <c r="K613" i="1"/>
  <c r="L613" i="1"/>
  <c r="M613" i="1"/>
  <c r="N613" i="1"/>
  <c r="H614" i="1"/>
  <c r="I614" i="1"/>
  <c r="J614" i="1"/>
  <c r="K614" i="1"/>
  <c r="L614" i="1"/>
  <c r="M614" i="1"/>
  <c r="N614" i="1"/>
  <c r="H615" i="1"/>
  <c r="I615" i="1"/>
  <c r="J615" i="1"/>
  <c r="K615" i="1"/>
  <c r="L615" i="1"/>
  <c r="M615" i="1"/>
  <c r="N615" i="1"/>
  <c r="H616" i="1"/>
  <c r="I616" i="1"/>
  <c r="J616" i="1"/>
  <c r="K616" i="1"/>
  <c r="L616" i="1"/>
  <c r="M616" i="1"/>
  <c r="N616" i="1"/>
  <c r="H617" i="1"/>
  <c r="I617" i="1"/>
  <c r="J617" i="1"/>
  <c r="K617" i="1"/>
  <c r="L617" i="1"/>
  <c r="M617" i="1"/>
  <c r="N617" i="1"/>
  <c r="H618" i="1"/>
  <c r="I618" i="1"/>
  <c r="J618" i="1"/>
  <c r="K618" i="1"/>
  <c r="L618" i="1"/>
  <c r="M618" i="1"/>
  <c r="N618" i="1"/>
  <c r="H619" i="1"/>
  <c r="I619" i="1"/>
  <c r="J619" i="1"/>
  <c r="K619" i="1"/>
  <c r="L619" i="1"/>
  <c r="M619" i="1"/>
  <c r="N619" i="1"/>
  <c r="H620" i="1"/>
  <c r="I620" i="1"/>
  <c r="J620" i="1"/>
  <c r="K620" i="1"/>
  <c r="L620" i="1"/>
  <c r="M620" i="1"/>
  <c r="N620" i="1"/>
  <c r="H621" i="1"/>
  <c r="I621" i="1"/>
  <c r="J621" i="1"/>
  <c r="K621" i="1"/>
  <c r="L621" i="1"/>
  <c r="M621" i="1"/>
  <c r="N621" i="1"/>
  <c r="H622" i="1"/>
  <c r="I622" i="1"/>
  <c r="J622" i="1"/>
  <c r="K622" i="1"/>
  <c r="L622" i="1"/>
  <c r="M622" i="1"/>
  <c r="N622" i="1"/>
  <c r="H623" i="1"/>
  <c r="I623" i="1"/>
  <c r="J623" i="1"/>
  <c r="K623" i="1"/>
  <c r="L623" i="1"/>
  <c r="M623" i="1"/>
  <c r="N623" i="1"/>
  <c r="H624" i="1"/>
  <c r="I624" i="1"/>
  <c r="J624" i="1"/>
  <c r="K624" i="1"/>
  <c r="L624" i="1"/>
  <c r="M624" i="1"/>
  <c r="N624" i="1"/>
  <c r="H625" i="1"/>
  <c r="I625" i="1"/>
  <c r="J625" i="1"/>
  <c r="K625" i="1"/>
  <c r="L625" i="1"/>
  <c r="M625" i="1"/>
  <c r="N625" i="1"/>
  <c r="H626" i="1"/>
  <c r="I626" i="1"/>
  <c r="J626" i="1"/>
  <c r="K626" i="1"/>
  <c r="L626" i="1"/>
  <c r="M626" i="1"/>
  <c r="N626" i="1"/>
  <c r="H627" i="1"/>
  <c r="I627" i="1"/>
  <c r="J627" i="1"/>
  <c r="K627" i="1"/>
  <c r="L627" i="1"/>
  <c r="M627" i="1"/>
  <c r="N627" i="1"/>
  <c r="H628" i="1"/>
  <c r="I628" i="1"/>
  <c r="J628" i="1"/>
  <c r="K628" i="1"/>
  <c r="L628" i="1"/>
  <c r="M628" i="1"/>
  <c r="N628" i="1"/>
  <c r="H629" i="1"/>
  <c r="I629" i="1"/>
  <c r="J629" i="1"/>
  <c r="K629" i="1"/>
  <c r="L629" i="1"/>
  <c r="M629" i="1"/>
  <c r="N629" i="1"/>
  <c r="H630" i="1"/>
  <c r="I630" i="1"/>
  <c r="J630" i="1"/>
  <c r="K630" i="1"/>
  <c r="L630" i="1"/>
  <c r="M630" i="1"/>
  <c r="N630" i="1"/>
  <c r="H631" i="1"/>
  <c r="I631" i="1"/>
  <c r="J631" i="1"/>
  <c r="K631" i="1"/>
  <c r="L631" i="1"/>
  <c r="M631" i="1"/>
  <c r="N631" i="1"/>
  <c r="H632" i="1"/>
  <c r="I632" i="1"/>
  <c r="J632" i="1"/>
  <c r="K632" i="1"/>
  <c r="L632" i="1"/>
  <c r="M632" i="1"/>
  <c r="N632" i="1"/>
  <c r="H633" i="1"/>
  <c r="I633" i="1"/>
  <c r="J633" i="1"/>
  <c r="K633" i="1"/>
  <c r="L633" i="1"/>
  <c r="M633" i="1"/>
  <c r="N633" i="1"/>
  <c r="H634" i="1"/>
  <c r="I634" i="1"/>
  <c r="J634" i="1"/>
  <c r="K634" i="1"/>
  <c r="L634" i="1"/>
  <c r="M634" i="1"/>
  <c r="N634" i="1"/>
  <c r="H635" i="1"/>
  <c r="I635" i="1"/>
  <c r="J635" i="1"/>
  <c r="K635" i="1"/>
  <c r="L635" i="1"/>
  <c r="M635" i="1"/>
  <c r="N635" i="1"/>
  <c r="H636" i="1"/>
  <c r="I636" i="1"/>
  <c r="J636" i="1"/>
  <c r="K636" i="1"/>
  <c r="L636" i="1"/>
  <c r="M636" i="1"/>
  <c r="N636" i="1"/>
  <c r="H637" i="1"/>
  <c r="I637" i="1"/>
  <c r="J637" i="1"/>
  <c r="K637" i="1"/>
  <c r="L637" i="1"/>
  <c r="M637" i="1"/>
  <c r="N637" i="1"/>
  <c r="H638" i="1"/>
  <c r="I638" i="1"/>
  <c r="J638" i="1"/>
  <c r="K638" i="1"/>
  <c r="L638" i="1"/>
  <c r="M638" i="1"/>
  <c r="N638" i="1"/>
  <c r="H639" i="1"/>
  <c r="I639" i="1"/>
  <c r="J639" i="1"/>
  <c r="K639" i="1"/>
  <c r="L639" i="1"/>
  <c r="M639" i="1"/>
  <c r="N639" i="1"/>
  <c r="H640" i="1"/>
  <c r="I640" i="1"/>
  <c r="J640" i="1"/>
  <c r="K640" i="1"/>
  <c r="L640" i="1"/>
  <c r="M640" i="1"/>
  <c r="N640" i="1"/>
  <c r="H641" i="1"/>
  <c r="I641" i="1"/>
  <c r="J641" i="1"/>
  <c r="K641" i="1"/>
  <c r="L641" i="1"/>
  <c r="M641" i="1"/>
  <c r="N641" i="1"/>
  <c r="H642" i="1"/>
  <c r="I642" i="1"/>
  <c r="J642" i="1"/>
  <c r="K642" i="1"/>
  <c r="L642" i="1"/>
  <c r="M642" i="1"/>
  <c r="N642" i="1"/>
  <c r="H643" i="1"/>
  <c r="I643" i="1"/>
  <c r="J643" i="1"/>
  <c r="K643" i="1"/>
  <c r="L643" i="1"/>
  <c r="M643" i="1"/>
  <c r="N643" i="1"/>
  <c r="H644" i="1"/>
  <c r="I644" i="1"/>
  <c r="J644" i="1"/>
  <c r="K644" i="1"/>
  <c r="L644" i="1"/>
  <c r="M644" i="1"/>
  <c r="N644" i="1"/>
  <c r="H645" i="1"/>
  <c r="I645" i="1"/>
  <c r="J645" i="1"/>
  <c r="K645" i="1"/>
  <c r="L645" i="1"/>
  <c r="M645" i="1"/>
  <c r="N645" i="1"/>
  <c r="H646" i="1"/>
  <c r="I646" i="1"/>
  <c r="J646" i="1"/>
  <c r="K646" i="1"/>
  <c r="L646" i="1"/>
  <c r="M646" i="1"/>
  <c r="N646" i="1"/>
  <c r="H647" i="1"/>
  <c r="I647" i="1"/>
  <c r="J647" i="1"/>
  <c r="K647" i="1"/>
  <c r="L647" i="1"/>
  <c r="M647" i="1"/>
  <c r="N647" i="1"/>
  <c r="H648" i="1"/>
  <c r="I648" i="1"/>
  <c r="J648" i="1"/>
  <c r="K648" i="1"/>
  <c r="L648" i="1"/>
  <c r="M648" i="1"/>
  <c r="N648" i="1"/>
  <c r="H649" i="1"/>
  <c r="I649" i="1"/>
  <c r="J649" i="1"/>
  <c r="K649" i="1"/>
  <c r="L649" i="1"/>
  <c r="M649" i="1"/>
  <c r="N649" i="1"/>
  <c r="H650" i="1"/>
  <c r="I650" i="1"/>
  <c r="J650" i="1"/>
  <c r="K650" i="1"/>
  <c r="L650" i="1"/>
  <c r="M650" i="1"/>
  <c r="N650" i="1"/>
  <c r="H651" i="1"/>
  <c r="I651" i="1"/>
  <c r="J651" i="1"/>
  <c r="K651" i="1"/>
  <c r="L651" i="1"/>
  <c r="M651" i="1"/>
  <c r="N651" i="1"/>
  <c r="H652" i="1"/>
  <c r="I652" i="1"/>
  <c r="J652" i="1"/>
  <c r="K652" i="1"/>
  <c r="L652" i="1"/>
  <c r="M652" i="1"/>
  <c r="N652" i="1"/>
  <c r="H653" i="1"/>
  <c r="I653" i="1"/>
  <c r="J653" i="1"/>
  <c r="K653" i="1"/>
  <c r="L653" i="1"/>
  <c r="M653" i="1"/>
  <c r="N653" i="1"/>
  <c r="H654" i="1"/>
  <c r="I654" i="1"/>
  <c r="J654" i="1"/>
  <c r="K654" i="1"/>
  <c r="L654" i="1"/>
  <c r="M654" i="1"/>
  <c r="N654" i="1"/>
  <c r="H655" i="1"/>
  <c r="I655" i="1"/>
  <c r="J655" i="1"/>
  <c r="K655" i="1"/>
  <c r="L655" i="1"/>
  <c r="M655" i="1"/>
  <c r="N655" i="1"/>
  <c r="H656" i="1"/>
  <c r="I656" i="1"/>
  <c r="J656" i="1"/>
  <c r="K656" i="1"/>
  <c r="L656" i="1"/>
  <c r="M656" i="1"/>
  <c r="N656" i="1"/>
  <c r="H657" i="1"/>
  <c r="I657" i="1"/>
  <c r="J657" i="1"/>
  <c r="K657" i="1"/>
  <c r="L657" i="1"/>
  <c r="M657" i="1"/>
  <c r="N657" i="1"/>
  <c r="H658" i="1"/>
  <c r="I658" i="1"/>
  <c r="J658" i="1"/>
  <c r="K658" i="1"/>
  <c r="L658" i="1"/>
  <c r="M658" i="1"/>
  <c r="N658" i="1"/>
  <c r="H659" i="1"/>
  <c r="I659" i="1"/>
  <c r="J659" i="1"/>
  <c r="K659" i="1"/>
  <c r="L659" i="1"/>
  <c r="M659" i="1"/>
  <c r="N659" i="1"/>
  <c r="H660" i="1"/>
  <c r="I660" i="1"/>
  <c r="J660" i="1"/>
  <c r="K660" i="1"/>
  <c r="L660" i="1"/>
  <c r="M660" i="1"/>
  <c r="N660" i="1"/>
  <c r="H661" i="1"/>
  <c r="I661" i="1"/>
  <c r="J661" i="1"/>
  <c r="K661" i="1"/>
  <c r="L661" i="1"/>
  <c r="M661" i="1"/>
  <c r="N661" i="1"/>
  <c r="H662" i="1"/>
  <c r="I662" i="1"/>
  <c r="J662" i="1"/>
  <c r="K662" i="1"/>
  <c r="L662" i="1"/>
  <c r="M662" i="1"/>
  <c r="N662" i="1"/>
  <c r="H663" i="1"/>
  <c r="I663" i="1"/>
  <c r="J663" i="1"/>
  <c r="K663" i="1"/>
  <c r="L663" i="1"/>
  <c r="M663" i="1"/>
  <c r="N663" i="1"/>
  <c r="H664" i="1"/>
  <c r="I664" i="1"/>
  <c r="J664" i="1"/>
  <c r="K664" i="1"/>
  <c r="L664" i="1"/>
  <c r="M664" i="1"/>
  <c r="N664" i="1"/>
  <c r="H665" i="1"/>
  <c r="I665" i="1"/>
  <c r="J665" i="1"/>
  <c r="K665" i="1"/>
  <c r="L665" i="1"/>
  <c r="M665" i="1"/>
  <c r="N665" i="1"/>
  <c r="H666" i="1"/>
  <c r="I666" i="1"/>
  <c r="J666" i="1"/>
  <c r="K666" i="1"/>
  <c r="L666" i="1"/>
  <c r="M666" i="1"/>
  <c r="N666" i="1"/>
  <c r="H667" i="1"/>
  <c r="I667" i="1"/>
  <c r="J667" i="1"/>
  <c r="K667" i="1"/>
  <c r="L667" i="1"/>
  <c r="M667" i="1"/>
  <c r="N667" i="1"/>
  <c r="H668" i="1"/>
  <c r="I668" i="1"/>
  <c r="J668" i="1"/>
  <c r="K668" i="1"/>
  <c r="L668" i="1"/>
  <c r="M668" i="1"/>
  <c r="N668" i="1"/>
  <c r="H669" i="1"/>
  <c r="I669" i="1"/>
  <c r="J669" i="1"/>
  <c r="K669" i="1"/>
  <c r="L669" i="1"/>
  <c r="M669" i="1"/>
  <c r="N669" i="1"/>
  <c r="H670" i="1"/>
  <c r="I670" i="1"/>
  <c r="J670" i="1"/>
  <c r="K670" i="1"/>
  <c r="L670" i="1"/>
  <c r="M670" i="1"/>
  <c r="N670" i="1"/>
  <c r="H671" i="1"/>
  <c r="I671" i="1"/>
  <c r="J671" i="1"/>
  <c r="K671" i="1"/>
  <c r="L671" i="1"/>
  <c r="M671" i="1"/>
  <c r="N671" i="1"/>
  <c r="H672" i="1"/>
  <c r="I672" i="1"/>
  <c r="J672" i="1"/>
  <c r="K672" i="1"/>
  <c r="L672" i="1"/>
  <c r="M672" i="1"/>
  <c r="N672" i="1"/>
  <c r="H673" i="1"/>
  <c r="I673" i="1"/>
  <c r="J673" i="1"/>
  <c r="K673" i="1"/>
  <c r="L673" i="1"/>
  <c r="M673" i="1"/>
  <c r="N673" i="1"/>
  <c r="H674" i="1"/>
  <c r="I674" i="1"/>
  <c r="J674" i="1"/>
  <c r="K674" i="1"/>
  <c r="L674" i="1"/>
  <c r="M674" i="1"/>
  <c r="N674" i="1"/>
  <c r="H675" i="1"/>
  <c r="I675" i="1"/>
  <c r="J675" i="1"/>
  <c r="K675" i="1"/>
  <c r="L675" i="1"/>
  <c r="M675" i="1"/>
  <c r="N675" i="1"/>
  <c r="H676" i="1"/>
  <c r="I676" i="1"/>
  <c r="J676" i="1"/>
  <c r="K676" i="1"/>
  <c r="L676" i="1"/>
  <c r="M676" i="1"/>
  <c r="N676" i="1"/>
  <c r="H677" i="1"/>
  <c r="I677" i="1"/>
  <c r="J677" i="1"/>
  <c r="K677" i="1"/>
  <c r="L677" i="1"/>
  <c r="M677" i="1"/>
  <c r="N677" i="1"/>
  <c r="H678" i="1"/>
  <c r="I678" i="1"/>
  <c r="J678" i="1"/>
  <c r="K678" i="1"/>
  <c r="L678" i="1"/>
  <c r="M678" i="1"/>
  <c r="N678" i="1"/>
  <c r="H679" i="1"/>
  <c r="I679" i="1"/>
  <c r="J679" i="1"/>
  <c r="K679" i="1"/>
  <c r="L679" i="1"/>
  <c r="M679" i="1"/>
  <c r="N679" i="1"/>
  <c r="H680" i="1"/>
  <c r="I680" i="1"/>
  <c r="J680" i="1"/>
  <c r="K680" i="1"/>
  <c r="L680" i="1"/>
  <c r="M680" i="1"/>
  <c r="N680" i="1"/>
  <c r="H681" i="1"/>
  <c r="I681" i="1"/>
  <c r="J681" i="1"/>
  <c r="K681" i="1"/>
  <c r="L681" i="1"/>
  <c r="M681" i="1"/>
  <c r="N681" i="1"/>
  <c r="H682" i="1"/>
  <c r="I682" i="1"/>
  <c r="J682" i="1"/>
  <c r="K682" i="1"/>
  <c r="L682" i="1"/>
  <c r="M682" i="1"/>
  <c r="N682" i="1"/>
  <c r="H683" i="1"/>
  <c r="I683" i="1"/>
  <c r="J683" i="1"/>
  <c r="K683" i="1"/>
  <c r="L683" i="1"/>
  <c r="M683" i="1"/>
  <c r="N683" i="1"/>
  <c r="H684" i="1"/>
  <c r="I684" i="1"/>
  <c r="J684" i="1"/>
  <c r="K684" i="1"/>
  <c r="L684" i="1"/>
  <c r="M684" i="1"/>
  <c r="N684" i="1"/>
  <c r="H685" i="1"/>
  <c r="I685" i="1"/>
  <c r="J685" i="1"/>
  <c r="K685" i="1"/>
  <c r="L685" i="1"/>
  <c r="M685" i="1"/>
  <c r="N685" i="1"/>
  <c r="H686" i="1"/>
  <c r="I686" i="1"/>
  <c r="J686" i="1"/>
  <c r="K686" i="1"/>
  <c r="L686" i="1"/>
  <c r="M686" i="1"/>
  <c r="N686" i="1"/>
  <c r="H687" i="1"/>
  <c r="I687" i="1"/>
  <c r="J687" i="1"/>
  <c r="K687" i="1"/>
  <c r="L687" i="1"/>
  <c r="M687" i="1"/>
  <c r="N687" i="1"/>
  <c r="H688" i="1"/>
  <c r="I688" i="1"/>
  <c r="J688" i="1"/>
  <c r="K688" i="1"/>
  <c r="L688" i="1"/>
  <c r="M688" i="1"/>
  <c r="N688" i="1"/>
  <c r="H689" i="1"/>
  <c r="I689" i="1"/>
  <c r="J689" i="1"/>
  <c r="K689" i="1"/>
  <c r="L689" i="1"/>
  <c r="M689" i="1"/>
  <c r="N689" i="1"/>
  <c r="H690" i="1"/>
  <c r="I690" i="1"/>
  <c r="J690" i="1"/>
  <c r="K690" i="1"/>
  <c r="L690" i="1"/>
  <c r="M690" i="1"/>
  <c r="N690" i="1"/>
  <c r="H691" i="1"/>
  <c r="I691" i="1"/>
  <c r="J691" i="1"/>
  <c r="K691" i="1"/>
  <c r="L691" i="1"/>
  <c r="M691" i="1"/>
  <c r="N691" i="1"/>
  <c r="H692" i="1"/>
  <c r="I692" i="1"/>
  <c r="J692" i="1"/>
  <c r="K692" i="1"/>
  <c r="L692" i="1"/>
  <c r="M692" i="1"/>
  <c r="N692" i="1"/>
  <c r="H693" i="1"/>
  <c r="I693" i="1"/>
  <c r="J693" i="1"/>
  <c r="K693" i="1"/>
  <c r="L693" i="1"/>
  <c r="M693" i="1"/>
  <c r="N693" i="1"/>
  <c r="H694" i="1"/>
  <c r="I694" i="1"/>
  <c r="J694" i="1"/>
  <c r="K694" i="1"/>
  <c r="L694" i="1"/>
  <c r="M694" i="1"/>
  <c r="N694" i="1"/>
  <c r="H695" i="1"/>
  <c r="I695" i="1"/>
  <c r="J695" i="1"/>
  <c r="K695" i="1"/>
  <c r="L695" i="1"/>
  <c r="M695" i="1"/>
  <c r="N695" i="1"/>
  <c r="H696" i="1"/>
  <c r="I696" i="1"/>
  <c r="J696" i="1"/>
  <c r="K696" i="1"/>
  <c r="L696" i="1"/>
  <c r="M696" i="1"/>
  <c r="N696" i="1"/>
  <c r="H697" i="1"/>
  <c r="I697" i="1"/>
  <c r="J697" i="1"/>
  <c r="K697" i="1"/>
  <c r="L697" i="1"/>
  <c r="M697" i="1"/>
  <c r="N697" i="1"/>
  <c r="H698" i="1"/>
  <c r="I698" i="1"/>
  <c r="J698" i="1"/>
  <c r="K698" i="1"/>
  <c r="L698" i="1"/>
  <c r="M698" i="1"/>
  <c r="N698" i="1"/>
  <c r="H699" i="1"/>
  <c r="I699" i="1"/>
  <c r="J699" i="1"/>
  <c r="K699" i="1"/>
  <c r="L699" i="1"/>
  <c r="M699" i="1"/>
  <c r="N699" i="1"/>
  <c r="H700" i="1"/>
  <c r="I700" i="1"/>
  <c r="J700" i="1"/>
  <c r="K700" i="1"/>
  <c r="L700" i="1"/>
  <c r="M700" i="1"/>
  <c r="N700" i="1"/>
  <c r="H701" i="1"/>
  <c r="I701" i="1"/>
  <c r="J701" i="1"/>
  <c r="K701" i="1"/>
  <c r="L701" i="1"/>
  <c r="M701" i="1"/>
  <c r="N701" i="1"/>
  <c r="H702" i="1"/>
  <c r="I702" i="1"/>
  <c r="J702" i="1"/>
  <c r="K702" i="1"/>
  <c r="L702" i="1"/>
  <c r="M702" i="1"/>
  <c r="N702" i="1"/>
  <c r="H703" i="1"/>
  <c r="I703" i="1"/>
  <c r="J703" i="1"/>
  <c r="K703" i="1"/>
  <c r="L703" i="1"/>
  <c r="M703" i="1"/>
  <c r="N703" i="1"/>
  <c r="H704" i="1"/>
  <c r="I704" i="1"/>
  <c r="J704" i="1"/>
  <c r="K704" i="1"/>
  <c r="L704" i="1"/>
  <c r="M704" i="1"/>
  <c r="N704" i="1"/>
  <c r="H705" i="1"/>
  <c r="I705" i="1"/>
  <c r="J705" i="1"/>
  <c r="K705" i="1"/>
  <c r="L705" i="1"/>
  <c r="M705" i="1"/>
  <c r="N705" i="1"/>
  <c r="H706" i="1"/>
  <c r="I706" i="1"/>
  <c r="J706" i="1"/>
  <c r="K706" i="1"/>
  <c r="L706" i="1"/>
  <c r="M706" i="1"/>
  <c r="N706" i="1"/>
  <c r="H707" i="1"/>
  <c r="I707" i="1"/>
  <c r="J707" i="1"/>
  <c r="K707" i="1"/>
  <c r="L707" i="1"/>
  <c r="M707" i="1"/>
  <c r="N707" i="1"/>
  <c r="H708" i="1"/>
  <c r="I708" i="1"/>
  <c r="J708" i="1"/>
  <c r="K708" i="1"/>
  <c r="L708" i="1"/>
  <c r="M708" i="1"/>
  <c r="N708" i="1"/>
  <c r="H709" i="1"/>
  <c r="I709" i="1"/>
  <c r="J709" i="1"/>
  <c r="K709" i="1"/>
  <c r="L709" i="1"/>
  <c r="M709" i="1"/>
  <c r="N709" i="1"/>
  <c r="H710" i="1"/>
  <c r="I710" i="1"/>
  <c r="J710" i="1"/>
  <c r="K710" i="1"/>
  <c r="L710" i="1"/>
  <c r="M710" i="1"/>
  <c r="N710" i="1"/>
  <c r="H711" i="1"/>
  <c r="I711" i="1"/>
  <c r="J711" i="1"/>
  <c r="K711" i="1"/>
  <c r="L711" i="1"/>
  <c r="M711" i="1"/>
  <c r="N711" i="1"/>
  <c r="H712" i="1"/>
  <c r="I712" i="1"/>
  <c r="J712" i="1"/>
  <c r="K712" i="1"/>
  <c r="L712" i="1"/>
  <c r="M712" i="1"/>
  <c r="N712" i="1"/>
  <c r="H713" i="1"/>
  <c r="I713" i="1"/>
  <c r="J713" i="1"/>
  <c r="K713" i="1"/>
  <c r="L713" i="1"/>
  <c r="M713" i="1"/>
  <c r="N713" i="1"/>
  <c r="H714" i="1"/>
  <c r="I714" i="1"/>
  <c r="J714" i="1"/>
  <c r="K714" i="1"/>
  <c r="L714" i="1"/>
  <c r="M714" i="1"/>
  <c r="N714" i="1"/>
  <c r="H715" i="1"/>
  <c r="I715" i="1"/>
  <c r="J715" i="1"/>
  <c r="K715" i="1"/>
  <c r="L715" i="1"/>
  <c r="M715" i="1"/>
  <c r="N715" i="1"/>
  <c r="H716" i="1"/>
  <c r="I716" i="1"/>
  <c r="J716" i="1"/>
  <c r="K716" i="1"/>
  <c r="L716" i="1"/>
  <c r="M716" i="1"/>
  <c r="N716" i="1"/>
  <c r="H717" i="1"/>
  <c r="I717" i="1"/>
  <c r="J717" i="1"/>
  <c r="K717" i="1"/>
  <c r="L717" i="1"/>
  <c r="M717" i="1"/>
  <c r="N717" i="1"/>
  <c r="H718" i="1"/>
  <c r="I718" i="1"/>
  <c r="J718" i="1"/>
  <c r="K718" i="1"/>
  <c r="L718" i="1"/>
  <c r="M718" i="1"/>
  <c r="N718" i="1"/>
  <c r="H719" i="1"/>
  <c r="I719" i="1"/>
  <c r="J719" i="1"/>
  <c r="K719" i="1"/>
  <c r="L719" i="1"/>
  <c r="M719" i="1"/>
  <c r="N719" i="1"/>
  <c r="H720" i="1"/>
  <c r="I720" i="1"/>
  <c r="J720" i="1"/>
  <c r="K720" i="1"/>
  <c r="L720" i="1"/>
  <c r="M720" i="1"/>
  <c r="N720" i="1"/>
  <c r="H721" i="1"/>
  <c r="I721" i="1"/>
  <c r="J721" i="1"/>
  <c r="K721" i="1"/>
  <c r="L721" i="1"/>
  <c r="M721" i="1"/>
  <c r="N721" i="1"/>
  <c r="H722" i="1"/>
  <c r="I722" i="1"/>
  <c r="J722" i="1"/>
  <c r="K722" i="1"/>
  <c r="L722" i="1"/>
  <c r="M722" i="1"/>
  <c r="N722" i="1"/>
  <c r="H723" i="1"/>
  <c r="I723" i="1"/>
  <c r="J723" i="1"/>
  <c r="K723" i="1"/>
  <c r="L723" i="1"/>
  <c r="M723" i="1"/>
  <c r="N723" i="1"/>
  <c r="H724" i="1"/>
  <c r="I724" i="1"/>
  <c r="J724" i="1"/>
  <c r="K724" i="1"/>
  <c r="L724" i="1"/>
  <c r="M724" i="1"/>
  <c r="N724" i="1"/>
  <c r="H725" i="1"/>
  <c r="I725" i="1"/>
  <c r="J725" i="1"/>
  <c r="K725" i="1"/>
  <c r="L725" i="1"/>
  <c r="M725" i="1"/>
  <c r="N725" i="1"/>
  <c r="H726" i="1"/>
  <c r="I726" i="1"/>
  <c r="J726" i="1"/>
  <c r="K726" i="1"/>
  <c r="L726" i="1"/>
  <c r="M726" i="1"/>
  <c r="N726" i="1"/>
  <c r="H727" i="1"/>
  <c r="I727" i="1"/>
  <c r="J727" i="1"/>
  <c r="K727" i="1"/>
  <c r="L727" i="1"/>
  <c r="M727" i="1"/>
  <c r="N727" i="1"/>
  <c r="H728" i="1"/>
  <c r="I728" i="1"/>
  <c r="J728" i="1"/>
  <c r="K728" i="1"/>
  <c r="L728" i="1"/>
  <c r="M728" i="1"/>
  <c r="N728" i="1"/>
  <c r="H729" i="1"/>
  <c r="I729" i="1"/>
  <c r="J729" i="1"/>
  <c r="K729" i="1"/>
  <c r="L729" i="1"/>
  <c r="M729" i="1"/>
  <c r="N729" i="1"/>
  <c r="H730" i="1"/>
  <c r="I730" i="1"/>
  <c r="J730" i="1"/>
  <c r="K730" i="1"/>
  <c r="L730" i="1"/>
  <c r="M730" i="1"/>
  <c r="N730" i="1"/>
  <c r="H731" i="1"/>
  <c r="I731" i="1"/>
  <c r="J731" i="1"/>
  <c r="K731" i="1"/>
  <c r="L731" i="1"/>
  <c r="M731" i="1"/>
  <c r="N731" i="1"/>
  <c r="H732" i="1"/>
  <c r="I732" i="1"/>
  <c r="J732" i="1"/>
  <c r="K732" i="1"/>
  <c r="L732" i="1"/>
  <c r="M732" i="1"/>
  <c r="N732" i="1"/>
  <c r="H733" i="1"/>
  <c r="I733" i="1"/>
  <c r="J733" i="1"/>
  <c r="K733" i="1"/>
  <c r="L733" i="1"/>
  <c r="M733" i="1"/>
  <c r="N733" i="1"/>
  <c r="H734" i="1"/>
  <c r="I734" i="1"/>
  <c r="J734" i="1"/>
  <c r="K734" i="1"/>
  <c r="L734" i="1"/>
  <c r="M734" i="1"/>
  <c r="N734" i="1"/>
  <c r="H735" i="1"/>
  <c r="I735" i="1"/>
  <c r="J735" i="1"/>
  <c r="K735" i="1"/>
  <c r="L735" i="1"/>
  <c r="M735" i="1"/>
  <c r="N735" i="1"/>
  <c r="H736" i="1"/>
  <c r="I736" i="1"/>
  <c r="J736" i="1"/>
  <c r="K736" i="1"/>
  <c r="L736" i="1"/>
  <c r="M736" i="1"/>
  <c r="N736" i="1"/>
  <c r="H737" i="1"/>
  <c r="I737" i="1"/>
  <c r="J737" i="1"/>
  <c r="K737" i="1"/>
  <c r="L737" i="1"/>
  <c r="M737" i="1"/>
  <c r="N737" i="1"/>
  <c r="H738" i="1"/>
  <c r="I738" i="1"/>
  <c r="J738" i="1"/>
  <c r="K738" i="1"/>
  <c r="L738" i="1"/>
  <c r="M738" i="1"/>
  <c r="N738" i="1"/>
  <c r="H739" i="1"/>
  <c r="I739" i="1"/>
  <c r="J739" i="1"/>
  <c r="K739" i="1"/>
  <c r="L739" i="1"/>
  <c r="M739" i="1"/>
  <c r="N739" i="1"/>
  <c r="H740" i="1"/>
  <c r="I740" i="1"/>
  <c r="J740" i="1"/>
  <c r="K740" i="1"/>
  <c r="L740" i="1"/>
  <c r="M740" i="1"/>
  <c r="N740" i="1"/>
  <c r="H741" i="1"/>
  <c r="I741" i="1"/>
  <c r="J741" i="1"/>
  <c r="K741" i="1"/>
  <c r="L741" i="1"/>
  <c r="M741" i="1"/>
  <c r="N741" i="1"/>
  <c r="H742" i="1"/>
  <c r="I742" i="1"/>
  <c r="J742" i="1"/>
  <c r="K742" i="1"/>
  <c r="L742" i="1"/>
  <c r="M742" i="1"/>
  <c r="N742" i="1"/>
  <c r="H743" i="1"/>
  <c r="I743" i="1"/>
  <c r="J743" i="1"/>
  <c r="K743" i="1"/>
  <c r="L743" i="1"/>
  <c r="M743" i="1"/>
  <c r="N743" i="1"/>
  <c r="H744" i="1"/>
  <c r="I744" i="1"/>
  <c r="J744" i="1"/>
  <c r="K744" i="1"/>
  <c r="L744" i="1"/>
  <c r="M744" i="1"/>
  <c r="N744" i="1"/>
  <c r="H745" i="1"/>
  <c r="I745" i="1"/>
  <c r="J745" i="1"/>
  <c r="K745" i="1"/>
  <c r="L745" i="1"/>
  <c r="M745" i="1"/>
  <c r="N745" i="1"/>
  <c r="H746" i="1"/>
  <c r="I746" i="1"/>
  <c r="J746" i="1"/>
  <c r="K746" i="1"/>
  <c r="L746" i="1"/>
  <c r="M746" i="1"/>
  <c r="N746" i="1"/>
  <c r="H747" i="1"/>
  <c r="I747" i="1"/>
  <c r="J747" i="1"/>
  <c r="K747" i="1"/>
  <c r="L747" i="1"/>
  <c r="M747" i="1"/>
  <c r="N747" i="1"/>
  <c r="H748" i="1"/>
  <c r="I748" i="1"/>
  <c r="J748" i="1"/>
  <c r="K748" i="1"/>
  <c r="L748" i="1"/>
  <c r="M748" i="1"/>
  <c r="N748" i="1"/>
  <c r="H749" i="1"/>
  <c r="I749" i="1"/>
  <c r="J749" i="1"/>
  <c r="K749" i="1"/>
  <c r="L749" i="1"/>
  <c r="M749" i="1"/>
  <c r="N749" i="1"/>
  <c r="H750" i="1"/>
  <c r="I750" i="1"/>
  <c r="J750" i="1"/>
  <c r="K750" i="1"/>
  <c r="L750" i="1"/>
  <c r="M750" i="1"/>
  <c r="N750" i="1"/>
  <c r="H751" i="1"/>
  <c r="I751" i="1"/>
  <c r="J751" i="1"/>
  <c r="K751" i="1"/>
  <c r="L751" i="1"/>
  <c r="M751" i="1"/>
  <c r="N751" i="1"/>
  <c r="H752" i="1"/>
  <c r="I752" i="1"/>
  <c r="J752" i="1"/>
  <c r="K752" i="1"/>
  <c r="L752" i="1"/>
  <c r="M752" i="1"/>
  <c r="N752" i="1"/>
  <c r="H753" i="1"/>
  <c r="I753" i="1"/>
  <c r="J753" i="1"/>
  <c r="K753" i="1"/>
  <c r="L753" i="1"/>
  <c r="M753" i="1"/>
  <c r="N753" i="1"/>
  <c r="H754" i="1"/>
  <c r="I754" i="1"/>
  <c r="J754" i="1"/>
  <c r="K754" i="1"/>
  <c r="L754" i="1"/>
  <c r="M754" i="1"/>
  <c r="N754" i="1"/>
  <c r="H755" i="1"/>
  <c r="I755" i="1"/>
  <c r="J755" i="1"/>
  <c r="K755" i="1"/>
  <c r="L755" i="1"/>
  <c r="M755" i="1"/>
  <c r="N755" i="1"/>
  <c r="H756" i="1"/>
  <c r="I756" i="1"/>
  <c r="J756" i="1"/>
  <c r="K756" i="1"/>
  <c r="L756" i="1"/>
  <c r="M756" i="1"/>
  <c r="N756" i="1"/>
  <c r="H757" i="1"/>
  <c r="I757" i="1"/>
  <c r="J757" i="1"/>
  <c r="K757" i="1"/>
  <c r="L757" i="1"/>
  <c r="M757" i="1"/>
  <c r="N757" i="1"/>
  <c r="H758" i="1"/>
  <c r="I758" i="1"/>
  <c r="J758" i="1"/>
  <c r="K758" i="1"/>
  <c r="L758" i="1"/>
  <c r="M758" i="1"/>
  <c r="N758" i="1"/>
  <c r="H759" i="1"/>
  <c r="I759" i="1"/>
  <c r="J759" i="1"/>
  <c r="K759" i="1"/>
  <c r="L759" i="1"/>
  <c r="M759" i="1"/>
  <c r="N759" i="1"/>
  <c r="H760" i="1"/>
  <c r="I760" i="1"/>
  <c r="J760" i="1"/>
  <c r="K760" i="1"/>
  <c r="L760" i="1"/>
  <c r="M760" i="1"/>
  <c r="N760" i="1"/>
  <c r="H761" i="1"/>
  <c r="I761" i="1"/>
  <c r="J761" i="1"/>
  <c r="K761" i="1"/>
  <c r="L761" i="1"/>
  <c r="M761" i="1"/>
  <c r="N761" i="1"/>
  <c r="H762" i="1"/>
  <c r="I762" i="1"/>
  <c r="J762" i="1"/>
  <c r="K762" i="1"/>
  <c r="L762" i="1"/>
  <c r="M762" i="1"/>
  <c r="N762" i="1"/>
  <c r="H763" i="1"/>
  <c r="I763" i="1"/>
  <c r="J763" i="1"/>
  <c r="K763" i="1"/>
  <c r="L763" i="1"/>
  <c r="M763" i="1"/>
  <c r="N763" i="1"/>
  <c r="H764" i="1"/>
  <c r="I764" i="1"/>
  <c r="J764" i="1"/>
  <c r="K764" i="1"/>
  <c r="L764" i="1"/>
  <c r="M764" i="1"/>
  <c r="N764" i="1"/>
  <c r="H765" i="1"/>
  <c r="I765" i="1"/>
  <c r="J765" i="1"/>
  <c r="K765" i="1"/>
  <c r="L765" i="1"/>
  <c r="M765" i="1"/>
  <c r="N765" i="1"/>
  <c r="H766" i="1"/>
  <c r="I766" i="1"/>
  <c r="J766" i="1"/>
  <c r="K766" i="1"/>
  <c r="L766" i="1"/>
  <c r="M766" i="1"/>
  <c r="N766" i="1"/>
  <c r="H767" i="1"/>
  <c r="I767" i="1"/>
  <c r="J767" i="1"/>
  <c r="K767" i="1"/>
  <c r="L767" i="1"/>
  <c r="M767" i="1"/>
  <c r="N767" i="1"/>
  <c r="H768" i="1"/>
  <c r="I768" i="1"/>
  <c r="J768" i="1"/>
  <c r="K768" i="1"/>
  <c r="L768" i="1"/>
  <c r="M768" i="1"/>
  <c r="N768" i="1"/>
  <c r="H769" i="1"/>
  <c r="I769" i="1"/>
  <c r="J769" i="1"/>
  <c r="K769" i="1"/>
  <c r="L769" i="1"/>
  <c r="M769" i="1"/>
  <c r="N769" i="1"/>
  <c r="H770" i="1"/>
  <c r="I770" i="1"/>
  <c r="J770" i="1"/>
  <c r="K770" i="1"/>
  <c r="L770" i="1"/>
  <c r="M770" i="1"/>
  <c r="N770" i="1"/>
  <c r="H771" i="1"/>
  <c r="I771" i="1"/>
  <c r="J771" i="1"/>
  <c r="K771" i="1"/>
  <c r="L771" i="1"/>
  <c r="M771" i="1"/>
  <c r="N771" i="1"/>
  <c r="H772" i="1"/>
  <c r="I772" i="1"/>
  <c r="J772" i="1"/>
  <c r="K772" i="1"/>
  <c r="L772" i="1"/>
  <c r="M772" i="1"/>
  <c r="N772" i="1"/>
  <c r="H773" i="1"/>
  <c r="I773" i="1"/>
  <c r="J773" i="1"/>
  <c r="K773" i="1"/>
  <c r="L773" i="1"/>
  <c r="M773" i="1"/>
  <c r="N773" i="1"/>
  <c r="H774" i="1"/>
  <c r="I774" i="1"/>
  <c r="J774" i="1"/>
  <c r="K774" i="1"/>
  <c r="L774" i="1"/>
  <c r="M774" i="1"/>
  <c r="N774" i="1"/>
  <c r="H775" i="1"/>
  <c r="I775" i="1"/>
  <c r="J775" i="1"/>
  <c r="K775" i="1"/>
  <c r="L775" i="1"/>
  <c r="M775" i="1"/>
  <c r="N775" i="1"/>
  <c r="H776" i="1"/>
  <c r="I776" i="1"/>
  <c r="J776" i="1"/>
  <c r="K776" i="1"/>
  <c r="L776" i="1"/>
  <c r="M776" i="1"/>
  <c r="N776" i="1"/>
  <c r="H777" i="1"/>
  <c r="I777" i="1"/>
  <c r="J777" i="1"/>
  <c r="K777" i="1"/>
  <c r="L777" i="1"/>
  <c r="M777" i="1"/>
  <c r="N777" i="1"/>
  <c r="H778" i="1"/>
  <c r="I778" i="1"/>
  <c r="J778" i="1"/>
  <c r="K778" i="1"/>
  <c r="L778" i="1"/>
  <c r="M778" i="1"/>
  <c r="N778" i="1"/>
  <c r="H779" i="1"/>
  <c r="I779" i="1"/>
  <c r="J779" i="1"/>
  <c r="K779" i="1"/>
  <c r="L779" i="1"/>
  <c r="M779" i="1"/>
  <c r="N779" i="1"/>
  <c r="H780" i="1"/>
  <c r="I780" i="1"/>
  <c r="J780" i="1"/>
  <c r="K780" i="1"/>
  <c r="L780" i="1"/>
  <c r="M780" i="1"/>
  <c r="N780" i="1"/>
  <c r="H781" i="1"/>
  <c r="I781" i="1"/>
  <c r="J781" i="1"/>
  <c r="K781" i="1"/>
  <c r="L781" i="1"/>
  <c r="M781" i="1"/>
  <c r="N781" i="1"/>
  <c r="H782" i="1"/>
  <c r="I782" i="1"/>
  <c r="J782" i="1"/>
  <c r="K782" i="1"/>
  <c r="L782" i="1"/>
  <c r="M782" i="1"/>
  <c r="N782" i="1"/>
  <c r="H783" i="1"/>
  <c r="I783" i="1"/>
  <c r="J783" i="1"/>
  <c r="K783" i="1"/>
  <c r="L783" i="1"/>
  <c r="M783" i="1"/>
  <c r="N783" i="1"/>
  <c r="H784" i="1"/>
  <c r="I784" i="1"/>
  <c r="J784" i="1"/>
  <c r="K784" i="1"/>
  <c r="L784" i="1"/>
  <c r="M784" i="1"/>
  <c r="N784" i="1"/>
  <c r="H785" i="1"/>
  <c r="I785" i="1"/>
  <c r="J785" i="1"/>
  <c r="K785" i="1"/>
  <c r="L785" i="1"/>
  <c r="M785" i="1"/>
  <c r="N785" i="1"/>
  <c r="H786" i="1"/>
  <c r="I786" i="1"/>
  <c r="J786" i="1"/>
  <c r="K786" i="1"/>
  <c r="L786" i="1"/>
  <c r="M786" i="1"/>
  <c r="N786" i="1"/>
  <c r="H787" i="1"/>
  <c r="I787" i="1"/>
  <c r="J787" i="1"/>
  <c r="K787" i="1"/>
  <c r="L787" i="1"/>
  <c r="M787" i="1"/>
  <c r="N787" i="1"/>
  <c r="H788" i="1"/>
  <c r="I788" i="1"/>
  <c r="J788" i="1"/>
  <c r="K788" i="1"/>
  <c r="L788" i="1"/>
  <c r="M788" i="1"/>
  <c r="N788" i="1"/>
  <c r="H789" i="1"/>
  <c r="I789" i="1"/>
  <c r="J789" i="1"/>
  <c r="K789" i="1"/>
  <c r="L789" i="1"/>
  <c r="M789" i="1"/>
  <c r="N789" i="1"/>
  <c r="H790" i="1"/>
  <c r="I790" i="1"/>
  <c r="J790" i="1"/>
  <c r="K790" i="1"/>
  <c r="L790" i="1"/>
  <c r="M790" i="1"/>
  <c r="N790" i="1"/>
  <c r="H791" i="1"/>
  <c r="I791" i="1"/>
  <c r="J791" i="1"/>
  <c r="K791" i="1"/>
  <c r="L791" i="1"/>
  <c r="M791" i="1"/>
  <c r="N791" i="1"/>
  <c r="H792" i="1"/>
  <c r="I792" i="1"/>
  <c r="J792" i="1"/>
  <c r="K792" i="1"/>
  <c r="L792" i="1"/>
  <c r="M792" i="1"/>
  <c r="N792" i="1"/>
  <c r="H793" i="1"/>
  <c r="I793" i="1"/>
  <c r="J793" i="1"/>
  <c r="K793" i="1"/>
  <c r="L793" i="1"/>
  <c r="M793" i="1"/>
  <c r="N793" i="1"/>
  <c r="H794" i="1"/>
  <c r="I794" i="1"/>
  <c r="J794" i="1"/>
  <c r="K794" i="1"/>
  <c r="L794" i="1"/>
  <c r="M794" i="1"/>
  <c r="N794" i="1"/>
  <c r="H795" i="1"/>
  <c r="I795" i="1"/>
  <c r="J795" i="1"/>
  <c r="K795" i="1"/>
  <c r="L795" i="1"/>
  <c r="M795" i="1"/>
  <c r="N795" i="1"/>
  <c r="H796" i="1"/>
  <c r="I796" i="1"/>
  <c r="J796" i="1"/>
  <c r="K796" i="1"/>
  <c r="L796" i="1"/>
  <c r="M796" i="1"/>
  <c r="N796" i="1"/>
  <c r="H797" i="1"/>
  <c r="I797" i="1"/>
  <c r="J797" i="1"/>
  <c r="K797" i="1"/>
  <c r="L797" i="1"/>
  <c r="M797" i="1"/>
  <c r="N797" i="1"/>
  <c r="H798" i="1"/>
  <c r="I798" i="1"/>
  <c r="J798" i="1"/>
  <c r="K798" i="1"/>
  <c r="L798" i="1"/>
  <c r="M798" i="1"/>
  <c r="N798" i="1"/>
  <c r="H799" i="1"/>
  <c r="I799" i="1"/>
  <c r="J799" i="1"/>
  <c r="K799" i="1"/>
  <c r="L799" i="1"/>
  <c r="M799" i="1"/>
  <c r="N799" i="1"/>
  <c r="H800" i="1"/>
  <c r="I800" i="1"/>
  <c r="J800" i="1"/>
  <c r="K800" i="1"/>
  <c r="L800" i="1"/>
  <c r="M800" i="1"/>
  <c r="N800" i="1"/>
  <c r="H801" i="1"/>
  <c r="I801" i="1"/>
  <c r="J801" i="1"/>
  <c r="K801" i="1"/>
  <c r="L801" i="1"/>
  <c r="M801" i="1"/>
  <c r="N801" i="1"/>
  <c r="H802" i="1"/>
  <c r="I802" i="1"/>
  <c r="J802" i="1"/>
  <c r="K802" i="1"/>
  <c r="L802" i="1"/>
  <c r="M802" i="1"/>
  <c r="N802" i="1"/>
  <c r="H803" i="1"/>
  <c r="I803" i="1"/>
  <c r="J803" i="1"/>
  <c r="K803" i="1"/>
  <c r="L803" i="1"/>
  <c r="M803" i="1"/>
  <c r="N803" i="1"/>
  <c r="H804" i="1"/>
  <c r="I804" i="1"/>
  <c r="J804" i="1"/>
  <c r="K804" i="1"/>
  <c r="L804" i="1"/>
  <c r="M804" i="1"/>
  <c r="N804" i="1"/>
  <c r="H805" i="1"/>
  <c r="I805" i="1"/>
  <c r="J805" i="1"/>
  <c r="K805" i="1"/>
  <c r="L805" i="1"/>
  <c r="M805" i="1"/>
  <c r="N805" i="1"/>
  <c r="H806" i="1"/>
  <c r="I806" i="1"/>
  <c r="J806" i="1"/>
  <c r="K806" i="1"/>
  <c r="L806" i="1"/>
  <c r="M806" i="1"/>
  <c r="N806" i="1"/>
  <c r="H807" i="1"/>
  <c r="I807" i="1"/>
  <c r="J807" i="1"/>
  <c r="K807" i="1"/>
  <c r="L807" i="1"/>
  <c r="M807" i="1"/>
  <c r="N807" i="1"/>
  <c r="H808" i="1"/>
  <c r="I808" i="1"/>
  <c r="J808" i="1"/>
  <c r="K808" i="1"/>
  <c r="L808" i="1"/>
  <c r="M808" i="1"/>
  <c r="N808" i="1"/>
  <c r="H809" i="1"/>
  <c r="I809" i="1"/>
  <c r="J809" i="1"/>
  <c r="K809" i="1"/>
  <c r="L809" i="1"/>
  <c r="M809" i="1"/>
  <c r="N809" i="1"/>
  <c r="H810" i="1"/>
  <c r="I810" i="1"/>
  <c r="J810" i="1"/>
  <c r="K810" i="1"/>
  <c r="L810" i="1"/>
  <c r="M810" i="1"/>
  <c r="N810" i="1"/>
  <c r="H811" i="1"/>
  <c r="I811" i="1"/>
  <c r="J811" i="1"/>
  <c r="K811" i="1"/>
  <c r="L811" i="1"/>
  <c r="M811" i="1"/>
  <c r="N811" i="1"/>
  <c r="H812" i="1"/>
  <c r="I812" i="1"/>
  <c r="J812" i="1"/>
  <c r="K812" i="1"/>
  <c r="L812" i="1"/>
  <c r="M812" i="1"/>
  <c r="N812" i="1"/>
  <c r="H813" i="1"/>
  <c r="I813" i="1"/>
  <c r="J813" i="1"/>
  <c r="K813" i="1"/>
  <c r="L813" i="1"/>
  <c r="M813" i="1"/>
  <c r="N813" i="1"/>
  <c r="H814" i="1"/>
  <c r="I814" i="1"/>
  <c r="J814" i="1"/>
  <c r="K814" i="1"/>
  <c r="L814" i="1"/>
  <c r="M814" i="1"/>
  <c r="N814" i="1"/>
  <c r="H815" i="1"/>
  <c r="I815" i="1"/>
  <c r="J815" i="1"/>
  <c r="K815" i="1"/>
  <c r="L815" i="1"/>
  <c r="M815" i="1"/>
  <c r="N815" i="1"/>
  <c r="H816" i="1"/>
  <c r="I816" i="1"/>
  <c r="J816" i="1"/>
  <c r="K816" i="1"/>
  <c r="L816" i="1"/>
  <c r="M816" i="1"/>
  <c r="N816" i="1"/>
  <c r="H817" i="1"/>
  <c r="I817" i="1"/>
  <c r="J817" i="1"/>
  <c r="K817" i="1"/>
  <c r="L817" i="1"/>
  <c r="M817" i="1"/>
  <c r="N817" i="1"/>
  <c r="H818" i="1"/>
  <c r="I818" i="1"/>
  <c r="J818" i="1"/>
  <c r="K818" i="1"/>
  <c r="L818" i="1"/>
  <c r="M818" i="1"/>
  <c r="N818" i="1"/>
  <c r="H819" i="1"/>
  <c r="I819" i="1"/>
  <c r="J819" i="1"/>
  <c r="K819" i="1"/>
  <c r="L819" i="1"/>
  <c r="M819" i="1"/>
  <c r="N819" i="1"/>
  <c r="H820" i="1"/>
  <c r="I820" i="1"/>
  <c r="J820" i="1"/>
  <c r="K820" i="1"/>
  <c r="L820" i="1"/>
  <c r="M820" i="1"/>
  <c r="N820" i="1"/>
  <c r="H821" i="1"/>
  <c r="I821" i="1"/>
  <c r="J821" i="1"/>
  <c r="K821" i="1"/>
  <c r="L821" i="1"/>
  <c r="M821" i="1"/>
  <c r="N821" i="1"/>
  <c r="H822" i="1"/>
  <c r="I822" i="1"/>
  <c r="J822" i="1"/>
  <c r="K822" i="1"/>
  <c r="L822" i="1"/>
  <c r="M822" i="1"/>
  <c r="N822" i="1"/>
  <c r="H823" i="1"/>
  <c r="I823" i="1"/>
  <c r="J823" i="1"/>
  <c r="K823" i="1"/>
  <c r="L823" i="1"/>
  <c r="M823" i="1"/>
  <c r="N823" i="1"/>
  <c r="H824" i="1"/>
  <c r="I824" i="1"/>
  <c r="J824" i="1"/>
  <c r="K824" i="1"/>
  <c r="L824" i="1"/>
  <c r="M824" i="1"/>
  <c r="N824" i="1"/>
  <c r="H825" i="1"/>
  <c r="I825" i="1"/>
  <c r="J825" i="1"/>
  <c r="K825" i="1"/>
  <c r="L825" i="1"/>
  <c r="M825" i="1"/>
  <c r="N825" i="1"/>
  <c r="H826" i="1"/>
  <c r="I826" i="1"/>
  <c r="J826" i="1"/>
  <c r="K826" i="1"/>
  <c r="L826" i="1"/>
  <c r="M826" i="1"/>
  <c r="N826" i="1"/>
  <c r="H827" i="1"/>
  <c r="I827" i="1"/>
  <c r="J827" i="1"/>
  <c r="K827" i="1"/>
  <c r="L827" i="1"/>
  <c r="M827" i="1"/>
  <c r="N827" i="1"/>
  <c r="H828" i="1"/>
  <c r="I828" i="1"/>
  <c r="J828" i="1"/>
  <c r="K828" i="1"/>
  <c r="L828" i="1"/>
  <c r="M828" i="1"/>
  <c r="N828" i="1"/>
  <c r="H829" i="1"/>
  <c r="I829" i="1"/>
  <c r="J829" i="1"/>
  <c r="K829" i="1"/>
  <c r="L829" i="1"/>
  <c r="M829" i="1"/>
  <c r="N829" i="1"/>
  <c r="H830" i="1"/>
  <c r="I830" i="1"/>
  <c r="J830" i="1"/>
  <c r="K830" i="1"/>
  <c r="L830" i="1"/>
  <c r="M830" i="1"/>
  <c r="N830" i="1"/>
  <c r="H831" i="1"/>
  <c r="I831" i="1"/>
  <c r="J831" i="1"/>
  <c r="K831" i="1"/>
  <c r="L831" i="1"/>
  <c r="M831" i="1"/>
  <c r="N831" i="1"/>
  <c r="H832" i="1"/>
  <c r="I832" i="1"/>
  <c r="J832" i="1"/>
  <c r="K832" i="1"/>
  <c r="L832" i="1"/>
  <c r="M832" i="1"/>
  <c r="N832" i="1"/>
  <c r="H833" i="1"/>
  <c r="I833" i="1"/>
  <c r="J833" i="1"/>
  <c r="K833" i="1"/>
  <c r="L833" i="1"/>
  <c r="M833" i="1"/>
  <c r="N833" i="1"/>
  <c r="H834" i="1"/>
  <c r="I834" i="1"/>
  <c r="J834" i="1"/>
  <c r="K834" i="1"/>
  <c r="L834" i="1"/>
  <c r="M834" i="1"/>
  <c r="N834" i="1"/>
  <c r="H835" i="1"/>
  <c r="I835" i="1"/>
  <c r="J835" i="1"/>
  <c r="K835" i="1"/>
  <c r="L835" i="1"/>
  <c r="M835" i="1"/>
  <c r="N835" i="1"/>
  <c r="H836" i="1"/>
  <c r="I836" i="1"/>
  <c r="J836" i="1"/>
  <c r="K836" i="1"/>
  <c r="L836" i="1"/>
  <c r="M836" i="1"/>
  <c r="N836" i="1"/>
  <c r="H837" i="1"/>
  <c r="I837" i="1"/>
  <c r="J837" i="1"/>
  <c r="K837" i="1"/>
  <c r="L837" i="1"/>
  <c r="M837" i="1"/>
  <c r="N837" i="1"/>
  <c r="H838" i="1"/>
  <c r="I838" i="1"/>
  <c r="J838" i="1"/>
  <c r="K838" i="1"/>
  <c r="L838" i="1"/>
  <c r="M838" i="1"/>
  <c r="N838" i="1"/>
  <c r="H839" i="1"/>
  <c r="I839" i="1"/>
  <c r="J839" i="1"/>
  <c r="K839" i="1"/>
  <c r="L839" i="1"/>
  <c r="M839" i="1"/>
  <c r="N839" i="1"/>
  <c r="H840" i="1"/>
  <c r="I840" i="1"/>
  <c r="J840" i="1"/>
  <c r="K840" i="1"/>
  <c r="L840" i="1"/>
  <c r="M840" i="1"/>
  <c r="N840" i="1"/>
  <c r="H841" i="1"/>
  <c r="I841" i="1"/>
  <c r="J841" i="1"/>
  <c r="K841" i="1"/>
  <c r="L841" i="1"/>
  <c r="M841" i="1"/>
  <c r="N841" i="1"/>
  <c r="H842" i="1"/>
  <c r="I842" i="1"/>
  <c r="J842" i="1"/>
  <c r="K842" i="1"/>
  <c r="L842" i="1"/>
  <c r="M842" i="1"/>
  <c r="N842" i="1"/>
  <c r="H843" i="1"/>
  <c r="I843" i="1"/>
  <c r="J843" i="1"/>
  <c r="K843" i="1"/>
  <c r="L843" i="1"/>
  <c r="M843" i="1"/>
  <c r="N843" i="1"/>
  <c r="H844" i="1"/>
  <c r="I844" i="1"/>
  <c r="J844" i="1"/>
  <c r="K844" i="1"/>
  <c r="L844" i="1"/>
  <c r="M844" i="1"/>
  <c r="N844" i="1"/>
  <c r="H845" i="1"/>
  <c r="I845" i="1"/>
  <c r="J845" i="1"/>
  <c r="K845" i="1"/>
  <c r="L845" i="1"/>
  <c r="M845" i="1"/>
  <c r="N845" i="1"/>
  <c r="H846" i="1"/>
  <c r="I846" i="1"/>
  <c r="J846" i="1"/>
  <c r="K846" i="1"/>
  <c r="L846" i="1"/>
  <c r="M846" i="1"/>
  <c r="N846" i="1"/>
  <c r="H847" i="1"/>
  <c r="I847" i="1"/>
  <c r="J847" i="1"/>
  <c r="K847" i="1"/>
  <c r="L847" i="1"/>
  <c r="M847" i="1"/>
  <c r="N847" i="1"/>
  <c r="H848" i="1"/>
  <c r="I848" i="1"/>
  <c r="J848" i="1"/>
  <c r="K848" i="1"/>
  <c r="L848" i="1"/>
  <c r="M848" i="1"/>
  <c r="N848" i="1"/>
  <c r="H849" i="1"/>
  <c r="I849" i="1"/>
  <c r="J849" i="1"/>
  <c r="K849" i="1"/>
  <c r="L849" i="1"/>
  <c r="M849" i="1"/>
  <c r="N849" i="1"/>
  <c r="H850" i="1"/>
  <c r="I850" i="1"/>
  <c r="J850" i="1"/>
  <c r="K850" i="1"/>
  <c r="L850" i="1"/>
  <c r="M850" i="1"/>
  <c r="N850" i="1"/>
  <c r="H851" i="1"/>
  <c r="I851" i="1"/>
  <c r="J851" i="1"/>
  <c r="K851" i="1"/>
  <c r="L851" i="1"/>
  <c r="M851" i="1"/>
  <c r="N851" i="1"/>
  <c r="H852" i="1"/>
  <c r="I852" i="1"/>
  <c r="J852" i="1"/>
  <c r="K852" i="1"/>
  <c r="L852" i="1"/>
  <c r="M852" i="1"/>
  <c r="N852" i="1"/>
  <c r="H853" i="1"/>
  <c r="I853" i="1"/>
  <c r="J853" i="1"/>
  <c r="K853" i="1"/>
  <c r="L853" i="1"/>
  <c r="M853" i="1"/>
  <c r="N853" i="1"/>
  <c r="H854" i="1"/>
  <c r="I854" i="1"/>
  <c r="J854" i="1"/>
  <c r="K854" i="1"/>
  <c r="L854" i="1"/>
  <c r="M854" i="1"/>
  <c r="N854" i="1"/>
  <c r="H855" i="1"/>
  <c r="I855" i="1"/>
  <c r="J855" i="1"/>
  <c r="K855" i="1"/>
  <c r="L855" i="1"/>
  <c r="M855" i="1"/>
  <c r="N855" i="1"/>
  <c r="H856" i="1"/>
  <c r="I856" i="1"/>
  <c r="J856" i="1"/>
  <c r="K856" i="1"/>
  <c r="L856" i="1"/>
  <c r="M856" i="1"/>
  <c r="N856" i="1"/>
  <c r="H857" i="1"/>
  <c r="I857" i="1"/>
  <c r="J857" i="1"/>
  <c r="K857" i="1"/>
  <c r="L857" i="1"/>
  <c r="M857" i="1"/>
  <c r="N857" i="1"/>
  <c r="H858" i="1"/>
  <c r="I858" i="1"/>
  <c r="J858" i="1"/>
  <c r="K858" i="1"/>
  <c r="L858" i="1"/>
  <c r="M858" i="1"/>
  <c r="N858" i="1"/>
  <c r="H859" i="1"/>
  <c r="I859" i="1"/>
  <c r="J859" i="1"/>
  <c r="K859" i="1"/>
  <c r="L859" i="1"/>
  <c r="M859" i="1"/>
  <c r="N859" i="1"/>
  <c r="H860" i="1"/>
  <c r="I860" i="1"/>
  <c r="J860" i="1"/>
  <c r="K860" i="1"/>
  <c r="L860" i="1"/>
  <c r="M860" i="1"/>
  <c r="N860" i="1"/>
  <c r="H861" i="1"/>
  <c r="I861" i="1"/>
  <c r="J861" i="1"/>
  <c r="K861" i="1"/>
  <c r="L861" i="1"/>
  <c r="M861" i="1"/>
  <c r="N861" i="1"/>
  <c r="H862" i="1"/>
  <c r="I862" i="1"/>
  <c r="J862" i="1"/>
  <c r="K862" i="1"/>
  <c r="L862" i="1"/>
  <c r="M862" i="1"/>
  <c r="N862" i="1"/>
  <c r="H863" i="1"/>
  <c r="I863" i="1"/>
  <c r="J863" i="1"/>
  <c r="K863" i="1"/>
  <c r="L863" i="1"/>
  <c r="M863" i="1"/>
  <c r="N863" i="1"/>
  <c r="H864" i="1"/>
  <c r="I864" i="1"/>
  <c r="J864" i="1"/>
  <c r="K864" i="1"/>
  <c r="L864" i="1"/>
  <c r="M864" i="1"/>
  <c r="N864" i="1"/>
  <c r="H865" i="1"/>
  <c r="I865" i="1"/>
  <c r="J865" i="1"/>
  <c r="K865" i="1"/>
  <c r="L865" i="1"/>
  <c r="M865" i="1"/>
  <c r="N865" i="1"/>
  <c r="H866" i="1"/>
  <c r="I866" i="1"/>
  <c r="J866" i="1"/>
  <c r="K866" i="1"/>
  <c r="L866" i="1"/>
  <c r="M866" i="1"/>
  <c r="N866" i="1"/>
  <c r="H867" i="1"/>
  <c r="I867" i="1"/>
  <c r="J867" i="1"/>
  <c r="K867" i="1"/>
  <c r="L867" i="1"/>
  <c r="M867" i="1"/>
  <c r="N867" i="1"/>
  <c r="H868" i="1"/>
  <c r="I868" i="1"/>
  <c r="J868" i="1"/>
  <c r="K868" i="1"/>
  <c r="L868" i="1"/>
  <c r="M868" i="1"/>
  <c r="N868" i="1"/>
  <c r="H869" i="1"/>
  <c r="I869" i="1"/>
  <c r="J869" i="1"/>
  <c r="K869" i="1"/>
  <c r="L869" i="1"/>
  <c r="M869" i="1"/>
  <c r="N869" i="1"/>
  <c r="H870" i="1"/>
  <c r="I870" i="1"/>
  <c r="J870" i="1"/>
  <c r="K870" i="1"/>
  <c r="L870" i="1"/>
  <c r="M870" i="1"/>
  <c r="N870" i="1"/>
  <c r="H871" i="1"/>
  <c r="I871" i="1"/>
  <c r="J871" i="1"/>
  <c r="K871" i="1"/>
  <c r="L871" i="1"/>
  <c r="M871" i="1"/>
  <c r="N871" i="1"/>
  <c r="H872" i="1"/>
  <c r="I872" i="1"/>
  <c r="J872" i="1"/>
  <c r="K872" i="1"/>
  <c r="L872" i="1"/>
  <c r="M872" i="1"/>
  <c r="N872" i="1"/>
  <c r="H873" i="1"/>
  <c r="I873" i="1"/>
  <c r="J873" i="1"/>
  <c r="K873" i="1"/>
  <c r="L873" i="1"/>
  <c r="M873" i="1"/>
  <c r="N873" i="1"/>
  <c r="H874" i="1"/>
  <c r="I874" i="1"/>
  <c r="J874" i="1"/>
  <c r="K874" i="1"/>
  <c r="L874" i="1"/>
  <c r="M874" i="1"/>
  <c r="N874" i="1"/>
  <c r="H875" i="1"/>
  <c r="I875" i="1"/>
  <c r="J875" i="1"/>
  <c r="K875" i="1"/>
  <c r="L875" i="1"/>
  <c r="M875" i="1"/>
  <c r="N875" i="1"/>
  <c r="H876" i="1"/>
  <c r="I876" i="1"/>
  <c r="J876" i="1"/>
  <c r="K876" i="1"/>
  <c r="L876" i="1"/>
  <c r="M876" i="1"/>
  <c r="N876" i="1"/>
  <c r="H877" i="1"/>
  <c r="I877" i="1"/>
  <c r="J877" i="1"/>
  <c r="K877" i="1"/>
  <c r="L877" i="1"/>
  <c r="M877" i="1"/>
  <c r="N877" i="1"/>
  <c r="H878" i="1"/>
  <c r="I878" i="1"/>
  <c r="J878" i="1"/>
  <c r="K878" i="1"/>
  <c r="L878" i="1"/>
  <c r="M878" i="1"/>
  <c r="N878" i="1"/>
  <c r="H879" i="1"/>
  <c r="I879" i="1"/>
  <c r="J879" i="1"/>
  <c r="K879" i="1"/>
  <c r="L879" i="1"/>
  <c r="M879" i="1"/>
  <c r="N879" i="1"/>
  <c r="H880" i="1"/>
  <c r="I880" i="1"/>
  <c r="J880" i="1"/>
  <c r="K880" i="1"/>
  <c r="L880" i="1"/>
  <c r="M880" i="1"/>
  <c r="N880" i="1"/>
  <c r="H881" i="1"/>
  <c r="I881" i="1"/>
  <c r="J881" i="1"/>
  <c r="K881" i="1"/>
  <c r="L881" i="1"/>
  <c r="M881" i="1"/>
  <c r="N881" i="1"/>
  <c r="H882" i="1"/>
  <c r="I882" i="1"/>
  <c r="J882" i="1"/>
  <c r="K882" i="1"/>
  <c r="L882" i="1"/>
  <c r="M882" i="1"/>
  <c r="N882" i="1"/>
  <c r="H883" i="1"/>
  <c r="I883" i="1"/>
  <c r="J883" i="1"/>
  <c r="K883" i="1"/>
  <c r="L883" i="1"/>
  <c r="M883" i="1"/>
  <c r="N883" i="1"/>
  <c r="H884" i="1"/>
  <c r="I884" i="1"/>
  <c r="J884" i="1"/>
  <c r="K884" i="1"/>
  <c r="L884" i="1"/>
  <c r="M884" i="1"/>
  <c r="N884" i="1"/>
  <c r="H885" i="1"/>
  <c r="I885" i="1"/>
  <c r="J885" i="1"/>
  <c r="K885" i="1"/>
  <c r="L885" i="1"/>
  <c r="M885" i="1"/>
  <c r="N885" i="1"/>
  <c r="H886" i="1"/>
  <c r="I886" i="1"/>
  <c r="J886" i="1"/>
  <c r="K886" i="1"/>
  <c r="L886" i="1"/>
  <c r="M886" i="1"/>
  <c r="N886" i="1"/>
  <c r="H887" i="1"/>
  <c r="I887" i="1"/>
  <c r="J887" i="1"/>
  <c r="K887" i="1"/>
  <c r="L887" i="1"/>
  <c r="M887" i="1"/>
  <c r="N887" i="1"/>
  <c r="H888" i="1"/>
  <c r="I888" i="1"/>
  <c r="J888" i="1"/>
  <c r="K888" i="1"/>
  <c r="L888" i="1"/>
  <c r="M888" i="1"/>
  <c r="N888" i="1"/>
  <c r="H889" i="1"/>
  <c r="I889" i="1"/>
  <c r="J889" i="1"/>
  <c r="K889" i="1"/>
  <c r="L889" i="1"/>
  <c r="M889" i="1"/>
  <c r="N889" i="1"/>
  <c r="H890" i="1"/>
  <c r="I890" i="1"/>
  <c r="J890" i="1"/>
  <c r="K890" i="1"/>
  <c r="L890" i="1"/>
  <c r="M890" i="1"/>
  <c r="N890" i="1"/>
  <c r="H891" i="1"/>
  <c r="I891" i="1"/>
  <c r="J891" i="1"/>
  <c r="K891" i="1"/>
  <c r="L891" i="1"/>
  <c r="M891" i="1"/>
  <c r="N891" i="1"/>
  <c r="H892" i="1"/>
  <c r="I892" i="1"/>
  <c r="J892" i="1"/>
  <c r="K892" i="1"/>
  <c r="L892" i="1"/>
  <c r="M892" i="1"/>
  <c r="N892" i="1"/>
  <c r="H893" i="1"/>
  <c r="I893" i="1"/>
  <c r="J893" i="1"/>
  <c r="K893" i="1"/>
  <c r="L893" i="1"/>
  <c r="M893" i="1"/>
  <c r="N893" i="1"/>
  <c r="H894" i="1"/>
  <c r="I894" i="1"/>
  <c r="J894" i="1"/>
  <c r="K894" i="1"/>
  <c r="L894" i="1"/>
  <c r="M894" i="1"/>
  <c r="N894" i="1"/>
  <c r="H895" i="1"/>
  <c r="I895" i="1"/>
  <c r="J895" i="1"/>
  <c r="K895" i="1"/>
  <c r="L895" i="1"/>
  <c r="M895" i="1"/>
  <c r="N895" i="1"/>
  <c r="H896" i="1"/>
  <c r="I896" i="1"/>
  <c r="J896" i="1"/>
  <c r="K896" i="1"/>
  <c r="L896" i="1"/>
  <c r="M896" i="1"/>
  <c r="N896" i="1"/>
  <c r="H897" i="1"/>
  <c r="I897" i="1"/>
  <c r="J897" i="1"/>
  <c r="K897" i="1"/>
  <c r="L897" i="1"/>
  <c r="M897" i="1"/>
  <c r="N897" i="1"/>
  <c r="H898" i="1"/>
  <c r="I898" i="1"/>
  <c r="J898" i="1"/>
  <c r="K898" i="1"/>
  <c r="L898" i="1"/>
  <c r="M898" i="1"/>
  <c r="N898" i="1"/>
  <c r="H899" i="1"/>
  <c r="I899" i="1"/>
  <c r="J899" i="1"/>
  <c r="K899" i="1"/>
  <c r="L899" i="1"/>
  <c r="M899" i="1"/>
  <c r="N899" i="1"/>
  <c r="H900" i="1"/>
  <c r="I900" i="1"/>
  <c r="J900" i="1"/>
  <c r="K900" i="1"/>
  <c r="L900" i="1"/>
  <c r="M900" i="1"/>
  <c r="N900" i="1"/>
  <c r="H901" i="1"/>
  <c r="I901" i="1"/>
  <c r="J901" i="1"/>
  <c r="K901" i="1"/>
  <c r="L901" i="1"/>
  <c r="M901" i="1"/>
  <c r="N901" i="1"/>
  <c r="H902" i="1"/>
  <c r="I902" i="1"/>
  <c r="J902" i="1"/>
  <c r="K902" i="1"/>
  <c r="L902" i="1"/>
  <c r="M902" i="1"/>
  <c r="N902" i="1"/>
  <c r="H903" i="1"/>
  <c r="I903" i="1"/>
  <c r="J903" i="1"/>
  <c r="K903" i="1"/>
  <c r="L903" i="1"/>
  <c r="M903" i="1"/>
  <c r="N903" i="1"/>
  <c r="H904" i="1"/>
  <c r="I904" i="1"/>
  <c r="J904" i="1"/>
  <c r="K904" i="1"/>
  <c r="L904" i="1"/>
  <c r="M904" i="1"/>
  <c r="N904" i="1"/>
  <c r="H905" i="1"/>
  <c r="I905" i="1"/>
  <c r="J905" i="1"/>
  <c r="K905" i="1"/>
  <c r="L905" i="1"/>
  <c r="M905" i="1"/>
  <c r="N905" i="1"/>
  <c r="H906" i="1"/>
  <c r="I906" i="1"/>
  <c r="J906" i="1"/>
  <c r="K906" i="1"/>
  <c r="L906" i="1"/>
  <c r="M906" i="1"/>
  <c r="N906" i="1"/>
  <c r="H907" i="1"/>
  <c r="I907" i="1"/>
  <c r="J907" i="1"/>
  <c r="K907" i="1"/>
  <c r="L907" i="1"/>
  <c r="M907" i="1"/>
  <c r="N907" i="1"/>
  <c r="H908" i="1"/>
  <c r="I908" i="1"/>
  <c r="J908" i="1"/>
  <c r="K908" i="1"/>
  <c r="L908" i="1"/>
  <c r="M908" i="1"/>
  <c r="N908" i="1"/>
  <c r="H909" i="1"/>
  <c r="I909" i="1"/>
  <c r="J909" i="1"/>
  <c r="K909" i="1"/>
  <c r="L909" i="1"/>
  <c r="M909" i="1"/>
  <c r="N909" i="1"/>
  <c r="H910" i="1"/>
  <c r="I910" i="1"/>
  <c r="J910" i="1"/>
  <c r="K910" i="1"/>
  <c r="L910" i="1"/>
  <c r="M910" i="1"/>
  <c r="N910" i="1"/>
  <c r="H911" i="1"/>
  <c r="I911" i="1"/>
  <c r="J911" i="1"/>
  <c r="K911" i="1"/>
  <c r="L911" i="1"/>
  <c r="M911" i="1"/>
  <c r="N911" i="1"/>
  <c r="H912" i="1"/>
  <c r="I912" i="1"/>
  <c r="J912" i="1"/>
  <c r="K912" i="1"/>
  <c r="L912" i="1"/>
  <c r="M912" i="1"/>
  <c r="N912" i="1"/>
  <c r="H913" i="1"/>
  <c r="I913" i="1"/>
  <c r="J913" i="1"/>
  <c r="K913" i="1"/>
  <c r="L913" i="1"/>
  <c r="M913" i="1"/>
  <c r="N913" i="1"/>
  <c r="H914" i="1"/>
  <c r="I914" i="1"/>
  <c r="J914" i="1"/>
  <c r="K914" i="1"/>
  <c r="L914" i="1"/>
  <c r="M914" i="1"/>
  <c r="N914" i="1"/>
  <c r="H915" i="1"/>
  <c r="I915" i="1"/>
  <c r="J915" i="1"/>
  <c r="K915" i="1"/>
  <c r="L915" i="1"/>
  <c r="M915" i="1"/>
  <c r="N915" i="1"/>
  <c r="H916" i="1"/>
  <c r="I916" i="1"/>
  <c r="J916" i="1"/>
  <c r="K916" i="1"/>
  <c r="L916" i="1"/>
  <c r="M916" i="1"/>
  <c r="N916" i="1"/>
  <c r="H917" i="1"/>
  <c r="I917" i="1"/>
  <c r="J917" i="1"/>
  <c r="K917" i="1"/>
  <c r="L917" i="1"/>
  <c r="M917" i="1"/>
  <c r="N917" i="1"/>
  <c r="H918" i="1"/>
  <c r="I918" i="1"/>
  <c r="J918" i="1"/>
  <c r="K918" i="1"/>
  <c r="L918" i="1"/>
  <c r="M918" i="1"/>
  <c r="N918" i="1"/>
  <c r="H919" i="1"/>
  <c r="I919" i="1"/>
  <c r="J919" i="1"/>
  <c r="K919" i="1"/>
  <c r="L919" i="1"/>
  <c r="M919" i="1"/>
  <c r="N919" i="1"/>
  <c r="H920" i="1"/>
  <c r="I920" i="1"/>
  <c r="J920" i="1"/>
  <c r="K920" i="1"/>
  <c r="L920" i="1"/>
  <c r="M920" i="1"/>
  <c r="N920" i="1"/>
  <c r="H921" i="1"/>
  <c r="I921" i="1"/>
  <c r="J921" i="1"/>
  <c r="K921" i="1"/>
  <c r="L921" i="1"/>
  <c r="M921" i="1"/>
  <c r="N921" i="1"/>
  <c r="H922" i="1"/>
  <c r="I922" i="1"/>
  <c r="J922" i="1"/>
  <c r="K922" i="1"/>
  <c r="L922" i="1"/>
  <c r="M922" i="1"/>
  <c r="N922" i="1"/>
  <c r="H923" i="1"/>
  <c r="I923" i="1"/>
  <c r="J923" i="1"/>
  <c r="K923" i="1"/>
  <c r="L923" i="1"/>
  <c r="M923" i="1"/>
  <c r="N923" i="1"/>
  <c r="H924" i="1"/>
  <c r="I924" i="1"/>
  <c r="J924" i="1"/>
  <c r="K924" i="1"/>
  <c r="L924" i="1"/>
  <c r="M924" i="1"/>
  <c r="N924" i="1"/>
  <c r="H925" i="1"/>
  <c r="I925" i="1"/>
  <c r="J925" i="1"/>
  <c r="K925" i="1"/>
  <c r="L925" i="1"/>
  <c r="M925" i="1"/>
  <c r="N925" i="1"/>
  <c r="H926" i="1"/>
  <c r="I926" i="1"/>
  <c r="J926" i="1"/>
  <c r="K926" i="1"/>
  <c r="L926" i="1"/>
  <c r="M926" i="1"/>
  <c r="N926" i="1"/>
  <c r="H927" i="1"/>
  <c r="I927" i="1"/>
  <c r="J927" i="1"/>
  <c r="K927" i="1"/>
  <c r="L927" i="1"/>
  <c r="M927" i="1"/>
  <c r="N927" i="1"/>
  <c r="H928" i="1"/>
  <c r="I928" i="1"/>
  <c r="J928" i="1"/>
  <c r="K928" i="1"/>
  <c r="L928" i="1"/>
  <c r="M928" i="1"/>
  <c r="N928" i="1"/>
  <c r="H929" i="1"/>
  <c r="I929" i="1"/>
  <c r="J929" i="1"/>
  <c r="K929" i="1"/>
  <c r="L929" i="1"/>
  <c r="M929" i="1"/>
  <c r="N929" i="1"/>
  <c r="H930" i="1"/>
  <c r="I930" i="1"/>
  <c r="J930" i="1"/>
  <c r="K930" i="1"/>
  <c r="L930" i="1"/>
  <c r="M930" i="1"/>
  <c r="N930" i="1"/>
  <c r="H931" i="1"/>
  <c r="I931" i="1"/>
  <c r="J931" i="1"/>
  <c r="K931" i="1"/>
  <c r="L931" i="1"/>
  <c r="M931" i="1"/>
  <c r="N931" i="1"/>
  <c r="H932" i="1"/>
  <c r="I932" i="1"/>
  <c r="J932" i="1"/>
  <c r="K932" i="1"/>
  <c r="L932" i="1"/>
  <c r="M932" i="1"/>
  <c r="N932" i="1"/>
  <c r="H933" i="1"/>
  <c r="I933" i="1"/>
  <c r="J933" i="1"/>
  <c r="K933" i="1"/>
  <c r="L933" i="1"/>
  <c r="M933" i="1"/>
  <c r="N933" i="1"/>
  <c r="H934" i="1"/>
  <c r="I934" i="1"/>
  <c r="J934" i="1"/>
  <c r="K934" i="1"/>
  <c r="L934" i="1"/>
  <c r="M934" i="1"/>
  <c r="N934" i="1"/>
  <c r="H935" i="1"/>
  <c r="I935" i="1"/>
  <c r="J935" i="1"/>
  <c r="K935" i="1"/>
  <c r="L935" i="1"/>
  <c r="M935" i="1"/>
  <c r="N935" i="1"/>
  <c r="H936" i="1"/>
  <c r="I936" i="1"/>
  <c r="J936" i="1"/>
  <c r="K936" i="1"/>
  <c r="L936" i="1"/>
  <c r="M936" i="1"/>
  <c r="N936" i="1"/>
  <c r="H937" i="1"/>
  <c r="I937" i="1"/>
  <c r="J937" i="1"/>
  <c r="K937" i="1"/>
  <c r="L937" i="1"/>
  <c r="M937" i="1"/>
  <c r="N937" i="1"/>
  <c r="H938" i="1"/>
  <c r="I938" i="1"/>
  <c r="J938" i="1"/>
  <c r="K938" i="1"/>
  <c r="L938" i="1"/>
  <c r="M938" i="1"/>
  <c r="N938" i="1"/>
  <c r="H939" i="1"/>
  <c r="I939" i="1"/>
  <c r="J939" i="1"/>
  <c r="K939" i="1"/>
  <c r="L939" i="1"/>
  <c r="M939" i="1"/>
  <c r="N939" i="1"/>
  <c r="H940" i="1"/>
  <c r="I940" i="1"/>
  <c r="J940" i="1"/>
  <c r="K940" i="1"/>
  <c r="L940" i="1"/>
  <c r="M940" i="1"/>
  <c r="N940" i="1"/>
  <c r="H941" i="1"/>
  <c r="I941" i="1"/>
  <c r="J941" i="1"/>
  <c r="K941" i="1"/>
  <c r="L941" i="1"/>
  <c r="M941" i="1"/>
  <c r="N941" i="1"/>
  <c r="H942" i="1"/>
  <c r="I942" i="1"/>
  <c r="J942" i="1"/>
  <c r="K942" i="1"/>
  <c r="L942" i="1"/>
  <c r="M942" i="1"/>
  <c r="N942" i="1"/>
  <c r="H943" i="1"/>
  <c r="I943" i="1"/>
  <c r="J943" i="1"/>
  <c r="K943" i="1"/>
  <c r="L943" i="1"/>
  <c r="M943" i="1"/>
  <c r="N943" i="1"/>
  <c r="H944" i="1"/>
  <c r="I944" i="1"/>
  <c r="J944" i="1"/>
  <c r="K944" i="1"/>
  <c r="L944" i="1"/>
  <c r="M944" i="1"/>
  <c r="N944" i="1"/>
  <c r="H945" i="1"/>
  <c r="I945" i="1"/>
  <c r="J945" i="1"/>
  <c r="K945" i="1"/>
  <c r="L945" i="1"/>
  <c r="M945" i="1"/>
  <c r="N945" i="1"/>
  <c r="H946" i="1"/>
  <c r="I946" i="1"/>
  <c r="J946" i="1"/>
  <c r="K946" i="1"/>
  <c r="L946" i="1"/>
  <c r="M946" i="1"/>
  <c r="N946" i="1"/>
  <c r="H947" i="1"/>
  <c r="I947" i="1"/>
  <c r="J947" i="1"/>
  <c r="K947" i="1"/>
  <c r="L947" i="1"/>
  <c r="M947" i="1"/>
  <c r="N947" i="1"/>
  <c r="H948" i="1"/>
  <c r="I948" i="1"/>
  <c r="J948" i="1"/>
  <c r="K948" i="1"/>
  <c r="L948" i="1"/>
  <c r="M948" i="1"/>
  <c r="N948" i="1"/>
  <c r="H949" i="1"/>
  <c r="I949" i="1"/>
  <c r="J949" i="1"/>
  <c r="K949" i="1"/>
  <c r="L949" i="1"/>
  <c r="M949" i="1"/>
  <c r="N949" i="1"/>
  <c r="H950" i="1"/>
  <c r="I950" i="1"/>
  <c r="J950" i="1"/>
  <c r="K950" i="1"/>
  <c r="L950" i="1"/>
  <c r="M950" i="1"/>
  <c r="N950" i="1"/>
  <c r="H951" i="1"/>
  <c r="I951" i="1"/>
  <c r="J951" i="1"/>
  <c r="K951" i="1"/>
  <c r="L951" i="1"/>
  <c r="M951" i="1"/>
  <c r="N951" i="1"/>
  <c r="H952" i="1"/>
  <c r="I952" i="1"/>
  <c r="J952" i="1"/>
  <c r="K952" i="1"/>
  <c r="L952" i="1"/>
  <c r="M952" i="1"/>
  <c r="N952" i="1"/>
  <c r="H953" i="1"/>
  <c r="I953" i="1"/>
  <c r="J953" i="1"/>
  <c r="K953" i="1"/>
  <c r="L953" i="1"/>
  <c r="M953" i="1"/>
  <c r="N953" i="1"/>
  <c r="H954" i="1"/>
  <c r="I954" i="1"/>
  <c r="J954" i="1"/>
  <c r="K954" i="1"/>
  <c r="L954" i="1"/>
  <c r="M954" i="1"/>
  <c r="N954" i="1"/>
  <c r="H955" i="1"/>
  <c r="I955" i="1"/>
  <c r="J955" i="1"/>
  <c r="K955" i="1"/>
  <c r="L955" i="1"/>
  <c r="M955" i="1"/>
  <c r="N955" i="1"/>
  <c r="H956" i="1"/>
  <c r="I956" i="1"/>
  <c r="J956" i="1"/>
  <c r="K956" i="1"/>
  <c r="L956" i="1"/>
  <c r="M956" i="1"/>
  <c r="N956" i="1"/>
  <c r="H957" i="1"/>
  <c r="I957" i="1"/>
  <c r="J957" i="1"/>
  <c r="K957" i="1"/>
  <c r="L957" i="1"/>
  <c r="M957" i="1"/>
  <c r="N957" i="1"/>
  <c r="H958" i="1"/>
  <c r="I958" i="1"/>
  <c r="J958" i="1"/>
  <c r="K958" i="1"/>
  <c r="L958" i="1"/>
  <c r="M958" i="1"/>
  <c r="N958" i="1"/>
  <c r="H959" i="1"/>
  <c r="I959" i="1"/>
  <c r="J959" i="1"/>
  <c r="K959" i="1"/>
  <c r="L959" i="1"/>
  <c r="M959" i="1"/>
  <c r="N959" i="1"/>
  <c r="H960" i="1"/>
  <c r="I960" i="1"/>
  <c r="J960" i="1"/>
  <c r="K960" i="1"/>
  <c r="L960" i="1"/>
  <c r="M960" i="1"/>
  <c r="N960" i="1"/>
  <c r="H961" i="1"/>
  <c r="I961" i="1"/>
  <c r="J961" i="1"/>
  <c r="K961" i="1"/>
  <c r="L961" i="1"/>
  <c r="M961" i="1"/>
  <c r="N961" i="1"/>
  <c r="H962" i="1"/>
  <c r="I962" i="1"/>
  <c r="J962" i="1"/>
  <c r="K962" i="1"/>
  <c r="L962" i="1"/>
  <c r="M962" i="1"/>
  <c r="N962" i="1"/>
  <c r="H963" i="1"/>
  <c r="I963" i="1"/>
  <c r="J963" i="1"/>
  <c r="K963" i="1"/>
  <c r="L963" i="1"/>
  <c r="M963" i="1"/>
  <c r="N963" i="1"/>
  <c r="H964" i="1"/>
  <c r="I964" i="1"/>
  <c r="J964" i="1"/>
  <c r="K964" i="1"/>
  <c r="L964" i="1"/>
  <c r="M964" i="1"/>
  <c r="N964" i="1"/>
  <c r="H965" i="1"/>
  <c r="I965" i="1"/>
  <c r="J965" i="1"/>
  <c r="K965" i="1"/>
  <c r="L965" i="1"/>
  <c r="M965" i="1"/>
  <c r="N965" i="1"/>
  <c r="H966" i="1"/>
  <c r="I966" i="1"/>
  <c r="J966" i="1"/>
  <c r="K966" i="1"/>
  <c r="L966" i="1"/>
  <c r="M966" i="1"/>
  <c r="N966" i="1"/>
  <c r="H967" i="1"/>
  <c r="I967" i="1"/>
  <c r="J967" i="1"/>
  <c r="K967" i="1"/>
  <c r="L967" i="1"/>
  <c r="M967" i="1"/>
  <c r="N967" i="1"/>
  <c r="H968" i="1"/>
  <c r="I968" i="1"/>
  <c r="J968" i="1"/>
  <c r="K968" i="1"/>
  <c r="L968" i="1"/>
  <c r="M968" i="1"/>
  <c r="N968" i="1"/>
  <c r="H969" i="1"/>
  <c r="I969" i="1"/>
  <c r="J969" i="1"/>
  <c r="K969" i="1"/>
  <c r="L969" i="1"/>
  <c r="M969" i="1"/>
  <c r="N969" i="1"/>
  <c r="H970" i="1"/>
  <c r="I970" i="1"/>
  <c r="J970" i="1"/>
  <c r="K970" i="1"/>
  <c r="L970" i="1"/>
  <c r="M970" i="1"/>
  <c r="N970" i="1"/>
  <c r="H971" i="1"/>
  <c r="I971" i="1"/>
  <c r="J971" i="1"/>
  <c r="K971" i="1"/>
  <c r="L971" i="1"/>
  <c r="M971" i="1"/>
  <c r="N971" i="1"/>
  <c r="H972" i="1"/>
  <c r="I972" i="1"/>
  <c r="J972" i="1"/>
  <c r="K972" i="1"/>
  <c r="L972" i="1"/>
  <c r="M972" i="1"/>
  <c r="N972" i="1"/>
  <c r="H973" i="1"/>
  <c r="I973" i="1"/>
  <c r="J973" i="1"/>
  <c r="K973" i="1"/>
  <c r="L973" i="1"/>
  <c r="M973" i="1"/>
  <c r="N973" i="1"/>
  <c r="H974" i="1"/>
  <c r="I974" i="1"/>
  <c r="J974" i="1"/>
  <c r="K974" i="1"/>
  <c r="L974" i="1"/>
  <c r="M974" i="1"/>
  <c r="N974" i="1"/>
  <c r="H975" i="1"/>
  <c r="I975" i="1"/>
  <c r="J975" i="1"/>
  <c r="K975" i="1"/>
  <c r="L975" i="1"/>
  <c r="M975" i="1"/>
  <c r="N975" i="1"/>
  <c r="H976" i="1"/>
  <c r="I976" i="1"/>
  <c r="J976" i="1"/>
  <c r="K976" i="1"/>
  <c r="L976" i="1"/>
  <c r="M976" i="1"/>
  <c r="N976" i="1"/>
  <c r="H977" i="1"/>
  <c r="I977" i="1"/>
  <c r="J977" i="1"/>
  <c r="K977" i="1"/>
  <c r="L977" i="1"/>
  <c r="M977" i="1"/>
  <c r="N977" i="1"/>
  <c r="H978" i="1"/>
  <c r="I978" i="1"/>
  <c r="J978" i="1"/>
  <c r="K978" i="1"/>
  <c r="L978" i="1"/>
  <c r="M978" i="1"/>
  <c r="N978" i="1"/>
  <c r="H979" i="1"/>
  <c r="I979" i="1"/>
  <c r="J979" i="1"/>
  <c r="K979" i="1"/>
  <c r="L979" i="1"/>
  <c r="M979" i="1"/>
  <c r="N979" i="1"/>
  <c r="H980" i="1"/>
  <c r="I980" i="1"/>
  <c r="J980" i="1"/>
  <c r="K980" i="1"/>
  <c r="L980" i="1"/>
  <c r="M980" i="1"/>
  <c r="N980" i="1"/>
  <c r="H981" i="1"/>
  <c r="I981" i="1"/>
  <c r="J981" i="1"/>
  <c r="K981" i="1"/>
  <c r="L981" i="1"/>
  <c r="M981" i="1"/>
  <c r="N981" i="1"/>
  <c r="H982" i="1"/>
  <c r="I982" i="1"/>
  <c r="J982" i="1"/>
  <c r="K982" i="1"/>
  <c r="L982" i="1"/>
  <c r="M982" i="1"/>
  <c r="N982" i="1"/>
  <c r="H983" i="1"/>
  <c r="I983" i="1"/>
  <c r="J983" i="1"/>
  <c r="K983" i="1"/>
  <c r="L983" i="1"/>
  <c r="M983" i="1"/>
  <c r="N983" i="1"/>
  <c r="H984" i="1"/>
  <c r="I984" i="1"/>
  <c r="J984" i="1"/>
  <c r="K984" i="1"/>
  <c r="L984" i="1"/>
  <c r="M984" i="1"/>
  <c r="N984" i="1"/>
  <c r="H985" i="1"/>
  <c r="I985" i="1"/>
  <c r="J985" i="1"/>
  <c r="K985" i="1"/>
  <c r="L985" i="1"/>
  <c r="M985" i="1"/>
  <c r="N985" i="1"/>
  <c r="H986" i="1"/>
  <c r="I986" i="1"/>
  <c r="J986" i="1"/>
  <c r="K986" i="1"/>
  <c r="L986" i="1"/>
  <c r="M986" i="1"/>
  <c r="N986" i="1"/>
  <c r="H987" i="1"/>
  <c r="I987" i="1"/>
  <c r="J987" i="1"/>
  <c r="K987" i="1"/>
  <c r="L987" i="1"/>
  <c r="M987" i="1"/>
  <c r="N987" i="1"/>
  <c r="H988" i="1"/>
  <c r="I988" i="1"/>
  <c r="J988" i="1"/>
  <c r="K988" i="1"/>
  <c r="L988" i="1"/>
  <c r="M988" i="1"/>
  <c r="N988" i="1"/>
  <c r="H989" i="1"/>
  <c r="I989" i="1"/>
  <c r="J989" i="1"/>
  <c r="K989" i="1"/>
  <c r="L989" i="1"/>
  <c r="M989" i="1"/>
  <c r="N989" i="1"/>
  <c r="H990" i="1"/>
  <c r="I990" i="1"/>
  <c r="J990" i="1"/>
  <c r="K990" i="1"/>
  <c r="L990" i="1"/>
  <c r="M990" i="1"/>
  <c r="N990" i="1"/>
  <c r="H991" i="1"/>
  <c r="I991" i="1"/>
  <c r="J991" i="1"/>
  <c r="K991" i="1"/>
  <c r="L991" i="1"/>
  <c r="M991" i="1"/>
  <c r="N991" i="1"/>
  <c r="H992" i="1"/>
  <c r="I992" i="1"/>
  <c r="J992" i="1"/>
  <c r="K992" i="1"/>
  <c r="L992" i="1"/>
  <c r="M992" i="1"/>
  <c r="N992" i="1"/>
  <c r="H993" i="1"/>
  <c r="I993" i="1"/>
  <c r="J993" i="1"/>
  <c r="K993" i="1"/>
  <c r="L993" i="1"/>
  <c r="M993" i="1"/>
  <c r="N993" i="1"/>
  <c r="H994" i="1"/>
  <c r="I994" i="1"/>
  <c r="J994" i="1"/>
  <c r="K994" i="1"/>
  <c r="L994" i="1"/>
  <c r="M994" i="1"/>
  <c r="N994" i="1"/>
  <c r="H995" i="1"/>
  <c r="I995" i="1"/>
  <c r="J995" i="1"/>
  <c r="K995" i="1"/>
  <c r="L995" i="1"/>
  <c r="M995" i="1"/>
  <c r="N995" i="1"/>
  <c r="H996" i="1"/>
  <c r="I996" i="1"/>
  <c r="J996" i="1"/>
  <c r="K996" i="1"/>
  <c r="L996" i="1"/>
  <c r="M996" i="1"/>
  <c r="N996" i="1"/>
  <c r="H997" i="1"/>
  <c r="I997" i="1"/>
  <c r="J997" i="1"/>
  <c r="K997" i="1"/>
  <c r="L997" i="1"/>
  <c r="M997" i="1"/>
  <c r="N997" i="1"/>
  <c r="H998" i="1"/>
  <c r="I998" i="1"/>
  <c r="J998" i="1"/>
  <c r="K998" i="1"/>
  <c r="L998" i="1"/>
  <c r="M998" i="1"/>
  <c r="N998" i="1"/>
  <c r="H999" i="1"/>
  <c r="I999" i="1"/>
  <c r="J999" i="1"/>
  <c r="K999" i="1"/>
  <c r="L999" i="1"/>
  <c r="M999" i="1"/>
  <c r="N999" i="1"/>
  <c r="H1000" i="1"/>
  <c r="I1000" i="1"/>
  <c r="J1000" i="1"/>
  <c r="K1000" i="1"/>
  <c r="L1000" i="1"/>
  <c r="M1000" i="1"/>
  <c r="N1000" i="1"/>
  <c r="H1001" i="1"/>
  <c r="I1001" i="1"/>
  <c r="J1001" i="1"/>
  <c r="K1001" i="1"/>
  <c r="L1001" i="1"/>
  <c r="M1001" i="1"/>
  <c r="N1001" i="1"/>
  <c r="H1002" i="1"/>
  <c r="I1002" i="1"/>
  <c r="J1002" i="1"/>
  <c r="K1002" i="1"/>
  <c r="L1002" i="1"/>
  <c r="M1002" i="1"/>
  <c r="N1002" i="1"/>
  <c r="H1003" i="1"/>
  <c r="I1003" i="1"/>
  <c r="J1003" i="1"/>
  <c r="K1003" i="1"/>
  <c r="L1003" i="1"/>
  <c r="M1003" i="1"/>
  <c r="N1003" i="1"/>
  <c r="H1004" i="1"/>
  <c r="I1004" i="1"/>
  <c r="J1004" i="1"/>
  <c r="K1004" i="1"/>
  <c r="L1004" i="1"/>
  <c r="M1004" i="1"/>
  <c r="N1004" i="1"/>
  <c r="H1005" i="1"/>
  <c r="I1005" i="1"/>
  <c r="J1005" i="1"/>
  <c r="K1005" i="1"/>
  <c r="L1005" i="1"/>
  <c r="M1005" i="1"/>
  <c r="N1005" i="1"/>
  <c r="H1006" i="1"/>
  <c r="I1006" i="1"/>
  <c r="J1006" i="1"/>
  <c r="K1006" i="1"/>
  <c r="L1006" i="1"/>
  <c r="M1006" i="1"/>
  <c r="N1006" i="1"/>
  <c r="H1007" i="1"/>
  <c r="I1007" i="1"/>
  <c r="J1007" i="1"/>
  <c r="K1007" i="1"/>
  <c r="L1007" i="1"/>
  <c r="M1007" i="1"/>
  <c r="N1007" i="1"/>
  <c r="H1008" i="1"/>
  <c r="I1008" i="1"/>
  <c r="J1008" i="1"/>
  <c r="K1008" i="1"/>
  <c r="L1008" i="1"/>
  <c r="M1008" i="1"/>
  <c r="N1008" i="1"/>
  <c r="H1009" i="1"/>
  <c r="I1009" i="1"/>
  <c r="J1009" i="1"/>
  <c r="K1009" i="1"/>
  <c r="L1009" i="1"/>
  <c r="M1009" i="1"/>
  <c r="N1009" i="1"/>
  <c r="H1010" i="1"/>
  <c r="I1010" i="1"/>
  <c r="J1010" i="1"/>
  <c r="K1010" i="1"/>
  <c r="L1010" i="1"/>
  <c r="M1010" i="1"/>
  <c r="N1010" i="1"/>
  <c r="H1011" i="1"/>
  <c r="I1011" i="1"/>
  <c r="J1011" i="1"/>
  <c r="K1011" i="1"/>
  <c r="L1011" i="1"/>
  <c r="M1011" i="1"/>
  <c r="N1011" i="1"/>
  <c r="H1012" i="1"/>
  <c r="I1012" i="1"/>
  <c r="J1012" i="1"/>
  <c r="K1012" i="1"/>
  <c r="L1012" i="1"/>
  <c r="M1012" i="1"/>
  <c r="N1012" i="1"/>
  <c r="H1013" i="1"/>
  <c r="I1013" i="1"/>
  <c r="J1013" i="1"/>
  <c r="K1013" i="1"/>
  <c r="L1013" i="1"/>
  <c r="M1013" i="1"/>
  <c r="N1013" i="1"/>
  <c r="H1014" i="1"/>
  <c r="I1014" i="1"/>
  <c r="J1014" i="1"/>
  <c r="K1014" i="1"/>
  <c r="L1014" i="1"/>
  <c r="M1014" i="1"/>
  <c r="N1014" i="1"/>
  <c r="H1015" i="1"/>
  <c r="I1015" i="1"/>
  <c r="J1015" i="1"/>
  <c r="K1015" i="1"/>
  <c r="L1015" i="1"/>
  <c r="M1015" i="1"/>
  <c r="N1015" i="1"/>
  <c r="H1016" i="1"/>
  <c r="I1016" i="1"/>
  <c r="J1016" i="1"/>
  <c r="K1016" i="1"/>
  <c r="L1016" i="1"/>
  <c r="M1016" i="1"/>
  <c r="N1016" i="1"/>
  <c r="H1017" i="1"/>
  <c r="I1017" i="1"/>
  <c r="J1017" i="1"/>
  <c r="K1017" i="1"/>
  <c r="L1017" i="1"/>
  <c r="M1017" i="1"/>
  <c r="N1017" i="1"/>
  <c r="H1018" i="1"/>
  <c r="I1018" i="1"/>
  <c r="J1018" i="1"/>
  <c r="K1018" i="1"/>
  <c r="L1018" i="1"/>
  <c r="M1018" i="1"/>
  <c r="N1018" i="1"/>
  <c r="H1019" i="1"/>
  <c r="I1019" i="1"/>
  <c r="J1019" i="1"/>
  <c r="K1019" i="1"/>
  <c r="L1019" i="1"/>
  <c r="M1019" i="1"/>
  <c r="N1019" i="1"/>
  <c r="H1020" i="1"/>
  <c r="I1020" i="1"/>
  <c r="J1020" i="1"/>
  <c r="K1020" i="1"/>
  <c r="L1020" i="1"/>
  <c r="M1020" i="1"/>
  <c r="N1020" i="1"/>
  <c r="H1021" i="1"/>
  <c r="I1021" i="1"/>
  <c r="J1021" i="1"/>
  <c r="K1021" i="1"/>
  <c r="L1021" i="1"/>
  <c r="M1021" i="1"/>
  <c r="N1021" i="1"/>
  <c r="H1022" i="1"/>
  <c r="I1022" i="1"/>
  <c r="J1022" i="1"/>
  <c r="K1022" i="1"/>
  <c r="L1022" i="1"/>
  <c r="M1022" i="1"/>
  <c r="N1022" i="1"/>
  <c r="H1023" i="1"/>
  <c r="I1023" i="1"/>
  <c r="J1023" i="1"/>
  <c r="K1023" i="1"/>
  <c r="L1023" i="1"/>
  <c r="M1023" i="1"/>
  <c r="N1023" i="1"/>
  <c r="H1024" i="1"/>
  <c r="I1024" i="1"/>
  <c r="J1024" i="1"/>
  <c r="K1024" i="1"/>
  <c r="L1024" i="1"/>
  <c r="M1024" i="1"/>
  <c r="N1024" i="1"/>
  <c r="H1025" i="1"/>
  <c r="I1025" i="1"/>
  <c r="J1025" i="1"/>
  <c r="K1025" i="1"/>
  <c r="L1025" i="1"/>
  <c r="M1025" i="1"/>
  <c r="N1025" i="1"/>
  <c r="H1026" i="1"/>
  <c r="I1026" i="1"/>
  <c r="J1026" i="1"/>
  <c r="K1026" i="1"/>
  <c r="L1026" i="1"/>
  <c r="M1026" i="1"/>
  <c r="N1026" i="1"/>
  <c r="H1027" i="1"/>
  <c r="I1027" i="1"/>
  <c r="J1027" i="1"/>
  <c r="K1027" i="1"/>
  <c r="L1027" i="1"/>
  <c r="M1027" i="1"/>
  <c r="N1027" i="1"/>
  <c r="H1028" i="1"/>
  <c r="I1028" i="1"/>
  <c r="J1028" i="1"/>
  <c r="K1028" i="1"/>
  <c r="L1028" i="1"/>
  <c r="M1028" i="1"/>
  <c r="N1028" i="1"/>
  <c r="H1029" i="1"/>
  <c r="I1029" i="1"/>
  <c r="J1029" i="1"/>
  <c r="K1029" i="1"/>
  <c r="L1029" i="1"/>
  <c r="M1029" i="1"/>
  <c r="N1029" i="1"/>
  <c r="H1030" i="1"/>
  <c r="I1030" i="1"/>
  <c r="J1030" i="1"/>
  <c r="K1030" i="1"/>
  <c r="L1030" i="1"/>
  <c r="M1030" i="1"/>
  <c r="N1030" i="1"/>
  <c r="H1031" i="1"/>
  <c r="I1031" i="1"/>
  <c r="J1031" i="1"/>
  <c r="K1031" i="1"/>
  <c r="L1031" i="1"/>
  <c r="M1031" i="1"/>
  <c r="N1031" i="1"/>
  <c r="H1032" i="1"/>
  <c r="I1032" i="1"/>
  <c r="J1032" i="1"/>
  <c r="K1032" i="1"/>
  <c r="L1032" i="1"/>
  <c r="M1032" i="1"/>
  <c r="N1032" i="1"/>
  <c r="H1033" i="1"/>
  <c r="I1033" i="1"/>
  <c r="J1033" i="1"/>
  <c r="K1033" i="1"/>
  <c r="L1033" i="1"/>
  <c r="M1033" i="1"/>
  <c r="N1033" i="1"/>
  <c r="H1034" i="1"/>
  <c r="I1034" i="1"/>
  <c r="J1034" i="1"/>
  <c r="K1034" i="1"/>
  <c r="L1034" i="1"/>
  <c r="M1034" i="1"/>
  <c r="N1034" i="1"/>
  <c r="H1035" i="1"/>
  <c r="I1035" i="1"/>
  <c r="J1035" i="1"/>
  <c r="K1035" i="1"/>
  <c r="L1035" i="1"/>
  <c r="M1035" i="1"/>
  <c r="N1035" i="1"/>
  <c r="H1036" i="1"/>
  <c r="I1036" i="1"/>
  <c r="J1036" i="1"/>
  <c r="K1036" i="1"/>
  <c r="L1036" i="1"/>
  <c r="M1036" i="1"/>
  <c r="N1036" i="1"/>
  <c r="H1037" i="1"/>
  <c r="I1037" i="1"/>
  <c r="J1037" i="1"/>
  <c r="K1037" i="1"/>
  <c r="L1037" i="1"/>
  <c r="M1037" i="1"/>
  <c r="N1037" i="1"/>
  <c r="H1038" i="1"/>
  <c r="I1038" i="1"/>
  <c r="J1038" i="1"/>
  <c r="K1038" i="1"/>
  <c r="L1038" i="1"/>
  <c r="M1038" i="1"/>
  <c r="N1038" i="1"/>
  <c r="H1039" i="1"/>
  <c r="I1039" i="1"/>
  <c r="J1039" i="1"/>
  <c r="K1039" i="1"/>
  <c r="L1039" i="1"/>
  <c r="M1039" i="1"/>
  <c r="N1039" i="1"/>
  <c r="H1040" i="1"/>
  <c r="I1040" i="1"/>
  <c r="J1040" i="1"/>
  <c r="K1040" i="1"/>
  <c r="L1040" i="1"/>
  <c r="M1040" i="1"/>
  <c r="N1040" i="1"/>
  <c r="H1041" i="1"/>
  <c r="I1041" i="1"/>
  <c r="J1041" i="1"/>
  <c r="K1041" i="1"/>
  <c r="L1041" i="1"/>
  <c r="M1041" i="1"/>
  <c r="N1041" i="1"/>
  <c r="H1042" i="1"/>
  <c r="I1042" i="1"/>
  <c r="J1042" i="1"/>
  <c r="K1042" i="1"/>
  <c r="L1042" i="1"/>
  <c r="M1042" i="1"/>
  <c r="N1042" i="1"/>
  <c r="H1043" i="1"/>
  <c r="I1043" i="1"/>
  <c r="J1043" i="1"/>
  <c r="K1043" i="1"/>
  <c r="L1043" i="1"/>
  <c r="M1043" i="1"/>
  <c r="N1043" i="1"/>
  <c r="H1044" i="1"/>
  <c r="I1044" i="1"/>
  <c r="J1044" i="1"/>
  <c r="K1044" i="1"/>
  <c r="L1044" i="1"/>
  <c r="M1044" i="1"/>
  <c r="N1044" i="1"/>
  <c r="H1045" i="1"/>
  <c r="I1045" i="1"/>
  <c r="J1045" i="1"/>
  <c r="K1045" i="1"/>
  <c r="L1045" i="1"/>
  <c r="M1045" i="1"/>
  <c r="N1045" i="1"/>
  <c r="H1046" i="1"/>
  <c r="I1046" i="1"/>
  <c r="J1046" i="1"/>
  <c r="K1046" i="1"/>
  <c r="L1046" i="1"/>
  <c r="M1046" i="1"/>
  <c r="N1046" i="1"/>
  <c r="H1047" i="1"/>
  <c r="I1047" i="1"/>
  <c r="J1047" i="1"/>
  <c r="K1047" i="1"/>
  <c r="L1047" i="1"/>
  <c r="M1047" i="1"/>
  <c r="N1047" i="1"/>
  <c r="H1048" i="1"/>
  <c r="I1048" i="1"/>
  <c r="J1048" i="1"/>
  <c r="K1048" i="1"/>
  <c r="L1048" i="1"/>
  <c r="M1048" i="1"/>
  <c r="N1048" i="1"/>
  <c r="H1049" i="1"/>
  <c r="I1049" i="1"/>
  <c r="J1049" i="1"/>
  <c r="K1049" i="1"/>
  <c r="L1049" i="1"/>
  <c r="M1049" i="1"/>
  <c r="N1049" i="1"/>
  <c r="H1050" i="1"/>
  <c r="I1050" i="1"/>
  <c r="J1050" i="1"/>
  <c r="K1050" i="1"/>
  <c r="L1050" i="1"/>
  <c r="M1050" i="1"/>
  <c r="N1050" i="1"/>
  <c r="H1051" i="1"/>
  <c r="I1051" i="1"/>
  <c r="J1051" i="1"/>
  <c r="K1051" i="1"/>
  <c r="L1051" i="1"/>
  <c r="M1051" i="1"/>
  <c r="N1051" i="1"/>
  <c r="H1052" i="1"/>
  <c r="I1052" i="1"/>
  <c r="J1052" i="1"/>
  <c r="K1052" i="1"/>
  <c r="L1052" i="1"/>
  <c r="M1052" i="1"/>
  <c r="N1052" i="1"/>
  <c r="H1053" i="1"/>
  <c r="I1053" i="1"/>
  <c r="J1053" i="1"/>
  <c r="K1053" i="1"/>
  <c r="L1053" i="1"/>
  <c r="M1053" i="1"/>
  <c r="N1053" i="1"/>
  <c r="H1054" i="1"/>
  <c r="I1054" i="1"/>
  <c r="J1054" i="1"/>
  <c r="K1054" i="1"/>
  <c r="L1054" i="1"/>
  <c r="M1054" i="1"/>
  <c r="N1054" i="1"/>
  <c r="H1055" i="1"/>
  <c r="I1055" i="1"/>
  <c r="J1055" i="1"/>
  <c r="K1055" i="1"/>
  <c r="L1055" i="1"/>
  <c r="M1055" i="1"/>
  <c r="N1055" i="1"/>
  <c r="H1056" i="1"/>
  <c r="I1056" i="1"/>
  <c r="J1056" i="1"/>
  <c r="K1056" i="1"/>
  <c r="L1056" i="1"/>
  <c r="M1056" i="1"/>
  <c r="N1056" i="1"/>
  <c r="H1057" i="1"/>
  <c r="I1057" i="1"/>
  <c r="J1057" i="1"/>
  <c r="K1057" i="1"/>
  <c r="L1057" i="1"/>
  <c r="M1057" i="1"/>
  <c r="N1057" i="1"/>
  <c r="H1058" i="1"/>
  <c r="I1058" i="1"/>
  <c r="J1058" i="1"/>
  <c r="K1058" i="1"/>
  <c r="L1058" i="1"/>
  <c r="M1058" i="1"/>
  <c r="N1058" i="1"/>
  <c r="H1059" i="1"/>
  <c r="I1059" i="1"/>
  <c r="J1059" i="1"/>
  <c r="K1059" i="1"/>
  <c r="L1059" i="1"/>
  <c r="M1059" i="1"/>
  <c r="N1059" i="1"/>
  <c r="H1060" i="1"/>
  <c r="I1060" i="1"/>
  <c r="J1060" i="1"/>
  <c r="K1060" i="1"/>
  <c r="L1060" i="1"/>
  <c r="M1060" i="1"/>
  <c r="N1060" i="1"/>
  <c r="H1061" i="1"/>
  <c r="I1061" i="1"/>
  <c r="J1061" i="1"/>
  <c r="K1061" i="1"/>
  <c r="L1061" i="1"/>
  <c r="M1061" i="1"/>
  <c r="N1061" i="1"/>
  <c r="H1062" i="1"/>
  <c r="I1062" i="1"/>
  <c r="J1062" i="1"/>
  <c r="K1062" i="1"/>
  <c r="L1062" i="1"/>
  <c r="M1062" i="1"/>
  <c r="N1062" i="1"/>
  <c r="H1063" i="1"/>
  <c r="I1063" i="1"/>
  <c r="J1063" i="1"/>
  <c r="K1063" i="1"/>
  <c r="L1063" i="1"/>
  <c r="M1063" i="1"/>
  <c r="N1063" i="1"/>
  <c r="H1064" i="1"/>
  <c r="I1064" i="1"/>
  <c r="J1064" i="1"/>
  <c r="K1064" i="1"/>
  <c r="L1064" i="1"/>
  <c r="M1064" i="1"/>
  <c r="N1064" i="1"/>
  <c r="H1065" i="1"/>
  <c r="I1065" i="1"/>
  <c r="J1065" i="1"/>
  <c r="K1065" i="1"/>
  <c r="L1065" i="1"/>
  <c r="M1065" i="1"/>
  <c r="N1065" i="1"/>
  <c r="H1066" i="1"/>
  <c r="I1066" i="1"/>
  <c r="J1066" i="1"/>
  <c r="K1066" i="1"/>
  <c r="L1066" i="1"/>
  <c r="M1066" i="1"/>
  <c r="N1066" i="1"/>
  <c r="H1067" i="1"/>
  <c r="I1067" i="1"/>
  <c r="J1067" i="1"/>
  <c r="K1067" i="1"/>
  <c r="L1067" i="1"/>
  <c r="M1067" i="1"/>
  <c r="N1067" i="1"/>
  <c r="H1068" i="1"/>
  <c r="I1068" i="1"/>
  <c r="J1068" i="1"/>
  <c r="K1068" i="1"/>
  <c r="L1068" i="1"/>
  <c r="M1068" i="1"/>
  <c r="N1068" i="1"/>
  <c r="H1069" i="1"/>
  <c r="I1069" i="1"/>
  <c r="J1069" i="1"/>
  <c r="K1069" i="1"/>
  <c r="L1069" i="1"/>
  <c r="M1069" i="1"/>
  <c r="N1069" i="1"/>
  <c r="H1070" i="1"/>
  <c r="I1070" i="1"/>
  <c r="J1070" i="1"/>
  <c r="K1070" i="1"/>
  <c r="L1070" i="1"/>
  <c r="M1070" i="1"/>
  <c r="N1070" i="1"/>
  <c r="H1071" i="1"/>
  <c r="I1071" i="1"/>
  <c r="J1071" i="1"/>
  <c r="K1071" i="1"/>
  <c r="L1071" i="1"/>
  <c r="M1071" i="1"/>
  <c r="N1071" i="1"/>
  <c r="H1072" i="1"/>
  <c r="I1072" i="1"/>
  <c r="J1072" i="1"/>
  <c r="K1072" i="1"/>
  <c r="L1072" i="1"/>
  <c r="M1072" i="1"/>
  <c r="N1072" i="1"/>
  <c r="H1073" i="1"/>
  <c r="I1073" i="1"/>
  <c r="J1073" i="1"/>
  <c r="K1073" i="1"/>
  <c r="L1073" i="1"/>
  <c r="M1073" i="1"/>
  <c r="N1073" i="1"/>
  <c r="H1074" i="1"/>
  <c r="I1074" i="1"/>
  <c r="J1074" i="1"/>
  <c r="K1074" i="1"/>
  <c r="L1074" i="1"/>
  <c r="M1074" i="1"/>
  <c r="N1074" i="1"/>
  <c r="H1075" i="1"/>
  <c r="I1075" i="1"/>
  <c r="J1075" i="1"/>
  <c r="K1075" i="1"/>
  <c r="L1075" i="1"/>
  <c r="M1075" i="1"/>
  <c r="N1075" i="1"/>
  <c r="H1076" i="1"/>
  <c r="I1076" i="1"/>
  <c r="J1076" i="1"/>
  <c r="K1076" i="1"/>
  <c r="L1076" i="1"/>
  <c r="M1076" i="1"/>
  <c r="N1076" i="1"/>
  <c r="H1077" i="1"/>
  <c r="I1077" i="1"/>
  <c r="J1077" i="1"/>
  <c r="K1077" i="1"/>
  <c r="L1077" i="1"/>
  <c r="M1077" i="1"/>
  <c r="N1077" i="1"/>
  <c r="H1078" i="1"/>
  <c r="I1078" i="1"/>
  <c r="J1078" i="1"/>
  <c r="K1078" i="1"/>
  <c r="L1078" i="1"/>
  <c r="M1078" i="1"/>
  <c r="N1078" i="1"/>
  <c r="H1079" i="1"/>
  <c r="I1079" i="1"/>
  <c r="J1079" i="1"/>
  <c r="K1079" i="1"/>
  <c r="L1079" i="1"/>
  <c r="M1079" i="1"/>
  <c r="N1079" i="1"/>
  <c r="H1080" i="1"/>
  <c r="I1080" i="1"/>
  <c r="J1080" i="1"/>
  <c r="K1080" i="1"/>
  <c r="L1080" i="1"/>
  <c r="M1080" i="1"/>
  <c r="N1080" i="1"/>
  <c r="H1081" i="1"/>
  <c r="I1081" i="1"/>
  <c r="J1081" i="1"/>
  <c r="K1081" i="1"/>
  <c r="L1081" i="1"/>
  <c r="M1081" i="1"/>
  <c r="N1081" i="1"/>
  <c r="H1082" i="1"/>
  <c r="I1082" i="1"/>
  <c r="J1082" i="1"/>
  <c r="K1082" i="1"/>
  <c r="L1082" i="1"/>
  <c r="M1082" i="1"/>
  <c r="N1082" i="1"/>
  <c r="H1083" i="1"/>
  <c r="I1083" i="1"/>
  <c r="J1083" i="1"/>
  <c r="K1083" i="1"/>
  <c r="L1083" i="1"/>
  <c r="M1083" i="1"/>
  <c r="N1083" i="1"/>
  <c r="H1084" i="1"/>
  <c r="I1084" i="1"/>
  <c r="J1084" i="1"/>
  <c r="K1084" i="1"/>
  <c r="L1084" i="1"/>
  <c r="M1084" i="1"/>
  <c r="N1084" i="1"/>
  <c r="H1085" i="1"/>
  <c r="I1085" i="1"/>
  <c r="J1085" i="1"/>
  <c r="K1085" i="1"/>
  <c r="L1085" i="1"/>
  <c r="M1085" i="1"/>
  <c r="N1085" i="1"/>
  <c r="H1086" i="1"/>
  <c r="I1086" i="1"/>
  <c r="J1086" i="1"/>
  <c r="K1086" i="1"/>
  <c r="L1086" i="1"/>
  <c r="M1086" i="1"/>
  <c r="N1086" i="1"/>
  <c r="H1087" i="1"/>
  <c r="I1087" i="1"/>
  <c r="J1087" i="1"/>
  <c r="K1087" i="1"/>
  <c r="L1087" i="1"/>
  <c r="M1087" i="1"/>
  <c r="N1087" i="1"/>
  <c r="H1088" i="1"/>
  <c r="I1088" i="1"/>
  <c r="J1088" i="1"/>
  <c r="K1088" i="1"/>
  <c r="L1088" i="1"/>
  <c r="M1088" i="1"/>
  <c r="N1088" i="1"/>
  <c r="H1089" i="1"/>
  <c r="I1089" i="1"/>
  <c r="J1089" i="1"/>
  <c r="K1089" i="1"/>
  <c r="L1089" i="1"/>
  <c r="M1089" i="1"/>
  <c r="N1089" i="1"/>
  <c r="H1090" i="1"/>
  <c r="I1090" i="1"/>
  <c r="J1090" i="1"/>
  <c r="K1090" i="1"/>
  <c r="L1090" i="1"/>
  <c r="M1090" i="1"/>
  <c r="N1090" i="1"/>
  <c r="H1091" i="1"/>
  <c r="I1091" i="1"/>
  <c r="J1091" i="1"/>
  <c r="K1091" i="1"/>
  <c r="L1091" i="1"/>
  <c r="M1091" i="1"/>
  <c r="N1091" i="1"/>
  <c r="H1092" i="1"/>
  <c r="I1092" i="1"/>
  <c r="J1092" i="1"/>
  <c r="K1092" i="1"/>
  <c r="L1092" i="1"/>
  <c r="M1092" i="1"/>
  <c r="N1092" i="1"/>
  <c r="H1093" i="1"/>
  <c r="I1093" i="1"/>
  <c r="J1093" i="1"/>
  <c r="K1093" i="1"/>
  <c r="L1093" i="1"/>
  <c r="M1093" i="1"/>
  <c r="N1093" i="1"/>
  <c r="H1094" i="1"/>
  <c r="I1094" i="1"/>
  <c r="J1094" i="1"/>
  <c r="K1094" i="1"/>
  <c r="L1094" i="1"/>
  <c r="M1094" i="1"/>
  <c r="N1094" i="1"/>
  <c r="H1095" i="1"/>
  <c r="I1095" i="1"/>
  <c r="J1095" i="1"/>
  <c r="K1095" i="1"/>
  <c r="L1095" i="1"/>
  <c r="M1095" i="1"/>
  <c r="N1095" i="1"/>
  <c r="H1096" i="1"/>
  <c r="I1096" i="1"/>
  <c r="J1096" i="1"/>
  <c r="K1096" i="1"/>
  <c r="L1096" i="1"/>
  <c r="M1096" i="1"/>
  <c r="N1096" i="1"/>
  <c r="H1097" i="1"/>
  <c r="I1097" i="1"/>
  <c r="J1097" i="1"/>
  <c r="K1097" i="1"/>
  <c r="L1097" i="1"/>
  <c r="M1097" i="1"/>
  <c r="N1097" i="1"/>
  <c r="H1098" i="1"/>
  <c r="I1098" i="1"/>
  <c r="J1098" i="1"/>
  <c r="K1098" i="1"/>
  <c r="L1098" i="1"/>
  <c r="M1098" i="1"/>
  <c r="N1098" i="1"/>
  <c r="H1099" i="1"/>
  <c r="I1099" i="1"/>
  <c r="J1099" i="1"/>
  <c r="K1099" i="1"/>
  <c r="L1099" i="1"/>
  <c r="M1099" i="1"/>
  <c r="N1099" i="1"/>
  <c r="H1100" i="1"/>
  <c r="I1100" i="1"/>
  <c r="J1100" i="1"/>
  <c r="K1100" i="1"/>
  <c r="L1100" i="1"/>
  <c r="M1100" i="1"/>
  <c r="N1100" i="1"/>
  <c r="H1101" i="1"/>
  <c r="I1101" i="1"/>
  <c r="J1101" i="1"/>
  <c r="K1101" i="1"/>
  <c r="L1101" i="1"/>
  <c r="M1101" i="1"/>
  <c r="N1101" i="1"/>
  <c r="H1102" i="1"/>
  <c r="I1102" i="1"/>
  <c r="J1102" i="1"/>
  <c r="K1102" i="1"/>
  <c r="L1102" i="1"/>
  <c r="M1102" i="1"/>
  <c r="N1102" i="1"/>
  <c r="H1103" i="1"/>
  <c r="I1103" i="1"/>
  <c r="J1103" i="1"/>
  <c r="K1103" i="1"/>
  <c r="L1103" i="1"/>
  <c r="M1103" i="1"/>
  <c r="N1103" i="1"/>
  <c r="H1104" i="1"/>
  <c r="I1104" i="1"/>
  <c r="J1104" i="1"/>
  <c r="K1104" i="1"/>
  <c r="L1104" i="1"/>
  <c r="M1104" i="1"/>
  <c r="N1104" i="1"/>
  <c r="H1105" i="1"/>
  <c r="I1105" i="1"/>
  <c r="J1105" i="1"/>
  <c r="K1105" i="1"/>
  <c r="L1105" i="1"/>
  <c r="M1105" i="1"/>
  <c r="N1105" i="1"/>
  <c r="H1106" i="1"/>
  <c r="I1106" i="1"/>
  <c r="J1106" i="1"/>
  <c r="K1106" i="1"/>
  <c r="L1106" i="1"/>
  <c r="M1106" i="1"/>
  <c r="N1106" i="1"/>
  <c r="H1107" i="1"/>
  <c r="I1107" i="1"/>
  <c r="J1107" i="1"/>
  <c r="K1107" i="1"/>
  <c r="L1107" i="1"/>
  <c r="M1107" i="1"/>
  <c r="N1107" i="1"/>
  <c r="H1108" i="1"/>
  <c r="I1108" i="1"/>
  <c r="J1108" i="1"/>
  <c r="K1108" i="1"/>
  <c r="L1108" i="1"/>
  <c r="M1108" i="1"/>
  <c r="N1108" i="1"/>
  <c r="H1109" i="1"/>
  <c r="I1109" i="1"/>
  <c r="J1109" i="1"/>
  <c r="K1109" i="1"/>
  <c r="L1109" i="1"/>
  <c r="M1109" i="1"/>
  <c r="N1109" i="1"/>
  <c r="H1110" i="1"/>
  <c r="I1110" i="1"/>
  <c r="J1110" i="1"/>
  <c r="K1110" i="1"/>
  <c r="L1110" i="1"/>
  <c r="M1110" i="1"/>
  <c r="N1110" i="1"/>
  <c r="H1111" i="1"/>
  <c r="I1111" i="1"/>
  <c r="J1111" i="1"/>
  <c r="K1111" i="1"/>
  <c r="L1111" i="1"/>
  <c r="M1111" i="1"/>
  <c r="N1111" i="1"/>
  <c r="H1112" i="1"/>
  <c r="I1112" i="1"/>
  <c r="J1112" i="1"/>
  <c r="K1112" i="1"/>
  <c r="L1112" i="1"/>
  <c r="M1112" i="1"/>
  <c r="N1112" i="1"/>
  <c r="H1113" i="1"/>
  <c r="I1113" i="1"/>
  <c r="J1113" i="1"/>
  <c r="K1113" i="1"/>
  <c r="L1113" i="1"/>
  <c r="M1113" i="1"/>
  <c r="N1113" i="1"/>
  <c r="H1114" i="1"/>
  <c r="I1114" i="1"/>
  <c r="J1114" i="1"/>
  <c r="K1114" i="1"/>
  <c r="L1114" i="1"/>
  <c r="M1114" i="1"/>
  <c r="N1114" i="1"/>
  <c r="H1115" i="1"/>
  <c r="I1115" i="1"/>
  <c r="J1115" i="1"/>
  <c r="K1115" i="1"/>
  <c r="L1115" i="1"/>
  <c r="M1115" i="1"/>
  <c r="N1115" i="1"/>
  <c r="H1116" i="1"/>
  <c r="I1116" i="1"/>
  <c r="J1116" i="1"/>
  <c r="K1116" i="1"/>
  <c r="L1116" i="1"/>
  <c r="M1116" i="1"/>
  <c r="N1116" i="1"/>
  <c r="H1117" i="1"/>
  <c r="I1117" i="1"/>
  <c r="J1117" i="1"/>
  <c r="K1117" i="1"/>
  <c r="L1117" i="1"/>
  <c r="M1117" i="1"/>
  <c r="N1117" i="1"/>
  <c r="H1118" i="1"/>
  <c r="I1118" i="1"/>
  <c r="J1118" i="1"/>
  <c r="K1118" i="1"/>
  <c r="L1118" i="1"/>
  <c r="M1118" i="1"/>
  <c r="N1118" i="1"/>
  <c r="H1119" i="1"/>
  <c r="I1119" i="1"/>
  <c r="J1119" i="1"/>
  <c r="K1119" i="1"/>
  <c r="L1119" i="1"/>
  <c r="M1119" i="1"/>
  <c r="N1119" i="1"/>
  <c r="H1120" i="1"/>
  <c r="I1120" i="1"/>
  <c r="J1120" i="1"/>
  <c r="K1120" i="1"/>
  <c r="L1120" i="1"/>
  <c r="M1120" i="1"/>
  <c r="N1120" i="1"/>
  <c r="H1121" i="1"/>
  <c r="I1121" i="1"/>
  <c r="J1121" i="1"/>
  <c r="K1121" i="1"/>
  <c r="L1121" i="1"/>
  <c r="M1121" i="1"/>
  <c r="N1121" i="1"/>
  <c r="H1122" i="1"/>
  <c r="I1122" i="1"/>
  <c r="J1122" i="1"/>
  <c r="K1122" i="1"/>
  <c r="L1122" i="1"/>
  <c r="M1122" i="1"/>
  <c r="N1122" i="1"/>
  <c r="H1123" i="1"/>
  <c r="I1123" i="1"/>
  <c r="J1123" i="1"/>
  <c r="K1123" i="1"/>
  <c r="L1123" i="1"/>
  <c r="M1123" i="1"/>
  <c r="N1123" i="1"/>
  <c r="H1124" i="1"/>
  <c r="I1124" i="1"/>
  <c r="J1124" i="1"/>
  <c r="K1124" i="1"/>
  <c r="L1124" i="1"/>
  <c r="M1124" i="1"/>
  <c r="N1124" i="1"/>
  <c r="H1125" i="1"/>
  <c r="I1125" i="1"/>
  <c r="J1125" i="1"/>
  <c r="K1125" i="1"/>
  <c r="L1125" i="1"/>
  <c r="M1125" i="1"/>
  <c r="N1125" i="1"/>
  <c r="H1126" i="1"/>
  <c r="I1126" i="1"/>
  <c r="J1126" i="1"/>
  <c r="K1126" i="1"/>
  <c r="L1126" i="1"/>
  <c r="M1126" i="1"/>
  <c r="N1126" i="1"/>
  <c r="H1127" i="1"/>
  <c r="I1127" i="1"/>
  <c r="J1127" i="1"/>
  <c r="K1127" i="1"/>
  <c r="L1127" i="1"/>
  <c r="M1127" i="1"/>
  <c r="N1127" i="1"/>
  <c r="H1128" i="1"/>
  <c r="I1128" i="1"/>
  <c r="J1128" i="1"/>
  <c r="K1128" i="1"/>
  <c r="L1128" i="1"/>
  <c r="M1128" i="1"/>
  <c r="N1128" i="1"/>
  <c r="H1129" i="1"/>
  <c r="I1129" i="1"/>
  <c r="J1129" i="1"/>
  <c r="K1129" i="1"/>
  <c r="L1129" i="1"/>
  <c r="M1129" i="1"/>
  <c r="N1129" i="1"/>
  <c r="H1130" i="1"/>
  <c r="I1130" i="1"/>
  <c r="J1130" i="1"/>
  <c r="K1130" i="1"/>
  <c r="L1130" i="1"/>
  <c r="M1130" i="1"/>
  <c r="N1130" i="1"/>
  <c r="H1131" i="1"/>
  <c r="I1131" i="1"/>
  <c r="J1131" i="1"/>
  <c r="K1131" i="1"/>
  <c r="L1131" i="1"/>
  <c r="M1131" i="1"/>
  <c r="N1131" i="1"/>
  <c r="H1132" i="1"/>
  <c r="I1132" i="1"/>
  <c r="J1132" i="1"/>
  <c r="K1132" i="1"/>
  <c r="L1132" i="1"/>
  <c r="M1132" i="1"/>
  <c r="N1132" i="1"/>
  <c r="H1133" i="1"/>
  <c r="I1133" i="1"/>
  <c r="J1133" i="1"/>
  <c r="K1133" i="1"/>
  <c r="L1133" i="1"/>
  <c r="M1133" i="1"/>
  <c r="N1133" i="1"/>
  <c r="H1134" i="1"/>
  <c r="I1134" i="1"/>
  <c r="J1134" i="1"/>
  <c r="K1134" i="1"/>
  <c r="L1134" i="1"/>
  <c r="M1134" i="1"/>
  <c r="N1134" i="1"/>
  <c r="H1135" i="1"/>
  <c r="I1135" i="1"/>
  <c r="J1135" i="1"/>
  <c r="K1135" i="1"/>
  <c r="L1135" i="1"/>
  <c r="M1135" i="1"/>
  <c r="N1135" i="1"/>
  <c r="H1136" i="1"/>
  <c r="I1136" i="1"/>
  <c r="J1136" i="1"/>
  <c r="K1136" i="1"/>
  <c r="L1136" i="1"/>
  <c r="M1136" i="1"/>
  <c r="N1136" i="1"/>
  <c r="H1137" i="1"/>
  <c r="I1137" i="1"/>
  <c r="J1137" i="1"/>
  <c r="K1137" i="1"/>
  <c r="L1137" i="1"/>
  <c r="M1137" i="1"/>
  <c r="N1137" i="1"/>
  <c r="H1138" i="1"/>
  <c r="I1138" i="1"/>
  <c r="J1138" i="1"/>
  <c r="K1138" i="1"/>
  <c r="L1138" i="1"/>
  <c r="M1138" i="1"/>
  <c r="N1138" i="1"/>
  <c r="H1139" i="1"/>
  <c r="I1139" i="1"/>
  <c r="J1139" i="1"/>
  <c r="K1139" i="1"/>
  <c r="L1139" i="1"/>
  <c r="M1139" i="1"/>
  <c r="N1139" i="1"/>
  <c r="H1140" i="1"/>
  <c r="I1140" i="1"/>
  <c r="J1140" i="1"/>
  <c r="K1140" i="1"/>
  <c r="L1140" i="1"/>
  <c r="M1140" i="1"/>
  <c r="N1140" i="1"/>
  <c r="H1141" i="1"/>
  <c r="I1141" i="1"/>
  <c r="J1141" i="1"/>
  <c r="K1141" i="1"/>
  <c r="L1141" i="1"/>
  <c r="M1141" i="1"/>
  <c r="N1141" i="1"/>
  <c r="H1142" i="1"/>
  <c r="I1142" i="1"/>
  <c r="J1142" i="1"/>
  <c r="K1142" i="1"/>
  <c r="L1142" i="1"/>
  <c r="M1142" i="1"/>
  <c r="N1142" i="1"/>
  <c r="H1143" i="1"/>
  <c r="I1143" i="1"/>
  <c r="J1143" i="1"/>
  <c r="K1143" i="1"/>
  <c r="L1143" i="1"/>
  <c r="M1143" i="1"/>
  <c r="N1143" i="1"/>
  <c r="H1144" i="1"/>
  <c r="I1144" i="1"/>
  <c r="J1144" i="1"/>
  <c r="K1144" i="1"/>
  <c r="L1144" i="1"/>
  <c r="M1144" i="1"/>
  <c r="N1144" i="1"/>
  <c r="H1145" i="1"/>
  <c r="I1145" i="1"/>
  <c r="J1145" i="1"/>
  <c r="K1145" i="1"/>
  <c r="L1145" i="1"/>
  <c r="M1145" i="1"/>
  <c r="N1145" i="1"/>
  <c r="H1146" i="1"/>
  <c r="I1146" i="1"/>
  <c r="J1146" i="1"/>
  <c r="K1146" i="1"/>
  <c r="L1146" i="1"/>
  <c r="M1146" i="1"/>
  <c r="N1146" i="1"/>
  <c r="H1147" i="1"/>
  <c r="I1147" i="1"/>
  <c r="J1147" i="1"/>
  <c r="K1147" i="1"/>
  <c r="L1147" i="1"/>
  <c r="M1147" i="1"/>
  <c r="N1147" i="1"/>
  <c r="H1148" i="1"/>
  <c r="I1148" i="1"/>
  <c r="J1148" i="1"/>
  <c r="K1148" i="1"/>
  <c r="L1148" i="1"/>
  <c r="M1148" i="1"/>
  <c r="N1148" i="1"/>
  <c r="H1149" i="1"/>
  <c r="I1149" i="1"/>
  <c r="J1149" i="1"/>
  <c r="K1149" i="1"/>
  <c r="L1149" i="1"/>
  <c r="M1149" i="1"/>
  <c r="N1149" i="1"/>
  <c r="H1150" i="1"/>
  <c r="I1150" i="1"/>
  <c r="J1150" i="1"/>
  <c r="K1150" i="1"/>
  <c r="L1150" i="1"/>
  <c r="M1150" i="1"/>
  <c r="N1150" i="1"/>
  <c r="H1151" i="1"/>
  <c r="I1151" i="1"/>
  <c r="J1151" i="1"/>
  <c r="K1151" i="1"/>
  <c r="L1151" i="1"/>
  <c r="M1151" i="1"/>
  <c r="N1151" i="1"/>
  <c r="H1152" i="1"/>
  <c r="I1152" i="1"/>
  <c r="J1152" i="1"/>
  <c r="K1152" i="1"/>
  <c r="L1152" i="1"/>
  <c r="M1152" i="1"/>
  <c r="N1152" i="1"/>
  <c r="H1153" i="1"/>
  <c r="I1153" i="1"/>
  <c r="J1153" i="1"/>
  <c r="K1153" i="1"/>
  <c r="L1153" i="1"/>
  <c r="M1153" i="1"/>
  <c r="N1153" i="1"/>
  <c r="H1154" i="1"/>
  <c r="I1154" i="1"/>
  <c r="J1154" i="1"/>
  <c r="K1154" i="1"/>
  <c r="L1154" i="1"/>
  <c r="M1154" i="1"/>
  <c r="N1154" i="1"/>
  <c r="H1155" i="1"/>
  <c r="I1155" i="1"/>
  <c r="J1155" i="1"/>
  <c r="K1155" i="1"/>
  <c r="L1155" i="1"/>
  <c r="M1155" i="1"/>
  <c r="N1155" i="1"/>
  <c r="H1156" i="1"/>
  <c r="I1156" i="1"/>
  <c r="J1156" i="1"/>
  <c r="K1156" i="1"/>
  <c r="L1156" i="1"/>
  <c r="M1156" i="1"/>
  <c r="N1156" i="1"/>
  <c r="H1157" i="1"/>
  <c r="I1157" i="1"/>
  <c r="J1157" i="1"/>
  <c r="K1157" i="1"/>
  <c r="L1157" i="1"/>
  <c r="M1157" i="1"/>
  <c r="N1157" i="1"/>
  <c r="H1158" i="1"/>
  <c r="I1158" i="1"/>
  <c r="J1158" i="1"/>
  <c r="K1158" i="1"/>
  <c r="L1158" i="1"/>
  <c r="M1158" i="1"/>
  <c r="N1158" i="1"/>
  <c r="H1159" i="1"/>
  <c r="I1159" i="1"/>
  <c r="J1159" i="1"/>
  <c r="K1159" i="1"/>
  <c r="L1159" i="1"/>
  <c r="M1159" i="1"/>
  <c r="N1159" i="1"/>
  <c r="H1160" i="1"/>
  <c r="I1160" i="1"/>
  <c r="J1160" i="1"/>
  <c r="K1160" i="1"/>
  <c r="L1160" i="1"/>
  <c r="M1160" i="1"/>
  <c r="N1160" i="1"/>
  <c r="H1161" i="1"/>
  <c r="I1161" i="1"/>
  <c r="J1161" i="1"/>
  <c r="K1161" i="1"/>
  <c r="L1161" i="1"/>
  <c r="M1161" i="1"/>
  <c r="N1161" i="1"/>
  <c r="H1162" i="1"/>
  <c r="I1162" i="1"/>
  <c r="J1162" i="1"/>
  <c r="K1162" i="1"/>
  <c r="L1162" i="1"/>
  <c r="M1162" i="1"/>
  <c r="N1162" i="1"/>
  <c r="H1163" i="1"/>
  <c r="I1163" i="1"/>
  <c r="J1163" i="1"/>
  <c r="K1163" i="1"/>
  <c r="L1163" i="1"/>
  <c r="M1163" i="1"/>
  <c r="N1163" i="1"/>
  <c r="H1164" i="1"/>
  <c r="I1164" i="1"/>
  <c r="J1164" i="1"/>
  <c r="K1164" i="1"/>
  <c r="L1164" i="1"/>
  <c r="M1164" i="1"/>
  <c r="N1164" i="1"/>
  <c r="H1165" i="1"/>
  <c r="I1165" i="1"/>
  <c r="J1165" i="1"/>
  <c r="K1165" i="1"/>
  <c r="L1165" i="1"/>
  <c r="M1165" i="1"/>
  <c r="N1165" i="1"/>
  <c r="H1166" i="1"/>
  <c r="I1166" i="1"/>
  <c r="J1166" i="1"/>
  <c r="K1166" i="1"/>
  <c r="L1166" i="1"/>
  <c r="M1166" i="1"/>
  <c r="N1166" i="1"/>
  <c r="H1167" i="1"/>
  <c r="I1167" i="1"/>
  <c r="J1167" i="1"/>
  <c r="K1167" i="1"/>
  <c r="L1167" i="1"/>
  <c r="M1167" i="1"/>
  <c r="N1167" i="1"/>
  <c r="H1168" i="1"/>
  <c r="I1168" i="1"/>
  <c r="J1168" i="1"/>
  <c r="K1168" i="1"/>
  <c r="L1168" i="1"/>
  <c r="M1168" i="1"/>
  <c r="N1168" i="1"/>
  <c r="H1169" i="1"/>
  <c r="I1169" i="1"/>
  <c r="J1169" i="1"/>
  <c r="K1169" i="1"/>
  <c r="L1169" i="1"/>
  <c r="M1169" i="1"/>
  <c r="N1169" i="1"/>
  <c r="H1170" i="1"/>
  <c r="I1170" i="1"/>
  <c r="J1170" i="1"/>
  <c r="K1170" i="1"/>
  <c r="L1170" i="1"/>
  <c r="M1170" i="1"/>
  <c r="N1170" i="1"/>
  <c r="H1171" i="1"/>
  <c r="I1171" i="1"/>
  <c r="J1171" i="1"/>
  <c r="K1171" i="1"/>
  <c r="L1171" i="1"/>
  <c r="M1171" i="1"/>
  <c r="N1171" i="1"/>
  <c r="H1172" i="1"/>
  <c r="I1172" i="1"/>
  <c r="J1172" i="1"/>
  <c r="K1172" i="1"/>
  <c r="L1172" i="1"/>
  <c r="M1172" i="1"/>
  <c r="N1172" i="1"/>
  <c r="H1173" i="1"/>
  <c r="I1173" i="1"/>
  <c r="J1173" i="1"/>
  <c r="K1173" i="1"/>
  <c r="L1173" i="1"/>
  <c r="M1173" i="1"/>
  <c r="N1173" i="1"/>
  <c r="H1174" i="1"/>
  <c r="I1174" i="1"/>
  <c r="J1174" i="1"/>
  <c r="K1174" i="1"/>
  <c r="L1174" i="1"/>
  <c r="M1174" i="1"/>
  <c r="N1174" i="1"/>
  <c r="H1175" i="1"/>
  <c r="I1175" i="1"/>
  <c r="J1175" i="1"/>
  <c r="K1175" i="1"/>
  <c r="L1175" i="1"/>
  <c r="M1175" i="1"/>
  <c r="N1175" i="1"/>
  <c r="H1176" i="1"/>
  <c r="I1176" i="1"/>
  <c r="J1176" i="1"/>
  <c r="K1176" i="1"/>
  <c r="L1176" i="1"/>
  <c r="M1176" i="1"/>
  <c r="N1176" i="1"/>
  <c r="H1177" i="1"/>
  <c r="I1177" i="1"/>
  <c r="J1177" i="1"/>
  <c r="K1177" i="1"/>
  <c r="L1177" i="1"/>
  <c r="M1177" i="1"/>
  <c r="N1177" i="1"/>
  <c r="H1178" i="1"/>
  <c r="I1178" i="1"/>
  <c r="J1178" i="1"/>
  <c r="K1178" i="1"/>
  <c r="L1178" i="1"/>
  <c r="M1178" i="1"/>
  <c r="N1178" i="1"/>
  <c r="H1179" i="1"/>
  <c r="I1179" i="1"/>
  <c r="J1179" i="1"/>
  <c r="K1179" i="1"/>
  <c r="L1179" i="1"/>
  <c r="M1179" i="1"/>
  <c r="N1179" i="1"/>
  <c r="H1180" i="1"/>
  <c r="I1180" i="1"/>
  <c r="J1180" i="1"/>
  <c r="K1180" i="1"/>
  <c r="L1180" i="1"/>
  <c r="M1180" i="1"/>
  <c r="N1180" i="1"/>
  <c r="H1181" i="1"/>
  <c r="I1181" i="1"/>
  <c r="J1181" i="1"/>
  <c r="K1181" i="1"/>
  <c r="L1181" i="1"/>
  <c r="M1181" i="1"/>
  <c r="N1181" i="1"/>
  <c r="H1182" i="1"/>
  <c r="I1182" i="1"/>
  <c r="J1182" i="1"/>
  <c r="K1182" i="1"/>
  <c r="L1182" i="1"/>
  <c r="M1182" i="1"/>
  <c r="N1182" i="1"/>
  <c r="H1183" i="1"/>
  <c r="I1183" i="1"/>
  <c r="J1183" i="1"/>
  <c r="K1183" i="1"/>
  <c r="L1183" i="1"/>
  <c r="M1183" i="1"/>
  <c r="N1183" i="1"/>
  <c r="H1184" i="1"/>
  <c r="I1184" i="1"/>
  <c r="J1184" i="1"/>
  <c r="K1184" i="1"/>
  <c r="L1184" i="1"/>
  <c r="M1184" i="1"/>
  <c r="N1184" i="1"/>
  <c r="H1185" i="1"/>
  <c r="I1185" i="1"/>
  <c r="J1185" i="1"/>
  <c r="K1185" i="1"/>
  <c r="L1185" i="1"/>
  <c r="M1185" i="1"/>
  <c r="N1185" i="1"/>
  <c r="H1186" i="1"/>
  <c r="I1186" i="1"/>
  <c r="J1186" i="1"/>
  <c r="K1186" i="1"/>
  <c r="L1186" i="1"/>
  <c r="M1186" i="1"/>
  <c r="N1186" i="1"/>
  <c r="H1187" i="1"/>
  <c r="I1187" i="1"/>
  <c r="J1187" i="1"/>
  <c r="K1187" i="1"/>
  <c r="L1187" i="1"/>
  <c r="M1187" i="1"/>
  <c r="N1187" i="1"/>
  <c r="H1188" i="1"/>
  <c r="I1188" i="1"/>
  <c r="J1188" i="1"/>
  <c r="K1188" i="1"/>
  <c r="L1188" i="1"/>
  <c r="M1188" i="1"/>
  <c r="N1188" i="1"/>
  <c r="H1189" i="1"/>
  <c r="I1189" i="1"/>
  <c r="J1189" i="1"/>
  <c r="K1189" i="1"/>
  <c r="L1189" i="1"/>
  <c r="M1189" i="1"/>
  <c r="N1189" i="1"/>
  <c r="H1190" i="1"/>
  <c r="I1190" i="1"/>
  <c r="J1190" i="1"/>
  <c r="K1190" i="1"/>
  <c r="L1190" i="1"/>
  <c r="M1190" i="1"/>
  <c r="N1190" i="1"/>
  <c r="H1191" i="1"/>
  <c r="I1191" i="1"/>
  <c r="J1191" i="1"/>
  <c r="K1191" i="1"/>
  <c r="L1191" i="1"/>
  <c r="M1191" i="1"/>
  <c r="N1191" i="1"/>
  <c r="H1192" i="1"/>
  <c r="I1192" i="1"/>
  <c r="J1192" i="1"/>
  <c r="K1192" i="1"/>
  <c r="L1192" i="1"/>
  <c r="M1192" i="1"/>
  <c r="N1192" i="1"/>
  <c r="H1193" i="1"/>
  <c r="I1193" i="1"/>
  <c r="J1193" i="1"/>
  <c r="K1193" i="1"/>
  <c r="L1193" i="1"/>
  <c r="M1193" i="1"/>
  <c r="N1193" i="1"/>
  <c r="H1194" i="1"/>
  <c r="I1194" i="1"/>
  <c r="J1194" i="1"/>
  <c r="K1194" i="1"/>
  <c r="L1194" i="1"/>
  <c r="M1194" i="1"/>
  <c r="N1194" i="1"/>
  <c r="H1195" i="1"/>
  <c r="I1195" i="1"/>
  <c r="J1195" i="1"/>
  <c r="K1195" i="1"/>
  <c r="L1195" i="1"/>
  <c r="M1195" i="1"/>
  <c r="N1195" i="1"/>
  <c r="H1196" i="1"/>
  <c r="I1196" i="1"/>
  <c r="J1196" i="1"/>
  <c r="K1196" i="1"/>
  <c r="L1196" i="1"/>
  <c r="M1196" i="1"/>
  <c r="N1196" i="1"/>
  <c r="H1197" i="1"/>
  <c r="I1197" i="1"/>
  <c r="J1197" i="1"/>
  <c r="K1197" i="1"/>
  <c r="L1197" i="1"/>
  <c r="M1197" i="1"/>
  <c r="N1197" i="1"/>
  <c r="H1198" i="1"/>
  <c r="I1198" i="1"/>
  <c r="J1198" i="1"/>
  <c r="K1198" i="1"/>
  <c r="L1198" i="1"/>
  <c r="M1198" i="1"/>
  <c r="N1198" i="1"/>
  <c r="H1199" i="1"/>
  <c r="I1199" i="1"/>
  <c r="J1199" i="1"/>
  <c r="K1199" i="1"/>
  <c r="L1199" i="1"/>
  <c r="M1199" i="1"/>
  <c r="N1199" i="1"/>
  <c r="H1200" i="1"/>
  <c r="I1200" i="1"/>
  <c r="J1200" i="1"/>
  <c r="K1200" i="1"/>
  <c r="L1200" i="1"/>
  <c r="M1200" i="1"/>
  <c r="N1200" i="1"/>
  <c r="H1201" i="1"/>
  <c r="I1201" i="1"/>
  <c r="J1201" i="1"/>
  <c r="K1201" i="1"/>
  <c r="L1201" i="1"/>
  <c r="M1201" i="1"/>
  <c r="N1201" i="1"/>
  <c r="H1202" i="1"/>
  <c r="I1202" i="1"/>
  <c r="J1202" i="1"/>
  <c r="K1202" i="1"/>
  <c r="L1202" i="1"/>
  <c r="M1202" i="1"/>
  <c r="N1202" i="1"/>
  <c r="H1203" i="1"/>
  <c r="I1203" i="1"/>
  <c r="J1203" i="1"/>
  <c r="K1203" i="1"/>
  <c r="L1203" i="1"/>
  <c r="M1203" i="1"/>
  <c r="N1203" i="1"/>
  <c r="H1204" i="1"/>
  <c r="I1204" i="1"/>
  <c r="J1204" i="1"/>
  <c r="K1204" i="1"/>
  <c r="L1204" i="1"/>
  <c r="M1204" i="1"/>
  <c r="N1204" i="1"/>
  <c r="H1205" i="1"/>
  <c r="I1205" i="1"/>
  <c r="J1205" i="1"/>
  <c r="K1205" i="1"/>
  <c r="L1205" i="1"/>
  <c r="M1205" i="1"/>
  <c r="N1205" i="1"/>
  <c r="H1206" i="1"/>
  <c r="I1206" i="1"/>
  <c r="J1206" i="1"/>
  <c r="K1206" i="1"/>
  <c r="L1206" i="1"/>
  <c r="M1206" i="1"/>
  <c r="N1206" i="1"/>
  <c r="H1207" i="1"/>
  <c r="I1207" i="1"/>
  <c r="J1207" i="1"/>
  <c r="K1207" i="1"/>
  <c r="L1207" i="1"/>
  <c r="M1207" i="1"/>
  <c r="N1207" i="1"/>
  <c r="H1208" i="1"/>
  <c r="I1208" i="1"/>
  <c r="J1208" i="1"/>
  <c r="K1208" i="1"/>
  <c r="L1208" i="1"/>
  <c r="M1208" i="1"/>
  <c r="N1208" i="1"/>
  <c r="H1209" i="1"/>
  <c r="I1209" i="1"/>
  <c r="J1209" i="1"/>
  <c r="K1209" i="1"/>
  <c r="L1209" i="1"/>
  <c r="M1209" i="1"/>
  <c r="N1209" i="1"/>
  <c r="H1210" i="1"/>
  <c r="I1210" i="1"/>
  <c r="J1210" i="1"/>
  <c r="K1210" i="1"/>
  <c r="L1210" i="1"/>
  <c r="M1210" i="1"/>
  <c r="N1210" i="1"/>
  <c r="H1211" i="1"/>
  <c r="I1211" i="1"/>
  <c r="J1211" i="1"/>
  <c r="K1211" i="1"/>
  <c r="L1211" i="1"/>
  <c r="M1211" i="1"/>
  <c r="N1211" i="1"/>
  <c r="H1212" i="1"/>
  <c r="I1212" i="1"/>
  <c r="J1212" i="1"/>
  <c r="K1212" i="1"/>
  <c r="L1212" i="1"/>
  <c r="M1212" i="1"/>
  <c r="N1212" i="1"/>
  <c r="H1213" i="1"/>
  <c r="I1213" i="1"/>
  <c r="J1213" i="1"/>
  <c r="K1213" i="1"/>
  <c r="L1213" i="1"/>
  <c r="M1213" i="1"/>
  <c r="N1213" i="1"/>
  <c r="H1214" i="1"/>
  <c r="I1214" i="1"/>
  <c r="J1214" i="1"/>
  <c r="K1214" i="1"/>
  <c r="L1214" i="1"/>
  <c r="M1214" i="1"/>
  <c r="N1214" i="1"/>
  <c r="H1215" i="1"/>
  <c r="I1215" i="1"/>
  <c r="J1215" i="1"/>
  <c r="K1215" i="1"/>
  <c r="L1215" i="1"/>
  <c r="M1215" i="1"/>
  <c r="N1215" i="1"/>
  <c r="H1216" i="1"/>
  <c r="I1216" i="1"/>
  <c r="J1216" i="1"/>
  <c r="K1216" i="1"/>
  <c r="L1216" i="1"/>
  <c r="M1216" i="1"/>
  <c r="N1216" i="1"/>
  <c r="H1217" i="1"/>
  <c r="I1217" i="1"/>
  <c r="J1217" i="1"/>
  <c r="K1217" i="1"/>
  <c r="L1217" i="1"/>
  <c r="M1217" i="1"/>
  <c r="N1217" i="1"/>
  <c r="H1218" i="1"/>
  <c r="I1218" i="1"/>
  <c r="J1218" i="1"/>
  <c r="K1218" i="1"/>
  <c r="L1218" i="1"/>
  <c r="M1218" i="1"/>
  <c r="N1218" i="1"/>
  <c r="H1219" i="1"/>
  <c r="I1219" i="1"/>
  <c r="J1219" i="1"/>
  <c r="K1219" i="1"/>
  <c r="L1219" i="1"/>
  <c r="M1219" i="1"/>
  <c r="N1219" i="1"/>
  <c r="H1220" i="1"/>
  <c r="I1220" i="1"/>
  <c r="J1220" i="1"/>
  <c r="K1220" i="1"/>
  <c r="L1220" i="1"/>
  <c r="M1220" i="1"/>
  <c r="N1220" i="1"/>
  <c r="H1221" i="1"/>
  <c r="I1221" i="1"/>
  <c r="J1221" i="1"/>
  <c r="K1221" i="1"/>
  <c r="L1221" i="1"/>
  <c r="M1221" i="1"/>
  <c r="N1221" i="1"/>
  <c r="H1222" i="1"/>
  <c r="I1222" i="1"/>
  <c r="J1222" i="1"/>
  <c r="K1222" i="1"/>
  <c r="L1222" i="1"/>
  <c r="M1222" i="1"/>
  <c r="N1222" i="1"/>
  <c r="H1223" i="1"/>
  <c r="I1223" i="1"/>
  <c r="J1223" i="1"/>
  <c r="K1223" i="1"/>
  <c r="L1223" i="1"/>
  <c r="M1223" i="1"/>
  <c r="N1223" i="1"/>
  <c r="H1224" i="1"/>
  <c r="I1224" i="1"/>
  <c r="J1224" i="1"/>
  <c r="K1224" i="1"/>
  <c r="L1224" i="1"/>
  <c r="M1224" i="1"/>
  <c r="N1224" i="1"/>
  <c r="H1225" i="1"/>
  <c r="I1225" i="1"/>
  <c r="J1225" i="1"/>
  <c r="K1225" i="1"/>
  <c r="L1225" i="1"/>
  <c r="M1225" i="1"/>
  <c r="N1225" i="1"/>
  <c r="H1226" i="1"/>
  <c r="I1226" i="1"/>
  <c r="J1226" i="1"/>
  <c r="K1226" i="1"/>
  <c r="L1226" i="1"/>
  <c r="M1226" i="1"/>
  <c r="N1226" i="1"/>
  <c r="H1227" i="1"/>
  <c r="I1227" i="1"/>
  <c r="J1227" i="1"/>
  <c r="K1227" i="1"/>
  <c r="L1227" i="1"/>
  <c r="M1227" i="1"/>
  <c r="N1227" i="1"/>
  <c r="H1228" i="1"/>
  <c r="I1228" i="1"/>
  <c r="J1228" i="1"/>
  <c r="K1228" i="1"/>
  <c r="L1228" i="1"/>
  <c r="M1228" i="1"/>
  <c r="N1228" i="1"/>
  <c r="H1229" i="1"/>
  <c r="I1229" i="1"/>
  <c r="J1229" i="1"/>
  <c r="K1229" i="1"/>
  <c r="L1229" i="1"/>
  <c r="M1229" i="1"/>
  <c r="N1229" i="1"/>
  <c r="H1230" i="1"/>
  <c r="I1230" i="1"/>
  <c r="J1230" i="1"/>
  <c r="K1230" i="1"/>
  <c r="L1230" i="1"/>
  <c r="M1230" i="1"/>
  <c r="N1230" i="1"/>
  <c r="H1231" i="1"/>
  <c r="I1231" i="1"/>
  <c r="J1231" i="1"/>
  <c r="K1231" i="1"/>
  <c r="L1231" i="1"/>
  <c r="M1231" i="1"/>
  <c r="N1231" i="1"/>
  <c r="H1232" i="1"/>
  <c r="I1232" i="1"/>
  <c r="J1232" i="1"/>
  <c r="K1232" i="1"/>
  <c r="L1232" i="1"/>
  <c r="M1232" i="1"/>
  <c r="N1232" i="1"/>
  <c r="H1233" i="1"/>
  <c r="I1233" i="1"/>
  <c r="J1233" i="1"/>
  <c r="K1233" i="1"/>
  <c r="L1233" i="1"/>
  <c r="M1233" i="1"/>
  <c r="N1233" i="1"/>
  <c r="H1234" i="1"/>
  <c r="I1234" i="1"/>
  <c r="J1234" i="1"/>
  <c r="K1234" i="1"/>
  <c r="L1234" i="1"/>
  <c r="M1234" i="1"/>
  <c r="N1234" i="1"/>
  <c r="H1235" i="1"/>
  <c r="I1235" i="1"/>
  <c r="J1235" i="1"/>
  <c r="K1235" i="1"/>
  <c r="L1235" i="1"/>
  <c r="M1235" i="1"/>
  <c r="N1235" i="1"/>
  <c r="H1236" i="1"/>
  <c r="I1236" i="1"/>
  <c r="J1236" i="1"/>
  <c r="K1236" i="1"/>
  <c r="L1236" i="1"/>
  <c r="M1236" i="1"/>
  <c r="N1236" i="1"/>
  <c r="H1237" i="1"/>
  <c r="I1237" i="1"/>
  <c r="J1237" i="1"/>
  <c r="K1237" i="1"/>
  <c r="L1237" i="1"/>
  <c r="M1237" i="1"/>
  <c r="N1237" i="1"/>
  <c r="H1238" i="1"/>
  <c r="I1238" i="1"/>
  <c r="J1238" i="1"/>
  <c r="K1238" i="1"/>
  <c r="L1238" i="1"/>
  <c r="M1238" i="1"/>
  <c r="N1238" i="1"/>
  <c r="H1239" i="1"/>
  <c r="I1239" i="1"/>
  <c r="J1239" i="1"/>
  <c r="K1239" i="1"/>
  <c r="L1239" i="1"/>
  <c r="M1239" i="1"/>
  <c r="N1239" i="1"/>
  <c r="H1240" i="1"/>
  <c r="I1240" i="1"/>
  <c r="J1240" i="1"/>
  <c r="K1240" i="1"/>
  <c r="L1240" i="1"/>
  <c r="M1240" i="1"/>
  <c r="N1240" i="1"/>
  <c r="H1241" i="1"/>
  <c r="I1241" i="1"/>
  <c r="J1241" i="1"/>
  <c r="K1241" i="1"/>
  <c r="L1241" i="1"/>
  <c r="M1241" i="1"/>
  <c r="N1241" i="1"/>
  <c r="H1242" i="1"/>
  <c r="I1242" i="1"/>
  <c r="J1242" i="1"/>
  <c r="K1242" i="1"/>
  <c r="L1242" i="1"/>
  <c r="M1242" i="1"/>
  <c r="N1242" i="1"/>
  <c r="H1243" i="1"/>
  <c r="I1243" i="1"/>
  <c r="J1243" i="1"/>
  <c r="K1243" i="1"/>
  <c r="L1243" i="1"/>
  <c r="M1243" i="1"/>
  <c r="N1243" i="1"/>
  <c r="H1244" i="1"/>
  <c r="I1244" i="1"/>
  <c r="J1244" i="1"/>
  <c r="K1244" i="1"/>
  <c r="L1244" i="1"/>
  <c r="M1244" i="1"/>
  <c r="N1244" i="1"/>
  <c r="H1245" i="1"/>
  <c r="I1245" i="1"/>
  <c r="J1245" i="1"/>
  <c r="K1245" i="1"/>
  <c r="L1245" i="1"/>
  <c r="M1245" i="1"/>
  <c r="N1245" i="1"/>
  <c r="H1246" i="1"/>
  <c r="I1246" i="1"/>
  <c r="J1246" i="1"/>
  <c r="K1246" i="1"/>
  <c r="L1246" i="1"/>
  <c r="M1246" i="1"/>
  <c r="N1246" i="1"/>
  <c r="H1247" i="1"/>
  <c r="I1247" i="1"/>
  <c r="J1247" i="1"/>
  <c r="K1247" i="1"/>
  <c r="L1247" i="1"/>
  <c r="M1247" i="1"/>
  <c r="N1247" i="1"/>
  <c r="H1248" i="1"/>
  <c r="I1248" i="1"/>
  <c r="J1248" i="1"/>
  <c r="K1248" i="1"/>
  <c r="L1248" i="1"/>
  <c r="M1248" i="1"/>
  <c r="N1248" i="1"/>
  <c r="H1249" i="1"/>
  <c r="I1249" i="1"/>
  <c r="J1249" i="1"/>
  <c r="K1249" i="1"/>
  <c r="L1249" i="1"/>
  <c r="M1249" i="1"/>
  <c r="N1249" i="1"/>
  <c r="H1250" i="1"/>
  <c r="I1250" i="1"/>
  <c r="J1250" i="1"/>
  <c r="K1250" i="1"/>
  <c r="L1250" i="1"/>
  <c r="M1250" i="1"/>
  <c r="N1250" i="1"/>
  <c r="H1251" i="1"/>
  <c r="I1251" i="1"/>
  <c r="J1251" i="1"/>
  <c r="K1251" i="1"/>
  <c r="L1251" i="1"/>
  <c r="M1251" i="1"/>
  <c r="N1251" i="1"/>
  <c r="H1252" i="1"/>
  <c r="I1252" i="1"/>
  <c r="J1252" i="1"/>
  <c r="K1252" i="1"/>
  <c r="L1252" i="1"/>
  <c r="M1252" i="1"/>
  <c r="N1252" i="1"/>
  <c r="H1253" i="1"/>
  <c r="I1253" i="1"/>
  <c r="J1253" i="1"/>
  <c r="K1253" i="1"/>
  <c r="L1253" i="1"/>
  <c r="M1253" i="1"/>
  <c r="N1253" i="1"/>
  <c r="H1254" i="1"/>
  <c r="I1254" i="1"/>
  <c r="J1254" i="1"/>
  <c r="K1254" i="1"/>
  <c r="L1254" i="1"/>
  <c r="M1254" i="1"/>
  <c r="N1254" i="1"/>
  <c r="H1255" i="1"/>
  <c r="I1255" i="1"/>
  <c r="J1255" i="1"/>
  <c r="K1255" i="1"/>
  <c r="L1255" i="1"/>
  <c r="M1255" i="1"/>
  <c r="N1255" i="1"/>
  <c r="H1256" i="1"/>
  <c r="I1256" i="1"/>
  <c r="J1256" i="1"/>
  <c r="K1256" i="1"/>
  <c r="L1256" i="1"/>
  <c r="M1256" i="1"/>
  <c r="N1256" i="1"/>
  <c r="H1257" i="1"/>
  <c r="I1257" i="1"/>
  <c r="J1257" i="1"/>
  <c r="K1257" i="1"/>
  <c r="L1257" i="1"/>
  <c r="M1257" i="1"/>
  <c r="N1257" i="1"/>
  <c r="H1258" i="1"/>
  <c r="I1258" i="1"/>
  <c r="J1258" i="1"/>
  <c r="K1258" i="1"/>
  <c r="L1258" i="1"/>
  <c r="M1258" i="1"/>
  <c r="N1258" i="1"/>
  <c r="H1259" i="1"/>
  <c r="I1259" i="1"/>
  <c r="J1259" i="1"/>
  <c r="K1259" i="1"/>
  <c r="L1259" i="1"/>
  <c r="M1259" i="1"/>
  <c r="N1259" i="1"/>
  <c r="H1260" i="1"/>
  <c r="I1260" i="1"/>
  <c r="J1260" i="1"/>
  <c r="K1260" i="1"/>
  <c r="L1260" i="1"/>
  <c r="M1260" i="1"/>
  <c r="N1260" i="1"/>
  <c r="H1261" i="1"/>
  <c r="I1261" i="1"/>
  <c r="J1261" i="1"/>
  <c r="K1261" i="1"/>
  <c r="L1261" i="1"/>
  <c r="M1261" i="1"/>
  <c r="N1261" i="1"/>
  <c r="H1262" i="1"/>
  <c r="I1262" i="1"/>
  <c r="J1262" i="1"/>
  <c r="K1262" i="1"/>
  <c r="L1262" i="1"/>
  <c r="M1262" i="1"/>
  <c r="N1262" i="1"/>
  <c r="H1263" i="1"/>
  <c r="I1263" i="1"/>
  <c r="J1263" i="1"/>
  <c r="K1263" i="1"/>
  <c r="L1263" i="1"/>
  <c r="M1263" i="1"/>
  <c r="N1263" i="1"/>
  <c r="H1264" i="1"/>
  <c r="I1264" i="1"/>
  <c r="J1264" i="1"/>
  <c r="K1264" i="1"/>
  <c r="L1264" i="1"/>
  <c r="M1264" i="1"/>
  <c r="N1264" i="1"/>
  <c r="H1265" i="1"/>
  <c r="I1265" i="1"/>
  <c r="J1265" i="1"/>
  <c r="K1265" i="1"/>
  <c r="L1265" i="1"/>
  <c r="M1265" i="1"/>
  <c r="N1265" i="1"/>
  <c r="H1266" i="1"/>
  <c r="I1266" i="1"/>
  <c r="J1266" i="1"/>
  <c r="K1266" i="1"/>
  <c r="L1266" i="1"/>
  <c r="M1266" i="1"/>
  <c r="N1266" i="1"/>
  <c r="H1267" i="1"/>
  <c r="I1267" i="1"/>
  <c r="J1267" i="1"/>
  <c r="K1267" i="1"/>
  <c r="L1267" i="1"/>
  <c r="M1267" i="1"/>
  <c r="N1267" i="1"/>
  <c r="H1268" i="1"/>
  <c r="I1268" i="1"/>
  <c r="J1268" i="1"/>
  <c r="K1268" i="1"/>
  <c r="L1268" i="1"/>
  <c r="M1268" i="1"/>
  <c r="N1268" i="1"/>
  <c r="H1269" i="1"/>
  <c r="I1269" i="1"/>
  <c r="J1269" i="1"/>
  <c r="K1269" i="1"/>
  <c r="L1269" i="1"/>
  <c r="M1269" i="1"/>
  <c r="N1269" i="1"/>
  <c r="H1270" i="1"/>
  <c r="I1270" i="1"/>
  <c r="J1270" i="1"/>
  <c r="K1270" i="1"/>
  <c r="L1270" i="1"/>
  <c r="M1270" i="1"/>
  <c r="N1270" i="1"/>
  <c r="H1271" i="1"/>
  <c r="I1271" i="1"/>
  <c r="J1271" i="1"/>
  <c r="K1271" i="1"/>
  <c r="L1271" i="1"/>
  <c r="M1271" i="1"/>
  <c r="N1271" i="1"/>
  <c r="H1272" i="1"/>
  <c r="I1272" i="1"/>
  <c r="J1272" i="1"/>
  <c r="K1272" i="1"/>
  <c r="L1272" i="1"/>
  <c r="M1272" i="1"/>
  <c r="N1272" i="1"/>
  <c r="H1273" i="1"/>
  <c r="I1273" i="1"/>
  <c r="J1273" i="1"/>
  <c r="K1273" i="1"/>
  <c r="L1273" i="1"/>
  <c r="M1273" i="1"/>
  <c r="N1273" i="1"/>
  <c r="H1274" i="1"/>
  <c r="I1274" i="1"/>
  <c r="J1274" i="1"/>
  <c r="K1274" i="1"/>
  <c r="L1274" i="1"/>
  <c r="M1274" i="1"/>
  <c r="N1274" i="1"/>
  <c r="H1275" i="1"/>
  <c r="I1275" i="1"/>
  <c r="J1275" i="1"/>
  <c r="K1275" i="1"/>
  <c r="L1275" i="1"/>
  <c r="M1275" i="1"/>
  <c r="N1275" i="1"/>
  <c r="H1276" i="1"/>
  <c r="I1276" i="1"/>
  <c r="J1276" i="1"/>
  <c r="K1276" i="1"/>
  <c r="L1276" i="1"/>
  <c r="M1276" i="1"/>
  <c r="N1276" i="1"/>
  <c r="H1277" i="1"/>
  <c r="I1277" i="1"/>
  <c r="J1277" i="1"/>
  <c r="K1277" i="1"/>
  <c r="L1277" i="1"/>
  <c r="M1277" i="1"/>
  <c r="N1277" i="1"/>
  <c r="H1278" i="1"/>
  <c r="I1278" i="1"/>
  <c r="J1278" i="1"/>
  <c r="K1278" i="1"/>
  <c r="L1278" i="1"/>
  <c r="M1278" i="1"/>
  <c r="N1278" i="1"/>
  <c r="H1279" i="1"/>
  <c r="I1279" i="1"/>
  <c r="J1279" i="1"/>
  <c r="K1279" i="1"/>
  <c r="L1279" i="1"/>
  <c r="M1279" i="1"/>
  <c r="N1279" i="1"/>
  <c r="H1280" i="1"/>
  <c r="I1280" i="1"/>
  <c r="J1280" i="1"/>
  <c r="K1280" i="1"/>
  <c r="L1280" i="1"/>
  <c r="M1280" i="1"/>
  <c r="N1280" i="1"/>
  <c r="H1281" i="1"/>
  <c r="I1281" i="1"/>
  <c r="J1281" i="1"/>
  <c r="K1281" i="1"/>
  <c r="L1281" i="1"/>
  <c r="M1281" i="1"/>
  <c r="N1281" i="1"/>
  <c r="H1282" i="1"/>
  <c r="I1282" i="1"/>
  <c r="J1282" i="1"/>
  <c r="K1282" i="1"/>
  <c r="L1282" i="1"/>
  <c r="M1282" i="1"/>
  <c r="N1282" i="1"/>
  <c r="H1283" i="1"/>
  <c r="I1283" i="1"/>
  <c r="J1283" i="1"/>
  <c r="K1283" i="1"/>
  <c r="L1283" i="1"/>
  <c r="M1283" i="1"/>
  <c r="N1283" i="1"/>
  <c r="H1284" i="1"/>
  <c r="I1284" i="1"/>
  <c r="J1284" i="1"/>
  <c r="K1284" i="1"/>
  <c r="L1284" i="1"/>
  <c r="M1284" i="1"/>
  <c r="N1284" i="1"/>
  <c r="H1285" i="1"/>
  <c r="I1285" i="1"/>
  <c r="J1285" i="1"/>
  <c r="K1285" i="1"/>
  <c r="L1285" i="1"/>
  <c r="M1285" i="1"/>
  <c r="N1285" i="1"/>
  <c r="H1286" i="1"/>
  <c r="I1286" i="1"/>
  <c r="J1286" i="1"/>
  <c r="K1286" i="1"/>
  <c r="L1286" i="1"/>
  <c r="M1286" i="1"/>
  <c r="N1286" i="1"/>
  <c r="H1287" i="1"/>
  <c r="I1287" i="1"/>
  <c r="J1287" i="1"/>
  <c r="K1287" i="1"/>
  <c r="L1287" i="1"/>
  <c r="M1287" i="1"/>
  <c r="N1287" i="1"/>
  <c r="H1288" i="1"/>
  <c r="I1288" i="1"/>
  <c r="J1288" i="1"/>
  <c r="K1288" i="1"/>
  <c r="L1288" i="1"/>
  <c r="M1288" i="1"/>
  <c r="N1288" i="1"/>
  <c r="H1289" i="1"/>
  <c r="I1289" i="1"/>
  <c r="J1289" i="1"/>
  <c r="K1289" i="1"/>
  <c r="L1289" i="1"/>
  <c r="M1289" i="1"/>
  <c r="N1289" i="1"/>
  <c r="H1290" i="1"/>
  <c r="I1290" i="1"/>
  <c r="J1290" i="1"/>
  <c r="K1290" i="1"/>
  <c r="L1290" i="1"/>
  <c r="M1290" i="1"/>
  <c r="N1290" i="1"/>
  <c r="H1291" i="1"/>
  <c r="I1291" i="1"/>
  <c r="J1291" i="1"/>
  <c r="K1291" i="1"/>
  <c r="L1291" i="1"/>
  <c r="M1291" i="1"/>
  <c r="N1291" i="1"/>
  <c r="H1292" i="1"/>
  <c r="I1292" i="1"/>
  <c r="J1292" i="1"/>
  <c r="K1292" i="1"/>
  <c r="L1292" i="1"/>
  <c r="M1292" i="1"/>
  <c r="N1292" i="1"/>
  <c r="H1293" i="1"/>
  <c r="I1293" i="1"/>
  <c r="J1293" i="1"/>
  <c r="K1293" i="1"/>
  <c r="L1293" i="1"/>
  <c r="M1293" i="1"/>
  <c r="N1293" i="1"/>
  <c r="H1294" i="1"/>
  <c r="I1294" i="1"/>
  <c r="J1294" i="1"/>
  <c r="K1294" i="1"/>
  <c r="L1294" i="1"/>
  <c r="M1294" i="1"/>
  <c r="N1294" i="1"/>
  <c r="H1295" i="1"/>
  <c r="I1295" i="1"/>
  <c r="J1295" i="1"/>
  <c r="K1295" i="1"/>
  <c r="L1295" i="1"/>
  <c r="M1295" i="1"/>
  <c r="N1295" i="1"/>
  <c r="H1296" i="1"/>
  <c r="I1296" i="1"/>
  <c r="J1296" i="1"/>
  <c r="K1296" i="1"/>
  <c r="L1296" i="1"/>
  <c r="M1296" i="1"/>
  <c r="N1296" i="1"/>
  <c r="H1297" i="1"/>
  <c r="I1297" i="1"/>
  <c r="J1297" i="1"/>
  <c r="K1297" i="1"/>
  <c r="L1297" i="1"/>
  <c r="M1297" i="1"/>
  <c r="N1297" i="1"/>
  <c r="H1298" i="1"/>
  <c r="I1298" i="1"/>
  <c r="J1298" i="1"/>
  <c r="K1298" i="1"/>
  <c r="L1298" i="1"/>
  <c r="M1298" i="1"/>
  <c r="N1298" i="1"/>
  <c r="H1299" i="1"/>
  <c r="I1299" i="1"/>
  <c r="J1299" i="1"/>
  <c r="K1299" i="1"/>
  <c r="L1299" i="1"/>
  <c r="M1299" i="1"/>
  <c r="N1299" i="1"/>
  <c r="H1300" i="1"/>
  <c r="I1300" i="1"/>
  <c r="J1300" i="1"/>
  <c r="K1300" i="1"/>
  <c r="L1300" i="1"/>
  <c r="M1300" i="1"/>
  <c r="N1300" i="1"/>
  <c r="H1301" i="1"/>
  <c r="I1301" i="1"/>
  <c r="J1301" i="1"/>
  <c r="K1301" i="1"/>
  <c r="L1301" i="1"/>
  <c r="M1301" i="1"/>
  <c r="N1301" i="1"/>
  <c r="H1302" i="1"/>
  <c r="I1302" i="1"/>
  <c r="J1302" i="1"/>
  <c r="K1302" i="1"/>
  <c r="L1302" i="1"/>
  <c r="M1302" i="1"/>
  <c r="N1302" i="1"/>
  <c r="H1303" i="1"/>
  <c r="I1303" i="1"/>
  <c r="J1303" i="1"/>
  <c r="K1303" i="1"/>
  <c r="L1303" i="1"/>
  <c r="M1303" i="1"/>
  <c r="N1303" i="1"/>
  <c r="H1304" i="1"/>
  <c r="I1304" i="1"/>
  <c r="J1304" i="1"/>
  <c r="K1304" i="1"/>
  <c r="L1304" i="1"/>
  <c r="M1304" i="1"/>
  <c r="N1304" i="1"/>
  <c r="H1305" i="1"/>
  <c r="I1305" i="1"/>
  <c r="J1305" i="1"/>
  <c r="K1305" i="1"/>
  <c r="L1305" i="1"/>
  <c r="M1305" i="1"/>
  <c r="N1305" i="1"/>
  <c r="H1306" i="1"/>
  <c r="I1306" i="1"/>
  <c r="J1306" i="1"/>
  <c r="K1306" i="1"/>
  <c r="L1306" i="1"/>
  <c r="M1306" i="1"/>
  <c r="N1306" i="1"/>
  <c r="H1307" i="1"/>
  <c r="I1307" i="1"/>
  <c r="J1307" i="1"/>
  <c r="K1307" i="1"/>
  <c r="L1307" i="1"/>
  <c r="M1307" i="1"/>
  <c r="N1307" i="1"/>
  <c r="H1308" i="1"/>
  <c r="I1308" i="1"/>
  <c r="J1308" i="1"/>
  <c r="K1308" i="1"/>
  <c r="L1308" i="1"/>
  <c r="M1308" i="1"/>
  <c r="N1308" i="1"/>
  <c r="H1309" i="1"/>
  <c r="I1309" i="1"/>
  <c r="J1309" i="1"/>
  <c r="K1309" i="1"/>
  <c r="L1309" i="1"/>
  <c r="M1309" i="1"/>
  <c r="N1309" i="1"/>
  <c r="H1310" i="1"/>
  <c r="I1310" i="1"/>
  <c r="J1310" i="1"/>
  <c r="K1310" i="1"/>
  <c r="L1310" i="1"/>
  <c r="M1310" i="1"/>
  <c r="N1310" i="1"/>
  <c r="H1311" i="1"/>
  <c r="I1311" i="1"/>
  <c r="J1311" i="1"/>
  <c r="K1311" i="1"/>
  <c r="L1311" i="1"/>
  <c r="M1311" i="1"/>
  <c r="N1311" i="1"/>
  <c r="H1312" i="1"/>
  <c r="I1312" i="1"/>
  <c r="J1312" i="1"/>
  <c r="K1312" i="1"/>
  <c r="L1312" i="1"/>
  <c r="M1312" i="1"/>
  <c r="N1312" i="1"/>
  <c r="H1313" i="1"/>
  <c r="I1313" i="1"/>
  <c r="J1313" i="1"/>
  <c r="K1313" i="1"/>
  <c r="L1313" i="1"/>
  <c r="M1313" i="1"/>
  <c r="N1313" i="1"/>
  <c r="H1314" i="1"/>
  <c r="I1314" i="1"/>
  <c r="J1314" i="1"/>
  <c r="K1314" i="1"/>
  <c r="L1314" i="1"/>
  <c r="M1314" i="1"/>
  <c r="N1314" i="1"/>
  <c r="H1315" i="1"/>
  <c r="I1315" i="1"/>
  <c r="J1315" i="1"/>
  <c r="K1315" i="1"/>
  <c r="L1315" i="1"/>
  <c r="M1315" i="1"/>
  <c r="N1315" i="1"/>
  <c r="H1316" i="1"/>
  <c r="I1316" i="1"/>
  <c r="J1316" i="1"/>
  <c r="K1316" i="1"/>
  <c r="L1316" i="1"/>
  <c r="M1316" i="1"/>
  <c r="N1316" i="1"/>
  <c r="H1317" i="1"/>
  <c r="I1317" i="1"/>
  <c r="J1317" i="1"/>
  <c r="K1317" i="1"/>
  <c r="L1317" i="1"/>
  <c r="M1317" i="1"/>
  <c r="N1317" i="1"/>
  <c r="H1318" i="1"/>
  <c r="I1318" i="1"/>
  <c r="J1318" i="1"/>
  <c r="K1318" i="1"/>
  <c r="L1318" i="1"/>
  <c r="M1318" i="1"/>
  <c r="N1318" i="1"/>
  <c r="H1319" i="1"/>
  <c r="I1319" i="1"/>
  <c r="J1319" i="1"/>
  <c r="K1319" i="1"/>
  <c r="L1319" i="1"/>
  <c r="M1319" i="1"/>
  <c r="N1319" i="1"/>
  <c r="H1320" i="1"/>
  <c r="I1320" i="1"/>
  <c r="J1320" i="1"/>
  <c r="K1320" i="1"/>
  <c r="L1320" i="1"/>
  <c r="M1320" i="1"/>
  <c r="N1320" i="1"/>
  <c r="H1321" i="1"/>
  <c r="I1321" i="1"/>
  <c r="J1321" i="1"/>
  <c r="K1321" i="1"/>
  <c r="L1321" i="1"/>
  <c r="M1321" i="1"/>
  <c r="N1321" i="1"/>
  <c r="H1322" i="1"/>
  <c r="I1322" i="1"/>
  <c r="J1322" i="1"/>
  <c r="K1322" i="1"/>
  <c r="L1322" i="1"/>
  <c r="M1322" i="1"/>
  <c r="N1322" i="1"/>
  <c r="H1323" i="1"/>
  <c r="I1323" i="1"/>
  <c r="J1323" i="1"/>
  <c r="K1323" i="1"/>
  <c r="L1323" i="1"/>
  <c r="M1323" i="1"/>
  <c r="N1323" i="1"/>
  <c r="H1324" i="1"/>
  <c r="I1324" i="1"/>
  <c r="J1324" i="1"/>
  <c r="K1324" i="1"/>
  <c r="L1324" i="1"/>
  <c r="M1324" i="1"/>
  <c r="N1324" i="1"/>
  <c r="H1325" i="1"/>
  <c r="I1325" i="1"/>
  <c r="J1325" i="1"/>
  <c r="K1325" i="1"/>
  <c r="L1325" i="1"/>
  <c r="M1325" i="1"/>
  <c r="N1325" i="1"/>
  <c r="H1326" i="1"/>
  <c r="I1326" i="1"/>
  <c r="J1326" i="1"/>
  <c r="K1326" i="1"/>
  <c r="L1326" i="1"/>
  <c r="M1326" i="1"/>
  <c r="N1326" i="1"/>
  <c r="H1327" i="1"/>
  <c r="I1327" i="1"/>
  <c r="J1327" i="1"/>
  <c r="K1327" i="1"/>
  <c r="L1327" i="1"/>
  <c r="M1327" i="1"/>
  <c r="N1327" i="1"/>
  <c r="H1328" i="1"/>
  <c r="I1328" i="1"/>
  <c r="J1328" i="1"/>
  <c r="K1328" i="1"/>
  <c r="L1328" i="1"/>
  <c r="M1328" i="1"/>
  <c r="N1328" i="1"/>
  <c r="H1329" i="1"/>
  <c r="I1329" i="1"/>
  <c r="J1329" i="1"/>
  <c r="K1329" i="1"/>
  <c r="L1329" i="1"/>
  <c r="M1329" i="1"/>
  <c r="N1329" i="1"/>
  <c r="H1330" i="1"/>
  <c r="I1330" i="1"/>
  <c r="J1330" i="1"/>
  <c r="K1330" i="1"/>
  <c r="L1330" i="1"/>
  <c r="M1330" i="1"/>
  <c r="N1330" i="1"/>
  <c r="H1331" i="1"/>
  <c r="I1331" i="1"/>
  <c r="J1331" i="1"/>
  <c r="K1331" i="1"/>
  <c r="L1331" i="1"/>
  <c r="M1331" i="1"/>
  <c r="N1331" i="1"/>
  <c r="H1332" i="1"/>
  <c r="I1332" i="1"/>
  <c r="J1332" i="1"/>
  <c r="K1332" i="1"/>
  <c r="L1332" i="1"/>
  <c r="M1332" i="1"/>
  <c r="N1332" i="1"/>
  <c r="H1333" i="1"/>
  <c r="I1333" i="1"/>
  <c r="J1333" i="1"/>
  <c r="K1333" i="1"/>
  <c r="L1333" i="1"/>
  <c r="M1333" i="1"/>
  <c r="N1333" i="1"/>
  <c r="H1334" i="1"/>
  <c r="I1334" i="1"/>
  <c r="J1334" i="1"/>
  <c r="K1334" i="1"/>
  <c r="L1334" i="1"/>
  <c r="M1334" i="1"/>
  <c r="N1334" i="1"/>
  <c r="H1335" i="1"/>
  <c r="I1335" i="1"/>
  <c r="J1335" i="1"/>
  <c r="K1335" i="1"/>
  <c r="L1335" i="1"/>
  <c r="M1335" i="1"/>
  <c r="N1335" i="1"/>
  <c r="H1336" i="1"/>
  <c r="I1336" i="1"/>
  <c r="J1336" i="1"/>
  <c r="K1336" i="1"/>
  <c r="L1336" i="1"/>
  <c r="M1336" i="1"/>
  <c r="N1336" i="1"/>
  <c r="H1337" i="1"/>
  <c r="I1337" i="1"/>
  <c r="J1337" i="1"/>
  <c r="K1337" i="1"/>
  <c r="L1337" i="1"/>
  <c r="M1337" i="1"/>
  <c r="N1337" i="1"/>
  <c r="H1338" i="1"/>
  <c r="I1338" i="1"/>
  <c r="J1338" i="1"/>
  <c r="K1338" i="1"/>
  <c r="L1338" i="1"/>
  <c r="M1338" i="1"/>
  <c r="N1338" i="1"/>
  <c r="H1339" i="1"/>
  <c r="I1339" i="1"/>
  <c r="J1339" i="1"/>
  <c r="K1339" i="1"/>
  <c r="L1339" i="1"/>
  <c r="M1339" i="1"/>
  <c r="N1339" i="1"/>
  <c r="H1340" i="1"/>
  <c r="I1340" i="1"/>
  <c r="J1340" i="1"/>
  <c r="K1340" i="1"/>
  <c r="L1340" i="1"/>
  <c r="M1340" i="1"/>
  <c r="N1340" i="1"/>
  <c r="H1341" i="1"/>
  <c r="I1341" i="1"/>
  <c r="J1341" i="1"/>
  <c r="K1341" i="1"/>
  <c r="L1341" i="1"/>
  <c r="M1341" i="1"/>
  <c r="N1341" i="1"/>
  <c r="H1342" i="1"/>
  <c r="I1342" i="1"/>
  <c r="J1342" i="1"/>
  <c r="K1342" i="1"/>
  <c r="L1342" i="1"/>
  <c r="M1342" i="1"/>
  <c r="N1342" i="1"/>
  <c r="H1343" i="1"/>
  <c r="I1343" i="1"/>
  <c r="J1343" i="1"/>
  <c r="K1343" i="1"/>
  <c r="L1343" i="1"/>
  <c r="M1343" i="1"/>
  <c r="N1343" i="1"/>
  <c r="H1344" i="1"/>
  <c r="I1344" i="1"/>
  <c r="J1344" i="1"/>
  <c r="K1344" i="1"/>
  <c r="L1344" i="1"/>
  <c r="M1344" i="1"/>
  <c r="N1344" i="1"/>
  <c r="H1345" i="1"/>
  <c r="I1345" i="1"/>
  <c r="J1345" i="1"/>
  <c r="K1345" i="1"/>
  <c r="L1345" i="1"/>
  <c r="M1345" i="1"/>
  <c r="N1345" i="1"/>
  <c r="H1346" i="1"/>
  <c r="I1346" i="1"/>
  <c r="J1346" i="1"/>
  <c r="K1346" i="1"/>
  <c r="L1346" i="1"/>
  <c r="M1346" i="1"/>
  <c r="N1346" i="1"/>
  <c r="H1347" i="1"/>
  <c r="I1347" i="1"/>
  <c r="J1347" i="1"/>
  <c r="K1347" i="1"/>
  <c r="L1347" i="1"/>
  <c r="M1347" i="1"/>
  <c r="N1347" i="1"/>
  <c r="H1348" i="1"/>
  <c r="I1348" i="1"/>
  <c r="J1348" i="1"/>
  <c r="K1348" i="1"/>
  <c r="L1348" i="1"/>
  <c r="M1348" i="1"/>
  <c r="N1348" i="1"/>
  <c r="H1349" i="1"/>
  <c r="I1349" i="1"/>
  <c r="J1349" i="1"/>
  <c r="K1349" i="1"/>
  <c r="L1349" i="1"/>
  <c r="M1349" i="1"/>
  <c r="N1349" i="1"/>
  <c r="H1350" i="1"/>
  <c r="I1350" i="1"/>
  <c r="J1350" i="1"/>
  <c r="K1350" i="1"/>
  <c r="L1350" i="1"/>
  <c r="M1350" i="1"/>
  <c r="N1350" i="1"/>
  <c r="H1351" i="1"/>
  <c r="I1351" i="1"/>
  <c r="J1351" i="1"/>
  <c r="K1351" i="1"/>
  <c r="L1351" i="1"/>
  <c r="M1351" i="1"/>
  <c r="N1351" i="1"/>
  <c r="H1352" i="1"/>
  <c r="I1352" i="1"/>
  <c r="J1352" i="1"/>
  <c r="K1352" i="1"/>
  <c r="L1352" i="1"/>
  <c r="M1352" i="1"/>
  <c r="N1352" i="1"/>
  <c r="H1353" i="1"/>
  <c r="I1353" i="1"/>
  <c r="J1353" i="1"/>
  <c r="K1353" i="1"/>
  <c r="L1353" i="1"/>
  <c r="M1353" i="1"/>
  <c r="N1353" i="1"/>
  <c r="H1354" i="1"/>
  <c r="I1354" i="1"/>
  <c r="J1354" i="1"/>
  <c r="K1354" i="1"/>
  <c r="L1354" i="1"/>
  <c r="M1354" i="1"/>
  <c r="N1354" i="1"/>
  <c r="H1355" i="1"/>
  <c r="I1355" i="1"/>
  <c r="J1355" i="1"/>
  <c r="K1355" i="1"/>
  <c r="L1355" i="1"/>
  <c r="M1355" i="1"/>
  <c r="N1355" i="1"/>
  <c r="H1356" i="1"/>
  <c r="I1356" i="1"/>
  <c r="J1356" i="1"/>
  <c r="K1356" i="1"/>
  <c r="L1356" i="1"/>
  <c r="M1356" i="1"/>
  <c r="N1356" i="1"/>
  <c r="H1357" i="1"/>
  <c r="I1357" i="1"/>
  <c r="J1357" i="1"/>
  <c r="K1357" i="1"/>
  <c r="L1357" i="1"/>
  <c r="M1357" i="1"/>
  <c r="N1357" i="1"/>
  <c r="H1358" i="1"/>
  <c r="I1358" i="1"/>
  <c r="J1358" i="1"/>
  <c r="K1358" i="1"/>
  <c r="L1358" i="1"/>
  <c r="M1358" i="1"/>
  <c r="N1358" i="1"/>
  <c r="H1359" i="1"/>
  <c r="I1359" i="1"/>
  <c r="J1359" i="1"/>
  <c r="K1359" i="1"/>
  <c r="L1359" i="1"/>
  <c r="M1359" i="1"/>
  <c r="N1359" i="1"/>
  <c r="H1360" i="1"/>
  <c r="I1360" i="1"/>
  <c r="J1360" i="1"/>
  <c r="K1360" i="1"/>
  <c r="L1360" i="1"/>
  <c r="M1360" i="1"/>
  <c r="N1360" i="1"/>
  <c r="H1361" i="1"/>
  <c r="I1361" i="1"/>
  <c r="J1361" i="1"/>
  <c r="K1361" i="1"/>
  <c r="L1361" i="1"/>
  <c r="M1361" i="1"/>
  <c r="N1361" i="1"/>
  <c r="H1362" i="1"/>
  <c r="I1362" i="1"/>
  <c r="J1362" i="1"/>
  <c r="K1362" i="1"/>
  <c r="L1362" i="1"/>
  <c r="M1362" i="1"/>
  <c r="N1362" i="1"/>
  <c r="H1363" i="1"/>
  <c r="I1363" i="1"/>
  <c r="J1363" i="1"/>
  <c r="K1363" i="1"/>
  <c r="L1363" i="1"/>
  <c r="M1363" i="1"/>
  <c r="N1363" i="1"/>
  <c r="H1364" i="1"/>
  <c r="I1364" i="1"/>
  <c r="J1364" i="1"/>
  <c r="K1364" i="1"/>
  <c r="L1364" i="1"/>
  <c r="M1364" i="1"/>
  <c r="N1364" i="1"/>
  <c r="H1365" i="1"/>
  <c r="I1365" i="1"/>
  <c r="J1365" i="1"/>
  <c r="K1365" i="1"/>
  <c r="L1365" i="1"/>
  <c r="M1365" i="1"/>
  <c r="N1365" i="1"/>
  <c r="H1366" i="1"/>
  <c r="I1366" i="1"/>
  <c r="J1366" i="1"/>
  <c r="K1366" i="1"/>
  <c r="L1366" i="1"/>
  <c r="M1366" i="1"/>
  <c r="N1366" i="1"/>
  <c r="H1367" i="1"/>
  <c r="I1367" i="1"/>
  <c r="J1367" i="1"/>
  <c r="K1367" i="1"/>
  <c r="L1367" i="1"/>
  <c r="M1367" i="1"/>
  <c r="N1367" i="1"/>
  <c r="H1368" i="1"/>
  <c r="I1368" i="1"/>
  <c r="J1368" i="1"/>
  <c r="K1368" i="1"/>
  <c r="L1368" i="1"/>
  <c r="M1368" i="1"/>
  <c r="N1368" i="1"/>
  <c r="H1369" i="1"/>
  <c r="I1369" i="1"/>
  <c r="J1369" i="1"/>
  <c r="K1369" i="1"/>
  <c r="L1369" i="1"/>
  <c r="M1369" i="1"/>
  <c r="N1369" i="1"/>
  <c r="H1370" i="1"/>
  <c r="I1370" i="1"/>
  <c r="J1370" i="1"/>
  <c r="K1370" i="1"/>
  <c r="L1370" i="1"/>
  <c r="M1370" i="1"/>
  <c r="N1370" i="1"/>
  <c r="H1371" i="1"/>
  <c r="I1371" i="1"/>
  <c r="J1371" i="1"/>
  <c r="K1371" i="1"/>
  <c r="L1371" i="1"/>
  <c r="M1371" i="1"/>
  <c r="N1371" i="1"/>
  <c r="H1372" i="1"/>
  <c r="I1372" i="1"/>
  <c r="J1372" i="1"/>
  <c r="K1372" i="1"/>
  <c r="L1372" i="1"/>
  <c r="M1372" i="1"/>
  <c r="N1372" i="1"/>
  <c r="H1373" i="1"/>
  <c r="I1373" i="1"/>
  <c r="J1373" i="1"/>
  <c r="K1373" i="1"/>
  <c r="L1373" i="1"/>
  <c r="M1373" i="1"/>
  <c r="N1373" i="1"/>
  <c r="H1374" i="1"/>
  <c r="I1374" i="1"/>
  <c r="J1374" i="1"/>
  <c r="K1374" i="1"/>
  <c r="L1374" i="1"/>
  <c r="M1374" i="1"/>
  <c r="N1374" i="1"/>
  <c r="H1375" i="1"/>
  <c r="I1375" i="1"/>
  <c r="J1375" i="1"/>
  <c r="K1375" i="1"/>
  <c r="L1375" i="1"/>
  <c r="M1375" i="1"/>
  <c r="N1375" i="1"/>
  <c r="H1376" i="1"/>
  <c r="I1376" i="1"/>
  <c r="J1376" i="1"/>
  <c r="K1376" i="1"/>
  <c r="L1376" i="1"/>
  <c r="M1376" i="1"/>
  <c r="N1376" i="1"/>
  <c r="H1377" i="1"/>
  <c r="I1377" i="1"/>
  <c r="J1377" i="1"/>
  <c r="K1377" i="1"/>
  <c r="L1377" i="1"/>
  <c r="M1377" i="1"/>
  <c r="N1377" i="1"/>
  <c r="H1378" i="1"/>
  <c r="I1378" i="1"/>
  <c r="J1378" i="1"/>
  <c r="K1378" i="1"/>
  <c r="L1378" i="1"/>
  <c r="M1378" i="1"/>
  <c r="N1378" i="1"/>
  <c r="H1379" i="1"/>
  <c r="I1379" i="1"/>
  <c r="J1379" i="1"/>
  <c r="K1379" i="1"/>
  <c r="L1379" i="1"/>
  <c r="M1379" i="1"/>
  <c r="N1379" i="1"/>
  <c r="H1380" i="1"/>
  <c r="I1380" i="1"/>
  <c r="J1380" i="1"/>
  <c r="K1380" i="1"/>
  <c r="L1380" i="1"/>
  <c r="M1380" i="1"/>
  <c r="N1380" i="1"/>
  <c r="H1381" i="1"/>
  <c r="I1381" i="1"/>
  <c r="J1381" i="1"/>
  <c r="K1381" i="1"/>
  <c r="L1381" i="1"/>
  <c r="M1381" i="1"/>
  <c r="N1381" i="1"/>
  <c r="H1382" i="1"/>
  <c r="I1382" i="1"/>
  <c r="J1382" i="1"/>
  <c r="K1382" i="1"/>
  <c r="L1382" i="1"/>
  <c r="M1382" i="1"/>
  <c r="N1382" i="1"/>
  <c r="H1383" i="1"/>
  <c r="I1383" i="1"/>
  <c r="J1383" i="1"/>
  <c r="K1383" i="1"/>
  <c r="L1383" i="1"/>
  <c r="M1383" i="1"/>
  <c r="N1383" i="1"/>
  <c r="H1384" i="1"/>
  <c r="I1384" i="1"/>
  <c r="J1384" i="1"/>
  <c r="K1384" i="1"/>
  <c r="L1384" i="1"/>
  <c r="M1384" i="1"/>
  <c r="N1384" i="1"/>
  <c r="H1385" i="1"/>
  <c r="I1385" i="1"/>
  <c r="J1385" i="1"/>
  <c r="K1385" i="1"/>
  <c r="L1385" i="1"/>
  <c r="M1385" i="1"/>
  <c r="N1385" i="1"/>
  <c r="H1386" i="1"/>
  <c r="I1386" i="1"/>
  <c r="J1386" i="1"/>
  <c r="K1386" i="1"/>
  <c r="L1386" i="1"/>
  <c r="M1386" i="1"/>
  <c r="N1386" i="1"/>
  <c r="H1387" i="1"/>
  <c r="I1387" i="1"/>
  <c r="J1387" i="1"/>
  <c r="K1387" i="1"/>
  <c r="L1387" i="1"/>
  <c r="M1387" i="1"/>
  <c r="N1387" i="1"/>
  <c r="H1388" i="1"/>
  <c r="I1388" i="1"/>
  <c r="J1388" i="1"/>
  <c r="K1388" i="1"/>
  <c r="L1388" i="1"/>
  <c r="M1388" i="1"/>
  <c r="N1388" i="1"/>
  <c r="H1389" i="1"/>
  <c r="I1389" i="1"/>
  <c r="J1389" i="1"/>
  <c r="K1389" i="1"/>
  <c r="L1389" i="1"/>
  <c r="M1389" i="1"/>
  <c r="N1389" i="1"/>
  <c r="H1390" i="1"/>
  <c r="I1390" i="1"/>
  <c r="J1390" i="1"/>
  <c r="K1390" i="1"/>
  <c r="L1390" i="1"/>
  <c r="M1390" i="1"/>
  <c r="N1390" i="1"/>
  <c r="H1391" i="1"/>
  <c r="I1391" i="1"/>
  <c r="J1391" i="1"/>
  <c r="K1391" i="1"/>
  <c r="L1391" i="1"/>
  <c r="M1391" i="1"/>
  <c r="N1391" i="1"/>
  <c r="H1392" i="1"/>
  <c r="I1392" i="1"/>
  <c r="J1392" i="1"/>
  <c r="K1392" i="1"/>
  <c r="L1392" i="1"/>
  <c r="M1392" i="1"/>
  <c r="N1392" i="1"/>
  <c r="H1393" i="1"/>
  <c r="I1393" i="1"/>
  <c r="J1393" i="1"/>
  <c r="K1393" i="1"/>
  <c r="L1393" i="1"/>
  <c r="M1393" i="1"/>
  <c r="N1393" i="1"/>
  <c r="H1394" i="1"/>
  <c r="I1394" i="1"/>
  <c r="J1394" i="1"/>
  <c r="K1394" i="1"/>
  <c r="L1394" i="1"/>
  <c r="M1394" i="1"/>
  <c r="N1394" i="1"/>
  <c r="H1395" i="1"/>
  <c r="I1395" i="1"/>
  <c r="J1395" i="1"/>
  <c r="K1395" i="1"/>
  <c r="L1395" i="1"/>
  <c r="M1395" i="1"/>
  <c r="N1395" i="1"/>
  <c r="H1396" i="1"/>
  <c r="I1396" i="1"/>
  <c r="J1396" i="1"/>
  <c r="K1396" i="1"/>
  <c r="L1396" i="1"/>
  <c r="M1396" i="1"/>
  <c r="N1396" i="1"/>
  <c r="H1397" i="1"/>
  <c r="I1397" i="1"/>
  <c r="J1397" i="1"/>
  <c r="K1397" i="1"/>
  <c r="L1397" i="1"/>
  <c r="M1397" i="1"/>
  <c r="N1397" i="1"/>
  <c r="H1398" i="1"/>
  <c r="I1398" i="1"/>
  <c r="J1398" i="1"/>
  <c r="K1398" i="1"/>
  <c r="L1398" i="1"/>
  <c r="M1398" i="1"/>
  <c r="N1398" i="1"/>
  <c r="H1399" i="1"/>
  <c r="I1399" i="1"/>
  <c r="J1399" i="1"/>
  <c r="K1399" i="1"/>
  <c r="L1399" i="1"/>
  <c r="M1399" i="1"/>
  <c r="N1399" i="1"/>
  <c r="H1400" i="1"/>
  <c r="I1400" i="1"/>
  <c r="J1400" i="1"/>
  <c r="K1400" i="1"/>
  <c r="L1400" i="1"/>
  <c r="M1400" i="1"/>
  <c r="N1400" i="1"/>
  <c r="H1401" i="1"/>
  <c r="I1401" i="1"/>
  <c r="J1401" i="1"/>
  <c r="K1401" i="1"/>
  <c r="L1401" i="1"/>
  <c r="M1401" i="1"/>
  <c r="N1401" i="1"/>
  <c r="H1402" i="1"/>
  <c r="I1402" i="1"/>
  <c r="J1402" i="1"/>
  <c r="K1402" i="1"/>
  <c r="L1402" i="1"/>
  <c r="M1402" i="1"/>
  <c r="N1402" i="1"/>
  <c r="H1403" i="1"/>
  <c r="I1403" i="1"/>
  <c r="J1403" i="1"/>
  <c r="K1403" i="1"/>
  <c r="L1403" i="1"/>
  <c r="M1403" i="1"/>
  <c r="N1403" i="1"/>
  <c r="H1404" i="1"/>
  <c r="I1404" i="1"/>
  <c r="J1404" i="1"/>
  <c r="K1404" i="1"/>
  <c r="L1404" i="1"/>
  <c r="M1404" i="1"/>
  <c r="N1404" i="1"/>
  <c r="H1405" i="1"/>
  <c r="I1405" i="1"/>
  <c r="J1405" i="1"/>
  <c r="K1405" i="1"/>
  <c r="L1405" i="1"/>
  <c r="M1405" i="1"/>
  <c r="N1405" i="1"/>
  <c r="H1406" i="1"/>
  <c r="I1406" i="1"/>
  <c r="J1406" i="1"/>
  <c r="K1406" i="1"/>
  <c r="L1406" i="1"/>
  <c r="M1406" i="1"/>
  <c r="N1406" i="1"/>
  <c r="H1407" i="1"/>
  <c r="I1407" i="1"/>
  <c r="J1407" i="1"/>
  <c r="K1407" i="1"/>
  <c r="L1407" i="1"/>
  <c r="M1407" i="1"/>
  <c r="N1407" i="1"/>
  <c r="H1408" i="1"/>
  <c r="I1408" i="1"/>
  <c r="J1408" i="1"/>
  <c r="K1408" i="1"/>
  <c r="L1408" i="1"/>
  <c r="M1408" i="1"/>
  <c r="N1408" i="1"/>
  <c r="H1409" i="1"/>
  <c r="I1409" i="1"/>
  <c r="J1409" i="1"/>
  <c r="K1409" i="1"/>
  <c r="L1409" i="1"/>
  <c r="M1409" i="1"/>
  <c r="N1409" i="1"/>
  <c r="H1410" i="1"/>
  <c r="I1410" i="1"/>
  <c r="J1410" i="1"/>
  <c r="K1410" i="1"/>
  <c r="L1410" i="1"/>
  <c r="M1410" i="1"/>
  <c r="N1410" i="1"/>
  <c r="H1411" i="1"/>
  <c r="I1411" i="1"/>
  <c r="J1411" i="1"/>
  <c r="K1411" i="1"/>
  <c r="L1411" i="1"/>
  <c r="M1411" i="1"/>
  <c r="N1411" i="1"/>
  <c r="H1412" i="1"/>
  <c r="I1412" i="1"/>
  <c r="J1412" i="1"/>
  <c r="K1412" i="1"/>
  <c r="L1412" i="1"/>
  <c r="M1412" i="1"/>
  <c r="N1412" i="1"/>
  <c r="H1413" i="1"/>
  <c r="I1413" i="1"/>
  <c r="J1413" i="1"/>
  <c r="K1413" i="1"/>
  <c r="L1413" i="1"/>
  <c r="M1413" i="1"/>
  <c r="N1413" i="1"/>
  <c r="H1414" i="1"/>
  <c r="I1414" i="1"/>
  <c r="J1414" i="1"/>
  <c r="K1414" i="1"/>
  <c r="L1414" i="1"/>
  <c r="M1414" i="1"/>
  <c r="N1414" i="1"/>
  <c r="H1415" i="1"/>
  <c r="I1415" i="1"/>
  <c r="J1415" i="1"/>
  <c r="K1415" i="1"/>
  <c r="L1415" i="1"/>
  <c r="M1415" i="1"/>
  <c r="N1415" i="1"/>
  <c r="H1416" i="1"/>
  <c r="I1416" i="1"/>
  <c r="J1416" i="1"/>
  <c r="K1416" i="1"/>
  <c r="L1416" i="1"/>
  <c r="M1416" i="1"/>
  <c r="N1416" i="1"/>
  <c r="H1417" i="1"/>
  <c r="I1417" i="1"/>
  <c r="J1417" i="1"/>
  <c r="K1417" i="1"/>
  <c r="L1417" i="1"/>
  <c r="M1417" i="1"/>
  <c r="N1417" i="1"/>
  <c r="H1418" i="1"/>
  <c r="I1418" i="1"/>
  <c r="J1418" i="1"/>
  <c r="K1418" i="1"/>
  <c r="L1418" i="1"/>
  <c r="M1418" i="1"/>
  <c r="N1418" i="1"/>
  <c r="H1419" i="1"/>
  <c r="I1419" i="1"/>
  <c r="J1419" i="1"/>
  <c r="K1419" i="1"/>
  <c r="L1419" i="1"/>
  <c r="M1419" i="1"/>
  <c r="N1419" i="1"/>
  <c r="H1420" i="1"/>
  <c r="I1420" i="1"/>
  <c r="J1420" i="1"/>
  <c r="K1420" i="1"/>
  <c r="L1420" i="1"/>
  <c r="M1420" i="1"/>
  <c r="N1420" i="1"/>
  <c r="H1421" i="1"/>
  <c r="I1421" i="1"/>
  <c r="J1421" i="1"/>
  <c r="K1421" i="1"/>
  <c r="L1421" i="1"/>
  <c r="M1421" i="1"/>
  <c r="N1421" i="1"/>
  <c r="H1422" i="1"/>
  <c r="I1422" i="1"/>
  <c r="J1422" i="1"/>
  <c r="K1422" i="1"/>
  <c r="L1422" i="1"/>
  <c r="M1422" i="1"/>
  <c r="N1422" i="1"/>
  <c r="H1423" i="1"/>
  <c r="I1423" i="1"/>
  <c r="J1423" i="1"/>
  <c r="K1423" i="1"/>
  <c r="L1423" i="1"/>
  <c r="M1423" i="1"/>
  <c r="N1423" i="1"/>
  <c r="H1424" i="1"/>
  <c r="I1424" i="1"/>
  <c r="J1424" i="1"/>
  <c r="K1424" i="1"/>
  <c r="L1424" i="1"/>
  <c r="M1424" i="1"/>
  <c r="N1424" i="1"/>
  <c r="H1425" i="1"/>
  <c r="I1425" i="1"/>
  <c r="J1425" i="1"/>
  <c r="K1425" i="1"/>
  <c r="L1425" i="1"/>
  <c r="M1425" i="1"/>
  <c r="N1425" i="1"/>
  <c r="H1426" i="1"/>
  <c r="I1426" i="1"/>
  <c r="J1426" i="1"/>
  <c r="K1426" i="1"/>
  <c r="L1426" i="1"/>
  <c r="M1426" i="1"/>
  <c r="N1426" i="1"/>
  <c r="H1427" i="1"/>
  <c r="I1427" i="1"/>
  <c r="J1427" i="1"/>
  <c r="K1427" i="1"/>
  <c r="L1427" i="1"/>
  <c r="M1427" i="1"/>
  <c r="N1427" i="1"/>
  <c r="H1428" i="1"/>
  <c r="I1428" i="1"/>
  <c r="J1428" i="1"/>
  <c r="K1428" i="1"/>
  <c r="L1428" i="1"/>
  <c r="M1428" i="1"/>
  <c r="N1428" i="1"/>
  <c r="H1429" i="1"/>
  <c r="I1429" i="1"/>
  <c r="J1429" i="1"/>
  <c r="K1429" i="1"/>
  <c r="L1429" i="1"/>
  <c r="M1429" i="1"/>
  <c r="N1429" i="1"/>
  <c r="H1430" i="1"/>
  <c r="I1430" i="1"/>
  <c r="J1430" i="1"/>
  <c r="K1430" i="1"/>
  <c r="L1430" i="1"/>
  <c r="M1430" i="1"/>
  <c r="N1430" i="1"/>
  <c r="H1431" i="1"/>
  <c r="I1431" i="1"/>
  <c r="J1431" i="1"/>
  <c r="K1431" i="1"/>
  <c r="L1431" i="1"/>
  <c r="M1431" i="1"/>
  <c r="N1431" i="1"/>
  <c r="H1432" i="1"/>
  <c r="I1432" i="1"/>
  <c r="J1432" i="1"/>
  <c r="K1432" i="1"/>
  <c r="L1432" i="1"/>
  <c r="M1432" i="1"/>
  <c r="N1432" i="1"/>
  <c r="H1433" i="1"/>
  <c r="I1433" i="1"/>
  <c r="J1433" i="1"/>
  <c r="K1433" i="1"/>
  <c r="L1433" i="1"/>
  <c r="M1433" i="1"/>
  <c r="N1433" i="1"/>
  <c r="H1434" i="1"/>
  <c r="I1434" i="1"/>
  <c r="J1434" i="1"/>
  <c r="K1434" i="1"/>
  <c r="L1434" i="1"/>
  <c r="M1434" i="1"/>
  <c r="N1434" i="1"/>
  <c r="H1435" i="1"/>
  <c r="I1435" i="1"/>
  <c r="J1435" i="1"/>
  <c r="K1435" i="1"/>
  <c r="L1435" i="1"/>
  <c r="M1435" i="1"/>
  <c r="N1435" i="1"/>
  <c r="H1436" i="1"/>
  <c r="I1436" i="1"/>
  <c r="J1436" i="1"/>
  <c r="K1436" i="1"/>
  <c r="L1436" i="1"/>
  <c r="M1436" i="1"/>
  <c r="N1436" i="1"/>
  <c r="H1437" i="1"/>
  <c r="I1437" i="1"/>
  <c r="J1437" i="1"/>
  <c r="K1437" i="1"/>
  <c r="L1437" i="1"/>
  <c r="M1437" i="1"/>
  <c r="N1437" i="1"/>
  <c r="H1438" i="1"/>
  <c r="I1438" i="1"/>
  <c r="J1438" i="1"/>
  <c r="K1438" i="1"/>
  <c r="L1438" i="1"/>
  <c r="M1438" i="1"/>
  <c r="N1438" i="1"/>
  <c r="H1439" i="1"/>
  <c r="I1439" i="1"/>
  <c r="J1439" i="1"/>
  <c r="K1439" i="1"/>
  <c r="L1439" i="1"/>
  <c r="M1439" i="1"/>
  <c r="N1439" i="1"/>
  <c r="H1440" i="1"/>
  <c r="I1440" i="1"/>
  <c r="J1440" i="1"/>
  <c r="K1440" i="1"/>
  <c r="L1440" i="1"/>
  <c r="M1440" i="1"/>
  <c r="N1440" i="1"/>
  <c r="H1441" i="1"/>
  <c r="I1441" i="1"/>
  <c r="J1441" i="1"/>
  <c r="K1441" i="1"/>
  <c r="L1441" i="1"/>
  <c r="M1441" i="1"/>
  <c r="N1441" i="1"/>
  <c r="H1442" i="1"/>
  <c r="I1442" i="1"/>
  <c r="J1442" i="1"/>
  <c r="K1442" i="1"/>
  <c r="L1442" i="1"/>
  <c r="M1442" i="1"/>
  <c r="N1442" i="1"/>
  <c r="H1443" i="1"/>
  <c r="I1443" i="1"/>
  <c r="J1443" i="1"/>
  <c r="K1443" i="1"/>
  <c r="L1443" i="1"/>
  <c r="M1443" i="1"/>
  <c r="N1443" i="1"/>
  <c r="H1444" i="1"/>
  <c r="I1444" i="1"/>
  <c r="J1444" i="1"/>
  <c r="K1444" i="1"/>
  <c r="L1444" i="1"/>
  <c r="M1444" i="1"/>
  <c r="N1444" i="1"/>
  <c r="H1445" i="1"/>
  <c r="I1445" i="1"/>
  <c r="J1445" i="1"/>
  <c r="K1445" i="1"/>
  <c r="L1445" i="1"/>
  <c r="M1445" i="1"/>
  <c r="N1445" i="1"/>
  <c r="H1446" i="1"/>
  <c r="I1446" i="1"/>
  <c r="J1446" i="1"/>
  <c r="K1446" i="1"/>
  <c r="L1446" i="1"/>
  <c r="M1446" i="1"/>
  <c r="N1446" i="1"/>
  <c r="H1447" i="1"/>
  <c r="I1447" i="1"/>
  <c r="J1447" i="1"/>
  <c r="K1447" i="1"/>
  <c r="L1447" i="1"/>
  <c r="M1447" i="1"/>
  <c r="N1447" i="1"/>
  <c r="H1448" i="1"/>
  <c r="I1448" i="1"/>
  <c r="J1448" i="1"/>
  <c r="K1448" i="1"/>
  <c r="L1448" i="1"/>
  <c r="M1448" i="1"/>
  <c r="N1448" i="1"/>
  <c r="H1449" i="1"/>
  <c r="I1449" i="1"/>
  <c r="J1449" i="1"/>
  <c r="K1449" i="1"/>
  <c r="L1449" i="1"/>
  <c r="M1449" i="1"/>
  <c r="N1449" i="1"/>
  <c r="H1450" i="1"/>
  <c r="I1450" i="1"/>
  <c r="J1450" i="1"/>
  <c r="K1450" i="1"/>
  <c r="L1450" i="1"/>
  <c r="M1450" i="1"/>
  <c r="N1450" i="1"/>
  <c r="H1451" i="1"/>
  <c r="I1451" i="1"/>
  <c r="J1451" i="1"/>
  <c r="K1451" i="1"/>
  <c r="L1451" i="1"/>
  <c r="M1451" i="1"/>
  <c r="N1451" i="1"/>
  <c r="H1452" i="1"/>
  <c r="I1452" i="1"/>
  <c r="J1452" i="1"/>
  <c r="K1452" i="1"/>
  <c r="L1452" i="1"/>
  <c r="M1452" i="1"/>
  <c r="N1452" i="1"/>
  <c r="H1453" i="1"/>
  <c r="I1453" i="1"/>
  <c r="J1453" i="1"/>
  <c r="K1453" i="1"/>
  <c r="L1453" i="1"/>
  <c r="M1453" i="1"/>
  <c r="N1453" i="1"/>
  <c r="I18" i="1"/>
  <c r="J18" i="1"/>
  <c r="K18" i="1"/>
  <c r="L18" i="1"/>
  <c r="M18" i="1"/>
  <c r="N18" i="1"/>
  <c r="H18" i="1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7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ID#AAABWP7tvxU
Tiago Monteiro    (2024-10-01 20:25:25)
Aqui você deve somar os valores das colunas AC, AD, AE ... Até AI, a partir da linha 16.
Pesquise a função SOMA.
Nestas células você não deve copiar a primeira e colar nas demais, você deve fazer uma soma para cada estado, sendo SP a soma de AC, MG a soma de AD... até AM sendo a soma de AI.</t>
        </r>
      </text>
    </comment>
    <comment ref="H17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ID#AAABWP7tvxc
Tiago Monteiro    (2024-10-01 20:25:25)
Aqui você deve criar uma fórmula que junte a UF Origem (Célula azul) com a UF da coluna, ex: "SPSP", "SPMG"...
Essa célula vai te ajudar nas próximas tarefas.
Pesquise sobre concatenar e não se esqueça de pesquisar a função dos $ nas fórmulas excel.
O resultado da sua primeira célula deve poder ser copiado e colado nas demais e funcionar perfeitamente.</t>
        </r>
      </text>
    </comment>
    <comment ref="O1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ID#AAABWP7tvxY
Tiago Monteiro    (2024-10-01 20:25:25)
Pesquise a função PROCV.
Você deve procurar na planilha KM qual a distância entre o estado de Origem (Coluna azul) e o estado de destino (Esta coluna).
Para fazer a pesquisa, utilize a célula "Chave auxiliar" correspondente.</t>
        </r>
      </text>
    </comment>
    <comment ref="V1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ID#AAABWP7tvxQ
Tiago Monteiro    (2024-10-01 20:25:25)
Pesquise a função PROCV.
Você deve procurar na planilha Alíquota qual a alíquota do ICMS entre o estado de Origem (Coluna azul) e o estado de destino (Esta coluna).
Para fazer a pesquisa, utilize a célula "Chave auxiliar" correspondente.</t>
        </r>
      </text>
    </comment>
    <comment ref="AC1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ID#AAABWP7tvxg
Aqui você deve calcular quanto é o valor bruto com a fórmula    (2024-10-01 20:25:25)
(Valor Líquido + KM * Valor frete) / (1 - Alíquota da UF)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dnTCAPh8FRPT+H6KitAuYQle3Q=="/>
    </ext>
  </extLst>
</comments>
</file>

<file path=xl/sharedStrings.xml><?xml version="1.0" encoding="utf-8"?>
<sst xmlns="http://schemas.openxmlformats.org/spreadsheetml/2006/main" count="14356" uniqueCount="1795">
  <si>
    <t>FAÇA O DOWNLOAD DO ARQUIVO PARA EDITAR</t>
  </si>
  <si>
    <t>1- Você precisa preencher a fórmula somente nas células em amarelo e copia-la para as demais</t>
  </si>
  <si>
    <t>2- Preencha a fórmula segundo o comentário feito na célula</t>
  </si>
  <si>
    <t>3- Copie a sua fórmula para os demais estados e confira se ela está correta. (Pesquise sobre a função do "$" nas fórmulas em Excel)</t>
  </si>
  <si>
    <t>Valor frete</t>
  </si>
  <si>
    <t>Total SP</t>
  </si>
  <si>
    <t>Total MG</t>
  </si>
  <si>
    <t>Total ES</t>
  </si>
  <si>
    <t>Total SC</t>
  </si>
  <si>
    <t>Total RJ</t>
  </si>
  <si>
    <t>Total PR</t>
  </si>
  <si>
    <t>Total AM</t>
  </si>
  <si>
    <t>Chave auxiliar para pesquisa</t>
  </si>
  <si>
    <t>Kilômetros de frete com fábrica em</t>
  </si>
  <si>
    <t>Alíquota do imposto com fábrica em</t>
  </si>
  <si>
    <t>Valor do bruto com Imposto e Frete</t>
  </si>
  <si>
    <t>SKU</t>
  </si>
  <si>
    <t>Descrição</t>
  </si>
  <si>
    <t>NCM</t>
  </si>
  <si>
    <t>OrigemMercadoria</t>
  </si>
  <si>
    <t>UF Origem</t>
  </si>
  <si>
    <t>Quantidade</t>
  </si>
  <si>
    <t>ValorLiquido</t>
  </si>
  <si>
    <t>SP</t>
  </si>
  <si>
    <t>MG</t>
  </si>
  <si>
    <t>ES</t>
  </si>
  <si>
    <t>SC</t>
  </si>
  <si>
    <t>RJ</t>
  </si>
  <si>
    <t>PR</t>
  </si>
  <si>
    <t>AM</t>
  </si>
  <si>
    <t>758517</t>
  </si>
  <si>
    <t>CAMARAO.VIV.DESC.CONG 71 A 130 PUD  1 KG</t>
  </si>
  <si>
    <t>03061790</t>
  </si>
  <si>
    <t>NACIONAL</t>
  </si>
  <si>
    <t>BA</t>
  </si>
  <si>
    <t>758675</t>
  </si>
  <si>
    <t>CAMARAO AL MARE C/RABO 51/60 PEDTON  1 KG VIV.DESC.CONG</t>
  </si>
  <si>
    <t>790348</t>
  </si>
  <si>
    <t>CAMARAO AL MARE C/RABO 41/50 PEDTON  1 KG VIV.DESC.CONG</t>
  </si>
  <si>
    <t>758612</t>
  </si>
  <si>
    <t>CAMARAO.VIV.DESC.CONG 71 A 130 PUD 2 KG</t>
  </si>
  <si>
    <t>CE</t>
  </si>
  <si>
    <t>756997</t>
  </si>
  <si>
    <t>CAMARAO 2 KG DESC 111/200 PUD</t>
  </si>
  <si>
    <t>758590</t>
  </si>
  <si>
    <t>CAMARAO 1 KG DESC 111/200 PUD</t>
  </si>
  <si>
    <t>CAMARAO.VIV.DESC.CONG 111/200 PUD 1 KG</t>
  </si>
  <si>
    <t>400001</t>
  </si>
  <si>
    <t>LEITE EM PO (IMPORTADO) (FABRICA)</t>
  </si>
  <si>
    <t>04022110</t>
  </si>
  <si>
    <t>IMPORTADO</t>
  </si>
  <si>
    <t>GO</t>
  </si>
  <si>
    <t>757748</t>
  </si>
  <si>
    <t>QUEIJO GORGONZOLA</t>
  </si>
  <si>
    <t>04064000</t>
  </si>
  <si>
    <t>757749</t>
  </si>
  <si>
    <t>QUEIJO MINAS FRESCAL 1,5KG</t>
  </si>
  <si>
    <t>04061090</t>
  </si>
  <si>
    <t>758287</t>
  </si>
  <si>
    <t>CHAMPIGNON CX 6X1KG (IMPORTADO)</t>
  </si>
  <si>
    <t>20031000</t>
  </si>
  <si>
    <t>758700</t>
  </si>
  <si>
    <t>QJ PARMESAO FRACIONADO 36X300GR</t>
  </si>
  <si>
    <t>04069010</t>
  </si>
  <si>
    <t>758571</t>
  </si>
  <si>
    <t>AZEITONA PRETA FATIADA LATA 3KG (1,56 DREN) (IMPORTADO)</t>
  </si>
  <si>
    <t>20057000</t>
  </si>
  <si>
    <t>320003</t>
  </si>
  <si>
    <t>MUSSARELA EM PECA (FABRICA)</t>
  </si>
  <si>
    <t>04061010</t>
  </si>
  <si>
    <t>320026</t>
  </si>
  <si>
    <t>GORGONZOLA (FABRICA)</t>
  </si>
  <si>
    <t>320007</t>
  </si>
  <si>
    <t>PROVOLONE (FABRICA)</t>
  </si>
  <si>
    <t>320018</t>
  </si>
  <si>
    <t>RICOTA (FABRICA)</t>
  </si>
  <si>
    <t>420001</t>
  </si>
  <si>
    <t>POLPA DE TOMATE BEST PULP  BRIX 30/32 (FABRICA)</t>
  </si>
  <si>
    <t>20029090</t>
  </si>
  <si>
    <t>132209</t>
  </si>
  <si>
    <t>AZEITE EV OLIVA LT 500ML (IMPORTADO)</t>
  </si>
  <si>
    <t>15091000</t>
  </si>
  <si>
    <t>758301</t>
  </si>
  <si>
    <t>QUEIJO MUSSARELA CUBOS PCT 4KG</t>
  </si>
  <si>
    <t>790094</t>
  </si>
  <si>
    <t>EXTRATO DE TOMATE LATA 340 G</t>
  </si>
  <si>
    <t>21032010</t>
  </si>
  <si>
    <t>300092</t>
  </si>
  <si>
    <t>COXA SBCOXA S/OSSO (FABRICA)</t>
  </si>
  <si>
    <t>02071300</t>
  </si>
  <si>
    <t>320005</t>
  </si>
  <si>
    <t>PARMESAO (FABRICA)</t>
  </si>
  <si>
    <t>380057</t>
  </si>
  <si>
    <t>TOMATE PO KNORR DESIDRATADO 750GR (FABRICA)</t>
  </si>
  <si>
    <t>420004</t>
  </si>
  <si>
    <t>POLPA C/ TOMATE TRITURADO BRIX 20/21 (FABRICA)</t>
  </si>
  <si>
    <t>132034</t>
  </si>
  <si>
    <t>LACRE CAIXA PIZZA -ROLO C/2000</t>
  </si>
  <si>
    <t>48211000</t>
  </si>
  <si>
    <t>757112</t>
  </si>
  <si>
    <t>OVO CODORNA COSERVA C/ 1KG</t>
  </si>
  <si>
    <t>04081900</t>
  </si>
  <si>
    <t>758516</t>
  </si>
  <si>
    <t>ALMONDEGA COZ. E CONG. CX 4 KG</t>
  </si>
  <si>
    <t>16025000</t>
  </si>
  <si>
    <t>790019</t>
  </si>
  <si>
    <t>LEITE EM PO LATA DE 400G</t>
  </si>
  <si>
    <t>790253</t>
  </si>
  <si>
    <t>ADESIVO CONSUMO IMEDIATO 1000U</t>
  </si>
  <si>
    <t>121038</t>
  </si>
  <si>
    <t>CHOCOLATE GRANULADO PCT 1KG</t>
  </si>
  <si>
    <t>18063210</t>
  </si>
  <si>
    <t>790418</t>
  </si>
  <si>
    <t>LACRE SEG. GO KONI RL C/ 2000 UND</t>
  </si>
  <si>
    <t>757555</t>
  </si>
  <si>
    <t>PORTA TALHER VIME REF 137</t>
  </si>
  <si>
    <t>44190000</t>
  </si>
  <si>
    <t>340010</t>
  </si>
  <si>
    <t>FARINHA DE TRIGO (FABRICA)</t>
  </si>
  <si>
    <t>11010010</t>
  </si>
  <si>
    <t>1068</t>
  </si>
  <si>
    <t>CARNE MOIDA DE SUINO BB</t>
  </si>
  <si>
    <t>16024900</t>
  </si>
  <si>
    <t>CARNE MOIDA DE SUINO BB (FABRICA)</t>
  </si>
  <si>
    <t>132406</t>
  </si>
  <si>
    <t>CARNE SECA PCT 400 GR</t>
  </si>
  <si>
    <t>758694</t>
  </si>
  <si>
    <t>PEITO FRANGO GRELHADO CONG CX 4 X 2,5 KG</t>
  </si>
  <si>
    <t>16023100</t>
  </si>
  <si>
    <t>121011</t>
  </si>
  <si>
    <t>QUEIJO MUSSARELA FRIMES CX12KG</t>
  </si>
  <si>
    <t>132478</t>
  </si>
  <si>
    <t>QUEIJO MUSSARELA 1 X 6,8KG (IMPORTADO)</t>
  </si>
  <si>
    <t>758249</t>
  </si>
  <si>
    <t>PRESUNTO FATIADO CX 3 KG</t>
  </si>
  <si>
    <t>16010000</t>
  </si>
  <si>
    <t>758250</t>
  </si>
  <si>
    <t>MUSSARELA FATIADA CX 3KG</t>
  </si>
  <si>
    <t>758637</t>
  </si>
  <si>
    <t>BROCOLIS FLORETE 10X1,1KG</t>
  </si>
  <si>
    <t>07108000</t>
  </si>
  <si>
    <t>790417</t>
  </si>
  <si>
    <t>FRANGO COZ CUBOS14 X 700 GR</t>
  </si>
  <si>
    <t>16023220</t>
  </si>
  <si>
    <t>320008</t>
  </si>
  <si>
    <t>REQUEIJAO (FABRICA)</t>
  </si>
  <si>
    <t>132278</t>
  </si>
  <si>
    <t>REQUEIJAO CX 36 X 0,400 GR</t>
  </si>
  <si>
    <t>132483</t>
  </si>
  <si>
    <t>REQUEIJAO CREMOSO C/ AMIDO 36X400GR</t>
  </si>
  <si>
    <t>320010</t>
  </si>
  <si>
    <t>MUSSARELA EM CUBOS FRIMESA (FABRICA)</t>
  </si>
  <si>
    <t>132453</t>
  </si>
  <si>
    <t>QJ MUSSARELA RALADA CONG CX 9X2,5KG</t>
  </si>
  <si>
    <t>758600</t>
  </si>
  <si>
    <t>AZEITE BAGACO OLIVA 5,03 LT (IMPORTADO)</t>
  </si>
  <si>
    <t>132439</t>
  </si>
  <si>
    <t>QJ MUSSARELA RALADA CONG CX 6X2,5KG</t>
  </si>
  <si>
    <t>790381</t>
  </si>
  <si>
    <t>EMBALAGEM MINI YAKISOBA PCT C/ 80 UNIDADES</t>
  </si>
  <si>
    <t>39239000</t>
  </si>
  <si>
    <t>790396</t>
  </si>
  <si>
    <t>ETIQUETA BOPP FOSCO 100X50MM RL 754UND</t>
  </si>
  <si>
    <t>48219000</t>
  </si>
  <si>
    <t>790414</t>
  </si>
  <si>
    <t>FILE DE SALMAO CONG S/ PELE CX 25 KG 2/3LB (IMPORTADO)</t>
  </si>
  <si>
    <t>03048100</t>
  </si>
  <si>
    <t>132275</t>
  </si>
  <si>
    <t>CAIXA 12 PCT 50 UN M NOVA ARTE</t>
  </si>
  <si>
    <t>48191000</t>
  </si>
  <si>
    <t>132304</t>
  </si>
  <si>
    <t>ETIQUETA ZEBRA 95X60 ROLO 754</t>
  </si>
  <si>
    <t>132305</t>
  </si>
  <si>
    <t>CALDA DE BRIGADEIRO 4 KG</t>
  </si>
  <si>
    <t>757080</t>
  </si>
  <si>
    <t>GUARDANAP SPOL 33X33CM CX 3000</t>
  </si>
  <si>
    <t>48183000</t>
  </si>
  <si>
    <t>757124</t>
  </si>
  <si>
    <t>PEITO/BLANKET PERU 4X1,7KG</t>
  </si>
  <si>
    <t>757153</t>
  </si>
  <si>
    <t>SACO LIXO PRETO 100X60LT</t>
  </si>
  <si>
    <t>39232190</t>
  </si>
  <si>
    <t>757154</t>
  </si>
  <si>
    <t>SACO TALHER PLASTICO PT 1000UN</t>
  </si>
  <si>
    <t>757155</t>
  </si>
  <si>
    <t>SACOLA PLAST 38X48 C/ 1000UN</t>
  </si>
  <si>
    <t>757160</t>
  </si>
  <si>
    <t>SACO LIXO 100X240LT</t>
  </si>
  <si>
    <t>757266</t>
  </si>
  <si>
    <t>ETIQUETAS PLACA TEMPEROS 5UN</t>
  </si>
  <si>
    <t>757903</t>
  </si>
  <si>
    <t>JARRA GRADUADA 1LT REF 202 (IMPORTADO)</t>
  </si>
  <si>
    <t>39241000</t>
  </si>
  <si>
    <t>758302</t>
  </si>
  <si>
    <t>GUARDANAPO EMBALADO C/ 700 PT SPOLETO</t>
  </si>
  <si>
    <t>758321</t>
  </si>
  <si>
    <t>BOBINA BALANCA FILIZOLA ROLO</t>
  </si>
  <si>
    <t>758381</t>
  </si>
  <si>
    <t>SACO LIXO 100 LT TRANSP 100 UN</t>
  </si>
  <si>
    <t>758430</t>
  </si>
  <si>
    <t>BOBINA PICOT TRANSP30X40 500 U</t>
  </si>
  <si>
    <t>758453</t>
  </si>
  <si>
    <t>BANDEJA PLASTICA VERDE - UN</t>
  </si>
  <si>
    <t>758458</t>
  </si>
  <si>
    <t>PRESUNTO CRU FATIADO 12 X 100 GR (IMPORTADO)</t>
  </si>
  <si>
    <t>02101900</t>
  </si>
  <si>
    <t>758463</t>
  </si>
  <si>
    <t>PRESUNTO ITALIANO CRU FATIADO CX12X250GR</t>
  </si>
  <si>
    <t>758518</t>
  </si>
  <si>
    <t>BACON IN NATURA CUBOS CX2X2KG</t>
  </si>
  <si>
    <t>02101200</t>
  </si>
  <si>
    <t>758528</t>
  </si>
  <si>
    <t>COLHER SOB INDIV PRETO CX 1000</t>
  </si>
  <si>
    <t>758573</t>
  </si>
  <si>
    <t>DRENO PARA CARNES GRANDE REF 20CWD135</t>
  </si>
  <si>
    <t>758582</t>
  </si>
  <si>
    <t>TAMPA ORGA DESCONG REF 1826CCW13</t>
  </si>
  <si>
    <t>39235000</t>
  </si>
  <si>
    <t>758587</t>
  </si>
  <si>
    <t>SACO VIAGEM SPOLETO PCT 500 UNID</t>
  </si>
  <si>
    <t>48194000</t>
  </si>
  <si>
    <t>758602</t>
  </si>
  <si>
    <t>MOLHO CAESAR 6 X 245G</t>
  </si>
  <si>
    <t>21039091</t>
  </si>
  <si>
    <t>758604</t>
  </si>
  <si>
    <t>MOLHO GERGELIM E GENGIBRE 6 X 245G</t>
  </si>
  <si>
    <t>758605</t>
  </si>
  <si>
    <t>MOLHO MARACUJA 6 X 245G</t>
  </si>
  <si>
    <t>758649</t>
  </si>
  <si>
    <t>PAPEL BANDEJA SPOL PCT 1000 UND</t>
  </si>
  <si>
    <t>758678</t>
  </si>
  <si>
    <t>MOLHO BALSAMICO 8 X 750ML</t>
  </si>
  <si>
    <t>21039021</t>
  </si>
  <si>
    <t>758702</t>
  </si>
  <si>
    <t>MOLHO BALSAMICO 3 X 750ML</t>
  </si>
  <si>
    <t>758703</t>
  </si>
  <si>
    <t>MOLHO AGRUMES 3 X 750ML</t>
  </si>
  <si>
    <t>758705</t>
  </si>
  <si>
    <t>MOLHO CAESAR 3 X 750ML</t>
  </si>
  <si>
    <t>132142</t>
  </si>
  <si>
    <t>BANDEJA DE MASSA PIZZA AZUL (IMPORTADO)</t>
  </si>
  <si>
    <t>340003</t>
  </si>
  <si>
    <t>FARINHA DE TRIGO IMPORTADA 14% ( FABRICA)</t>
  </si>
  <si>
    <t>790345</t>
  </si>
  <si>
    <t>FILE DE SALMAO CONG S/ PELE CX 15 KG (IMPORTADO)</t>
  </si>
  <si>
    <t>121024</t>
  </si>
  <si>
    <t>CHAMPIGNON BD 2 KG (IMPORTADO)</t>
  </si>
  <si>
    <t>132206</t>
  </si>
  <si>
    <t>TABUA POLIETILENO 40X1CM</t>
  </si>
  <si>
    <t>300006</t>
  </si>
  <si>
    <t>MORTADELA TUBULAR (FABRICA)</t>
  </si>
  <si>
    <t>300007</t>
  </si>
  <si>
    <t>PRESUNTO COZIDO (FABRICA)</t>
  </si>
  <si>
    <t>320002</t>
  </si>
  <si>
    <t>QUEIJO MINAS FRESCAL (FABRICA)</t>
  </si>
  <si>
    <t>340001</t>
  </si>
  <si>
    <t>FARINHA DE TRIGO TIPO 1 (FABRICA)</t>
  </si>
  <si>
    <t>380047</t>
  </si>
  <si>
    <t>PENNE(FABRICA)</t>
  </si>
  <si>
    <t>19021900</t>
  </si>
  <si>
    <t>420000</t>
  </si>
  <si>
    <t>MOLHO CONCENTRADO (FABRICA)</t>
  </si>
  <si>
    <t>21032090</t>
  </si>
  <si>
    <t>440002</t>
  </si>
  <si>
    <t>ALHO TRITURADO (FABRICA)</t>
  </si>
  <si>
    <t>07032090</t>
  </si>
  <si>
    <t>690003</t>
  </si>
  <si>
    <t>CXS. PAP OND MED 475X274X0155 REF MOLHO (FABRICA)</t>
  </si>
  <si>
    <t>690031</t>
  </si>
  <si>
    <t>CXS. PAP OND MED 480X200X130 REF LAS E MOLHO MANAUS (FABRICA</t>
  </si>
  <si>
    <t>690075</t>
  </si>
  <si>
    <t>ETIQUETA EM PAPEL COUCHE MED 50X30 DOMINO'S (FABRICA)</t>
  </si>
  <si>
    <t>690104</t>
  </si>
  <si>
    <t>SACO PLASTICO 60X90 0,20 PESAGEM (FABRICA)</t>
  </si>
  <si>
    <t>757169</t>
  </si>
  <si>
    <t>TABUA PLAST CORTE CARNE 30X60</t>
  </si>
  <si>
    <t>757197</t>
  </si>
  <si>
    <t>MOLHO BRANCO CX 15X1,2 KG</t>
  </si>
  <si>
    <t>21039029</t>
  </si>
  <si>
    <t>757198</t>
  </si>
  <si>
    <t>MOLHO BOLOGNESA CX 15X1,2 KG</t>
  </si>
  <si>
    <t>757202</t>
  </si>
  <si>
    <t>RAVIOLI TOMATE SECO 6X0,9KG</t>
  </si>
  <si>
    <t>19022000</t>
  </si>
  <si>
    <t>758434</t>
  </si>
  <si>
    <t>CEBOLA CUBOS PCT 2,5 KG</t>
  </si>
  <si>
    <t>760056</t>
  </si>
  <si>
    <t>RAVIOLI PICANHA 6X0,8 KG</t>
  </si>
  <si>
    <t>760105</t>
  </si>
  <si>
    <t>LASAGNA BOLOGNESA MAIOR CONG 4X6X340G</t>
  </si>
  <si>
    <t>760107</t>
  </si>
  <si>
    <t>LASAGNA RICOTA C/ ESPINAFRE MAIOR CONG 4X6X340G</t>
  </si>
  <si>
    <t>D1073</t>
  </si>
  <si>
    <t>ALHO</t>
  </si>
  <si>
    <t>300043</t>
  </si>
  <si>
    <t>CARNE MOIDA (FABRICA)</t>
  </si>
  <si>
    <t>02013000</t>
  </si>
  <si>
    <t>380082</t>
  </si>
  <si>
    <t>MOLHO TONKATSU (FABRICA)</t>
  </si>
  <si>
    <t>21039099</t>
  </si>
  <si>
    <t>380115</t>
  </si>
  <si>
    <t>COLORIFICO (FABRICA)</t>
  </si>
  <si>
    <t>690002</t>
  </si>
  <si>
    <t>SACO PLASTICO 50X70 0,20 PESAGEM (FABRICA)</t>
  </si>
  <si>
    <t>690100</t>
  </si>
  <si>
    <t>CXS. PAP OND MED 230X175X90 REF TOPP RIO VERMELHA (FABRICA)</t>
  </si>
  <si>
    <t>690113</t>
  </si>
  <si>
    <t>ETIQUETA EM BOPP MED 105X63 (FABRICA)</t>
  </si>
  <si>
    <t>758686</t>
  </si>
  <si>
    <t>ESPINAFRE 4 X 2,5KG</t>
  </si>
  <si>
    <t>121013</t>
  </si>
  <si>
    <t>PEPERONI CX 3 KG</t>
  </si>
  <si>
    <t>132230</t>
  </si>
  <si>
    <t>QUEIJO PARMESAO RALADO PCT 1KG</t>
  </si>
  <si>
    <t>04062000</t>
  </si>
  <si>
    <t>132480</t>
  </si>
  <si>
    <t>PEITO FRANGO COZ DESF CONG CX 4 X 2 KG</t>
  </si>
  <si>
    <t>300020</t>
  </si>
  <si>
    <t>BACON CUBOS (FABRICA)</t>
  </si>
  <si>
    <t>300035</t>
  </si>
  <si>
    <t>CARNE SECA</t>
  </si>
  <si>
    <t>300036</t>
  </si>
  <si>
    <t>ALMONDEGA</t>
  </si>
  <si>
    <t>380062</t>
  </si>
  <si>
    <t>AZEITE DE OLIVA (FABRICA)</t>
  </si>
  <si>
    <t>757191</t>
  </si>
  <si>
    <t>CAPPELLETTI DE CARNE 24X0,225GR/5,4KG</t>
  </si>
  <si>
    <t>760010</t>
  </si>
  <si>
    <t>MOLHO BRANCO CONG CX 6X1,2KG</t>
  </si>
  <si>
    <t>760058</t>
  </si>
  <si>
    <t>MOLHO POMODORO 15X1,2 KG</t>
  </si>
  <si>
    <t>760061</t>
  </si>
  <si>
    <t>GNOCCHI 24X0,225G / 5,4KG</t>
  </si>
  <si>
    <t>19023000</t>
  </si>
  <si>
    <t>GNOCCHI 3X1,8KG</t>
  </si>
  <si>
    <t>760069</t>
  </si>
  <si>
    <t>MOLHO PESTO CX 2KG</t>
  </si>
  <si>
    <t>21031090</t>
  </si>
  <si>
    <t>760091</t>
  </si>
  <si>
    <t>MOLHO CARBONARA CX 25X0,170 KG</t>
  </si>
  <si>
    <t>760104</t>
  </si>
  <si>
    <t>MOLHO GIANNI CLASSICO CONGELADO CX 6X1,2 KG</t>
  </si>
  <si>
    <t>121007</t>
  </si>
  <si>
    <t>MOLHO CONCENTRADO GL CX 18 KG (IMPORTADO)</t>
  </si>
  <si>
    <t>758481</t>
  </si>
  <si>
    <t>MAC LUMACONI RIGATI 2X5KG (IMPORTADO)</t>
  </si>
  <si>
    <t>757320</t>
  </si>
  <si>
    <t>MAC FLAT TAGLIATELLI 2X5 KG (IMPORTADO)</t>
  </si>
  <si>
    <t>757195</t>
  </si>
  <si>
    <t>RAVIOLI DE RICOTA 24X0,225GR/5,4KG</t>
  </si>
  <si>
    <t>RAVIOLI TOMATE SECO 24X0,225 GR / 5,4KG</t>
  </si>
  <si>
    <t>757207</t>
  </si>
  <si>
    <t>RAVIOLI GORGONZOLA 24X0,225GR/5,4KG</t>
  </si>
  <si>
    <t>760065</t>
  </si>
  <si>
    <t>PIZZA GDE MUSSARELA CONG CX 6X0,810 KG</t>
  </si>
  <si>
    <t>760106</t>
  </si>
  <si>
    <t>LASAGNA QUEIJO C/ PRESUNTO MAIOR CONG 4X6X340G</t>
  </si>
  <si>
    <t>757196</t>
  </si>
  <si>
    <t>MOLHO 4 QUEIJOS CX 15X1,2 KG</t>
  </si>
  <si>
    <t>757203</t>
  </si>
  <si>
    <t>RAVIOLI QUEIJO/PRESUNTO 24X0,225GR/5,4KG</t>
  </si>
  <si>
    <t>757592</t>
  </si>
  <si>
    <t>MOLHO SUGO CX 15X1,2 KG</t>
  </si>
  <si>
    <t>757832</t>
  </si>
  <si>
    <t>CAPPELLETTI DE FRANGO CONG 6X0,9KG</t>
  </si>
  <si>
    <t>758141</t>
  </si>
  <si>
    <t>MOLHO BASILICO CX 15X1,2KG</t>
  </si>
  <si>
    <t>760024</t>
  </si>
  <si>
    <t>MOLHO SUGO CONG. CX 6X1,2 KG</t>
  </si>
  <si>
    <t>760112</t>
  </si>
  <si>
    <t>MOLHO NOVO GIANNI CX 15X1,2 KG</t>
  </si>
  <si>
    <t>760115</t>
  </si>
  <si>
    <t>GNOCCHI CAPRESE 3X1,8KG</t>
  </si>
  <si>
    <t>760116</t>
  </si>
  <si>
    <t>GNOCCHI DE ABOBORA CONG 3X1,8KG</t>
  </si>
  <si>
    <t>132070</t>
  </si>
  <si>
    <t>CAIXA DOMIX PCT 50 UN</t>
  </si>
  <si>
    <t>132123</t>
  </si>
  <si>
    <t>ETIQUETA P/ AMBIENTACAO 1000 U</t>
  </si>
  <si>
    <t>132152</t>
  </si>
  <si>
    <t>ORGANIZADOR MUSSARELA REF1039</t>
  </si>
  <si>
    <t>132223</t>
  </si>
  <si>
    <t>CAIXA SANDUICHE 15 CM 100 UN</t>
  </si>
  <si>
    <t>132232</t>
  </si>
  <si>
    <t>ETIQUETA BANDEJA MASSA 50X30MM</t>
  </si>
  <si>
    <t>132276</t>
  </si>
  <si>
    <t>CAIXA 14 PCT 50 UN G NOVA ARTE</t>
  </si>
  <si>
    <t>132416</t>
  </si>
  <si>
    <t>MOLHO BARBECUE 18X50G</t>
  </si>
  <si>
    <t>132422</t>
  </si>
  <si>
    <t>FARINHA DE TRIGO 101 FD 6X5 KG</t>
  </si>
  <si>
    <t>FARINHA DE TRIGO FD 30 KG (IMPORTADO)</t>
  </si>
  <si>
    <t>132433</t>
  </si>
  <si>
    <t>GUARD EMBALADO DOMINOS CX C/ 700 PT</t>
  </si>
  <si>
    <t>132476</t>
  </si>
  <si>
    <t>ETIQUETA BANDEJA DE MASSA MED 50X30 VERDE (PAN)</t>
  </si>
  <si>
    <t>132477</t>
  </si>
  <si>
    <t>FILE PEITO COZIDO DESFIADO PC 4KG CX 16KG</t>
  </si>
  <si>
    <t>757070</t>
  </si>
  <si>
    <t>ETIQUETA VALIDADE SPO 2500UN</t>
  </si>
  <si>
    <t>757133</t>
  </si>
  <si>
    <t>PRESUNTO COZ S/ CP GD 2X3,67KG</t>
  </si>
  <si>
    <t>757151</t>
  </si>
  <si>
    <t>SACO LIXO INST 100X200LT</t>
  </si>
  <si>
    <t>758500</t>
  </si>
  <si>
    <t>SACO TRANSP MASSA 20X25 1000UND</t>
  </si>
  <si>
    <t>758506</t>
  </si>
  <si>
    <t>QJ PARMESAO SPOLETO CX 300X10G</t>
  </si>
  <si>
    <t>758513</t>
  </si>
  <si>
    <t>PEITO FRANGO COZ DESF CONG CX 2X2 KG</t>
  </si>
  <si>
    <t>758529</t>
  </si>
  <si>
    <t>KIT GARFO FACA PRETO 150 (KIT2</t>
  </si>
  <si>
    <t>758616</t>
  </si>
  <si>
    <t>FILE DE FRANGO 60 X 120GR</t>
  </si>
  <si>
    <t>02071400</t>
  </si>
  <si>
    <t>757164</t>
  </si>
  <si>
    <t>DISPENSER PARA COPOS 300ML SPOLETO</t>
  </si>
  <si>
    <t>757279</t>
  </si>
  <si>
    <t>RECIP PLAST VAC FREEZER 460/2</t>
  </si>
  <si>
    <t>758568</t>
  </si>
  <si>
    <t>PEITO FRANGO GRELHADO CONG 7 X 700G</t>
  </si>
  <si>
    <t>758581</t>
  </si>
  <si>
    <t>ESCORREDOR GDE PARA DESCONG REF 1826CLRCW</t>
  </si>
  <si>
    <t>758584</t>
  </si>
  <si>
    <t>ORGANIZADOR PEQ REF 34CW135 (IMPORTADO)</t>
  </si>
  <si>
    <t>790012</t>
  </si>
  <si>
    <t>FARINHA TRIGO S/ FERMENTO 1KG</t>
  </si>
  <si>
    <t>790017</t>
  </si>
  <si>
    <t>GUARDANAPO EMBAL CX 700 UN KON</t>
  </si>
  <si>
    <t>790020</t>
  </si>
  <si>
    <t>MOLHO DE ARROZ BB 5L</t>
  </si>
  <si>
    <t>790038</t>
  </si>
  <si>
    <t>CAIXA KONI LARANJA PCT 2000 UN</t>
  </si>
  <si>
    <t>48195000</t>
  </si>
  <si>
    <t>790042</t>
  </si>
  <si>
    <t>SACOLA PARA VIAGEM PCT 50 UN</t>
  </si>
  <si>
    <t>790045</t>
  </si>
  <si>
    <t>CAIXA PROD. QUENTES PCT 500 UN</t>
  </si>
  <si>
    <t>790082</t>
  </si>
  <si>
    <t>NISSIN ESPAGUETE T5 PCT 500GR (IMPORTADO)</t>
  </si>
  <si>
    <t>790165</t>
  </si>
  <si>
    <t>TERIYAKI POTE VIAGEM CX 18 UN</t>
  </si>
  <si>
    <t>21031010</t>
  </si>
  <si>
    <t>790182</t>
  </si>
  <si>
    <t>ADESIVO RECIP SHOYU LIGHT 5 UN</t>
  </si>
  <si>
    <t>790304</t>
  </si>
  <si>
    <t>TAMPA KONI KOMBINADO 100 UN</t>
  </si>
  <si>
    <t>790305</t>
  </si>
  <si>
    <t>BASE KONI KOMBINADO 500 UN</t>
  </si>
  <si>
    <t>790342</t>
  </si>
  <si>
    <t>BASE PRATO EXECUTIVO CX  100 UNID</t>
  </si>
  <si>
    <t>39203000</t>
  </si>
  <si>
    <t>790388</t>
  </si>
  <si>
    <t>POLPA SALMAO BLC 6 X 940GR</t>
  </si>
  <si>
    <t>03054100</t>
  </si>
  <si>
    <t>132272</t>
  </si>
  <si>
    <t>SACO TALHER PAPEL DOM CX1000UN</t>
  </si>
  <si>
    <t>757152</t>
  </si>
  <si>
    <t>SACO LIXO 100X40LT</t>
  </si>
  <si>
    <t>758303</t>
  </si>
  <si>
    <t>BICO DOSADOR PCT 1 UNID 34/38 MM (IMPORTADO)</t>
  </si>
  <si>
    <t>758564</t>
  </si>
  <si>
    <t>TAMPA ECONOMICA GN 1/6 BRANCA 60PPCWSC438 (IMPORTADO)</t>
  </si>
  <si>
    <t>758572</t>
  </si>
  <si>
    <t>TAMPA ORGANIZADOR PARA CARNES GRANDE REF 20CWL135</t>
  </si>
  <si>
    <t>758611</t>
  </si>
  <si>
    <t>RICOTA FRESCA CONDIMENTADA PCT 6X280G</t>
  </si>
  <si>
    <t>758644</t>
  </si>
  <si>
    <t>BANDEJA PLASTICA PRETA - UN</t>
  </si>
  <si>
    <t>758647</t>
  </si>
  <si>
    <t>MOLHO MEL E MOSTARDA 5 X 1,2 KG</t>
  </si>
  <si>
    <t>758659</t>
  </si>
  <si>
    <t>PEITO PERU COZ DEF CX 2 X 2,6KG</t>
  </si>
  <si>
    <t>758677</t>
  </si>
  <si>
    <t>FILE DE FRANGO 12 X 1 KG</t>
  </si>
  <si>
    <t>758680</t>
  </si>
  <si>
    <t>MOLHO MEL E MOSTARDA 8 X 750ML</t>
  </si>
  <si>
    <t>758704</t>
  </si>
  <si>
    <t>MOLHO MEL E MOSTARDA 3 X 750ML</t>
  </si>
  <si>
    <t>790299</t>
  </si>
  <si>
    <t>CREAM CHEESE PHILA CX 10X0,4KG</t>
  </si>
  <si>
    <t>757003</t>
  </si>
  <si>
    <t>AZEITE EV OLIVA VD 12X500ML (IMPORTADO)</t>
  </si>
  <si>
    <t>320004</t>
  </si>
  <si>
    <t>MUSSARELA DE BUFALA (FABRICA)</t>
  </si>
  <si>
    <t>FARINHA DE TRIGO 101 (FABRICA)</t>
  </si>
  <si>
    <t>380119</t>
  </si>
  <si>
    <t>FONDO DES CARNE (FABRICA)</t>
  </si>
  <si>
    <t>690013</t>
  </si>
  <si>
    <t>SACOS LISOS TRANS 20X25 MASSA PORCAO (FABRICA)</t>
  </si>
  <si>
    <t>690114</t>
  </si>
  <si>
    <t>ETIQUETA EM BOPP PEROLADO MED 50X30 (FABRICA)</t>
  </si>
  <si>
    <t>757398</t>
  </si>
  <si>
    <t>CAPPELLETTI DE FRANGO 24X0,225GR/5,4KG</t>
  </si>
  <si>
    <t>758424</t>
  </si>
  <si>
    <t>ESPATULA SILICONE 2251/352 (IMPORTADO)</t>
  </si>
  <si>
    <t>760086</t>
  </si>
  <si>
    <t>MOLHO ALFREDO CX 20X0,170 KG</t>
  </si>
  <si>
    <t>760108</t>
  </si>
  <si>
    <t>MOLHO AL MARE CX 20X0,170 KG</t>
  </si>
  <si>
    <t>132481</t>
  </si>
  <si>
    <t>FRANGO GRELHADO TIRAS CX 4 X 2,5 KG</t>
  </si>
  <si>
    <t>757023</t>
  </si>
  <si>
    <t>BROCOLIS FLORETE 6X1,5KG</t>
  </si>
  <si>
    <t>758227</t>
  </si>
  <si>
    <t>LINGUICA CALABRESA CUBOS 1 KG</t>
  </si>
  <si>
    <t>758639</t>
  </si>
  <si>
    <t>AZEITONA PRETA FATIADA BD 3,2KG (2,0 DREN) (IMPORTADO)</t>
  </si>
  <si>
    <t>758685</t>
  </si>
  <si>
    <t>BROCOLIS FLORETE 4 X 2,5KG</t>
  </si>
  <si>
    <t>760103</t>
  </si>
  <si>
    <t>MOLHO GIANNI CLASSICO CX 15X1,2 KG</t>
  </si>
  <si>
    <t>760119</t>
  </si>
  <si>
    <t>MOLHO NOVO BRANCO CX 15X1,2 KG</t>
  </si>
  <si>
    <t>790403</t>
  </si>
  <si>
    <t>CHURROS CX 20X105GR</t>
  </si>
  <si>
    <t>758588</t>
  </si>
  <si>
    <t>MAC PENNETTE RIGATE 4X3KG (IMPORTADO)</t>
  </si>
  <si>
    <t>758589</t>
  </si>
  <si>
    <t>MAC SPAGUETTI 4X3KG (IMPORTADO)</t>
  </si>
  <si>
    <t>4044</t>
  </si>
  <si>
    <t>MASSA TIPO 12  - 8X400GR / 3,200KG</t>
  </si>
  <si>
    <t>4046</t>
  </si>
  <si>
    <t>PIZZA PAN  - MASSA TIPO 12 – 7X500 GR / 3,500 KG</t>
  </si>
  <si>
    <t>4047</t>
  </si>
  <si>
    <t>PIZZA PAN  - MASSA TIPO 8 – 12X220GR / 2,400KG</t>
  </si>
  <si>
    <t>760022</t>
  </si>
  <si>
    <t>PENNE COZIDO CX 4X1,6KG</t>
  </si>
  <si>
    <t>760067</t>
  </si>
  <si>
    <t>MASSA BROT PRE ASSAD CONG 21UN</t>
  </si>
  <si>
    <t>760120</t>
  </si>
  <si>
    <t>MOLHO NOVO BRANCO CONG CX 6X1,2KG</t>
  </si>
  <si>
    <t>760113</t>
  </si>
  <si>
    <t>GNOCCHI 3X2KG</t>
  </si>
  <si>
    <t>760125</t>
  </si>
  <si>
    <t>MOLHO DE ARROZ 6X0,875G / 5,25KG</t>
  </si>
  <si>
    <t>757199</t>
  </si>
  <si>
    <t>MOLHO FUNGHI CX 15X1,2 KG</t>
  </si>
  <si>
    <t>757825</t>
  </si>
  <si>
    <t>RAVIOLI TOMATE SECO CONG 6X0,9KG</t>
  </si>
  <si>
    <t>757826</t>
  </si>
  <si>
    <t>RAVIOLI QUEIJO/PRESUNTO CONG 6X0,9KG</t>
  </si>
  <si>
    <t>757829</t>
  </si>
  <si>
    <t>RAVIOLI GORGONZOLA CONG 6X0,9KG</t>
  </si>
  <si>
    <t>758144</t>
  </si>
  <si>
    <t>MOLHO FUNGHI CONG CX 6X1,2 KG</t>
  </si>
  <si>
    <t>760063</t>
  </si>
  <si>
    <t>GNOCCHI CONGELADO 3X1,8 KG</t>
  </si>
  <si>
    <t>760079</t>
  </si>
  <si>
    <t>MOLHO ALFREDO CONG CX 16X0,170 KG</t>
  </si>
  <si>
    <t>760123</t>
  </si>
  <si>
    <t>GNOCCHI BOLINHA 24 X 0,225</t>
  </si>
  <si>
    <t>132043</t>
  </si>
  <si>
    <t>ETIQUETA PROCESSAMENTO C/ 1000</t>
  </si>
  <si>
    <t>132044</t>
  </si>
  <si>
    <t>ETIQUETA RECEBIMENTO C/ 1000</t>
  </si>
  <si>
    <t>132280</t>
  </si>
  <si>
    <t>POTE REDONDO P/ MOLHO 7,6L RFSCW8135 (IMPORTADO)</t>
  </si>
  <si>
    <t>132281</t>
  </si>
  <si>
    <t>CUBA GN1/1 19,5 POLICAR 16W135 (IMPORTADO)</t>
  </si>
  <si>
    <t>757798</t>
  </si>
  <si>
    <t>COPO 200 ML-CX 2500 S/IMPRESSA</t>
  </si>
  <si>
    <t>790443</t>
  </si>
  <si>
    <t>GARFO PRETO GN PR CX 150UN</t>
  </si>
  <si>
    <t>758574</t>
  </si>
  <si>
    <t>ORGANIZADOR PARA CARNES GRANDE REF 24CW135</t>
  </si>
  <si>
    <t>790040</t>
  </si>
  <si>
    <t>CAIXINHA ROLLS LARANJA 1000 UN</t>
  </si>
  <si>
    <t>790100</t>
  </si>
  <si>
    <t>LACRE DE SEGURANCA GRANDE. RL C/1000 UND</t>
  </si>
  <si>
    <t>790286</t>
  </si>
  <si>
    <t>ADESIV MOLH LOGOMARCA KONI 5UN</t>
  </si>
  <si>
    <t>790343</t>
  </si>
  <si>
    <t>TAMPA PRATO EXECUTIVO CX  25 UNID</t>
  </si>
  <si>
    <t>790431</t>
  </si>
  <si>
    <t>NISSIN ESPAGUETE T5 CX 20X500GR (IMPORTADO)</t>
  </si>
  <si>
    <t>132001</t>
  </si>
  <si>
    <t>CAIXA 07 PCT 100 UN(P)</t>
  </si>
  <si>
    <t>132013</t>
  </si>
  <si>
    <t>GUARDANAPO DOMINOS CX 3000 UN</t>
  </si>
  <si>
    <t>757251</t>
  </si>
  <si>
    <t>LINGUICA CALABRESA 2,5KG</t>
  </si>
  <si>
    <t>757284</t>
  </si>
  <si>
    <t>SACO LIXO 100X100LT</t>
  </si>
  <si>
    <t>757547</t>
  </si>
  <si>
    <t>ETIQUETA CONDIMENTO 30UN</t>
  </si>
  <si>
    <t>758284</t>
  </si>
  <si>
    <t>SACO TALHER PAPEL PT 1000UN</t>
  </si>
  <si>
    <t>COLHER SOB INDIV CS PR CX 1000</t>
  </si>
  <si>
    <t>758578</t>
  </si>
  <si>
    <t>POLVILHADOR AMAR REF 96SKRC135 UNID (IMPORTADO)</t>
  </si>
  <si>
    <t>758579</t>
  </si>
  <si>
    <t>DRENO PARA PEQ REF 30CWD135 (IMPORTADO)</t>
  </si>
  <si>
    <t>758583</t>
  </si>
  <si>
    <t>ORGANIZADOR  PARA DESCONG REF18266CW13</t>
  </si>
  <si>
    <t>758593</t>
  </si>
  <si>
    <t>BACON IN NATURA CUBOS CX8X1KG</t>
  </si>
  <si>
    <t>758630</t>
  </si>
  <si>
    <t>LINGUICA CALABRESA RETA PCT 3KG</t>
  </si>
  <si>
    <t>758645</t>
  </si>
  <si>
    <t>MOLHO BALSAMICO 5 X 1,2 KG</t>
  </si>
  <si>
    <t>758648</t>
  </si>
  <si>
    <t>GUARDANAPO EMB SPOL 29X29 CX C/ 700 SACHES</t>
  </si>
  <si>
    <t>758679</t>
  </si>
  <si>
    <t>MOLHO AGRUMES 8 X 750ML</t>
  </si>
  <si>
    <t>758690</t>
  </si>
  <si>
    <t>JARRA GRADUADA C/TAMPA 3L</t>
  </si>
  <si>
    <t>360006</t>
  </si>
  <si>
    <t>SEMOLA DE TRIGO DI GRANO DURO (MUNSA) (FABRICA)</t>
  </si>
  <si>
    <t>11031100</t>
  </si>
  <si>
    <t>380049</t>
  </si>
  <si>
    <t>COLD DOUGH PRE-MIX (10X1,02KG) (FABRICA)</t>
  </si>
  <si>
    <t>690011</t>
  </si>
  <si>
    <t>CXS. PAP OND MED 350X260X150 REF MASSA (FABRICA)</t>
  </si>
  <si>
    <t>760114</t>
  </si>
  <si>
    <t>GNOCCHI DE ABOBORA 3X1,8KG</t>
  </si>
  <si>
    <t>121002</t>
  </si>
  <si>
    <t>LINGUICA CALABRESA FAT CX 3KG</t>
  </si>
  <si>
    <t>380085</t>
  </si>
  <si>
    <t>HONDASHI AJINOMOTO (FABRICA)</t>
  </si>
  <si>
    <t>757246</t>
  </si>
  <si>
    <t>ALHO PASTA 3,6KG (IMPORTADO)</t>
  </si>
  <si>
    <t>758418</t>
  </si>
  <si>
    <t>MAC CAVATAPPI 2X5KG (IMPORTADO)</t>
  </si>
  <si>
    <t>4045</t>
  </si>
  <si>
    <t>MASSA TIPO 14   - 6X540GR / 3,240KG</t>
  </si>
  <si>
    <t>PENNE COZIDO CONG CX 24X0,200GR / 4,8KG</t>
  </si>
  <si>
    <t>RAVIOLI PICANHA 24X0,225GR / 5,4KG</t>
  </si>
  <si>
    <t>760066</t>
  </si>
  <si>
    <t>PIZZA BROT MUSSARELA CONG CX 21X0,195 KG</t>
  </si>
  <si>
    <t>760025</t>
  </si>
  <si>
    <t>MOLHO BOLOGNESA CONG. CX 6X1,2</t>
  </si>
  <si>
    <t>760092</t>
  </si>
  <si>
    <t>MOLHO CARBONARA CONG CX 16X0,170 KG</t>
  </si>
  <si>
    <t>760121</t>
  </si>
  <si>
    <t>MOLHO DE QUEIJO CX 15X1,2 KG</t>
  </si>
  <si>
    <t>760122</t>
  </si>
  <si>
    <t>PENNE DIA MASSA 24 X 200G</t>
  </si>
  <si>
    <t>132120</t>
  </si>
  <si>
    <t>ETIQUETA PRODUTO FORA PADRAO</t>
  </si>
  <si>
    <t>132307</t>
  </si>
  <si>
    <t>PAPEL BANDEJA PCT 1000UN</t>
  </si>
  <si>
    <t>132415</t>
  </si>
  <si>
    <t>MOLHO QUEIJO E ALHO 18X50G</t>
  </si>
  <si>
    <t>132428</t>
  </si>
  <si>
    <t>EMBALAGEM MINI PARM PCT 1000 UND</t>
  </si>
  <si>
    <t>132442</t>
  </si>
  <si>
    <t>PAPEL GREASEPEL 35X35 LISO PCT 400 FL</t>
  </si>
  <si>
    <t>132459</t>
  </si>
  <si>
    <t>FARINHA DE TRIGO 101 5X5 PREMIUM PIZZA</t>
  </si>
  <si>
    <t>132473</t>
  </si>
  <si>
    <t>CAIXA PAN MEDIA PCT 50 UND</t>
  </si>
  <si>
    <t>790433</t>
  </si>
  <si>
    <t>MOLHO DE ARROZ BAG 5 X 800G</t>
  </si>
  <si>
    <t>790036</t>
  </si>
  <si>
    <t>ANEL KONI LARANJA PCT 500 UN</t>
  </si>
  <si>
    <t>790185</t>
  </si>
  <si>
    <t>SHOYU SACHET 300X 8 GRS</t>
  </si>
  <si>
    <t>790301</t>
  </si>
  <si>
    <t>FILE DE SALMAO CONG S/ PELE CX 10 KG (IMPORTADO)</t>
  </si>
  <si>
    <t>790310</t>
  </si>
  <si>
    <t>ARROZ GRAO CURTO FARDO 30KG</t>
  </si>
  <si>
    <t>10063021</t>
  </si>
  <si>
    <t>790326</t>
  </si>
  <si>
    <t>MAC YAKISSOBA 750G</t>
  </si>
  <si>
    <t>790344</t>
  </si>
  <si>
    <t>COPO ACRILICO 230 ML PW8 CR 400UN</t>
  </si>
  <si>
    <t>790346</t>
  </si>
  <si>
    <t>SHOYU LIGHT SACHET 300X 8 GRS</t>
  </si>
  <si>
    <t>790401</t>
  </si>
  <si>
    <t>SACO VIAGEM FD C/ 500 UND GO KONI</t>
  </si>
  <si>
    <t>790429</t>
  </si>
  <si>
    <t>FARINHA TRIGO S/ FERMENTO FD 10KG</t>
  </si>
  <si>
    <t>758530</t>
  </si>
  <si>
    <t>KIT GARFO COLHER PRETO 150UN GNC</t>
  </si>
  <si>
    <t>758646</t>
  </si>
  <si>
    <t>MOLHO AGRUMES 5 X 1,2 KG</t>
  </si>
  <si>
    <t>758652</t>
  </si>
  <si>
    <t>EMBALAGEM VIAGEM FOCACCIA PCT C/ 100 UND</t>
  </si>
  <si>
    <t>758696</t>
  </si>
  <si>
    <t>PRESUNTO COZ S/ CP GD PT 3,8 KG</t>
  </si>
  <si>
    <t>340014</t>
  </si>
  <si>
    <t>FARINHA DE TRIGO 101 5X5 (FABRICA) PREMIUM PIZZA</t>
  </si>
  <si>
    <t>760043</t>
  </si>
  <si>
    <t>MOLHO YAKISOBA CX 4X0,5 KG</t>
  </si>
  <si>
    <t>790083</t>
  </si>
  <si>
    <t>PRATO CEREAL YAKI 500M 10511/0038</t>
  </si>
  <si>
    <t>790096</t>
  </si>
  <si>
    <t>FARINHA DE ROSCA PANKO WP 1KG</t>
  </si>
  <si>
    <t>19041000</t>
  </si>
  <si>
    <t>790195</t>
  </si>
  <si>
    <t>CREMEIRA WAVE P/ TIRASHI - UN</t>
  </si>
  <si>
    <t>790363</t>
  </si>
  <si>
    <t>ARROZ INTEGRAL 1 KG</t>
  </si>
  <si>
    <t>4039</t>
  </si>
  <si>
    <t>MASSA TIPO 7  12X130GR / 1,56KG</t>
  </si>
  <si>
    <t>4040</t>
  </si>
  <si>
    <t>MASSA TIPO 10</t>
  </si>
  <si>
    <t>757827</t>
  </si>
  <si>
    <t>RAVIOLI DE RICOTA CONG 6X0,9KG</t>
  </si>
  <si>
    <t>757831</t>
  </si>
  <si>
    <t>CAPPELLETTI DE CARNE CONG 6X0,9KG</t>
  </si>
  <si>
    <t>760009</t>
  </si>
  <si>
    <t>MOLHO 4 QUEIJOS CONG CX 6X1,2 KG</t>
  </si>
  <si>
    <t>760057</t>
  </si>
  <si>
    <t>RAVIOLI PICANHA CONG 24X0,225GR / 5,4KG</t>
  </si>
  <si>
    <t>RAVIOLI PICANHA CONG 6X0,8 KG</t>
  </si>
  <si>
    <t>GNOCCHI CONGELADO 24X0,225G / 5,4KG</t>
  </si>
  <si>
    <t>760111</t>
  </si>
  <si>
    <t>MOLHO AL MARE CONG CX 16X0,170 KG</t>
  </si>
  <si>
    <t>760117</t>
  </si>
  <si>
    <t>GNOCCHI CAPRESE CONG 3X1,8KG</t>
  </si>
  <si>
    <t>760118</t>
  </si>
  <si>
    <t>MOLHO NOVO GIANNI CX CONG 6X1,2 KG</t>
  </si>
  <si>
    <t>132041</t>
  </si>
  <si>
    <t>ETIQUETA PIMACO 107X36 4000UN</t>
  </si>
  <si>
    <t>132109</t>
  </si>
  <si>
    <t>MATRIZ GRANDE (CONEXAO P/ BICO) (IMPORTADO)</t>
  </si>
  <si>
    <t>132277</t>
  </si>
  <si>
    <t>CAIXA GIG PCT 50UN GT NOVA ART</t>
  </si>
  <si>
    <t>132279</t>
  </si>
  <si>
    <t>TAMPA POTE REDONDO P/ MOLHO CAMSQUA - RFS6SCPP190(IMPORTADO)</t>
  </si>
  <si>
    <t>132295</t>
  </si>
  <si>
    <t>PAPEL GLASPEL 23X25 1000 UNID</t>
  </si>
  <si>
    <t>790426</t>
  </si>
  <si>
    <t>MOLHO DE ARROZ BAG 8 X 750G</t>
  </si>
  <si>
    <t>790081</t>
  </si>
  <si>
    <t>KIT FACA/GARFO VERDE  KIT 2 VDT 150UN</t>
  </si>
  <si>
    <t>790274</t>
  </si>
  <si>
    <t>EMBAL. YAKISOBA - C/ 80 UNID</t>
  </si>
  <si>
    <t>790284</t>
  </si>
  <si>
    <t>ADESIV MOLH SHOYU + WASABI 5 U</t>
  </si>
  <si>
    <t>RN</t>
  </si>
  <si>
    <t>RO</t>
  </si>
  <si>
    <t>790408</t>
  </si>
  <si>
    <t>TIGELA 130ML LARANJA (SUNOMONO)</t>
  </si>
  <si>
    <t>RS</t>
  </si>
  <si>
    <t>757009</t>
  </si>
  <si>
    <t>BARRA MAGNETICA 33CM - M13MKS (IMPORTADO)</t>
  </si>
  <si>
    <t>757161</t>
  </si>
  <si>
    <t>SECADOR FOLHAS CENTRIFUGA 2178/100 (IMPORTADO)</t>
  </si>
  <si>
    <t>757317</t>
  </si>
  <si>
    <t>FORMA DESC CARPACCIO 100UN</t>
  </si>
  <si>
    <t>758607</t>
  </si>
  <si>
    <t>QUEIJO GRANA EM CUBOS CX 20X300GR</t>
  </si>
  <si>
    <t>758650</t>
  </si>
  <si>
    <t>ORGANIZADOR DE LATAS CX 4UNID OG540</t>
  </si>
  <si>
    <t>758687</t>
  </si>
  <si>
    <t>ORGANIZADOR  DE ALIMENTOS OG 510 CX 4</t>
  </si>
  <si>
    <t>758701</t>
  </si>
  <si>
    <t>MOLHEIRA ELIPSE PRETA C/TAMPA 750ML CX 12</t>
  </si>
  <si>
    <t>132403</t>
  </si>
  <si>
    <t>PRATOS DESC. N 26 CX 250 UM</t>
  </si>
  <si>
    <t>758720</t>
  </si>
  <si>
    <t>MOLHEIRA ELIPSE PRETA C/TAMPA 750ML CX 4</t>
  </si>
  <si>
    <t>PRATO CEREAL LARANJA-YAKI 500M 10511/0038</t>
  </si>
  <si>
    <t>790287</t>
  </si>
  <si>
    <t>EMB TIRASH/MEIO YAK G750D 200U</t>
  </si>
  <si>
    <t>758651</t>
  </si>
  <si>
    <t>ORGANIZADOR DE ALIMENTOS CX 4UNID OG500</t>
  </si>
  <si>
    <t>758697</t>
  </si>
  <si>
    <t>TAMPA MOLHEIRA ELIPSE 750ML</t>
  </si>
  <si>
    <t>758591</t>
  </si>
  <si>
    <t>BROCOLIS FLORETE 5X2KG</t>
  </si>
  <si>
    <t>758711</t>
  </si>
  <si>
    <t>ESPATULA SILICONE APRECIATTA  (25781/100)</t>
  </si>
  <si>
    <t>758727</t>
  </si>
  <si>
    <t>TAMPA PLASTICA CUCINA (61998/160)</t>
  </si>
  <si>
    <t>758566</t>
  </si>
  <si>
    <t>POTE MOLHO VIAGEM CX 500UND G675</t>
  </si>
  <si>
    <t>790225</t>
  </si>
  <si>
    <t>EMB SUNOMONO DESC G645/D - 300</t>
  </si>
  <si>
    <t>790296</t>
  </si>
  <si>
    <t>EMB ROLLS DESCART GA-08- CX100</t>
  </si>
  <si>
    <t>790430</t>
  </si>
  <si>
    <t>BANDEJA MILANO LARANJA CX 6UN</t>
  </si>
  <si>
    <t>BARRA MAGNETICA 33CM - M13MKS</t>
  </si>
  <si>
    <t>757065</t>
  </si>
  <si>
    <t>EMBALAGEM SALADA GA90 200UNI</t>
  </si>
  <si>
    <t>SECADOR FOLHAS CENTRIFUGA (IMPORTADO)</t>
  </si>
  <si>
    <t>758613</t>
  </si>
  <si>
    <t>QJ PARMESAO SPOLETO CX 500X10G</t>
  </si>
  <si>
    <t>790070</t>
  </si>
  <si>
    <t>BANDEJA MILANO LARANJA BA3601</t>
  </si>
  <si>
    <t>790099</t>
  </si>
  <si>
    <t>TIGELA 120ML NATIVE (SUNOMONO) 10611/0038</t>
  </si>
  <si>
    <t>790179</t>
  </si>
  <si>
    <t>EMB FATIA TORTA 3006G630/300UNID</t>
  </si>
  <si>
    <t>ORGANIZADOR DE LATAS CX 4UNID OZ540</t>
  </si>
  <si>
    <t>ORGANIZADOR DE ALIMENTOS CX 4UNID OZ500</t>
  </si>
  <si>
    <t>758683</t>
  </si>
  <si>
    <t>MOLHEIRA ELIPSE PRETA 750ML CX 12UN</t>
  </si>
  <si>
    <t>758684</t>
  </si>
  <si>
    <t>CREMEIRA FUSION 300ML REF. MU3790 CX 12</t>
  </si>
  <si>
    <t>132300</t>
  </si>
  <si>
    <t>BANDEJA VERM 45 X 29,5 CM 6UN</t>
  </si>
  <si>
    <t>757789</t>
  </si>
  <si>
    <t>COPO SPOLETO 330ML CX 2000 UN</t>
  </si>
  <si>
    <t>758512</t>
  </si>
  <si>
    <t>CANUDO EMBALADO  - 500UN</t>
  </si>
  <si>
    <t>758560</t>
  </si>
  <si>
    <t>QUEIJO PARMESAO RALADO 500GR</t>
  </si>
  <si>
    <t>790347</t>
  </si>
  <si>
    <t>CANUDO EMBALADO PRETO  - 100UN</t>
  </si>
  <si>
    <t>758660</t>
  </si>
  <si>
    <t>QJ PARMESAO SPOLETO CX 28X250G</t>
  </si>
  <si>
    <t>790367</t>
  </si>
  <si>
    <t>HASHI GO KONI CX 3000 UN (IMPORTADO)</t>
  </si>
  <si>
    <t>790405</t>
  </si>
  <si>
    <t>POLPA SALMAO BLC 10 X 1 KG (IMPORTADO)</t>
  </si>
  <si>
    <t>790413</t>
  </si>
  <si>
    <t>KARAAGUE 2 X 2 KG</t>
  </si>
  <si>
    <t>790427</t>
  </si>
  <si>
    <t>TARE SACHET 120 X 18 ML</t>
  </si>
  <si>
    <t>790428</t>
  </si>
  <si>
    <t>COPO KONI 330ML CX 2000 UN</t>
  </si>
  <si>
    <t>790439</t>
  </si>
  <si>
    <t>PRATO RETANG 30CM CREME (EFMEDP132)</t>
  </si>
  <si>
    <t>132204</t>
  </si>
  <si>
    <t>CATCHUP SACHET 192 X 7GR</t>
  </si>
  <si>
    <t>132217</t>
  </si>
  <si>
    <t>COPO DOMINOS 330ML CX 2000 UN</t>
  </si>
  <si>
    <t>757114</t>
  </si>
  <si>
    <t>PALITO SH 2000UN (IMPORTADO)</t>
  </si>
  <si>
    <t>758352</t>
  </si>
  <si>
    <t>FRASCO PULVERIZADOR 1L GRAD</t>
  </si>
  <si>
    <t>758507</t>
  </si>
  <si>
    <t>QJ PARMESAO SPOLETO CX 100X10G</t>
  </si>
  <si>
    <t>DRENO PEQ REF 1/3 30CWD135 (IMPORTADO)</t>
  </si>
  <si>
    <t>758610</t>
  </si>
  <si>
    <t>ALHO EM PASTA 3KG</t>
  </si>
  <si>
    <t>758615</t>
  </si>
  <si>
    <t>MAC PENNETTE RIGATE 15X500G (IMPORTADO)</t>
  </si>
  <si>
    <t>758617</t>
  </si>
  <si>
    <t>FILE DE FRANGO 48 X 120GR</t>
  </si>
  <si>
    <t>758620</t>
  </si>
  <si>
    <t>MIOLO PALETA (BIFE EUROPEU) 100X120G</t>
  </si>
  <si>
    <t>758654</t>
  </si>
  <si>
    <t>CREMA DI ACETO BALSAMICO CX 12 X 250ML (IMPORTADO)</t>
  </si>
  <si>
    <t>758693</t>
  </si>
  <si>
    <t>TABUA PLAST CORTE CARNE 30X60 VERMELHA</t>
  </si>
  <si>
    <t>790307</t>
  </si>
  <si>
    <t>GARRAFA MOLHOS FIFO 710ML (IMPORTADO) FFFIFOCB24</t>
  </si>
  <si>
    <t>132451</t>
  </si>
  <si>
    <t>PINCEL DE SILICONE PARA CULINARIA (IMPORTADO)</t>
  </si>
  <si>
    <t>300052</t>
  </si>
  <si>
    <t>CARNE MOIDA PICANHA  (PIZZICAROLO)</t>
  </si>
  <si>
    <t>380118</t>
  </si>
  <si>
    <t>MOLHO INGLES (FABRICA)</t>
  </si>
  <si>
    <t>380083</t>
  </si>
  <si>
    <t>MOLHO SHOYO (FABRICA)</t>
  </si>
  <si>
    <t>690064</t>
  </si>
  <si>
    <t>CXS. PAP OND MED 360X175X100 REF CX BAMBINI REFRIG (FABRICA)</t>
  </si>
  <si>
    <t>131002</t>
  </si>
  <si>
    <t>ALHO GRANULADO PCT 500 G</t>
  </si>
  <si>
    <t>132130</t>
  </si>
  <si>
    <t>ESPATULA POLIET REF 530</t>
  </si>
  <si>
    <t>132134</t>
  </si>
  <si>
    <t>ESCORREDOR PARA CUBA MAKELINE - 60CWD135 (IMPORTADO)</t>
  </si>
  <si>
    <t>132271</t>
  </si>
  <si>
    <t>SUPORTE P/ CAIXA GIGA 500UN</t>
  </si>
  <si>
    <t>132283</t>
  </si>
  <si>
    <t>CUBA GN1/6 2,2 LT POLI 66CW 135 (IMPORTADO)</t>
  </si>
  <si>
    <t xml:space="preserve">FARINHA DE TRIGO 101 FD 6X5 KG						</t>
  </si>
  <si>
    <t>132432</t>
  </si>
  <si>
    <t>TAMPA COPO 330ML CX 2000 UN</t>
  </si>
  <si>
    <t>758296</t>
  </si>
  <si>
    <t>BACON ASSADO CUBOS CX 2 KG</t>
  </si>
  <si>
    <t>758595</t>
  </si>
  <si>
    <t>LEMON HERBS PCT 500GR</t>
  </si>
  <si>
    <t>758710</t>
  </si>
  <si>
    <t>BARRA MAGNETICA FACAS (26464/100)</t>
  </si>
  <si>
    <t>132107</t>
  </si>
  <si>
    <t>MANGA DESC CONFEITO C/ 50 UNID</t>
  </si>
  <si>
    <t>758359</t>
  </si>
  <si>
    <t>SOFT CARE PHYTO ROSAS BRANCAS</t>
  </si>
  <si>
    <t>34029039</t>
  </si>
  <si>
    <t>758370</t>
  </si>
  <si>
    <t>SUMA D-27 BD 5L</t>
  </si>
  <si>
    <t>758476</t>
  </si>
  <si>
    <t>PEITO FRANGO GRELHADO CONG 2KG</t>
  </si>
  <si>
    <t>790023</t>
  </si>
  <si>
    <t>NOZUKI (BERCO DE SHOYU) 1000UN (IMPORTADO)</t>
  </si>
  <si>
    <t>790032</t>
  </si>
  <si>
    <t>SHOYU BB 5L (SAKURA)</t>
  </si>
  <si>
    <t>FARINHA DE ROSCA PANKO WP 1KG (IMPORTADO)</t>
  </si>
  <si>
    <t>790170</t>
  </si>
  <si>
    <t>SHOYU BB 20 L - (SAKURA)</t>
  </si>
  <si>
    <t>790224</t>
  </si>
  <si>
    <t>MOLHO PIMENTA CHILI GARLIC 368G</t>
  </si>
  <si>
    <t>COXA E SOBRECOXA DE FRANGO (KARAAGUE 2 X 2 KG)</t>
  </si>
  <si>
    <t>790423</t>
  </si>
  <si>
    <t>FILE DE SALMAO CONG S/ PELE CX 12 KG (IMPORTADO)</t>
  </si>
  <si>
    <t>790435</t>
  </si>
  <si>
    <t>MINI SALADEIRA BRANCA 9,7X9,7X8CM CX 12</t>
  </si>
  <si>
    <t>790438</t>
  </si>
  <si>
    <t>TRAVESSA RETANGULAR 35X17X2CM (EFMEDP103)</t>
  </si>
  <si>
    <t>757105</t>
  </si>
  <si>
    <t>MAC PENNETTE RIGATE 20X500G (IMPORTADO)</t>
  </si>
  <si>
    <t>757138</t>
  </si>
  <si>
    <t>RECIPIENTE PLAST BOTELLA 762/40</t>
  </si>
  <si>
    <t>757189</t>
  </si>
  <si>
    <t>MOLHO SHOYU 208X10G</t>
  </si>
  <si>
    <t>757222</t>
  </si>
  <si>
    <t>EMB PLAST P/ MASSA 250UN R041</t>
  </si>
  <si>
    <t>757223</t>
  </si>
  <si>
    <t>TAMPA PLAST MASSA BCA250UN REF</t>
  </si>
  <si>
    <t>758351</t>
  </si>
  <si>
    <t>GATILHO PULVERIZADOR 1L GRAD.</t>
  </si>
  <si>
    <t>758354</t>
  </si>
  <si>
    <t>SABONETEIRA NEW SOFTCARE</t>
  </si>
  <si>
    <t>758361</t>
  </si>
  <si>
    <t>SUMA BLOCK WHITENER 5 L</t>
  </si>
  <si>
    <t>758437</t>
  </si>
  <si>
    <t>MAC SPAGUETTI 30X500GRS (IMPORTADO)</t>
  </si>
  <si>
    <t>ORGANIZADOR PEQ 1/3 REF 34CW135 (IMPORTADO)</t>
  </si>
  <si>
    <t>758597</t>
  </si>
  <si>
    <t>MAC PENNE S/ GLUTEN 12X500G</t>
  </si>
  <si>
    <t>758599</t>
  </si>
  <si>
    <t>PAILLARD DE FRANGO 36 X 120GR</t>
  </si>
  <si>
    <t>758608</t>
  </si>
  <si>
    <t>TAMPA PARA ORGANIZADOR 1/3 REF. 30CWCH135 (IMPORTADO)</t>
  </si>
  <si>
    <t>758618</t>
  </si>
  <si>
    <t>CHAMPIGNON PICADO BD 2 KG (IMPORTADO)</t>
  </si>
  <si>
    <t>758634</t>
  </si>
  <si>
    <t>COXAO MOLE (PAILLARD) 16 X 5 X 120G</t>
  </si>
  <si>
    <t>758635</t>
  </si>
  <si>
    <t>CONTRA FILETTO (CONTRA-FILE) 12 X 5 X 180G</t>
  </si>
  <si>
    <t>758640</t>
  </si>
  <si>
    <t>CARNE MOIDA SUINA TEMP 10 X 600G</t>
  </si>
  <si>
    <t>758653</t>
  </si>
  <si>
    <t>AZEITE TRUFA BRANCA 6 X 100ML (IMPORTADO)</t>
  </si>
  <si>
    <t>758545</t>
  </si>
  <si>
    <t>MAC RISONI 24 X 500 GR (IMPORTADO)</t>
  </si>
  <si>
    <t>4013</t>
  </si>
  <si>
    <t>FILME SOLUFILLER FLYEQ 240X50X1000</t>
  </si>
  <si>
    <t>39219090</t>
  </si>
  <si>
    <t>690024</t>
  </si>
  <si>
    <t>CXS. PAP. OND MED 370X370X130 PIZZA CONGELADA (FABRICA)</t>
  </si>
  <si>
    <t>690134</t>
  </si>
  <si>
    <t>SOLUFILM 280X15 (FABRICA)</t>
  </si>
  <si>
    <t>690021</t>
  </si>
  <si>
    <t>FILME SOLUFILLER FLYE 430X100X1000 (FABRICA)</t>
  </si>
  <si>
    <t>690027</t>
  </si>
  <si>
    <t>FILME SOLUFILLER LISO SEM IMPRESSAO 430X70X1000 (FABRICA)</t>
  </si>
  <si>
    <t>690043</t>
  </si>
  <si>
    <t>FILME SOLUFILLER FLYTE  430X085</t>
  </si>
  <si>
    <t>121005</t>
  </si>
  <si>
    <t>COLD DOUGH PRE. MIX CX 10,2 KG</t>
  </si>
  <si>
    <t>121014</t>
  </si>
  <si>
    <t>PRESUNTO DESC.COZIDO CX 3KG</t>
  </si>
  <si>
    <t>131001</t>
  </si>
  <si>
    <t>ACUCAR C/ CANELA PCT 1 KG</t>
  </si>
  <si>
    <t>132108</t>
  </si>
  <si>
    <t>BICO APLICADOR MOD SERRA</t>
  </si>
  <si>
    <t>132424</t>
  </si>
  <si>
    <t xml:space="preserve">ORGANIZADOR RETANG. 3,6L REF 370/2										</t>
  </si>
  <si>
    <t>132444</t>
  </si>
  <si>
    <t>TAMPA COPO 550ML CX 1000 UND</t>
  </si>
  <si>
    <t>132445</t>
  </si>
  <si>
    <t>COPO DOMINOS 550ML CX 1000 UND</t>
  </si>
  <si>
    <t>758356</t>
  </si>
  <si>
    <t>J-FLEX ALPHA HP (IMPORTADO)</t>
  </si>
  <si>
    <t>758362</t>
  </si>
  <si>
    <t>SUMA RINSE 5 L</t>
  </si>
  <si>
    <t>758439</t>
  </si>
  <si>
    <t>PUMP BOMBONA 5L BR800029042</t>
  </si>
  <si>
    <t>758462</t>
  </si>
  <si>
    <t>ALCAPARRAS EM CONSERVA BAG 1,6KG (1.01 DREN) (IMPORTADO)</t>
  </si>
  <si>
    <t>20019000</t>
  </si>
  <si>
    <t>FILE DE FRANGO 36 X 120GR</t>
  </si>
  <si>
    <t>758713</t>
  </si>
  <si>
    <t>PINCEL EM SILICONE (25682/100)</t>
  </si>
  <si>
    <t>790053</t>
  </si>
  <si>
    <t>MASSA P/ ROL PRIM PCT 30 FLS</t>
  </si>
  <si>
    <t>790194</t>
  </si>
  <si>
    <t>GENGIBRE BD 2,5 KG</t>
  </si>
  <si>
    <t>790290</t>
  </si>
  <si>
    <t>FOLHAS DE ALGA CX 80X50 FLS (IMPORTADO)</t>
  </si>
  <si>
    <t>12122100</t>
  </si>
  <si>
    <t>790371</t>
  </si>
  <si>
    <t>GUARDANAPO EMBAL 40X10 CX C/ 2000 UND GO KONI</t>
  </si>
  <si>
    <t>790440</t>
  </si>
  <si>
    <t>PRATO RETANG SUSHI 205X140X30CM CREME (EFMEDP118)</t>
  </si>
  <si>
    <t>132440</t>
  </si>
  <si>
    <t>MUSSARELA BUFALA 700G</t>
  </si>
  <si>
    <t>758293</t>
  </si>
  <si>
    <t>TAMPA ECONOMICA GN 1/9 BRANCA 90PPCWSC438 (IMPORTADO)</t>
  </si>
  <si>
    <t>758632</t>
  </si>
  <si>
    <t>MIOLO PALETA (COXAO MOLE) 16 X 5 X 150G</t>
  </si>
  <si>
    <t>758633</t>
  </si>
  <si>
    <t>ASSADO DE TIRAS (COSTELA) 24 X 4 X 110G</t>
  </si>
  <si>
    <t>758691</t>
  </si>
  <si>
    <t>TABUA PLAST CORTE CARNE 30X60 AMARELA</t>
  </si>
  <si>
    <t>690020</t>
  </si>
  <si>
    <t>FILME SOLUFILLER FLYE 240X70X1000 (FABRICA)</t>
  </si>
  <si>
    <t>690130</t>
  </si>
  <si>
    <t>CX. PANE ROMANO (FABRICA)</t>
  </si>
  <si>
    <t>380095</t>
  </si>
  <si>
    <t>TEMPERO P/ SUSHI KENKO (FABRICA)</t>
  </si>
  <si>
    <t>132423</t>
  </si>
  <si>
    <t>QUEIJO PARMESAO FINO 1 KG</t>
  </si>
  <si>
    <t>132430</t>
  </si>
  <si>
    <t>COPO DOMINOS 550ML CX 900 UN</t>
  </si>
  <si>
    <t>132431</t>
  </si>
  <si>
    <t>TAMPA COPO 550ML CX 900 UND</t>
  </si>
  <si>
    <t>132436</t>
  </si>
  <si>
    <t>LING LOMBO SUINO CX 1,8 KG</t>
  </si>
  <si>
    <t>790048</t>
  </si>
  <si>
    <t>HASHI CX 3000 UN (IMPORTADO)</t>
  </si>
  <si>
    <t>790058</t>
  </si>
  <si>
    <t>HARUSSAME DA SHANGAI PCT 200 G (IMPORTADO)</t>
  </si>
  <si>
    <t>790171</t>
  </si>
  <si>
    <t>SHOYU LIGHT BB 5L - (SAKURA)</t>
  </si>
  <si>
    <t>790350</t>
  </si>
  <si>
    <t>CLIP HASHI PCT 500 UNID</t>
  </si>
  <si>
    <t>790392</t>
  </si>
  <si>
    <t>CARNE BOV CRUA TIRAS CONG 6X5X90 GR</t>
  </si>
  <si>
    <t>02021000</t>
  </si>
  <si>
    <t>790404</t>
  </si>
  <si>
    <t>WASABI SACHET 300 UNID (IMPORTADO)</t>
  </si>
  <si>
    <t>790412</t>
  </si>
  <si>
    <t>MOLHO AGRIDOCE CX 12 X 360ML</t>
  </si>
  <si>
    <t>790436</t>
  </si>
  <si>
    <t>PRATO RETANGULAR CREME 27X10,5X2,5CM (EFMEDB207)</t>
  </si>
  <si>
    <t>790437</t>
  </si>
  <si>
    <t>SALADEIRA QUAD 13CM CREME (EFMEDB206)</t>
  </si>
  <si>
    <t>757184</t>
  </si>
  <si>
    <t>BANDEJA ALIMENTO REF342</t>
  </si>
  <si>
    <t>758631</t>
  </si>
  <si>
    <t>LINGUICA CALABRESA CUBOS PCT 3 KG</t>
  </si>
  <si>
    <t>AZEITE TRUFA BRANCA 6 X 125ML (IMPORTADO)</t>
  </si>
  <si>
    <t>758692</t>
  </si>
  <si>
    <t>TABUA PLAST CORTE CARNE 30X60 VERDE</t>
  </si>
  <si>
    <t>132452</t>
  </si>
  <si>
    <t>TAMPA PARA FORMA PIZZA PAN 12 (IMPORTADO)</t>
  </si>
  <si>
    <t>132482</t>
  </si>
  <si>
    <t>PEITO FRANGO COZ DESF CONG CX 2X2,5 KG</t>
  </si>
  <si>
    <t>758623</t>
  </si>
  <si>
    <t>PEITO FRANGO COZ DESF CONG CX 5X1 KG</t>
  </si>
  <si>
    <t>758709</t>
  </si>
  <si>
    <t>BANDEJA PARIS 48X33 CM GT (92522/007)</t>
  </si>
  <si>
    <t>758712</t>
  </si>
  <si>
    <t>TERMOMETRO DIGITAL (25683/100)</t>
  </si>
  <si>
    <t>790034</t>
  </si>
  <si>
    <t>TERIYAKI (MOLHO TARE) 5 L</t>
  </si>
  <si>
    <t>Chave</t>
  </si>
  <si>
    <t>De</t>
  </si>
  <si>
    <t>Para</t>
  </si>
  <si>
    <t>AUX</t>
  </si>
  <si>
    <t>KM</t>
  </si>
  <si>
    <t>AC</t>
  </si>
  <si>
    <t>MT</t>
  </si>
  <si>
    <t>MS</t>
  </si>
  <si>
    <t>PA</t>
  </si>
  <si>
    <t>PB</t>
  </si>
  <si>
    <t>AL</t>
  </si>
  <si>
    <t>MA</t>
  </si>
  <si>
    <t>AP</t>
  </si>
  <si>
    <t>DF</t>
  </si>
  <si>
    <t>SE</t>
  </si>
  <si>
    <t>PE</t>
  </si>
  <si>
    <t>PI</t>
  </si>
  <si>
    <t>RR</t>
  </si>
  <si>
    <t>TO</t>
  </si>
  <si>
    <t>Alíquota</t>
  </si>
  <si>
    <t>ACAC</t>
  </si>
  <si>
    <t>ACAL</t>
  </si>
  <si>
    <t>ACAP</t>
  </si>
  <si>
    <t>ACAM</t>
  </si>
  <si>
    <t>ACBA</t>
  </si>
  <si>
    <t>ACCE</t>
  </si>
  <si>
    <t>ACDF</t>
  </si>
  <si>
    <t>ACES</t>
  </si>
  <si>
    <t>ACGO</t>
  </si>
  <si>
    <t>ACMA</t>
  </si>
  <si>
    <t>ACMT</t>
  </si>
  <si>
    <t>ACMS</t>
  </si>
  <si>
    <t>ACMG</t>
  </si>
  <si>
    <t>ACPA</t>
  </si>
  <si>
    <t>ACPB</t>
  </si>
  <si>
    <t>ACPR</t>
  </si>
  <si>
    <t>ACPE</t>
  </si>
  <si>
    <t>ACPI</t>
  </si>
  <si>
    <t>ACRJ</t>
  </si>
  <si>
    <t>ACRN</t>
  </si>
  <si>
    <t>ACRS</t>
  </si>
  <si>
    <t>ACRO</t>
  </si>
  <si>
    <t>ACRR</t>
  </si>
  <si>
    <t>ACSC</t>
  </si>
  <si>
    <t>ACSP</t>
  </si>
  <si>
    <t>ACSE</t>
  </si>
  <si>
    <t>ACTO</t>
  </si>
  <si>
    <t>ALAC</t>
  </si>
  <si>
    <t>ALAL</t>
  </si>
  <si>
    <t>ALAP</t>
  </si>
  <si>
    <t>ALAM</t>
  </si>
  <si>
    <t>ALBA</t>
  </si>
  <si>
    <t>ALCE</t>
  </si>
  <si>
    <t>ALDF</t>
  </si>
  <si>
    <t>ALES</t>
  </si>
  <si>
    <t>ALGO</t>
  </si>
  <si>
    <t>ALMA</t>
  </si>
  <si>
    <t>ALMT</t>
  </si>
  <si>
    <t>ALMS</t>
  </si>
  <si>
    <t>ALMG</t>
  </si>
  <si>
    <t>ALPA</t>
  </si>
  <si>
    <t>ALPB</t>
  </si>
  <si>
    <t>ALPR</t>
  </si>
  <si>
    <t>ALPE</t>
  </si>
  <si>
    <t>ALPI</t>
  </si>
  <si>
    <t>ALRJ</t>
  </si>
  <si>
    <t>ALRN</t>
  </si>
  <si>
    <t>ALRS</t>
  </si>
  <si>
    <t>ALRO</t>
  </si>
  <si>
    <t>ALRR</t>
  </si>
  <si>
    <t>ALSC</t>
  </si>
  <si>
    <t>ALSP</t>
  </si>
  <si>
    <t>ALSE</t>
  </si>
  <si>
    <t>ALTO</t>
  </si>
  <si>
    <t>APAC</t>
  </si>
  <si>
    <t>APAL</t>
  </si>
  <si>
    <t>APAP</t>
  </si>
  <si>
    <t>APAM</t>
  </si>
  <si>
    <t>APBA</t>
  </si>
  <si>
    <t>APCE</t>
  </si>
  <si>
    <t>APDF</t>
  </si>
  <si>
    <t>APES</t>
  </si>
  <si>
    <t>APGO</t>
  </si>
  <si>
    <t>APMA</t>
  </si>
  <si>
    <t>APMT</t>
  </si>
  <si>
    <t>APMS</t>
  </si>
  <si>
    <t>APMG</t>
  </si>
  <si>
    <t>APPA</t>
  </si>
  <si>
    <t>APPB</t>
  </si>
  <si>
    <t>APPR</t>
  </si>
  <si>
    <t>APPE</t>
  </si>
  <si>
    <t>APPI</t>
  </si>
  <si>
    <t>APRJ</t>
  </si>
  <si>
    <t>APRN</t>
  </si>
  <si>
    <t>APRS</t>
  </si>
  <si>
    <t>APRO</t>
  </si>
  <si>
    <t>APRR</t>
  </si>
  <si>
    <t>APSC</t>
  </si>
  <si>
    <t>APSP</t>
  </si>
  <si>
    <t>APSE</t>
  </si>
  <si>
    <t>APTO</t>
  </si>
  <si>
    <t>AMAC</t>
  </si>
  <si>
    <t>AMAL</t>
  </si>
  <si>
    <t>AMAP</t>
  </si>
  <si>
    <t>AMAM</t>
  </si>
  <si>
    <t>AMBA</t>
  </si>
  <si>
    <t>AMCE</t>
  </si>
  <si>
    <t>AMDF</t>
  </si>
  <si>
    <t>AMES</t>
  </si>
  <si>
    <t>AMGO</t>
  </si>
  <si>
    <t>AMMA</t>
  </si>
  <si>
    <t>AMMT</t>
  </si>
  <si>
    <t>AMMS</t>
  </si>
  <si>
    <t>AMMG</t>
  </si>
  <si>
    <t>AMPA</t>
  </si>
  <si>
    <t>AMPB</t>
  </si>
  <si>
    <t>AMPR</t>
  </si>
  <si>
    <t>AMPE</t>
  </si>
  <si>
    <t>AMPI</t>
  </si>
  <si>
    <t>AMRJ</t>
  </si>
  <si>
    <t>AMRN</t>
  </si>
  <si>
    <t>AMRS</t>
  </si>
  <si>
    <t>AMRO</t>
  </si>
  <si>
    <t>AMRR</t>
  </si>
  <si>
    <t>AMSC</t>
  </si>
  <si>
    <t>AMSP</t>
  </si>
  <si>
    <t>AMSE</t>
  </si>
  <si>
    <t>AMTO</t>
  </si>
  <si>
    <t>BAAC</t>
  </si>
  <si>
    <t>BAAL</t>
  </si>
  <si>
    <t>BAAP</t>
  </si>
  <si>
    <t>BAAM</t>
  </si>
  <si>
    <t>BABA</t>
  </si>
  <si>
    <t>BACE</t>
  </si>
  <si>
    <t>BADF</t>
  </si>
  <si>
    <t>BAES</t>
  </si>
  <si>
    <t>BAGO</t>
  </si>
  <si>
    <t>BAMA</t>
  </si>
  <si>
    <t>BAMT</t>
  </si>
  <si>
    <t>BAMS</t>
  </si>
  <si>
    <t>BAMG</t>
  </si>
  <si>
    <t>BAPA</t>
  </si>
  <si>
    <t>BAPB</t>
  </si>
  <si>
    <t>BAPR</t>
  </si>
  <si>
    <t>BAPE</t>
  </si>
  <si>
    <t>BAPI</t>
  </si>
  <si>
    <t>BARJ</t>
  </si>
  <si>
    <t>BARN</t>
  </si>
  <si>
    <t>BARS</t>
  </si>
  <si>
    <t>BARO</t>
  </si>
  <si>
    <t>BARR</t>
  </si>
  <si>
    <t>BASC</t>
  </si>
  <si>
    <t>BASP</t>
  </si>
  <si>
    <t>BASE</t>
  </si>
  <si>
    <t>BATO</t>
  </si>
  <si>
    <t>CEAC</t>
  </si>
  <si>
    <t>CEAL</t>
  </si>
  <si>
    <t>CEAP</t>
  </si>
  <si>
    <t>CEAM</t>
  </si>
  <si>
    <t>CEBA</t>
  </si>
  <si>
    <t>CECE</t>
  </si>
  <si>
    <t>CEDF</t>
  </si>
  <si>
    <t>CEES</t>
  </si>
  <si>
    <t>CEGO</t>
  </si>
  <si>
    <t>CEMA</t>
  </si>
  <si>
    <t>CEMT</t>
  </si>
  <si>
    <t>CEMS</t>
  </si>
  <si>
    <t>CEMG</t>
  </si>
  <si>
    <t>CEPA</t>
  </si>
  <si>
    <t>CEPB</t>
  </si>
  <si>
    <t>CEPR</t>
  </si>
  <si>
    <t>CEPE</t>
  </si>
  <si>
    <t>CEPI</t>
  </si>
  <si>
    <t>CERJ</t>
  </si>
  <si>
    <t>CERN</t>
  </si>
  <si>
    <t>CERS</t>
  </si>
  <si>
    <t>CERO</t>
  </si>
  <si>
    <t>CERR</t>
  </si>
  <si>
    <t>CESC</t>
  </si>
  <si>
    <t>CESP</t>
  </si>
  <si>
    <t>CESE</t>
  </si>
  <si>
    <t>CETO</t>
  </si>
  <si>
    <t>DFAC</t>
  </si>
  <si>
    <t>DFAL</t>
  </si>
  <si>
    <t>DFAP</t>
  </si>
  <si>
    <t>DFAM</t>
  </si>
  <si>
    <t>DFBA</t>
  </si>
  <si>
    <t>DFCE</t>
  </si>
  <si>
    <t>DFDF</t>
  </si>
  <si>
    <t>DFES</t>
  </si>
  <si>
    <t>DFGO</t>
  </si>
  <si>
    <t>DFMA</t>
  </si>
  <si>
    <t>DFMT</t>
  </si>
  <si>
    <t>DFMS</t>
  </si>
  <si>
    <t>DFMG</t>
  </si>
  <si>
    <t>DFPA</t>
  </si>
  <si>
    <t>DFPB</t>
  </si>
  <si>
    <t>DFPR</t>
  </si>
  <si>
    <t>DFPE</t>
  </si>
  <si>
    <t>DFPI</t>
  </si>
  <si>
    <t>DFRJ</t>
  </si>
  <si>
    <t>DFRN</t>
  </si>
  <si>
    <t>DFRS</t>
  </si>
  <si>
    <t>DFRO</t>
  </si>
  <si>
    <t>DFRR</t>
  </si>
  <si>
    <t>DFSC</t>
  </si>
  <si>
    <t>DFSP</t>
  </si>
  <si>
    <t>DFSE</t>
  </si>
  <si>
    <t>DFTO</t>
  </si>
  <si>
    <t>ESAC</t>
  </si>
  <si>
    <t>ESAL</t>
  </si>
  <si>
    <t>ESAP</t>
  </si>
  <si>
    <t>ESAM</t>
  </si>
  <si>
    <t>ESBA</t>
  </si>
  <si>
    <t>ESCE</t>
  </si>
  <si>
    <t>ESDF</t>
  </si>
  <si>
    <t>ESES</t>
  </si>
  <si>
    <t>ESGO</t>
  </si>
  <si>
    <t>ESMA</t>
  </si>
  <si>
    <t>ESMT</t>
  </si>
  <si>
    <t>ESMS</t>
  </si>
  <si>
    <t>ESMG</t>
  </si>
  <si>
    <t>ESPA</t>
  </si>
  <si>
    <t>ESPB</t>
  </si>
  <si>
    <t>ESPR</t>
  </si>
  <si>
    <t>ESPE</t>
  </si>
  <si>
    <t>ESPI</t>
  </si>
  <si>
    <t>ESRJ</t>
  </si>
  <si>
    <t>ESRN</t>
  </si>
  <si>
    <t>ESRS</t>
  </si>
  <si>
    <t>ESRO</t>
  </si>
  <si>
    <t>ESRR</t>
  </si>
  <si>
    <t>ESSC</t>
  </si>
  <si>
    <t>ESSP</t>
  </si>
  <si>
    <t>ESSE</t>
  </si>
  <si>
    <t>ESTO</t>
  </si>
  <si>
    <t>GOAC</t>
  </si>
  <si>
    <t>GOAL</t>
  </si>
  <si>
    <t>GOAP</t>
  </si>
  <si>
    <t>GOAM</t>
  </si>
  <si>
    <t>GOBA</t>
  </si>
  <si>
    <t>GOCE</t>
  </si>
  <si>
    <t>GODF</t>
  </si>
  <si>
    <t>GOES</t>
  </si>
  <si>
    <t>GOGO</t>
  </si>
  <si>
    <t>GOMA</t>
  </si>
  <si>
    <t>GOMT</t>
  </si>
  <si>
    <t>GOMS</t>
  </si>
  <si>
    <t>GOMG</t>
  </si>
  <si>
    <t>GOPA</t>
  </si>
  <si>
    <t>GOPB</t>
  </si>
  <si>
    <t>GOPR</t>
  </si>
  <si>
    <t>GOPE</t>
  </si>
  <si>
    <t>GOPI</t>
  </si>
  <si>
    <t>GORJ</t>
  </si>
  <si>
    <t>GORN</t>
  </si>
  <si>
    <t>GORS</t>
  </si>
  <si>
    <t>GORO</t>
  </si>
  <si>
    <t>GORR</t>
  </si>
  <si>
    <t>GOSC</t>
  </si>
  <si>
    <t>GOSP</t>
  </si>
  <si>
    <t>GOSE</t>
  </si>
  <si>
    <t>GOTO</t>
  </si>
  <si>
    <t>MAAC</t>
  </si>
  <si>
    <t>MAAL</t>
  </si>
  <si>
    <t>MAAP</t>
  </si>
  <si>
    <t>MAAM</t>
  </si>
  <si>
    <t>MABA</t>
  </si>
  <si>
    <t>MACE</t>
  </si>
  <si>
    <t>MADF</t>
  </si>
  <si>
    <t>MAES</t>
  </si>
  <si>
    <t>MAGO</t>
  </si>
  <si>
    <t>MAMA</t>
  </si>
  <si>
    <t>MAMT</t>
  </si>
  <si>
    <t>MAMS</t>
  </si>
  <si>
    <t>MAMG</t>
  </si>
  <si>
    <t>MAPA</t>
  </si>
  <si>
    <t>MAPB</t>
  </si>
  <si>
    <t>MAPR</t>
  </si>
  <si>
    <t>MAPE</t>
  </si>
  <si>
    <t>MAPI</t>
  </si>
  <si>
    <t>MARJ</t>
  </si>
  <si>
    <t>MARN</t>
  </si>
  <si>
    <t>MARS</t>
  </si>
  <si>
    <t>MARO</t>
  </si>
  <si>
    <t>MARR</t>
  </si>
  <si>
    <t>MASC</t>
  </si>
  <si>
    <t>MASP</t>
  </si>
  <si>
    <t>MASE</t>
  </si>
  <si>
    <t>MATO</t>
  </si>
  <si>
    <t>MTAC</t>
  </si>
  <si>
    <t>MTAL</t>
  </si>
  <si>
    <t>MTAP</t>
  </si>
  <si>
    <t>MTAM</t>
  </si>
  <si>
    <t>MTBA</t>
  </si>
  <si>
    <t>MTCE</t>
  </si>
  <si>
    <t>MTDF</t>
  </si>
  <si>
    <t>MTES</t>
  </si>
  <si>
    <t>MTGO</t>
  </si>
  <si>
    <t>MTMA</t>
  </si>
  <si>
    <t>MTMT</t>
  </si>
  <si>
    <t>MTMS</t>
  </si>
  <si>
    <t>MTMG</t>
  </si>
  <si>
    <t>MTPA</t>
  </si>
  <si>
    <t>MTPB</t>
  </si>
  <si>
    <t>MTPR</t>
  </si>
  <si>
    <t>MTPE</t>
  </si>
  <si>
    <t>MTPI</t>
  </si>
  <si>
    <t>MTRJ</t>
  </si>
  <si>
    <t>MTRN</t>
  </si>
  <si>
    <t>MTRS</t>
  </si>
  <si>
    <t>MTRO</t>
  </si>
  <si>
    <t>MTRR</t>
  </si>
  <si>
    <t>MTSC</t>
  </si>
  <si>
    <t>MTSP</t>
  </si>
  <si>
    <t>MTSE</t>
  </si>
  <si>
    <t>MTTO</t>
  </si>
  <si>
    <t>MSAC</t>
  </si>
  <si>
    <t>MSAL</t>
  </si>
  <si>
    <t>MSAP</t>
  </si>
  <si>
    <t>MSAM</t>
  </si>
  <si>
    <t>MSBA</t>
  </si>
  <si>
    <t>MSCE</t>
  </si>
  <si>
    <t>MSDF</t>
  </si>
  <si>
    <t>MSES</t>
  </si>
  <si>
    <t>MSGO</t>
  </si>
  <si>
    <t>MSMA</t>
  </si>
  <si>
    <t>MSMT</t>
  </si>
  <si>
    <t>MSMS</t>
  </si>
  <si>
    <t>MSMG</t>
  </si>
  <si>
    <t>MSPA</t>
  </si>
  <si>
    <t>MSPB</t>
  </si>
  <si>
    <t>MSPR</t>
  </si>
  <si>
    <t>MSPE</t>
  </si>
  <si>
    <t>MSPI</t>
  </si>
  <si>
    <t>MSRJ</t>
  </si>
  <si>
    <t>MSRN</t>
  </si>
  <si>
    <t>MSRS</t>
  </si>
  <si>
    <t>MSRO</t>
  </si>
  <si>
    <t>MSRR</t>
  </si>
  <si>
    <t>MSSC</t>
  </si>
  <si>
    <t>MSSP</t>
  </si>
  <si>
    <t>MSSE</t>
  </si>
  <si>
    <t>MSTO</t>
  </si>
  <si>
    <t>MGAC</t>
  </si>
  <si>
    <t>MGAL</t>
  </si>
  <si>
    <t>MGAP</t>
  </si>
  <si>
    <t>MGAM</t>
  </si>
  <si>
    <t>MGBA</t>
  </si>
  <si>
    <t>MGCE</t>
  </si>
  <si>
    <t>MGDF</t>
  </si>
  <si>
    <t>MGES</t>
  </si>
  <si>
    <t>MGGO</t>
  </si>
  <si>
    <t>MGMA</t>
  </si>
  <si>
    <t>MGMT</t>
  </si>
  <si>
    <t>MGMS</t>
  </si>
  <si>
    <t>MGMG</t>
  </si>
  <si>
    <t>MGPA</t>
  </si>
  <si>
    <t>MGPB</t>
  </si>
  <si>
    <t>MGPR</t>
  </si>
  <si>
    <t>MGPE</t>
  </si>
  <si>
    <t>MGPI</t>
  </si>
  <si>
    <t>MGRJ</t>
  </si>
  <si>
    <t>MGRN</t>
  </si>
  <si>
    <t>MGRS</t>
  </si>
  <si>
    <t>MGRO</t>
  </si>
  <si>
    <t>MGRR</t>
  </si>
  <si>
    <t>MGSC</t>
  </si>
  <si>
    <t>MGSP</t>
  </si>
  <si>
    <t>MGSE</t>
  </si>
  <si>
    <t>MGTO</t>
  </si>
  <si>
    <t>PAAC</t>
  </si>
  <si>
    <t>PAAL</t>
  </si>
  <si>
    <t>PAAP</t>
  </si>
  <si>
    <t>PAAM</t>
  </si>
  <si>
    <t>PABA</t>
  </si>
  <si>
    <t>PACE</t>
  </si>
  <si>
    <t>PADF</t>
  </si>
  <si>
    <t>PAES</t>
  </si>
  <si>
    <t>PAGO</t>
  </si>
  <si>
    <t>PAMA</t>
  </si>
  <si>
    <t>PAMT</t>
  </si>
  <si>
    <t>PAMS</t>
  </si>
  <si>
    <t>PAMG</t>
  </si>
  <si>
    <t>PAPA</t>
  </si>
  <si>
    <t>PAPB</t>
  </si>
  <si>
    <t>PAPR</t>
  </si>
  <si>
    <t>PAPE</t>
  </si>
  <si>
    <t>PAPI</t>
  </si>
  <si>
    <t>PARJ</t>
  </si>
  <si>
    <t>PARN</t>
  </si>
  <si>
    <t>PARS</t>
  </si>
  <si>
    <t>PARO</t>
  </si>
  <si>
    <t>PARR</t>
  </si>
  <si>
    <t>PASC</t>
  </si>
  <si>
    <t>PASP</t>
  </si>
  <si>
    <t>PASE</t>
  </si>
  <si>
    <t>PATO</t>
  </si>
  <si>
    <t>PBAC</t>
  </si>
  <si>
    <t>PBAL</t>
  </si>
  <si>
    <t>PBAP</t>
  </si>
  <si>
    <t>PBAM</t>
  </si>
  <si>
    <t>PBBA</t>
  </si>
  <si>
    <t>PBCE</t>
  </si>
  <si>
    <t>PBDF</t>
  </si>
  <si>
    <t>PBES</t>
  </si>
  <si>
    <t>PBGO</t>
  </si>
  <si>
    <t>PBMA</t>
  </si>
  <si>
    <t>PBMT</t>
  </si>
  <si>
    <t>PBMS</t>
  </si>
  <si>
    <t>PBMG</t>
  </si>
  <si>
    <t>PBPA</t>
  </si>
  <si>
    <t>PBPB</t>
  </si>
  <si>
    <t>PBPR</t>
  </si>
  <si>
    <t>PBPE</t>
  </si>
  <si>
    <t>PBPI</t>
  </si>
  <si>
    <t>PBRJ</t>
  </si>
  <si>
    <t>PBRN</t>
  </si>
  <si>
    <t>PBRS</t>
  </si>
  <si>
    <t>PBRO</t>
  </si>
  <si>
    <t>PBRR</t>
  </si>
  <si>
    <t>PBSC</t>
  </si>
  <si>
    <t>PBSP</t>
  </si>
  <si>
    <t>PBSE</t>
  </si>
  <si>
    <t>PBTO</t>
  </si>
  <si>
    <t>PRAC</t>
  </si>
  <si>
    <t>PRAL</t>
  </si>
  <si>
    <t>PRAP</t>
  </si>
  <si>
    <t>PRAM</t>
  </si>
  <si>
    <t>PRBA</t>
  </si>
  <si>
    <t>PRCE</t>
  </si>
  <si>
    <t>PRDF</t>
  </si>
  <si>
    <t>PRES</t>
  </si>
  <si>
    <t>PRGO</t>
  </si>
  <si>
    <t>PRMA</t>
  </si>
  <si>
    <t>PRMT</t>
  </si>
  <si>
    <t>PRMS</t>
  </si>
  <si>
    <t>PRMG</t>
  </si>
  <si>
    <t>PRPA</t>
  </si>
  <si>
    <t>PRPB</t>
  </si>
  <si>
    <t>PRPR</t>
  </si>
  <si>
    <t>PRPE</t>
  </si>
  <si>
    <t>PRPI</t>
  </si>
  <si>
    <t>PRRJ</t>
  </si>
  <si>
    <t>PRRN</t>
  </si>
  <si>
    <t>PRRS</t>
  </si>
  <si>
    <t>PRRO</t>
  </si>
  <si>
    <t>PRRR</t>
  </si>
  <si>
    <t>PRSC</t>
  </si>
  <si>
    <t>PRSP</t>
  </si>
  <si>
    <t>PRSE</t>
  </si>
  <si>
    <t>PRTO</t>
  </si>
  <si>
    <t>PEAC</t>
  </si>
  <si>
    <t>PEAL</t>
  </si>
  <si>
    <t>PEAP</t>
  </si>
  <si>
    <t>PEAM</t>
  </si>
  <si>
    <t>PEBA</t>
  </si>
  <si>
    <t>PECE</t>
  </si>
  <si>
    <t>PEDF</t>
  </si>
  <si>
    <t>PEES</t>
  </si>
  <si>
    <t>PEGO</t>
  </si>
  <si>
    <t>PEMA</t>
  </si>
  <si>
    <t>PEMT</t>
  </si>
  <si>
    <t>PEMS</t>
  </si>
  <si>
    <t>PEMG</t>
  </si>
  <si>
    <t>PEPA</t>
  </si>
  <si>
    <t>PEPB</t>
  </si>
  <si>
    <t>PEPR</t>
  </si>
  <si>
    <t>PEPE</t>
  </si>
  <si>
    <t>PEPI</t>
  </si>
  <si>
    <t>PERJ</t>
  </si>
  <si>
    <t>PERN</t>
  </si>
  <si>
    <t>PERS</t>
  </si>
  <si>
    <t>PERO</t>
  </si>
  <si>
    <t>PERR</t>
  </si>
  <si>
    <t>PESC</t>
  </si>
  <si>
    <t>PESP</t>
  </si>
  <si>
    <t>PESE</t>
  </si>
  <si>
    <t>PETO</t>
  </si>
  <si>
    <t>PIAC</t>
  </si>
  <si>
    <t>PIAL</t>
  </si>
  <si>
    <t>PIAP</t>
  </si>
  <si>
    <t>PIAM</t>
  </si>
  <si>
    <t>PIBA</t>
  </si>
  <si>
    <t>PICE</t>
  </si>
  <si>
    <t>PIDF</t>
  </si>
  <si>
    <t>PIES</t>
  </si>
  <si>
    <t>PIGO</t>
  </si>
  <si>
    <t>PIMA</t>
  </si>
  <si>
    <t>PIMT</t>
  </si>
  <si>
    <t>PIMS</t>
  </si>
  <si>
    <t>PIMG</t>
  </si>
  <si>
    <t>PIPA</t>
  </si>
  <si>
    <t>PIPB</t>
  </si>
  <si>
    <t>PIPR</t>
  </si>
  <si>
    <t>PIPE</t>
  </si>
  <si>
    <t>PIPI</t>
  </si>
  <si>
    <t>PIRJ</t>
  </si>
  <si>
    <t>PIRN</t>
  </si>
  <si>
    <t>PIRS</t>
  </si>
  <si>
    <t>PIRO</t>
  </si>
  <si>
    <t>PIRR</t>
  </si>
  <si>
    <t>PISC</t>
  </si>
  <si>
    <t>PISP</t>
  </si>
  <si>
    <t>PISE</t>
  </si>
  <si>
    <t>PITO</t>
  </si>
  <si>
    <t>RJAC</t>
  </si>
  <si>
    <t>RJAL</t>
  </si>
  <si>
    <t>RJAP</t>
  </si>
  <si>
    <t>RJAM</t>
  </si>
  <si>
    <t>RJBA</t>
  </si>
  <si>
    <t>RJCE</t>
  </si>
  <si>
    <t>RJDF</t>
  </si>
  <si>
    <t>RJES</t>
  </si>
  <si>
    <t>RJGO</t>
  </si>
  <si>
    <t>RJMA</t>
  </si>
  <si>
    <t>RJMT</t>
  </si>
  <si>
    <t>RJMS</t>
  </si>
  <si>
    <t>RJMG</t>
  </si>
  <si>
    <t>RJPA</t>
  </si>
  <si>
    <t>RJPB</t>
  </si>
  <si>
    <t>RJPR</t>
  </si>
  <si>
    <t>RJPE</t>
  </si>
  <si>
    <t>RJPI</t>
  </si>
  <si>
    <t>RJRJ</t>
  </si>
  <si>
    <t>RJRN</t>
  </si>
  <si>
    <t>RJRS</t>
  </si>
  <si>
    <t>RJRO</t>
  </si>
  <si>
    <t>RJRR</t>
  </si>
  <si>
    <t>RJSC</t>
  </si>
  <si>
    <t>RJSP</t>
  </si>
  <si>
    <t>RJSE</t>
  </si>
  <si>
    <t>RJTO</t>
  </si>
  <si>
    <t>RNAC</t>
  </si>
  <si>
    <t>RNAL</t>
  </si>
  <si>
    <t>RNAP</t>
  </si>
  <si>
    <t>RNAM</t>
  </si>
  <si>
    <t>RNBA</t>
  </si>
  <si>
    <t>RNCE</t>
  </si>
  <si>
    <t>RNDF</t>
  </si>
  <si>
    <t>RNES</t>
  </si>
  <si>
    <t>RNGO</t>
  </si>
  <si>
    <t>RNMA</t>
  </si>
  <si>
    <t>RNMT</t>
  </si>
  <si>
    <t>RNMS</t>
  </si>
  <si>
    <t>RNMG</t>
  </si>
  <si>
    <t>RNPA</t>
  </si>
  <si>
    <t>RNPB</t>
  </si>
  <si>
    <t>RNPR</t>
  </si>
  <si>
    <t>RNPE</t>
  </si>
  <si>
    <t>RNPI</t>
  </si>
  <si>
    <t>RNRJ</t>
  </si>
  <si>
    <t>RNRN</t>
  </si>
  <si>
    <t>RNRS</t>
  </si>
  <si>
    <t>RNRO</t>
  </si>
  <si>
    <t>RNRR</t>
  </si>
  <si>
    <t>RNSC</t>
  </si>
  <si>
    <t>RNSP</t>
  </si>
  <si>
    <t>RNSE</t>
  </si>
  <si>
    <t>RNTO</t>
  </si>
  <si>
    <t>RSAC</t>
  </si>
  <si>
    <t>RSAL</t>
  </si>
  <si>
    <t>RSAP</t>
  </si>
  <si>
    <t>RSAM</t>
  </si>
  <si>
    <t>RSBA</t>
  </si>
  <si>
    <t>RSCE</t>
  </si>
  <si>
    <t>RSDF</t>
  </si>
  <si>
    <t>RSES</t>
  </si>
  <si>
    <t>RSGO</t>
  </si>
  <si>
    <t>RSMA</t>
  </si>
  <si>
    <t>RSMT</t>
  </si>
  <si>
    <t>RSMS</t>
  </si>
  <si>
    <t>RSMG</t>
  </si>
  <si>
    <t>RSPA</t>
  </si>
  <si>
    <t>RSPB</t>
  </si>
  <si>
    <t>RSPR</t>
  </si>
  <si>
    <t>RSPE</t>
  </si>
  <si>
    <t>RSPI</t>
  </si>
  <si>
    <t>RSRJ</t>
  </si>
  <si>
    <t>RSRN</t>
  </si>
  <si>
    <t>RSRS</t>
  </si>
  <si>
    <t>RSRO</t>
  </si>
  <si>
    <t>RSRR</t>
  </si>
  <si>
    <t>RSSC</t>
  </si>
  <si>
    <t>RSSP</t>
  </si>
  <si>
    <t>RSSE</t>
  </si>
  <si>
    <t>RSTO</t>
  </si>
  <si>
    <t>ROAC</t>
  </si>
  <si>
    <t>ROAL</t>
  </si>
  <si>
    <t>ROAP</t>
  </si>
  <si>
    <t>ROAM</t>
  </si>
  <si>
    <t>ROBA</t>
  </si>
  <si>
    <t>ROCE</t>
  </si>
  <si>
    <t>RODF</t>
  </si>
  <si>
    <t>ROES</t>
  </si>
  <si>
    <t>ROGO</t>
  </si>
  <si>
    <t>ROMA</t>
  </si>
  <si>
    <t>ROMT</t>
  </si>
  <si>
    <t>ROMS</t>
  </si>
  <si>
    <t>ROMG</t>
  </si>
  <si>
    <t>ROPA</t>
  </si>
  <si>
    <t>ROPB</t>
  </si>
  <si>
    <t>ROPR</t>
  </si>
  <si>
    <t>ROPE</t>
  </si>
  <si>
    <t>ROPI</t>
  </si>
  <si>
    <t>RORJ</t>
  </si>
  <si>
    <t>RORN</t>
  </si>
  <si>
    <t>RORS</t>
  </si>
  <si>
    <t>RORO</t>
  </si>
  <si>
    <t>RORR</t>
  </si>
  <si>
    <t>ROSC</t>
  </si>
  <si>
    <t>ROSP</t>
  </si>
  <si>
    <t>ROSE</t>
  </si>
  <si>
    <t>ROTO</t>
  </si>
  <si>
    <t>RRAC</t>
  </si>
  <si>
    <t>RRAL</t>
  </si>
  <si>
    <t>RRAP</t>
  </si>
  <si>
    <t>RRAM</t>
  </si>
  <si>
    <t>RRBA</t>
  </si>
  <si>
    <t>RRCE</t>
  </si>
  <si>
    <t>RRDF</t>
  </si>
  <si>
    <t>RRES</t>
  </si>
  <si>
    <t>RRGO</t>
  </si>
  <si>
    <t>RRMA</t>
  </si>
  <si>
    <t>RRMT</t>
  </si>
  <si>
    <t>RRMS</t>
  </si>
  <si>
    <t>RRMG</t>
  </si>
  <si>
    <t>RRPA</t>
  </si>
  <si>
    <t>RRPB</t>
  </si>
  <si>
    <t>RRPR</t>
  </si>
  <si>
    <t>RRPE</t>
  </si>
  <si>
    <t>RRPI</t>
  </si>
  <si>
    <t>RRRJ</t>
  </si>
  <si>
    <t>RRRN</t>
  </si>
  <si>
    <t>RRRS</t>
  </si>
  <si>
    <t>RRRO</t>
  </si>
  <si>
    <t>RRRR</t>
  </si>
  <si>
    <t>RRSC</t>
  </si>
  <si>
    <t>RRSP</t>
  </si>
  <si>
    <t>RRSE</t>
  </si>
  <si>
    <t>RRTO</t>
  </si>
  <si>
    <t>SCAC</t>
  </si>
  <si>
    <t>SCAL</t>
  </si>
  <si>
    <t>SCAP</t>
  </si>
  <si>
    <t>SCAM</t>
  </si>
  <si>
    <t>SCBA</t>
  </si>
  <si>
    <t>SCCE</t>
  </si>
  <si>
    <t>SCDF</t>
  </si>
  <si>
    <t>SCES</t>
  </si>
  <si>
    <t>SCGO</t>
  </si>
  <si>
    <t>SCMA</t>
  </si>
  <si>
    <t>SCMT</t>
  </si>
  <si>
    <t>SCMS</t>
  </si>
  <si>
    <t>SCMG</t>
  </si>
  <si>
    <t>SCPA</t>
  </si>
  <si>
    <t>SCPB</t>
  </si>
  <si>
    <t>SCPR</t>
  </si>
  <si>
    <t>SCPE</t>
  </si>
  <si>
    <t>SCPI</t>
  </si>
  <si>
    <t>SCRJ</t>
  </si>
  <si>
    <t>SCRN</t>
  </si>
  <si>
    <t>SCRS</t>
  </si>
  <si>
    <t>SCRO</t>
  </si>
  <si>
    <t>SCRR</t>
  </si>
  <si>
    <t>SCSC</t>
  </si>
  <si>
    <t>SCSP</t>
  </si>
  <si>
    <t>SCSE</t>
  </si>
  <si>
    <t>SCTO</t>
  </si>
  <si>
    <t>SPAC</t>
  </si>
  <si>
    <t>SPAL</t>
  </si>
  <si>
    <t>SPAP</t>
  </si>
  <si>
    <t>SPAM</t>
  </si>
  <si>
    <t>SPBA</t>
  </si>
  <si>
    <t>SPCE</t>
  </si>
  <si>
    <t>SPDF</t>
  </si>
  <si>
    <t>SPES</t>
  </si>
  <si>
    <t>SPGO</t>
  </si>
  <si>
    <t>SPMA</t>
  </si>
  <si>
    <t>SPMT</t>
  </si>
  <si>
    <t>SPMS</t>
  </si>
  <si>
    <t>SPMG</t>
  </si>
  <si>
    <t>SPPA</t>
  </si>
  <si>
    <t>SPPB</t>
  </si>
  <si>
    <t>SPPR</t>
  </si>
  <si>
    <t>SPPE</t>
  </si>
  <si>
    <t>SPPI</t>
  </si>
  <si>
    <t>SPRJ</t>
  </si>
  <si>
    <t>SPRN</t>
  </si>
  <si>
    <t>SPRS</t>
  </si>
  <si>
    <t>SPRO</t>
  </si>
  <si>
    <t>SPRR</t>
  </si>
  <si>
    <t>SPSC</t>
  </si>
  <si>
    <t>SPSP</t>
  </si>
  <si>
    <t>SPSE</t>
  </si>
  <si>
    <t>SPTO</t>
  </si>
  <si>
    <t>SEAC</t>
  </si>
  <si>
    <t>SEAL</t>
  </si>
  <si>
    <t>SEAP</t>
  </si>
  <si>
    <t>SEAM</t>
  </si>
  <si>
    <t>SEBA</t>
  </si>
  <si>
    <t>SECE</t>
  </si>
  <si>
    <t>SEDF</t>
  </si>
  <si>
    <t>SEES</t>
  </si>
  <si>
    <t>SEGO</t>
  </si>
  <si>
    <t>SEMA</t>
  </si>
  <si>
    <t>SEMT</t>
  </si>
  <si>
    <t>SEMS</t>
  </si>
  <si>
    <t>SEMG</t>
  </si>
  <si>
    <t>SEPA</t>
  </si>
  <si>
    <t>SEPB</t>
  </si>
  <si>
    <t>SEPR</t>
  </si>
  <si>
    <t>SEPE</t>
  </si>
  <si>
    <t>SEPI</t>
  </si>
  <si>
    <t>SERJ</t>
  </si>
  <si>
    <t>SERN</t>
  </si>
  <si>
    <t>SERS</t>
  </si>
  <si>
    <t>SERO</t>
  </si>
  <si>
    <t>SERR</t>
  </si>
  <si>
    <t>SESC</t>
  </si>
  <si>
    <t>SESP</t>
  </si>
  <si>
    <t>SESE</t>
  </si>
  <si>
    <t>SETO</t>
  </si>
  <si>
    <t>TOAC</t>
  </si>
  <si>
    <t>TOAL</t>
  </si>
  <si>
    <t>TOAP</t>
  </si>
  <si>
    <t>TOAM</t>
  </si>
  <si>
    <t>TOBA</t>
  </si>
  <si>
    <t>TOCE</t>
  </si>
  <si>
    <t>TODF</t>
  </si>
  <si>
    <t>TOES</t>
  </si>
  <si>
    <t>TOGO</t>
  </si>
  <si>
    <t>TOMA</t>
  </si>
  <si>
    <t>TOMT</t>
  </si>
  <si>
    <t>TOMS</t>
  </si>
  <si>
    <t>TOMG</t>
  </si>
  <si>
    <t>TOPA</t>
  </si>
  <si>
    <t>TOPB</t>
  </si>
  <si>
    <t>TOPR</t>
  </si>
  <si>
    <t>TOPE</t>
  </si>
  <si>
    <t>TOPI</t>
  </si>
  <si>
    <t>TORJ</t>
  </si>
  <si>
    <t>TORN</t>
  </si>
  <si>
    <t>TORS</t>
  </si>
  <si>
    <t>TORO</t>
  </si>
  <si>
    <t>TORR</t>
  </si>
  <si>
    <t>TOSC</t>
  </si>
  <si>
    <t>TOSP</t>
  </si>
  <si>
    <t>TOSE</t>
  </si>
  <si>
    <t>TOTO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</si>
</sst>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R$&quot;\ #,##0.00;[Red]\-&quot;R$&quot;\ #,##0.00"/>
    <numFmt numFmtId="165" formatCode="_-* #,##0.00_-;\-* #,##0.00_-;_-* &quot;-&quot;??_-;_-@"/>
  </numFmts>
  <fonts count="6">
    <font>
      <sz val="11"/>
      <color theme="1"/>
      <name val="Calibri"/>
      <scheme val="minor"/>
    </font>
    <font>
      <b/>
      <sz val="2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00B0F0"/>
        <bgColor rgb="FF00B0F0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/>
    <xf numFmtId="0" fontId="2" fillId="0" borderId="0" xfId="0" applyFont="1"/>
    <xf numFmtId="164" fontId="3" fillId="0" borderId="0" xfId="0" applyNumberFormat="1" applyFont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0" borderId="0" xfId="0" applyFont="1"/>
    <xf numFmtId="3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/>
    <xf numFmtId="165" fontId="4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165" fontId="4" fillId="4" borderId="5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165" fontId="4" fillId="5" borderId="2" xfId="0" applyNumberFormat="1" applyFont="1" applyFill="1" applyBorder="1" applyAlignment="1">
      <alignment horizontal="center" vertical="center"/>
    </xf>
    <xf numFmtId="0" fontId="5" fillId="0" borderId="8" xfId="0" applyFont="1" applyBorder="1"/>
    <xf numFmtId="0" fontId="3" fillId="0" borderId="9" xfId="0" applyFont="1" applyFill="1" applyBorder="1"/>
    <xf numFmtId="43" fontId="3" fillId="0" borderId="9" xfId="0" applyNumberFormat="1" applyFont="1" applyFill="1" applyBorder="1"/>
    <xf numFmtId="43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53"/>
  <sheetViews>
    <sheetView showGridLines="0" tabSelected="1" topLeftCell="J1" workbookViewId="0">
      <selection activeCell="AD9" sqref="AC9:AD9"/>
    </sheetView>
  </sheetViews>
  <sheetFormatPr defaultColWidth="14.42578125" defaultRowHeight="15" customHeight="1"/>
  <cols>
    <col min="1" max="1" width="7" customWidth="1"/>
    <col min="2" max="2" width="71.42578125" customWidth="1"/>
    <col min="3" max="3" width="9" customWidth="1"/>
    <col min="4" max="4" width="16.28515625" customWidth="1"/>
    <col min="5" max="5" width="15.85546875" customWidth="1"/>
    <col min="6" max="6" width="8.7109375" customWidth="1"/>
    <col min="7" max="7" width="12.85546875" customWidth="1"/>
    <col min="8" max="28" width="8.7109375" customWidth="1"/>
    <col min="29" max="29" width="14.28515625" bestFit="1" customWidth="1"/>
    <col min="30" max="30" width="15.28515625" bestFit="1" customWidth="1"/>
    <col min="31" max="31" width="13.28515625" bestFit="1" customWidth="1"/>
    <col min="32" max="34" width="14.28515625" bestFit="1" customWidth="1"/>
    <col min="35" max="35" width="13.28515625" bestFit="1" customWidth="1"/>
  </cols>
  <sheetData>
    <row r="1" spans="2:35" ht="27.75">
      <c r="B1" s="1" t="s">
        <v>0</v>
      </c>
      <c r="C1" s="2"/>
    </row>
    <row r="3" spans="2:35">
      <c r="B3" s="3" t="s">
        <v>1</v>
      </c>
    </row>
    <row r="4" spans="2:35">
      <c r="B4" s="3" t="s">
        <v>2</v>
      </c>
    </row>
    <row r="5" spans="2:35">
      <c r="B5" s="3" t="s">
        <v>3</v>
      </c>
      <c r="AC5" s="3" t="s">
        <v>4</v>
      </c>
      <c r="AE5" s="4">
        <v>0.1</v>
      </c>
    </row>
    <row r="7" spans="2:35">
      <c r="AC7" s="5" t="s">
        <v>5</v>
      </c>
      <c r="AD7" s="26">
        <f>SUM(AC16:AC1453)</f>
        <v>126695154.8234161</v>
      </c>
    </row>
    <row r="8" spans="2:35">
      <c r="AC8" s="5" t="s">
        <v>6</v>
      </c>
      <c r="AD8" s="26">
        <f>SUM(AD16:AD1453)</f>
        <v>124886738.30623204</v>
      </c>
    </row>
    <row r="9" spans="2:35">
      <c r="AC9" s="5" t="s">
        <v>7</v>
      </c>
      <c r="AD9" s="26">
        <f>SUM(AE16:AE1453)</f>
        <v>118003102.01129095</v>
      </c>
    </row>
    <row r="10" spans="2:35">
      <c r="AC10" s="5" t="s">
        <v>8</v>
      </c>
      <c r="AD10" s="26">
        <f>SUM(AF16:AF1453)</f>
        <v>124209071.30719379</v>
      </c>
    </row>
    <row r="11" spans="2:35">
      <c r="AC11" s="5" t="s">
        <v>9</v>
      </c>
      <c r="AD11" s="26">
        <f>SUM(AG16:AG1453)</f>
        <v>127085752.02985409</v>
      </c>
    </row>
    <row r="12" spans="2:35">
      <c r="AC12" s="5" t="s">
        <v>10</v>
      </c>
      <c r="AD12" s="26">
        <f>SUM(AH16:AH1453)</f>
        <v>125951774.65544598</v>
      </c>
    </row>
    <row r="13" spans="2:35">
      <c r="AC13" s="5" t="s">
        <v>11</v>
      </c>
      <c r="AD13" s="26">
        <f>SUM(AI16:AI1453)</f>
        <v>118464347.20208521</v>
      </c>
    </row>
    <row r="16" spans="2:35">
      <c r="H16" s="16" t="s">
        <v>12</v>
      </c>
      <c r="I16" s="17"/>
      <c r="J16" s="17"/>
      <c r="K16" s="17"/>
      <c r="L16" s="17"/>
      <c r="M16" s="17"/>
      <c r="N16" s="18"/>
      <c r="O16" s="16" t="s">
        <v>13</v>
      </c>
      <c r="P16" s="17"/>
      <c r="Q16" s="17"/>
      <c r="R16" s="17"/>
      <c r="S16" s="17"/>
      <c r="T16" s="17"/>
      <c r="U16" s="18"/>
      <c r="V16" s="19" t="s">
        <v>14</v>
      </c>
      <c r="W16" s="20"/>
      <c r="X16" s="20"/>
      <c r="Y16" s="20"/>
      <c r="Z16" s="20"/>
      <c r="AA16" s="20"/>
      <c r="AB16" s="21"/>
      <c r="AC16" s="22" t="s">
        <v>15</v>
      </c>
      <c r="AD16" s="17"/>
      <c r="AE16" s="17"/>
      <c r="AF16" s="17"/>
      <c r="AG16" s="17"/>
      <c r="AH16" s="17"/>
      <c r="AI16" s="23"/>
    </row>
    <row r="17" spans="1:35" ht="25.5">
      <c r="A17" s="6" t="s">
        <v>16</v>
      </c>
      <c r="B17" s="6" t="s">
        <v>17</v>
      </c>
      <c r="C17" s="6" t="s">
        <v>18</v>
      </c>
      <c r="D17" s="6" t="s">
        <v>19</v>
      </c>
      <c r="E17" s="7" t="s">
        <v>20</v>
      </c>
      <c r="F17" s="8" t="s">
        <v>21</v>
      </c>
      <c r="G17" s="9" t="s">
        <v>22</v>
      </c>
      <c r="H17" s="9" t="s">
        <v>23</v>
      </c>
      <c r="I17" s="9" t="s">
        <v>24</v>
      </c>
      <c r="J17" s="9" t="s">
        <v>25</v>
      </c>
      <c r="K17" s="9" t="s">
        <v>26</v>
      </c>
      <c r="L17" s="9" t="s">
        <v>27</v>
      </c>
      <c r="M17" s="9" t="s">
        <v>28</v>
      </c>
      <c r="N17" s="9" t="s">
        <v>29</v>
      </c>
      <c r="O17" s="9" t="s">
        <v>23</v>
      </c>
      <c r="P17" s="9" t="s">
        <v>24</v>
      </c>
      <c r="Q17" s="9" t="s">
        <v>25</v>
      </c>
      <c r="R17" s="9" t="s">
        <v>26</v>
      </c>
      <c r="S17" s="9" t="s">
        <v>27</v>
      </c>
      <c r="T17" s="9" t="s">
        <v>28</v>
      </c>
      <c r="U17" s="9" t="s">
        <v>29</v>
      </c>
      <c r="V17" s="10" t="s">
        <v>23</v>
      </c>
      <c r="W17" s="10" t="s">
        <v>24</v>
      </c>
      <c r="X17" s="10" t="s">
        <v>25</v>
      </c>
      <c r="Y17" s="10" t="s">
        <v>26</v>
      </c>
      <c r="Z17" s="10" t="s">
        <v>27</v>
      </c>
      <c r="AA17" s="10" t="s">
        <v>28</v>
      </c>
      <c r="AB17" s="10" t="s">
        <v>29</v>
      </c>
      <c r="AC17" s="11" t="s">
        <v>23</v>
      </c>
      <c r="AD17" s="11" t="s">
        <v>24</v>
      </c>
      <c r="AE17" s="11" t="s">
        <v>25</v>
      </c>
      <c r="AF17" s="11" t="s">
        <v>26</v>
      </c>
      <c r="AG17" s="11" t="s">
        <v>27</v>
      </c>
      <c r="AH17" s="11" t="s">
        <v>28</v>
      </c>
      <c r="AI17" s="11" t="s">
        <v>29</v>
      </c>
    </row>
    <row r="18" spans="1:35">
      <c r="A18" s="12" t="s">
        <v>30</v>
      </c>
      <c r="B18" s="12" t="s">
        <v>31</v>
      </c>
      <c r="C18" s="12" t="s">
        <v>32</v>
      </c>
      <c r="D18" s="12" t="s">
        <v>33</v>
      </c>
      <c r="E18" s="12" t="s">
        <v>34</v>
      </c>
      <c r="F18" s="13">
        <v>6070.68077671233</v>
      </c>
      <c r="G18" s="14">
        <v>163453.3711415843</v>
      </c>
      <c r="H18" s="24" t="str">
        <f>$E18 &amp; H$17</f>
        <v>BASP</v>
      </c>
      <c r="I18" s="24" t="str">
        <f t="shared" ref="I18:N33" si="0">$E18 &amp; I$17</f>
        <v>BAMG</v>
      </c>
      <c r="J18" s="24" t="str">
        <f t="shared" si="0"/>
        <v>BAES</v>
      </c>
      <c r="K18" s="24" t="str">
        <f t="shared" si="0"/>
        <v>BASC</v>
      </c>
      <c r="L18" s="24" t="str">
        <f t="shared" si="0"/>
        <v>BARJ</v>
      </c>
      <c r="M18" s="24" t="str">
        <f t="shared" si="0"/>
        <v>BAPR</v>
      </c>
      <c r="N18" s="24" t="str">
        <f t="shared" si="0"/>
        <v>BAAM</v>
      </c>
      <c r="O18" s="24">
        <f>VLOOKUP(H18, KM!$A:$E, 5, 0)</f>
        <v>1962</v>
      </c>
      <c r="P18" s="24">
        <f>VLOOKUP(I18, KM!$A:$E, 5, 0)</f>
        <v>1372</v>
      </c>
      <c r="Q18" s="24">
        <f>VLOOKUP(J18, KM!$A:$E, 5, 0)</f>
        <v>1202</v>
      </c>
      <c r="R18" s="24">
        <f>VLOOKUP(K18, KM!$A:$E, 5, 0)</f>
        <v>2682</v>
      </c>
      <c r="S18" s="24">
        <f>VLOOKUP(L18, KM!$A:$E, 5, 0)</f>
        <v>1649</v>
      </c>
      <c r="T18" s="24">
        <f>VLOOKUP(M18, KM!$A:$E, 5, 0)</f>
        <v>2385</v>
      </c>
      <c r="U18" s="24">
        <f>VLOOKUP(N18, KM!$A:$E, 5, 0)</f>
        <v>5009</v>
      </c>
      <c r="V18" s="24">
        <f>VLOOKUP(H18, IMPOSTO!$A:$D, 4, 0)</f>
        <v>0.12</v>
      </c>
      <c r="W18" s="24">
        <f>VLOOKUP(I18, IMPOSTO!$A:$D, 4, 0)</f>
        <v>0.12</v>
      </c>
      <c r="X18" s="24">
        <f>VLOOKUP(J18, IMPOSTO!$A:$D, 4, 0)</f>
        <v>0.12</v>
      </c>
      <c r="Y18" s="24">
        <f>VLOOKUP(K18, IMPOSTO!$A:$D, 4, 0)</f>
        <v>0.12</v>
      </c>
      <c r="Z18" s="24">
        <f>VLOOKUP(L18, IMPOSTO!$A:$D, 4, 0)</f>
        <v>0.12</v>
      </c>
      <c r="AA18" s="24">
        <f>VLOOKUP(M18, IMPOSTO!$A:$D, 4, 0)</f>
        <v>0.12</v>
      </c>
      <c r="AB18" s="24">
        <f>VLOOKUP(N18, IMPOSTO!$A:$D, 4, 0)</f>
        <v>0.12</v>
      </c>
      <c r="AC18" s="25">
        <f>($G18 + O18 * $AE$5) / (1 - V18)</f>
        <v>185965.42175180034</v>
      </c>
      <c r="AD18" s="25">
        <f t="shared" ref="AD18:AI18" si="1">($G18 + P18 * $AE$5) / (1 - W18)</f>
        <v>185898.3762972549</v>
      </c>
      <c r="AE18" s="25">
        <f t="shared" si="1"/>
        <v>185879.05811543672</v>
      </c>
      <c r="AF18" s="25">
        <f t="shared" si="1"/>
        <v>186047.23993361855</v>
      </c>
      <c r="AG18" s="25">
        <f t="shared" si="1"/>
        <v>185929.85356998214</v>
      </c>
      <c r="AH18" s="25">
        <f t="shared" si="1"/>
        <v>186013.48993361852</v>
      </c>
      <c r="AI18" s="25">
        <f t="shared" si="1"/>
        <v>186311.67175180034</v>
      </c>
    </row>
    <row r="19" spans="1:35">
      <c r="A19" s="12" t="s">
        <v>35</v>
      </c>
      <c r="B19" s="12" t="s">
        <v>36</v>
      </c>
      <c r="C19" s="12" t="s">
        <v>32</v>
      </c>
      <c r="D19" s="12" t="s">
        <v>33</v>
      </c>
      <c r="E19" s="12" t="s">
        <v>34</v>
      </c>
      <c r="F19" s="13">
        <v>5058.3637807783953</v>
      </c>
      <c r="G19" s="14">
        <v>168132.13820492453</v>
      </c>
      <c r="H19" s="24" t="str">
        <f t="shared" ref="H19:N82" si="2">$E19 &amp; H$17</f>
        <v>BASP</v>
      </c>
      <c r="I19" s="24" t="str">
        <f t="shared" si="0"/>
        <v>BAMG</v>
      </c>
      <c r="J19" s="24" t="str">
        <f t="shared" si="0"/>
        <v>BAES</v>
      </c>
      <c r="K19" s="24" t="str">
        <f t="shared" si="0"/>
        <v>BASC</v>
      </c>
      <c r="L19" s="24" t="str">
        <f t="shared" si="0"/>
        <v>BARJ</v>
      </c>
      <c r="M19" s="24" t="str">
        <f t="shared" si="0"/>
        <v>BAPR</v>
      </c>
      <c r="N19" s="24" t="str">
        <f t="shared" si="0"/>
        <v>BAAM</v>
      </c>
      <c r="O19" s="24">
        <f>VLOOKUP(H19, KM!$A:$E, 5, 0)</f>
        <v>1962</v>
      </c>
      <c r="P19" s="24">
        <f>VLOOKUP(I19, KM!$A:$E, 5, 0)</f>
        <v>1372</v>
      </c>
      <c r="Q19" s="24">
        <f>VLOOKUP(J19, KM!$A:$E, 5, 0)</f>
        <v>1202</v>
      </c>
      <c r="R19" s="24">
        <f>VLOOKUP(K19, KM!$A:$E, 5, 0)</f>
        <v>2682</v>
      </c>
      <c r="S19" s="24">
        <f>VLOOKUP(L19, KM!$A:$E, 5, 0)</f>
        <v>1649</v>
      </c>
      <c r="T19" s="24">
        <f>VLOOKUP(M19, KM!$A:$E, 5, 0)</f>
        <v>2385</v>
      </c>
      <c r="U19" s="24">
        <f>VLOOKUP(N19, KM!$A:$E, 5, 0)</f>
        <v>5009</v>
      </c>
      <c r="V19" s="24">
        <f>VLOOKUP(H19, IMPOSTO!$A:$D, 4, 0)</f>
        <v>0.12</v>
      </c>
      <c r="W19" s="24">
        <f>VLOOKUP(I19, IMPOSTO!$A:$D, 4, 0)</f>
        <v>0.12</v>
      </c>
      <c r="X19" s="24">
        <f>VLOOKUP(J19, IMPOSTO!$A:$D, 4, 0)</f>
        <v>0.12</v>
      </c>
      <c r="Y19" s="24">
        <f>VLOOKUP(K19, IMPOSTO!$A:$D, 4, 0)</f>
        <v>0.12</v>
      </c>
      <c r="Z19" s="24">
        <f>VLOOKUP(L19, IMPOSTO!$A:$D, 4, 0)</f>
        <v>0.12</v>
      </c>
      <c r="AA19" s="24">
        <f>VLOOKUP(M19, IMPOSTO!$A:$D, 4, 0)</f>
        <v>0.12</v>
      </c>
      <c r="AB19" s="24">
        <f>VLOOKUP(N19, IMPOSTO!$A:$D, 4, 0)</f>
        <v>0.12</v>
      </c>
      <c r="AC19" s="25">
        <f t="shared" ref="AC19:AC82" si="3">($G19 + O19 * $AE$5) / (1 - V19)</f>
        <v>191282.20250559607</v>
      </c>
      <c r="AD19" s="25">
        <f t="shared" ref="AD19:AD82" si="4">($G19 + P19 * $AE$5) / (1 - W19)</f>
        <v>191215.15705105063</v>
      </c>
      <c r="AE19" s="25">
        <f t="shared" ref="AE19:AE82" si="5">($G19 + Q19 * $AE$5) / (1 - X19)</f>
        <v>191195.83886923242</v>
      </c>
      <c r="AF19" s="25">
        <f t="shared" ref="AF19:AF82" si="6">($G19 + R19 * $AE$5) / (1 - Y19)</f>
        <v>191364.02068741425</v>
      </c>
      <c r="AG19" s="25">
        <f t="shared" ref="AG19:AG82" si="7">($G19 + S19 * $AE$5) / (1 - Z19)</f>
        <v>191246.63432377786</v>
      </c>
      <c r="AH19" s="25">
        <f t="shared" ref="AH19:AH82" si="8">($G19 + T19 * $AE$5) / (1 - AA19)</f>
        <v>191330.27068741425</v>
      </c>
      <c r="AI19" s="25">
        <f t="shared" ref="AI19:AI82" si="9">($G19 + U19 * $AE$5) / (1 - AB19)</f>
        <v>191628.45250559604</v>
      </c>
    </row>
    <row r="20" spans="1:35">
      <c r="A20" s="12" t="s">
        <v>37</v>
      </c>
      <c r="B20" s="12" t="s">
        <v>38</v>
      </c>
      <c r="C20" s="12" t="s">
        <v>32</v>
      </c>
      <c r="D20" s="12" t="s">
        <v>33</v>
      </c>
      <c r="E20" s="12" t="s">
        <v>34</v>
      </c>
      <c r="F20" s="13">
        <v>3152.5155080144777</v>
      </c>
      <c r="G20" s="14">
        <v>111565.44861158932</v>
      </c>
      <c r="H20" s="24" t="str">
        <f t="shared" si="2"/>
        <v>BASP</v>
      </c>
      <c r="I20" s="24" t="str">
        <f t="shared" si="0"/>
        <v>BAMG</v>
      </c>
      <c r="J20" s="24" t="str">
        <f t="shared" si="0"/>
        <v>BAES</v>
      </c>
      <c r="K20" s="24" t="str">
        <f t="shared" si="0"/>
        <v>BASC</v>
      </c>
      <c r="L20" s="24" t="str">
        <f t="shared" si="0"/>
        <v>BARJ</v>
      </c>
      <c r="M20" s="24" t="str">
        <f t="shared" si="0"/>
        <v>BAPR</v>
      </c>
      <c r="N20" s="24" t="str">
        <f t="shared" si="0"/>
        <v>BAAM</v>
      </c>
      <c r="O20" s="24">
        <f>VLOOKUP(H20, KM!$A:$E, 5, 0)</f>
        <v>1962</v>
      </c>
      <c r="P20" s="24">
        <f>VLOOKUP(I20, KM!$A:$E, 5, 0)</f>
        <v>1372</v>
      </c>
      <c r="Q20" s="24">
        <f>VLOOKUP(J20, KM!$A:$E, 5, 0)</f>
        <v>1202</v>
      </c>
      <c r="R20" s="24">
        <f>VLOOKUP(K20, KM!$A:$E, 5, 0)</f>
        <v>2682</v>
      </c>
      <c r="S20" s="24">
        <f>VLOOKUP(L20, KM!$A:$E, 5, 0)</f>
        <v>1649</v>
      </c>
      <c r="T20" s="24">
        <f>VLOOKUP(M20, KM!$A:$E, 5, 0)</f>
        <v>2385</v>
      </c>
      <c r="U20" s="24">
        <f>VLOOKUP(N20, KM!$A:$E, 5, 0)</f>
        <v>5009</v>
      </c>
      <c r="V20" s="24">
        <f>VLOOKUP(H20, IMPOSTO!$A:$D, 4, 0)</f>
        <v>0.12</v>
      </c>
      <c r="W20" s="24">
        <f>VLOOKUP(I20, IMPOSTO!$A:$D, 4, 0)</f>
        <v>0.12</v>
      </c>
      <c r="X20" s="24">
        <f>VLOOKUP(J20, IMPOSTO!$A:$D, 4, 0)</f>
        <v>0.12</v>
      </c>
      <c r="Y20" s="24">
        <f>VLOOKUP(K20, IMPOSTO!$A:$D, 4, 0)</f>
        <v>0.12</v>
      </c>
      <c r="Z20" s="24">
        <f>VLOOKUP(L20, IMPOSTO!$A:$D, 4, 0)</f>
        <v>0.12</v>
      </c>
      <c r="AA20" s="24">
        <f>VLOOKUP(M20, IMPOSTO!$A:$D, 4, 0)</f>
        <v>0.12</v>
      </c>
      <c r="AB20" s="24">
        <f>VLOOKUP(N20, IMPOSTO!$A:$D, 4, 0)</f>
        <v>0.12</v>
      </c>
      <c r="AC20" s="25">
        <f t="shared" si="3"/>
        <v>127001.87342226059</v>
      </c>
      <c r="AD20" s="25">
        <f t="shared" si="4"/>
        <v>126934.82796771513</v>
      </c>
      <c r="AE20" s="25">
        <f t="shared" si="5"/>
        <v>126915.50978589695</v>
      </c>
      <c r="AF20" s="25">
        <f t="shared" si="6"/>
        <v>127083.69160407878</v>
      </c>
      <c r="AG20" s="25">
        <f t="shared" si="7"/>
        <v>126966.30524044241</v>
      </c>
      <c r="AH20" s="25">
        <f t="shared" si="8"/>
        <v>127049.94160407878</v>
      </c>
      <c r="AI20" s="25">
        <f t="shared" si="9"/>
        <v>127348.12342226059</v>
      </c>
    </row>
    <row r="21" spans="1:35">
      <c r="A21" s="12" t="s">
        <v>37</v>
      </c>
      <c r="B21" s="12" t="s">
        <v>38</v>
      </c>
      <c r="C21" s="12" t="s">
        <v>32</v>
      </c>
      <c r="D21" s="12" t="s">
        <v>33</v>
      </c>
      <c r="E21" s="12" t="s">
        <v>34</v>
      </c>
      <c r="F21" s="13">
        <v>1.2616370217166493</v>
      </c>
      <c r="G21" s="14">
        <v>44.648503696483971</v>
      </c>
      <c r="H21" s="24" t="str">
        <f t="shared" si="2"/>
        <v>BASP</v>
      </c>
      <c r="I21" s="24" t="str">
        <f t="shared" si="0"/>
        <v>BAMG</v>
      </c>
      <c r="J21" s="24" t="str">
        <f t="shared" si="0"/>
        <v>BAES</v>
      </c>
      <c r="K21" s="24" t="str">
        <f t="shared" si="0"/>
        <v>BASC</v>
      </c>
      <c r="L21" s="24" t="str">
        <f t="shared" si="0"/>
        <v>BARJ</v>
      </c>
      <c r="M21" s="24" t="str">
        <f t="shared" si="0"/>
        <v>BAPR</v>
      </c>
      <c r="N21" s="24" t="str">
        <f t="shared" si="0"/>
        <v>BAAM</v>
      </c>
      <c r="O21" s="24">
        <f>VLOOKUP(H21, KM!$A:$E, 5, 0)</f>
        <v>1962</v>
      </c>
      <c r="P21" s="24">
        <f>VLOOKUP(I21, KM!$A:$E, 5, 0)</f>
        <v>1372</v>
      </c>
      <c r="Q21" s="24">
        <f>VLOOKUP(J21, KM!$A:$E, 5, 0)</f>
        <v>1202</v>
      </c>
      <c r="R21" s="24">
        <f>VLOOKUP(K21, KM!$A:$E, 5, 0)</f>
        <v>2682</v>
      </c>
      <c r="S21" s="24">
        <f>VLOOKUP(L21, KM!$A:$E, 5, 0)</f>
        <v>1649</v>
      </c>
      <c r="T21" s="24">
        <f>VLOOKUP(M21, KM!$A:$E, 5, 0)</f>
        <v>2385</v>
      </c>
      <c r="U21" s="24">
        <f>VLOOKUP(N21, KM!$A:$E, 5, 0)</f>
        <v>5009</v>
      </c>
      <c r="V21" s="24">
        <f>VLOOKUP(H21, IMPOSTO!$A:$D, 4, 0)</f>
        <v>0.12</v>
      </c>
      <c r="W21" s="24">
        <f>VLOOKUP(I21, IMPOSTO!$A:$D, 4, 0)</f>
        <v>0.12</v>
      </c>
      <c r="X21" s="24">
        <f>VLOOKUP(J21, IMPOSTO!$A:$D, 4, 0)</f>
        <v>0.12</v>
      </c>
      <c r="Y21" s="24">
        <f>VLOOKUP(K21, IMPOSTO!$A:$D, 4, 0)</f>
        <v>0.12</v>
      </c>
      <c r="Z21" s="24">
        <f>VLOOKUP(L21, IMPOSTO!$A:$D, 4, 0)</f>
        <v>0.12</v>
      </c>
      <c r="AA21" s="24">
        <f>VLOOKUP(M21, IMPOSTO!$A:$D, 4, 0)</f>
        <v>0.12</v>
      </c>
      <c r="AB21" s="24">
        <f>VLOOKUP(N21, IMPOSTO!$A:$D, 4, 0)</f>
        <v>0.12</v>
      </c>
      <c r="AC21" s="25">
        <f t="shared" si="3"/>
        <v>273.69148147327724</v>
      </c>
      <c r="AD21" s="25">
        <f t="shared" si="4"/>
        <v>206.6460269278227</v>
      </c>
      <c r="AE21" s="25">
        <f t="shared" si="5"/>
        <v>187.32784510964089</v>
      </c>
      <c r="AF21" s="25">
        <f t="shared" si="6"/>
        <v>355.50966329145899</v>
      </c>
      <c r="AG21" s="25">
        <f t="shared" si="7"/>
        <v>238.12329965509542</v>
      </c>
      <c r="AH21" s="25">
        <f t="shared" si="8"/>
        <v>321.75966329145911</v>
      </c>
      <c r="AI21" s="25">
        <f t="shared" si="9"/>
        <v>619.94148147327724</v>
      </c>
    </row>
    <row r="22" spans="1:35" ht="15.75" customHeight="1">
      <c r="A22" s="12" t="s">
        <v>30</v>
      </c>
      <c r="B22" s="12" t="s">
        <v>31</v>
      </c>
      <c r="C22" s="12" t="s">
        <v>32</v>
      </c>
      <c r="D22" s="12" t="s">
        <v>33</v>
      </c>
      <c r="E22" s="12" t="s">
        <v>34</v>
      </c>
      <c r="F22" s="13">
        <v>4181.0062191780826</v>
      </c>
      <c r="G22" s="14">
        <v>110935.15167993042</v>
      </c>
      <c r="H22" s="24" t="str">
        <f t="shared" si="2"/>
        <v>BASP</v>
      </c>
      <c r="I22" s="24" t="str">
        <f t="shared" si="0"/>
        <v>BAMG</v>
      </c>
      <c r="J22" s="24" t="str">
        <f t="shared" si="0"/>
        <v>BAES</v>
      </c>
      <c r="K22" s="24" t="str">
        <f t="shared" si="0"/>
        <v>BASC</v>
      </c>
      <c r="L22" s="24" t="str">
        <f t="shared" si="0"/>
        <v>BARJ</v>
      </c>
      <c r="M22" s="24" t="str">
        <f t="shared" si="0"/>
        <v>BAPR</v>
      </c>
      <c r="N22" s="24" t="str">
        <f t="shared" si="0"/>
        <v>BAAM</v>
      </c>
      <c r="O22" s="24">
        <f>VLOOKUP(H22, KM!$A:$E, 5, 0)</f>
        <v>1962</v>
      </c>
      <c r="P22" s="24">
        <f>VLOOKUP(I22, KM!$A:$E, 5, 0)</f>
        <v>1372</v>
      </c>
      <c r="Q22" s="24">
        <f>VLOOKUP(J22, KM!$A:$E, 5, 0)</f>
        <v>1202</v>
      </c>
      <c r="R22" s="24">
        <f>VLOOKUP(K22, KM!$A:$E, 5, 0)</f>
        <v>2682</v>
      </c>
      <c r="S22" s="24">
        <f>VLOOKUP(L22, KM!$A:$E, 5, 0)</f>
        <v>1649</v>
      </c>
      <c r="T22" s="24">
        <f>VLOOKUP(M22, KM!$A:$E, 5, 0)</f>
        <v>2385</v>
      </c>
      <c r="U22" s="24">
        <f>VLOOKUP(N22, KM!$A:$E, 5, 0)</f>
        <v>5009</v>
      </c>
      <c r="V22" s="24">
        <f>VLOOKUP(H22, IMPOSTO!$A:$D, 4, 0)</f>
        <v>0.12</v>
      </c>
      <c r="W22" s="24">
        <f>VLOOKUP(I22, IMPOSTO!$A:$D, 4, 0)</f>
        <v>0.12</v>
      </c>
      <c r="X22" s="24">
        <f>VLOOKUP(J22, IMPOSTO!$A:$D, 4, 0)</f>
        <v>0.12</v>
      </c>
      <c r="Y22" s="24">
        <f>VLOOKUP(K22, IMPOSTO!$A:$D, 4, 0)</f>
        <v>0.12</v>
      </c>
      <c r="Z22" s="24">
        <f>VLOOKUP(L22, IMPOSTO!$A:$D, 4, 0)</f>
        <v>0.12</v>
      </c>
      <c r="AA22" s="24">
        <f>VLOOKUP(M22, IMPOSTO!$A:$D, 4, 0)</f>
        <v>0.12</v>
      </c>
      <c r="AB22" s="24">
        <f>VLOOKUP(N22, IMPOSTO!$A:$D, 4, 0)</f>
        <v>0.12</v>
      </c>
      <c r="AC22" s="25">
        <f t="shared" si="3"/>
        <v>126285.62690901184</v>
      </c>
      <c r="AD22" s="25">
        <f t="shared" si="4"/>
        <v>126218.58145446639</v>
      </c>
      <c r="AE22" s="25">
        <f t="shared" si="5"/>
        <v>126199.2632726482</v>
      </c>
      <c r="AF22" s="25">
        <f t="shared" si="6"/>
        <v>126367.44509083002</v>
      </c>
      <c r="AG22" s="25">
        <f t="shared" si="7"/>
        <v>126250.05872719365</v>
      </c>
      <c r="AH22" s="25">
        <f t="shared" si="8"/>
        <v>126333.69509083002</v>
      </c>
      <c r="AI22" s="25">
        <f t="shared" si="9"/>
        <v>126631.87690901184</v>
      </c>
    </row>
    <row r="23" spans="1:35" ht="15.75" customHeight="1">
      <c r="A23" s="12" t="s">
        <v>30</v>
      </c>
      <c r="B23" s="12" t="s">
        <v>31</v>
      </c>
      <c r="C23" s="12" t="s">
        <v>32</v>
      </c>
      <c r="D23" s="12" t="s">
        <v>33</v>
      </c>
      <c r="E23" s="12" t="s">
        <v>34</v>
      </c>
      <c r="F23" s="13">
        <v>6868.7959315068501</v>
      </c>
      <c r="G23" s="14">
        <v>189744.49682325125</v>
      </c>
      <c r="H23" s="24" t="str">
        <f t="shared" si="2"/>
        <v>BASP</v>
      </c>
      <c r="I23" s="24" t="str">
        <f t="shared" si="0"/>
        <v>BAMG</v>
      </c>
      <c r="J23" s="24" t="str">
        <f t="shared" si="0"/>
        <v>BAES</v>
      </c>
      <c r="K23" s="24" t="str">
        <f t="shared" si="0"/>
        <v>BASC</v>
      </c>
      <c r="L23" s="24" t="str">
        <f t="shared" si="0"/>
        <v>BARJ</v>
      </c>
      <c r="M23" s="24" t="str">
        <f t="shared" si="0"/>
        <v>BAPR</v>
      </c>
      <c r="N23" s="24" t="str">
        <f t="shared" si="0"/>
        <v>BAAM</v>
      </c>
      <c r="O23" s="24">
        <f>VLOOKUP(H23, KM!$A:$E, 5, 0)</f>
        <v>1962</v>
      </c>
      <c r="P23" s="24">
        <f>VLOOKUP(I23, KM!$A:$E, 5, 0)</f>
        <v>1372</v>
      </c>
      <c r="Q23" s="24">
        <f>VLOOKUP(J23, KM!$A:$E, 5, 0)</f>
        <v>1202</v>
      </c>
      <c r="R23" s="24">
        <f>VLOOKUP(K23, KM!$A:$E, 5, 0)</f>
        <v>2682</v>
      </c>
      <c r="S23" s="24">
        <f>VLOOKUP(L23, KM!$A:$E, 5, 0)</f>
        <v>1649</v>
      </c>
      <c r="T23" s="24">
        <f>VLOOKUP(M23, KM!$A:$E, 5, 0)</f>
        <v>2385</v>
      </c>
      <c r="U23" s="24">
        <f>VLOOKUP(N23, KM!$A:$E, 5, 0)</f>
        <v>5009</v>
      </c>
      <c r="V23" s="24">
        <f>VLOOKUP(H23, IMPOSTO!$A:$D, 4, 0)</f>
        <v>0.12</v>
      </c>
      <c r="W23" s="24">
        <f>VLOOKUP(I23, IMPOSTO!$A:$D, 4, 0)</f>
        <v>0.12</v>
      </c>
      <c r="X23" s="24">
        <f>VLOOKUP(J23, IMPOSTO!$A:$D, 4, 0)</f>
        <v>0.12</v>
      </c>
      <c r="Y23" s="24">
        <f>VLOOKUP(K23, IMPOSTO!$A:$D, 4, 0)</f>
        <v>0.12</v>
      </c>
      <c r="Z23" s="24">
        <f>VLOOKUP(L23, IMPOSTO!$A:$D, 4, 0)</f>
        <v>0.12</v>
      </c>
      <c r="AA23" s="24">
        <f>VLOOKUP(M23, IMPOSTO!$A:$D, 4, 0)</f>
        <v>0.12</v>
      </c>
      <c r="AB23" s="24">
        <f>VLOOKUP(N23, IMPOSTO!$A:$D, 4, 0)</f>
        <v>0.12</v>
      </c>
      <c r="AC23" s="25">
        <f t="shared" si="3"/>
        <v>215841.70093551278</v>
      </c>
      <c r="AD23" s="25">
        <f t="shared" si="4"/>
        <v>215774.65548096734</v>
      </c>
      <c r="AE23" s="25">
        <f t="shared" si="5"/>
        <v>215755.33729914916</v>
      </c>
      <c r="AF23" s="25">
        <f t="shared" si="6"/>
        <v>215923.51911733099</v>
      </c>
      <c r="AG23" s="25">
        <f t="shared" si="7"/>
        <v>215806.1327536946</v>
      </c>
      <c r="AH23" s="25">
        <f t="shared" si="8"/>
        <v>215889.76911733096</v>
      </c>
      <c r="AI23" s="25">
        <f t="shared" si="9"/>
        <v>216187.95093551278</v>
      </c>
    </row>
    <row r="24" spans="1:35" ht="15.75" customHeight="1">
      <c r="A24" s="12" t="s">
        <v>37</v>
      </c>
      <c r="B24" s="12" t="s">
        <v>38</v>
      </c>
      <c r="C24" s="12" t="s">
        <v>32</v>
      </c>
      <c r="D24" s="12" t="s">
        <v>33</v>
      </c>
      <c r="E24" s="12" t="s">
        <v>34</v>
      </c>
      <c r="F24" s="13">
        <v>2222.6368329886245</v>
      </c>
      <c r="G24" s="14">
        <v>77710.924770537094</v>
      </c>
      <c r="H24" s="24" t="str">
        <f t="shared" si="2"/>
        <v>BASP</v>
      </c>
      <c r="I24" s="24" t="str">
        <f t="shared" si="0"/>
        <v>BAMG</v>
      </c>
      <c r="J24" s="24" t="str">
        <f t="shared" si="0"/>
        <v>BAES</v>
      </c>
      <c r="K24" s="24" t="str">
        <f t="shared" si="0"/>
        <v>BASC</v>
      </c>
      <c r="L24" s="24" t="str">
        <f t="shared" si="0"/>
        <v>BARJ</v>
      </c>
      <c r="M24" s="24" t="str">
        <f t="shared" si="0"/>
        <v>BAPR</v>
      </c>
      <c r="N24" s="24" t="str">
        <f t="shared" si="0"/>
        <v>BAAM</v>
      </c>
      <c r="O24" s="24">
        <f>VLOOKUP(H24, KM!$A:$E, 5, 0)</f>
        <v>1962</v>
      </c>
      <c r="P24" s="24">
        <f>VLOOKUP(I24, KM!$A:$E, 5, 0)</f>
        <v>1372</v>
      </c>
      <c r="Q24" s="24">
        <f>VLOOKUP(J24, KM!$A:$E, 5, 0)</f>
        <v>1202</v>
      </c>
      <c r="R24" s="24">
        <f>VLOOKUP(K24, KM!$A:$E, 5, 0)</f>
        <v>2682</v>
      </c>
      <c r="S24" s="24">
        <f>VLOOKUP(L24, KM!$A:$E, 5, 0)</f>
        <v>1649</v>
      </c>
      <c r="T24" s="24">
        <f>VLOOKUP(M24, KM!$A:$E, 5, 0)</f>
        <v>2385</v>
      </c>
      <c r="U24" s="24">
        <f>VLOOKUP(N24, KM!$A:$E, 5, 0)</f>
        <v>5009</v>
      </c>
      <c r="V24" s="24">
        <f>VLOOKUP(H24, IMPOSTO!$A:$D, 4, 0)</f>
        <v>0.12</v>
      </c>
      <c r="W24" s="24">
        <f>VLOOKUP(I24, IMPOSTO!$A:$D, 4, 0)</f>
        <v>0.12</v>
      </c>
      <c r="X24" s="24">
        <f>VLOOKUP(J24, IMPOSTO!$A:$D, 4, 0)</f>
        <v>0.12</v>
      </c>
      <c r="Y24" s="24">
        <f>VLOOKUP(K24, IMPOSTO!$A:$D, 4, 0)</f>
        <v>0.12</v>
      </c>
      <c r="Z24" s="24">
        <f>VLOOKUP(L24, IMPOSTO!$A:$D, 4, 0)</f>
        <v>0.12</v>
      </c>
      <c r="AA24" s="24">
        <f>VLOOKUP(M24, IMPOSTO!$A:$D, 4, 0)</f>
        <v>0.12</v>
      </c>
      <c r="AB24" s="24">
        <f>VLOOKUP(N24, IMPOSTO!$A:$D, 4, 0)</f>
        <v>0.12</v>
      </c>
      <c r="AC24" s="25">
        <f t="shared" si="3"/>
        <v>88530.823602883058</v>
      </c>
      <c r="AD24" s="25">
        <f t="shared" si="4"/>
        <v>88463.778148337602</v>
      </c>
      <c r="AE24" s="25">
        <f t="shared" si="5"/>
        <v>88444.459966519426</v>
      </c>
      <c r="AF24" s="25">
        <f t="shared" si="6"/>
        <v>88612.641784701234</v>
      </c>
      <c r="AG24" s="25">
        <f t="shared" si="7"/>
        <v>88495.255421064867</v>
      </c>
      <c r="AH24" s="25">
        <f t="shared" si="8"/>
        <v>88578.891784701249</v>
      </c>
      <c r="AI24" s="25">
        <f t="shared" si="9"/>
        <v>88877.073602883058</v>
      </c>
    </row>
    <row r="25" spans="1:35" ht="15.75" customHeight="1">
      <c r="A25" s="12" t="s">
        <v>37</v>
      </c>
      <c r="B25" s="12" t="s">
        <v>38</v>
      </c>
      <c r="C25" s="12" t="s">
        <v>32</v>
      </c>
      <c r="D25" s="12" t="s">
        <v>33</v>
      </c>
      <c r="E25" s="12" t="s">
        <v>34</v>
      </c>
      <c r="F25" s="13">
        <v>20942.682158996897</v>
      </c>
      <c r="G25" s="14">
        <v>739757.59758733632</v>
      </c>
      <c r="H25" s="24" t="str">
        <f t="shared" si="2"/>
        <v>BASP</v>
      </c>
      <c r="I25" s="24" t="str">
        <f t="shared" si="0"/>
        <v>BAMG</v>
      </c>
      <c r="J25" s="24" t="str">
        <f t="shared" si="0"/>
        <v>BAES</v>
      </c>
      <c r="K25" s="24" t="str">
        <f t="shared" si="0"/>
        <v>BASC</v>
      </c>
      <c r="L25" s="24" t="str">
        <f t="shared" si="0"/>
        <v>BARJ</v>
      </c>
      <c r="M25" s="24" t="str">
        <f t="shared" si="0"/>
        <v>BAPR</v>
      </c>
      <c r="N25" s="24" t="str">
        <f t="shared" si="0"/>
        <v>BAAM</v>
      </c>
      <c r="O25" s="24">
        <f>VLOOKUP(H25, KM!$A:$E, 5, 0)</f>
        <v>1962</v>
      </c>
      <c r="P25" s="24">
        <f>VLOOKUP(I25, KM!$A:$E, 5, 0)</f>
        <v>1372</v>
      </c>
      <c r="Q25" s="24">
        <f>VLOOKUP(J25, KM!$A:$E, 5, 0)</f>
        <v>1202</v>
      </c>
      <c r="R25" s="24">
        <f>VLOOKUP(K25, KM!$A:$E, 5, 0)</f>
        <v>2682</v>
      </c>
      <c r="S25" s="24">
        <f>VLOOKUP(L25, KM!$A:$E, 5, 0)</f>
        <v>1649</v>
      </c>
      <c r="T25" s="24">
        <f>VLOOKUP(M25, KM!$A:$E, 5, 0)</f>
        <v>2385</v>
      </c>
      <c r="U25" s="24">
        <f>VLOOKUP(N25, KM!$A:$E, 5, 0)</f>
        <v>5009</v>
      </c>
      <c r="V25" s="24">
        <f>VLOOKUP(H25, IMPOSTO!$A:$D, 4, 0)</f>
        <v>0.12</v>
      </c>
      <c r="W25" s="24">
        <f>VLOOKUP(I25, IMPOSTO!$A:$D, 4, 0)</f>
        <v>0.12</v>
      </c>
      <c r="X25" s="24">
        <f>VLOOKUP(J25, IMPOSTO!$A:$D, 4, 0)</f>
        <v>0.12</v>
      </c>
      <c r="Y25" s="24">
        <f>VLOOKUP(K25, IMPOSTO!$A:$D, 4, 0)</f>
        <v>0.12</v>
      </c>
      <c r="Z25" s="24">
        <f>VLOOKUP(L25, IMPOSTO!$A:$D, 4, 0)</f>
        <v>0.12</v>
      </c>
      <c r="AA25" s="24">
        <f>VLOOKUP(M25, IMPOSTO!$A:$D, 4, 0)</f>
        <v>0.12</v>
      </c>
      <c r="AB25" s="24">
        <f>VLOOKUP(N25, IMPOSTO!$A:$D, 4, 0)</f>
        <v>0.12</v>
      </c>
      <c r="AC25" s="25">
        <f t="shared" si="3"/>
        <v>840856.58816742757</v>
      </c>
      <c r="AD25" s="25">
        <f t="shared" si="4"/>
        <v>840789.54271288216</v>
      </c>
      <c r="AE25" s="25">
        <f t="shared" si="5"/>
        <v>840770.22453106393</v>
      </c>
      <c r="AF25" s="25">
        <f t="shared" si="6"/>
        <v>840938.40634924581</v>
      </c>
      <c r="AG25" s="25">
        <f t="shared" si="7"/>
        <v>840821.01998560946</v>
      </c>
      <c r="AH25" s="25">
        <f t="shared" si="8"/>
        <v>840904.65634924581</v>
      </c>
      <c r="AI25" s="25">
        <f t="shared" si="9"/>
        <v>841202.83816742769</v>
      </c>
    </row>
    <row r="26" spans="1:35" ht="15.75" customHeight="1">
      <c r="A26" s="12" t="s">
        <v>37</v>
      </c>
      <c r="B26" s="12" t="s">
        <v>38</v>
      </c>
      <c r="C26" s="12" t="s">
        <v>32</v>
      </c>
      <c r="D26" s="12" t="s">
        <v>33</v>
      </c>
      <c r="E26" s="12" t="s">
        <v>34</v>
      </c>
      <c r="F26" s="13">
        <v>0.22237487073422957</v>
      </c>
      <c r="G26" s="14">
        <v>7.7749799670372273</v>
      </c>
      <c r="H26" s="24" t="str">
        <f t="shared" si="2"/>
        <v>BASP</v>
      </c>
      <c r="I26" s="24" t="str">
        <f t="shared" si="0"/>
        <v>BAMG</v>
      </c>
      <c r="J26" s="24" t="str">
        <f t="shared" si="0"/>
        <v>BAES</v>
      </c>
      <c r="K26" s="24" t="str">
        <f t="shared" si="0"/>
        <v>BASC</v>
      </c>
      <c r="L26" s="24" t="str">
        <f t="shared" si="0"/>
        <v>BARJ</v>
      </c>
      <c r="M26" s="24" t="str">
        <f t="shared" si="0"/>
        <v>BAPR</v>
      </c>
      <c r="N26" s="24" t="str">
        <f t="shared" si="0"/>
        <v>BAAM</v>
      </c>
      <c r="O26" s="24">
        <f>VLOOKUP(H26, KM!$A:$E, 5, 0)</f>
        <v>1962</v>
      </c>
      <c r="P26" s="24">
        <f>VLOOKUP(I26, KM!$A:$E, 5, 0)</f>
        <v>1372</v>
      </c>
      <c r="Q26" s="24">
        <f>VLOOKUP(J26, KM!$A:$E, 5, 0)</f>
        <v>1202</v>
      </c>
      <c r="R26" s="24">
        <f>VLOOKUP(K26, KM!$A:$E, 5, 0)</f>
        <v>2682</v>
      </c>
      <c r="S26" s="24">
        <f>VLOOKUP(L26, KM!$A:$E, 5, 0)</f>
        <v>1649</v>
      </c>
      <c r="T26" s="24">
        <f>VLOOKUP(M26, KM!$A:$E, 5, 0)</f>
        <v>2385</v>
      </c>
      <c r="U26" s="24">
        <f>VLOOKUP(N26, KM!$A:$E, 5, 0)</f>
        <v>5009</v>
      </c>
      <c r="V26" s="24">
        <f>VLOOKUP(H26, IMPOSTO!$A:$D, 4, 0)</f>
        <v>0.12</v>
      </c>
      <c r="W26" s="24">
        <f>VLOOKUP(I26, IMPOSTO!$A:$D, 4, 0)</f>
        <v>0.12</v>
      </c>
      <c r="X26" s="24">
        <f>VLOOKUP(J26, IMPOSTO!$A:$D, 4, 0)</f>
        <v>0.12</v>
      </c>
      <c r="Y26" s="24">
        <f>VLOOKUP(K26, IMPOSTO!$A:$D, 4, 0)</f>
        <v>0.12</v>
      </c>
      <c r="Z26" s="24">
        <f>VLOOKUP(L26, IMPOSTO!$A:$D, 4, 0)</f>
        <v>0.12</v>
      </c>
      <c r="AA26" s="24">
        <f>VLOOKUP(M26, IMPOSTO!$A:$D, 4, 0)</f>
        <v>0.12</v>
      </c>
      <c r="AB26" s="24">
        <f>VLOOKUP(N26, IMPOSTO!$A:$D, 4, 0)</f>
        <v>0.12</v>
      </c>
      <c r="AC26" s="25">
        <f t="shared" si="3"/>
        <v>231.78974996254234</v>
      </c>
      <c r="AD26" s="25">
        <f t="shared" si="4"/>
        <v>164.74429541708778</v>
      </c>
      <c r="AE26" s="25">
        <f t="shared" si="5"/>
        <v>145.42611359890594</v>
      </c>
      <c r="AF26" s="25">
        <f t="shared" si="6"/>
        <v>313.60793178072407</v>
      </c>
      <c r="AG26" s="25">
        <f t="shared" si="7"/>
        <v>196.2215681443605</v>
      </c>
      <c r="AH26" s="25">
        <f t="shared" si="8"/>
        <v>279.85793178072413</v>
      </c>
      <c r="AI26" s="25">
        <f t="shared" si="9"/>
        <v>578.03974996254237</v>
      </c>
    </row>
    <row r="27" spans="1:35" ht="15.75" customHeight="1">
      <c r="A27" s="12" t="s">
        <v>30</v>
      </c>
      <c r="B27" s="12" t="s">
        <v>31</v>
      </c>
      <c r="C27" s="12" t="s">
        <v>32</v>
      </c>
      <c r="D27" s="12" t="s">
        <v>33</v>
      </c>
      <c r="E27" s="12" t="s">
        <v>34</v>
      </c>
      <c r="F27" s="13">
        <v>2871.2679349315072</v>
      </c>
      <c r="G27" s="14">
        <v>76183.704873312541</v>
      </c>
      <c r="H27" s="24" t="str">
        <f t="shared" si="2"/>
        <v>BASP</v>
      </c>
      <c r="I27" s="24" t="str">
        <f t="shared" si="0"/>
        <v>BAMG</v>
      </c>
      <c r="J27" s="24" t="str">
        <f t="shared" si="0"/>
        <v>BAES</v>
      </c>
      <c r="K27" s="24" t="str">
        <f t="shared" si="0"/>
        <v>BASC</v>
      </c>
      <c r="L27" s="24" t="str">
        <f t="shared" si="0"/>
        <v>BARJ</v>
      </c>
      <c r="M27" s="24" t="str">
        <f t="shared" si="0"/>
        <v>BAPR</v>
      </c>
      <c r="N27" s="24" t="str">
        <f t="shared" si="0"/>
        <v>BAAM</v>
      </c>
      <c r="O27" s="24">
        <f>VLOOKUP(H27, KM!$A:$E, 5, 0)</f>
        <v>1962</v>
      </c>
      <c r="P27" s="24">
        <f>VLOOKUP(I27, KM!$A:$E, 5, 0)</f>
        <v>1372</v>
      </c>
      <c r="Q27" s="24">
        <f>VLOOKUP(J27, KM!$A:$E, 5, 0)</f>
        <v>1202</v>
      </c>
      <c r="R27" s="24">
        <f>VLOOKUP(K27, KM!$A:$E, 5, 0)</f>
        <v>2682</v>
      </c>
      <c r="S27" s="24">
        <f>VLOOKUP(L27, KM!$A:$E, 5, 0)</f>
        <v>1649</v>
      </c>
      <c r="T27" s="24">
        <f>VLOOKUP(M27, KM!$A:$E, 5, 0)</f>
        <v>2385</v>
      </c>
      <c r="U27" s="24">
        <f>VLOOKUP(N27, KM!$A:$E, 5, 0)</f>
        <v>5009</v>
      </c>
      <c r="V27" s="24">
        <f>VLOOKUP(H27, IMPOSTO!$A:$D, 4, 0)</f>
        <v>0.12</v>
      </c>
      <c r="W27" s="24">
        <f>VLOOKUP(I27, IMPOSTO!$A:$D, 4, 0)</f>
        <v>0.12</v>
      </c>
      <c r="X27" s="24">
        <f>VLOOKUP(J27, IMPOSTO!$A:$D, 4, 0)</f>
        <v>0.12</v>
      </c>
      <c r="Y27" s="24">
        <f>VLOOKUP(K27, IMPOSTO!$A:$D, 4, 0)</f>
        <v>0.12</v>
      </c>
      <c r="Z27" s="24">
        <f>VLOOKUP(L27, IMPOSTO!$A:$D, 4, 0)</f>
        <v>0.12</v>
      </c>
      <c r="AA27" s="24">
        <f>VLOOKUP(M27, IMPOSTO!$A:$D, 4, 0)</f>
        <v>0.12</v>
      </c>
      <c r="AB27" s="24">
        <f>VLOOKUP(N27, IMPOSTO!$A:$D, 4, 0)</f>
        <v>0.12</v>
      </c>
      <c r="AC27" s="25">
        <f t="shared" si="3"/>
        <v>86795.34644694606</v>
      </c>
      <c r="AD27" s="25">
        <f t="shared" si="4"/>
        <v>86728.300992400618</v>
      </c>
      <c r="AE27" s="25">
        <f t="shared" si="5"/>
        <v>86708.982810582427</v>
      </c>
      <c r="AF27" s="25">
        <f t="shared" si="6"/>
        <v>86877.164628764251</v>
      </c>
      <c r="AG27" s="25">
        <f t="shared" si="7"/>
        <v>86759.778265127883</v>
      </c>
      <c r="AH27" s="25">
        <f t="shared" si="8"/>
        <v>86843.414628764251</v>
      </c>
      <c r="AI27" s="25">
        <f t="shared" si="9"/>
        <v>87141.59644694606</v>
      </c>
    </row>
    <row r="28" spans="1:35" ht="15.75" customHeight="1">
      <c r="A28" s="12" t="s">
        <v>30</v>
      </c>
      <c r="B28" s="12" t="s">
        <v>31</v>
      </c>
      <c r="C28" s="12" t="s">
        <v>32</v>
      </c>
      <c r="D28" s="12" t="s">
        <v>33</v>
      </c>
      <c r="E28" s="12" t="s">
        <v>34</v>
      </c>
      <c r="F28" s="13">
        <v>4717.0830359589045</v>
      </c>
      <c r="G28" s="14">
        <v>130305.3047515951</v>
      </c>
      <c r="H28" s="24" t="str">
        <f t="shared" si="2"/>
        <v>BASP</v>
      </c>
      <c r="I28" s="24" t="str">
        <f t="shared" si="0"/>
        <v>BAMG</v>
      </c>
      <c r="J28" s="24" t="str">
        <f t="shared" si="0"/>
        <v>BAES</v>
      </c>
      <c r="K28" s="24" t="str">
        <f t="shared" si="0"/>
        <v>BASC</v>
      </c>
      <c r="L28" s="24" t="str">
        <f t="shared" si="0"/>
        <v>BARJ</v>
      </c>
      <c r="M28" s="24" t="str">
        <f t="shared" si="0"/>
        <v>BAPR</v>
      </c>
      <c r="N28" s="24" t="str">
        <f t="shared" si="0"/>
        <v>BAAM</v>
      </c>
      <c r="O28" s="24">
        <f>VLOOKUP(H28, KM!$A:$E, 5, 0)</f>
        <v>1962</v>
      </c>
      <c r="P28" s="24">
        <f>VLOOKUP(I28, KM!$A:$E, 5, 0)</f>
        <v>1372</v>
      </c>
      <c r="Q28" s="24">
        <f>VLOOKUP(J28, KM!$A:$E, 5, 0)</f>
        <v>1202</v>
      </c>
      <c r="R28" s="24">
        <f>VLOOKUP(K28, KM!$A:$E, 5, 0)</f>
        <v>2682</v>
      </c>
      <c r="S28" s="24">
        <f>VLOOKUP(L28, KM!$A:$E, 5, 0)</f>
        <v>1649</v>
      </c>
      <c r="T28" s="24">
        <f>VLOOKUP(M28, KM!$A:$E, 5, 0)</f>
        <v>2385</v>
      </c>
      <c r="U28" s="24">
        <f>VLOOKUP(N28, KM!$A:$E, 5, 0)</f>
        <v>5009</v>
      </c>
      <c r="V28" s="24">
        <f>VLOOKUP(H28, IMPOSTO!$A:$D, 4, 0)</f>
        <v>0.12</v>
      </c>
      <c r="W28" s="24">
        <f>VLOOKUP(I28, IMPOSTO!$A:$D, 4, 0)</f>
        <v>0.12</v>
      </c>
      <c r="X28" s="24">
        <f>VLOOKUP(J28, IMPOSTO!$A:$D, 4, 0)</f>
        <v>0.12</v>
      </c>
      <c r="Y28" s="24">
        <f>VLOOKUP(K28, IMPOSTO!$A:$D, 4, 0)</f>
        <v>0.12</v>
      </c>
      <c r="Z28" s="24">
        <f>VLOOKUP(L28, IMPOSTO!$A:$D, 4, 0)</f>
        <v>0.12</v>
      </c>
      <c r="AA28" s="24">
        <f>VLOOKUP(M28, IMPOSTO!$A:$D, 4, 0)</f>
        <v>0.12</v>
      </c>
      <c r="AB28" s="24">
        <f>VLOOKUP(N28, IMPOSTO!$A:$D, 4, 0)</f>
        <v>0.12</v>
      </c>
      <c r="AC28" s="25">
        <f t="shared" si="3"/>
        <v>148297.16449044898</v>
      </c>
      <c r="AD28" s="25">
        <f t="shared" si="4"/>
        <v>148230.11903590351</v>
      </c>
      <c r="AE28" s="25">
        <f t="shared" si="5"/>
        <v>148210.80085408533</v>
      </c>
      <c r="AF28" s="25">
        <f t="shared" si="6"/>
        <v>148378.98267226716</v>
      </c>
      <c r="AG28" s="25">
        <f t="shared" si="7"/>
        <v>148261.5963086308</v>
      </c>
      <c r="AH28" s="25">
        <f t="shared" si="8"/>
        <v>148345.23267226716</v>
      </c>
      <c r="AI28" s="25">
        <f t="shared" si="9"/>
        <v>148643.41449044898</v>
      </c>
    </row>
    <row r="29" spans="1:35" ht="15.75" customHeight="1">
      <c r="A29" s="12" t="s">
        <v>35</v>
      </c>
      <c r="B29" s="12" t="s">
        <v>36</v>
      </c>
      <c r="C29" s="12" t="s">
        <v>32</v>
      </c>
      <c r="D29" s="12" t="s">
        <v>33</v>
      </c>
      <c r="E29" s="12" t="s">
        <v>34</v>
      </c>
      <c r="F29" s="13">
        <v>6470.8880063542492</v>
      </c>
      <c r="G29" s="14">
        <v>231732.23447180301</v>
      </c>
      <c r="H29" s="24" t="str">
        <f t="shared" si="2"/>
        <v>BASP</v>
      </c>
      <c r="I29" s="24" t="str">
        <f t="shared" si="0"/>
        <v>BAMG</v>
      </c>
      <c r="J29" s="24" t="str">
        <f t="shared" si="0"/>
        <v>BAES</v>
      </c>
      <c r="K29" s="24" t="str">
        <f t="shared" si="0"/>
        <v>BASC</v>
      </c>
      <c r="L29" s="24" t="str">
        <f t="shared" si="0"/>
        <v>BARJ</v>
      </c>
      <c r="M29" s="24" t="str">
        <f t="shared" si="0"/>
        <v>BAPR</v>
      </c>
      <c r="N29" s="24" t="str">
        <f t="shared" si="0"/>
        <v>BAAM</v>
      </c>
      <c r="O29" s="24">
        <f>VLOOKUP(H29, KM!$A:$E, 5, 0)</f>
        <v>1962</v>
      </c>
      <c r="P29" s="24">
        <f>VLOOKUP(I29, KM!$A:$E, 5, 0)</f>
        <v>1372</v>
      </c>
      <c r="Q29" s="24">
        <f>VLOOKUP(J29, KM!$A:$E, 5, 0)</f>
        <v>1202</v>
      </c>
      <c r="R29" s="24">
        <f>VLOOKUP(K29, KM!$A:$E, 5, 0)</f>
        <v>2682</v>
      </c>
      <c r="S29" s="24">
        <f>VLOOKUP(L29, KM!$A:$E, 5, 0)</f>
        <v>1649</v>
      </c>
      <c r="T29" s="24">
        <f>VLOOKUP(M29, KM!$A:$E, 5, 0)</f>
        <v>2385</v>
      </c>
      <c r="U29" s="24">
        <f>VLOOKUP(N29, KM!$A:$E, 5, 0)</f>
        <v>5009</v>
      </c>
      <c r="V29" s="24">
        <f>VLOOKUP(H29, IMPOSTO!$A:$D, 4, 0)</f>
        <v>0.12</v>
      </c>
      <c r="W29" s="24">
        <f>VLOOKUP(I29, IMPOSTO!$A:$D, 4, 0)</f>
        <v>0.12</v>
      </c>
      <c r="X29" s="24">
        <f>VLOOKUP(J29, IMPOSTO!$A:$D, 4, 0)</f>
        <v>0.12</v>
      </c>
      <c r="Y29" s="24">
        <f>VLOOKUP(K29, IMPOSTO!$A:$D, 4, 0)</f>
        <v>0.12</v>
      </c>
      <c r="Z29" s="24">
        <f>VLOOKUP(L29, IMPOSTO!$A:$D, 4, 0)</f>
        <v>0.12</v>
      </c>
      <c r="AA29" s="24">
        <f>VLOOKUP(M29, IMPOSTO!$A:$D, 4, 0)</f>
        <v>0.12</v>
      </c>
      <c r="AB29" s="24">
        <f>VLOOKUP(N29, IMPOSTO!$A:$D, 4, 0)</f>
        <v>0.12</v>
      </c>
      <c r="AC29" s="25">
        <f t="shared" si="3"/>
        <v>263555.03917250346</v>
      </c>
      <c r="AD29" s="25">
        <f t="shared" si="4"/>
        <v>263487.99371795799</v>
      </c>
      <c r="AE29" s="25">
        <f t="shared" si="5"/>
        <v>263468.67553613981</v>
      </c>
      <c r="AF29" s="25">
        <f t="shared" si="6"/>
        <v>263636.85735432163</v>
      </c>
      <c r="AG29" s="25">
        <f t="shared" si="7"/>
        <v>263519.47099068522</v>
      </c>
      <c r="AH29" s="25">
        <f t="shared" si="8"/>
        <v>263603.10735432158</v>
      </c>
      <c r="AI29" s="25">
        <f t="shared" si="9"/>
        <v>263901.2891725034</v>
      </c>
    </row>
    <row r="30" spans="1:35" ht="15.75" customHeight="1">
      <c r="A30" s="12" t="s">
        <v>30</v>
      </c>
      <c r="B30" s="12" t="s">
        <v>31</v>
      </c>
      <c r="C30" s="12" t="s">
        <v>32</v>
      </c>
      <c r="D30" s="12" t="s">
        <v>33</v>
      </c>
      <c r="E30" s="12" t="s">
        <v>34</v>
      </c>
      <c r="F30" s="13">
        <v>0.7052979452054795</v>
      </c>
      <c r="G30" s="14">
        <v>18.713757031027399</v>
      </c>
      <c r="H30" s="24" t="str">
        <f t="shared" si="2"/>
        <v>BASP</v>
      </c>
      <c r="I30" s="24" t="str">
        <f t="shared" si="0"/>
        <v>BAMG</v>
      </c>
      <c r="J30" s="24" t="str">
        <f t="shared" si="0"/>
        <v>BAES</v>
      </c>
      <c r="K30" s="24" t="str">
        <f t="shared" si="0"/>
        <v>BASC</v>
      </c>
      <c r="L30" s="24" t="str">
        <f t="shared" si="0"/>
        <v>BARJ</v>
      </c>
      <c r="M30" s="24" t="str">
        <f t="shared" si="0"/>
        <v>BAPR</v>
      </c>
      <c r="N30" s="24" t="str">
        <f t="shared" si="0"/>
        <v>BAAM</v>
      </c>
      <c r="O30" s="24">
        <f>VLOOKUP(H30, KM!$A:$E, 5, 0)</f>
        <v>1962</v>
      </c>
      <c r="P30" s="24">
        <f>VLOOKUP(I30, KM!$A:$E, 5, 0)</f>
        <v>1372</v>
      </c>
      <c r="Q30" s="24">
        <f>VLOOKUP(J30, KM!$A:$E, 5, 0)</f>
        <v>1202</v>
      </c>
      <c r="R30" s="24">
        <f>VLOOKUP(K30, KM!$A:$E, 5, 0)</f>
        <v>2682</v>
      </c>
      <c r="S30" s="24">
        <f>VLOOKUP(L30, KM!$A:$E, 5, 0)</f>
        <v>1649</v>
      </c>
      <c r="T30" s="24">
        <f>VLOOKUP(M30, KM!$A:$E, 5, 0)</f>
        <v>2385</v>
      </c>
      <c r="U30" s="24">
        <f>VLOOKUP(N30, KM!$A:$E, 5, 0)</f>
        <v>5009</v>
      </c>
      <c r="V30" s="24">
        <f>VLOOKUP(H30, IMPOSTO!$A:$D, 4, 0)</f>
        <v>0.12</v>
      </c>
      <c r="W30" s="24">
        <f>VLOOKUP(I30, IMPOSTO!$A:$D, 4, 0)</f>
        <v>0.12</v>
      </c>
      <c r="X30" s="24">
        <f>VLOOKUP(J30, IMPOSTO!$A:$D, 4, 0)</f>
        <v>0.12</v>
      </c>
      <c r="Y30" s="24">
        <f>VLOOKUP(K30, IMPOSTO!$A:$D, 4, 0)</f>
        <v>0.12</v>
      </c>
      <c r="Z30" s="24">
        <f>VLOOKUP(L30, IMPOSTO!$A:$D, 4, 0)</f>
        <v>0.12</v>
      </c>
      <c r="AA30" s="24">
        <f>VLOOKUP(M30, IMPOSTO!$A:$D, 4, 0)</f>
        <v>0.12</v>
      </c>
      <c r="AB30" s="24">
        <f>VLOOKUP(N30, IMPOSTO!$A:$D, 4, 0)</f>
        <v>0.12</v>
      </c>
      <c r="AC30" s="25">
        <f t="shared" si="3"/>
        <v>244.22017844434933</v>
      </c>
      <c r="AD30" s="25">
        <f t="shared" si="4"/>
        <v>177.1747238988948</v>
      </c>
      <c r="AE30" s="25">
        <f t="shared" si="5"/>
        <v>157.85654208071293</v>
      </c>
      <c r="AF30" s="25">
        <f t="shared" si="6"/>
        <v>326.03836026253111</v>
      </c>
      <c r="AG30" s="25">
        <f t="shared" si="7"/>
        <v>208.65199662616752</v>
      </c>
      <c r="AH30" s="25">
        <f t="shared" si="8"/>
        <v>292.28836026253111</v>
      </c>
      <c r="AI30" s="25">
        <f t="shared" si="9"/>
        <v>590.47017844434947</v>
      </c>
    </row>
    <row r="31" spans="1:35" ht="15.75" customHeight="1">
      <c r="A31" s="12" t="s">
        <v>37</v>
      </c>
      <c r="B31" s="12" t="s">
        <v>38</v>
      </c>
      <c r="C31" s="12" t="s">
        <v>32</v>
      </c>
      <c r="D31" s="12" t="s">
        <v>33</v>
      </c>
      <c r="E31" s="12" t="s">
        <v>34</v>
      </c>
      <c r="F31" s="13">
        <v>8.3812634953464329</v>
      </c>
      <c r="G31" s="14">
        <v>296.05106456721819</v>
      </c>
      <c r="H31" s="24" t="str">
        <f t="shared" si="2"/>
        <v>BASP</v>
      </c>
      <c r="I31" s="24" t="str">
        <f t="shared" si="0"/>
        <v>BAMG</v>
      </c>
      <c r="J31" s="24" t="str">
        <f t="shared" si="0"/>
        <v>BAES</v>
      </c>
      <c r="K31" s="24" t="str">
        <f t="shared" si="0"/>
        <v>BASC</v>
      </c>
      <c r="L31" s="24" t="str">
        <f t="shared" si="0"/>
        <v>BARJ</v>
      </c>
      <c r="M31" s="24" t="str">
        <f t="shared" si="0"/>
        <v>BAPR</v>
      </c>
      <c r="N31" s="24" t="str">
        <f t="shared" si="0"/>
        <v>BAAM</v>
      </c>
      <c r="O31" s="24">
        <f>VLOOKUP(H31, KM!$A:$E, 5, 0)</f>
        <v>1962</v>
      </c>
      <c r="P31" s="24">
        <f>VLOOKUP(I31, KM!$A:$E, 5, 0)</f>
        <v>1372</v>
      </c>
      <c r="Q31" s="24">
        <f>VLOOKUP(J31, KM!$A:$E, 5, 0)</f>
        <v>1202</v>
      </c>
      <c r="R31" s="24">
        <f>VLOOKUP(K31, KM!$A:$E, 5, 0)</f>
        <v>2682</v>
      </c>
      <c r="S31" s="24">
        <f>VLOOKUP(L31, KM!$A:$E, 5, 0)</f>
        <v>1649</v>
      </c>
      <c r="T31" s="24">
        <f>VLOOKUP(M31, KM!$A:$E, 5, 0)</f>
        <v>2385</v>
      </c>
      <c r="U31" s="24">
        <f>VLOOKUP(N31, KM!$A:$E, 5, 0)</f>
        <v>5009</v>
      </c>
      <c r="V31" s="24">
        <f>VLOOKUP(H31, IMPOSTO!$A:$D, 4, 0)</f>
        <v>0.12</v>
      </c>
      <c r="W31" s="24">
        <f>VLOOKUP(I31, IMPOSTO!$A:$D, 4, 0)</f>
        <v>0.12</v>
      </c>
      <c r="X31" s="24">
        <f>VLOOKUP(J31, IMPOSTO!$A:$D, 4, 0)</f>
        <v>0.12</v>
      </c>
      <c r="Y31" s="24">
        <f>VLOOKUP(K31, IMPOSTO!$A:$D, 4, 0)</f>
        <v>0.12</v>
      </c>
      <c r="Z31" s="24">
        <f>VLOOKUP(L31, IMPOSTO!$A:$D, 4, 0)</f>
        <v>0.12</v>
      </c>
      <c r="AA31" s="24">
        <f>VLOOKUP(M31, IMPOSTO!$A:$D, 4, 0)</f>
        <v>0.12</v>
      </c>
      <c r="AB31" s="24">
        <f>VLOOKUP(N31, IMPOSTO!$A:$D, 4, 0)</f>
        <v>0.12</v>
      </c>
      <c r="AC31" s="25">
        <f t="shared" si="3"/>
        <v>559.3762097354753</v>
      </c>
      <c r="AD31" s="25">
        <f t="shared" si="4"/>
        <v>492.33075519002074</v>
      </c>
      <c r="AE31" s="25">
        <f t="shared" si="5"/>
        <v>473.01257337183881</v>
      </c>
      <c r="AF31" s="25">
        <f t="shared" si="6"/>
        <v>641.19439155365706</v>
      </c>
      <c r="AG31" s="25">
        <f t="shared" si="7"/>
        <v>523.80802791729332</v>
      </c>
      <c r="AH31" s="25">
        <f t="shared" si="8"/>
        <v>607.44439155365706</v>
      </c>
      <c r="AI31" s="25">
        <f t="shared" si="9"/>
        <v>905.6262097354753</v>
      </c>
    </row>
    <row r="32" spans="1:35" ht="15.75" customHeight="1">
      <c r="A32" s="12" t="s">
        <v>37</v>
      </c>
      <c r="B32" s="12" t="s">
        <v>38</v>
      </c>
      <c r="C32" s="12" t="s">
        <v>32</v>
      </c>
      <c r="D32" s="12" t="s">
        <v>33</v>
      </c>
      <c r="E32" s="12" t="s">
        <v>34</v>
      </c>
      <c r="F32" s="13">
        <v>2.0953158738366082</v>
      </c>
      <c r="G32" s="14">
        <v>74.012766141804548</v>
      </c>
      <c r="H32" s="24" t="str">
        <f t="shared" si="2"/>
        <v>BASP</v>
      </c>
      <c r="I32" s="24" t="str">
        <f t="shared" si="0"/>
        <v>BAMG</v>
      </c>
      <c r="J32" s="24" t="str">
        <f t="shared" si="0"/>
        <v>BAES</v>
      </c>
      <c r="K32" s="24" t="str">
        <f t="shared" si="0"/>
        <v>BASC</v>
      </c>
      <c r="L32" s="24" t="str">
        <f t="shared" si="0"/>
        <v>BARJ</v>
      </c>
      <c r="M32" s="24" t="str">
        <f t="shared" si="0"/>
        <v>BAPR</v>
      </c>
      <c r="N32" s="24" t="str">
        <f t="shared" si="0"/>
        <v>BAAM</v>
      </c>
      <c r="O32" s="24">
        <f>VLOOKUP(H32, KM!$A:$E, 5, 0)</f>
        <v>1962</v>
      </c>
      <c r="P32" s="24">
        <f>VLOOKUP(I32, KM!$A:$E, 5, 0)</f>
        <v>1372</v>
      </c>
      <c r="Q32" s="24">
        <f>VLOOKUP(J32, KM!$A:$E, 5, 0)</f>
        <v>1202</v>
      </c>
      <c r="R32" s="24">
        <f>VLOOKUP(K32, KM!$A:$E, 5, 0)</f>
        <v>2682</v>
      </c>
      <c r="S32" s="24">
        <f>VLOOKUP(L32, KM!$A:$E, 5, 0)</f>
        <v>1649</v>
      </c>
      <c r="T32" s="24">
        <f>VLOOKUP(M32, KM!$A:$E, 5, 0)</f>
        <v>2385</v>
      </c>
      <c r="U32" s="24">
        <f>VLOOKUP(N32, KM!$A:$E, 5, 0)</f>
        <v>5009</v>
      </c>
      <c r="V32" s="24">
        <f>VLOOKUP(H32, IMPOSTO!$A:$D, 4, 0)</f>
        <v>0.12</v>
      </c>
      <c r="W32" s="24">
        <f>VLOOKUP(I32, IMPOSTO!$A:$D, 4, 0)</f>
        <v>0.12</v>
      </c>
      <c r="X32" s="24">
        <f>VLOOKUP(J32, IMPOSTO!$A:$D, 4, 0)</f>
        <v>0.12</v>
      </c>
      <c r="Y32" s="24">
        <f>VLOOKUP(K32, IMPOSTO!$A:$D, 4, 0)</f>
        <v>0.12</v>
      </c>
      <c r="Z32" s="24">
        <f>VLOOKUP(L32, IMPOSTO!$A:$D, 4, 0)</f>
        <v>0.12</v>
      </c>
      <c r="AA32" s="24">
        <f>VLOOKUP(M32, IMPOSTO!$A:$D, 4, 0)</f>
        <v>0.12</v>
      </c>
      <c r="AB32" s="24">
        <f>VLOOKUP(N32, IMPOSTO!$A:$D, 4, 0)</f>
        <v>0.12</v>
      </c>
      <c r="AC32" s="25">
        <f t="shared" si="3"/>
        <v>307.05996152477786</v>
      </c>
      <c r="AD32" s="25">
        <f t="shared" si="4"/>
        <v>240.01450697932336</v>
      </c>
      <c r="AE32" s="25">
        <f t="shared" si="5"/>
        <v>220.69632516114152</v>
      </c>
      <c r="AF32" s="25">
        <f t="shared" si="6"/>
        <v>388.87814334295967</v>
      </c>
      <c r="AG32" s="25">
        <f t="shared" si="7"/>
        <v>271.49177970659611</v>
      </c>
      <c r="AH32" s="25">
        <f t="shared" si="8"/>
        <v>355.12814334295973</v>
      </c>
      <c r="AI32" s="25">
        <f t="shared" si="9"/>
        <v>653.30996152477792</v>
      </c>
    </row>
    <row r="33" spans="1:35" ht="15.75" customHeight="1">
      <c r="A33" s="12" t="s">
        <v>35</v>
      </c>
      <c r="B33" s="12" t="s">
        <v>36</v>
      </c>
      <c r="C33" s="12" t="s">
        <v>32</v>
      </c>
      <c r="D33" s="12" t="s">
        <v>33</v>
      </c>
      <c r="E33" s="12" t="s">
        <v>34</v>
      </c>
      <c r="F33" s="13">
        <v>486.74821286735505</v>
      </c>
      <c r="G33" s="14">
        <v>16099.197140587768</v>
      </c>
      <c r="H33" s="24" t="str">
        <f t="shared" si="2"/>
        <v>BASP</v>
      </c>
      <c r="I33" s="24" t="str">
        <f t="shared" si="0"/>
        <v>BAMG</v>
      </c>
      <c r="J33" s="24" t="str">
        <f t="shared" si="0"/>
        <v>BAES</v>
      </c>
      <c r="K33" s="24" t="str">
        <f t="shared" si="0"/>
        <v>BASC</v>
      </c>
      <c r="L33" s="24" t="str">
        <f t="shared" si="0"/>
        <v>BARJ</v>
      </c>
      <c r="M33" s="24" t="str">
        <f t="shared" si="0"/>
        <v>BAPR</v>
      </c>
      <c r="N33" s="24" t="str">
        <f t="shared" si="0"/>
        <v>BAAM</v>
      </c>
      <c r="O33" s="24">
        <f>VLOOKUP(H33, KM!$A:$E, 5, 0)</f>
        <v>1962</v>
      </c>
      <c r="P33" s="24">
        <f>VLOOKUP(I33, KM!$A:$E, 5, 0)</f>
        <v>1372</v>
      </c>
      <c r="Q33" s="24">
        <f>VLOOKUP(J33, KM!$A:$E, 5, 0)</f>
        <v>1202</v>
      </c>
      <c r="R33" s="24">
        <f>VLOOKUP(K33, KM!$A:$E, 5, 0)</f>
        <v>2682</v>
      </c>
      <c r="S33" s="24">
        <f>VLOOKUP(L33, KM!$A:$E, 5, 0)</f>
        <v>1649</v>
      </c>
      <c r="T33" s="24">
        <f>VLOOKUP(M33, KM!$A:$E, 5, 0)</f>
        <v>2385</v>
      </c>
      <c r="U33" s="24">
        <f>VLOOKUP(N33, KM!$A:$E, 5, 0)</f>
        <v>5009</v>
      </c>
      <c r="V33" s="24">
        <f>VLOOKUP(H33, IMPOSTO!$A:$D, 4, 0)</f>
        <v>0.12</v>
      </c>
      <c r="W33" s="24">
        <f>VLOOKUP(I33, IMPOSTO!$A:$D, 4, 0)</f>
        <v>0.12</v>
      </c>
      <c r="X33" s="24">
        <f>VLOOKUP(J33, IMPOSTO!$A:$D, 4, 0)</f>
        <v>0.12</v>
      </c>
      <c r="Y33" s="24">
        <f>VLOOKUP(K33, IMPOSTO!$A:$D, 4, 0)</f>
        <v>0.12</v>
      </c>
      <c r="Z33" s="24">
        <f>VLOOKUP(L33, IMPOSTO!$A:$D, 4, 0)</f>
        <v>0.12</v>
      </c>
      <c r="AA33" s="24">
        <f>VLOOKUP(M33, IMPOSTO!$A:$D, 4, 0)</f>
        <v>0.12</v>
      </c>
      <c r="AB33" s="24">
        <f>VLOOKUP(N33, IMPOSTO!$A:$D, 4, 0)</f>
        <v>0.12</v>
      </c>
      <c r="AC33" s="25">
        <f t="shared" si="3"/>
        <v>18517.49675066792</v>
      </c>
      <c r="AD33" s="25">
        <f t="shared" si="4"/>
        <v>18450.451296122465</v>
      </c>
      <c r="AE33" s="25">
        <f t="shared" si="5"/>
        <v>18431.133114304284</v>
      </c>
      <c r="AF33" s="25">
        <f t="shared" si="6"/>
        <v>18599.314932486101</v>
      </c>
      <c r="AG33" s="25">
        <f t="shared" si="7"/>
        <v>18481.928568849737</v>
      </c>
      <c r="AH33" s="25">
        <f t="shared" si="8"/>
        <v>18565.564932486101</v>
      </c>
      <c r="AI33" s="25">
        <f t="shared" si="9"/>
        <v>18863.746750667917</v>
      </c>
    </row>
    <row r="34" spans="1:35" ht="15.75" customHeight="1">
      <c r="A34" s="12" t="s">
        <v>30</v>
      </c>
      <c r="B34" s="12" t="s">
        <v>31</v>
      </c>
      <c r="C34" s="12" t="s">
        <v>32</v>
      </c>
      <c r="D34" s="12" t="s">
        <v>33</v>
      </c>
      <c r="E34" s="12" t="s">
        <v>34</v>
      </c>
      <c r="F34" s="13">
        <v>1.4912013698630142</v>
      </c>
      <c r="G34" s="14">
        <v>40.15066842092466</v>
      </c>
      <c r="H34" s="24" t="str">
        <f t="shared" si="2"/>
        <v>BASP</v>
      </c>
      <c r="I34" s="24" t="str">
        <f t="shared" si="2"/>
        <v>BAMG</v>
      </c>
      <c r="J34" s="24" t="str">
        <f t="shared" si="2"/>
        <v>BAES</v>
      </c>
      <c r="K34" s="24" t="str">
        <f t="shared" si="2"/>
        <v>BASC</v>
      </c>
      <c r="L34" s="24" t="str">
        <f t="shared" si="2"/>
        <v>BARJ</v>
      </c>
      <c r="M34" s="24" t="str">
        <f t="shared" si="2"/>
        <v>BAPR</v>
      </c>
      <c r="N34" s="24" t="str">
        <f t="shared" si="2"/>
        <v>BAAM</v>
      </c>
      <c r="O34" s="24">
        <f>VLOOKUP(H34, KM!$A:$E, 5, 0)</f>
        <v>1962</v>
      </c>
      <c r="P34" s="24">
        <f>VLOOKUP(I34, KM!$A:$E, 5, 0)</f>
        <v>1372</v>
      </c>
      <c r="Q34" s="24">
        <f>VLOOKUP(J34, KM!$A:$E, 5, 0)</f>
        <v>1202</v>
      </c>
      <c r="R34" s="24">
        <f>VLOOKUP(K34, KM!$A:$E, 5, 0)</f>
        <v>2682</v>
      </c>
      <c r="S34" s="24">
        <f>VLOOKUP(L34, KM!$A:$E, 5, 0)</f>
        <v>1649</v>
      </c>
      <c r="T34" s="24">
        <f>VLOOKUP(M34, KM!$A:$E, 5, 0)</f>
        <v>2385</v>
      </c>
      <c r="U34" s="24">
        <f>VLOOKUP(N34, KM!$A:$E, 5, 0)</f>
        <v>5009</v>
      </c>
      <c r="V34" s="24">
        <f>VLOOKUP(H34, IMPOSTO!$A:$D, 4, 0)</f>
        <v>0.12</v>
      </c>
      <c r="W34" s="24">
        <f>VLOOKUP(I34, IMPOSTO!$A:$D, 4, 0)</f>
        <v>0.12</v>
      </c>
      <c r="X34" s="24">
        <f>VLOOKUP(J34, IMPOSTO!$A:$D, 4, 0)</f>
        <v>0.12</v>
      </c>
      <c r="Y34" s="24">
        <f>VLOOKUP(K34, IMPOSTO!$A:$D, 4, 0)</f>
        <v>0.12</v>
      </c>
      <c r="Z34" s="24">
        <f>VLOOKUP(L34, IMPOSTO!$A:$D, 4, 0)</f>
        <v>0.12</v>
      </c>
      <c r="AA34" s="24">
        <f>VLOOKUP(M34, IMPOSTO!$A:$D, 4, 0)</f>
        <v>0.12</v>
      </c>
      <c r="AB34" s="24">
        <f>VLOOKUP(N34, IMPOSTO!$A:$D, 4, 0)</f>
        <v>0.12</v>
      </c>
      <c r="AC34" s="25">
        <f t="shared" si="3"/>
        <v>268.58030502377807</v>
      </c>
      <c r="AD34" s="25">
        <f t="shared" si="4"/>
        <v>201.53485047832351</v>
      </c>
      <c r="AE34" s="25">
        <f t="shared" si="5"/>
        <v>182.21666866014164</v>
      </c>
      <c r="AF34" s="25">
        <f t="shared" si="6"/>
        <v>350.39848684195982</v>
      </c>
      <c r="AG34" s="25">
        <f t="shared" si="7"/>
        <v>233.0121232055962</v>
      </c>
      <c r="AH34" s="25">
        <f t="shared" si="8"/>
        <v>316.64848684195982</v>
      </c>
      <c r="AI34" s="25">
        <f t="shared" si="9"/>
        <v>614.83030502377801</v>
      </c>
    </row>
    <row r="35" spans="1:35" ht="15.75" customHeight="1">
      <c r="A35" s="12" t="s">
        <v>30</v>
      </c>
      <c r="B35" s="12" t="s">
        <v>31</v>
      </c>
      <c r="C35" s="12" t="s">
        <v>32</v>
      </c>
      <c r="D35" s="12" t="s">
        <v>33</v>
      </c>
      <c r="E35" s="12" t="s">
        <v>34</v>
      </c>
      <c r="F35" s="13">
        <v>1.1587037671232876</v>
      </c>
      <c r="G35" s="14">
        <v>32.008180975582199</v>
      </c>
      <c r="H35" s="24" t="str">
        <f t="shared" si="2"/>
        <v>BASP</v>
      </c>
      <c r="I35" s="24" t="str">
        <f t="shared" si="2"/>
        <v>BAMG</v>
      </c>
      <c r="J35" s="24" t="str">
        <f t="shared" si="2"/>
        <v>BAES</v>
      </c>
      <c r="K35" s="24" t="str">
        <f t="shared" si="2"/>
        <v>BASC</v>
      </c>
      <c r="L35" s="24" t="str">
        <f t="shared" si="2"/>
        <v>BARJ</v>
      </c>
      <c r="M35" s="24" t="str">
        <f t="shared" si="2"/>
        <v>BAPR</v>
      </c>
      <c r="N35" s="24" t="str">
        <f t="shared" si="2"/>
        <v>BAAM</v>
      </c>
      <c r="O35" s="24">
        <f>VLOOKUP(H35, KM!$A:$E, 5, 0)</f>
        <v>1962</v>
      </c>
      <c r="P35" s="24">
        <f>VLOOKUP(I35, KM!$A:$E, 5, 0)</f>
        <v>1372</v>
      </c>
      <c r="Q35" s="24">
        <f>VLOOKUP(J35, KM!$A:$E, 5, 0)</f>
        <v>1202</v>
      </c>
      <c r="R35" s="24">
        <f>VLOOKUP(K35, KM!$A:$E, 5, 0)</f>
        <v>2682</v>
      </c>
      <c r="S35" s="24">
        <f>VLOOKUP(L35, KM!$A:$E, 5, 0)</f>
        <v>1649</v>
      </c>
      <c r="T35" s="24">
        <f>VLOOKUP(M35, KM!$A:$E, 5, 0)</f>
        <v>2385</v>
      </c>
      <c r="U35" s="24">
        <f>VLOOKUP(N35, KM!$A:$E, 5, 0)</f>
        <v>5009</v>
      </c>
      <c r="V35" s="24">
        <f>VLOOKUP(H35, IMPOSTO!$A:$D, 4, 0)</f>
        <v>0.12</v>
      </c>
      <c r="W35" s="24">
        <f>VLOOKUP(I35, IMPOSTO!$A:$D, 4, 0)</f>
        <v>0.12</v>
      </c>
      <c r="X35" s="24">
        <f>VLOOKUP(J35, IMPOSTO!$A:$D, 4, 0)</f>
        <v>0.12</v>
      </c>
      <c r="Y35" s="24">
        <f>VLOOKUP(K35, IMPOSTO!$A:$D, 4, 0)</f>
        <v>0.12</v>
      </c>
      <c r="Z35" s="24">
        <f>VLOOKUP(L35, IMPOSTO!$A:$D, 4, 0)</f>
        <v>0.12</v>
      </c>
      <c r="AA35" s="24">
        <f>VLOOKUP(M35, IMPOSTO!$A:$D, 4, 0)</f>
        <v>0.12</v>
      </c>
      <c r="AB35" s="24">
        <f>VLOOKUP(N35, IMPOSTO!$A:$D, 4, 0)</f>
        <v>0.12</v>
      </c>
      <c r="AC35" s="25">
        <f t="shared" si="3"/>
        <v>259.32747838134344</v>
      </c>
      <c r="AD35" s="25">
        <f t="shared" si="4"/>
        <v>192.28202383588888</v>
      </c>
      <c r="AE35" s="25">
        <f t="shared" si="5"/>
        <v>172.96384201770704</v>
      </c>
      <c r="AF35" s="25">
        <f t="shared" si="6"/>
        <v>341.1456601995252</v>
      </c>
      <c r="AG35" s="25">
        <f t="shared" si="7"/>
        <v>223.7592965631616</v>
      </c>
      <c r="AH35" s="25">
        <f t="shared" si="8"/>
        <v>307.39566019952525</v>
      </c>
      <c r="AI35" s="25">
        <f t="shared" si="9"/>
        <v>605.57747838134344</v>
      </c>
    </row>
    <row r="36" spans="1:35" ht="15.75" customHeight="1">
      <c r="A36" s="12" t="s">
        <v>37</v>
      </c>
      <c r="B36" s="12" t="s">
        <v>38</v>
      </c>
      <c r="C36" s="12" t="s">
        <v>32</v>
      </c>
      <c r="D36" s="12" t="s">
        <v>33</v>
      </c>
      <c r="E36" s="12" t="s">
        <v>34</v>
      </c>
      <c r="F36" s="13">
        <v>0.88949948293691827</v>
      </c>
      <c r="G36" s="14">
        <v>31.099919868148909</v>
      </c>
      <c r="H36" s="24" t="str">
        <f t="shared" si="2"/>
        <v>BASP</v>
      </c>
      <c r="I36" s="24" t="str">
        <f t="shared" si="2"/>
        <v>BAMG</v>
      </c>
      <c r="J36" s="24" t="str">
        <f t="shared" si="2"/>
        <v>BAES</v>
      </c>
      <c r="K36" s="24" t="str">
        <f t="shared" si="2"/>
        <v>BASC</v>
      </c>
      <c r="L36" s="24" t="str">
        <f t="shared" si="2"/>
        <v>BARJ</v>
      </c>
      <c r="M36" s="24" t="str">
        <f t="shared" si="2"/>
        <v>BAPR</v>
      </c>
      <c r="N36" s="24" t="str">
        <f t="shared" si="2"/>
        <v>BAAM</v>
      </c>
      <c r="O36" s="24">
        <f>VLOOKUP(H36, KM!$A:$E, 5, 0)</f>
        <v>1962</v>
      </c>
      <c r="P36" s="24">
        <f>VLOOKUP(I36, KM!$A:$E, 5, 0)</f>
        <v>1372</v>
      </c>
      <c r="Q36" s="24">
        <f>VLOOKUP(J36, KM!$A:$E, 5, 0)</f>
        <v>1202</v>
      </c>
      <c r="R36" s="24">
        <f>VLOOKUP(K36, KM!$A:$E, 5, 0)</f>
        <v>2682</v>
      </c>
      <c r="S36" s="24">
        <f>VLOOKUP(L36, KM!$A:$E, 5, 0)</f>
        <v>1649</v>
      </c>
      <c r="T36" s="24">
        <f>VLOOKUP(M36, KM!$A:$E, 5, 0)</f>
        <v>2385</v>
      </c>
      <c r="U36" s="24">
        <f>VLOOKUP(N36, KM!$A:$E, 5, 0)</f>
        <v>5009</v>
      </c>
      <c r="V36" s="24">
        <f>VLOOKUP(H36, IMPOSTO!$A:$D, 4, 0)</f>
        <v>0.12</v>
      </c>
      <c r="W36" s="24">
        <f>VLOOKUP(I36, IMPOSTO!$A:$D, 4, 0)</f>
        <v>0.12</v>
      </c>
      <c r="X36" s="24">
        <f>VLOOKUP(J36, IMPOSTO!$A:$D, 4, 0)</f>
        <v>0.12</v>
      </c>
      <c r="Y36" s="24">
        <f>VLOOKUP(K36, IMPOSTO!$A:$D, 4, 0)</f>
        <v>0.12</v>
      </c>
      <c r="Z36" s="24">
        <f>VLOOKUP(L36, IMPOSTO!$A:$D, 4, 0)</f>
        <v>0.12</v>
      </c>
      <c r="AA36" s="24">
        <f>VLOOKUP(M36, IMPOSTO!$A:$D, 4, 0)</f>
        <v>0.12</v>
      </c>
      <c r="AB36" s="24">
        <f>VLOOKUP(N36, IMPOSTO!$A:$D, 4, 0)</f>
        <v>0.12</v>
      </c>
      <c r="AC36" s="25">
        <f t="shared" si="3"/>
        <v>258.29536348653284</v>
      </c>
      <c r="AD36" s="25">
        <f t="shared" si="4"/>
        <v>191.2499089410783</v>
      </c>
      <c r="AE36" s="25">
        <f t="shared" si="5"/>
        <v>171.93172712289649</v>
      </c>
      <c r="AF36" s="25">
        <f t="shared" si="6"/>
        <v>340.11354530471465</v>
      </c>
      <c r="AG36" s="25">
        <f t="shared" si="7"/>
        <v>222.72718166835102</v>
      </c>
      <c r="AH36" s="25">
        <f t="shared" si="8"/>
        <v>306.36354530471465</v>
      </c>
      <c r="AI36" s="25">
        <f t="shared" si="9"/>
        <v>604.54536348653289</v>
      </c>
    </row>
    <row r="37" spans="1:35" ht="15.75" customHeight="1">
      <c r="A37" s="12" t="s">
        <v>30</v>
      </c>
      <c r="B37" s="12" t="s">
        <v>31</v>
      </c>
      <c r="C37" s="12" t="s">
        <v>32</v>
      </c>
      <c r="D37" s="12" t="s">
        <v>33</v>
      </c>
      <c r="E37" s="12" t="s">
        <v>34</v>
      </c>
      <c r="F37" s="13">
        <v>8839.8417205479454</v>
      </c>
      <c r="G37" s="14">
        <v>238013.16239924141</v>
      </c>
      <c r="H37" s="24" t="str">
        <f t="shared" si="2"/>
        <v>BASP</v>
      </c>
      <c r="I37" s="24" t="str">
        <f t="shared" si="2"/>
        <v>BAMG</v>
      </c>
      <c r="J37" s="24" t="str">
        <f t="shared" si="2"/>
        <v>BAES</v>
      </c>
      <c r="K37" s="24" t="str">
        <f t="shared" si="2"/>
        <v>BASC</v>
      </c>
      <c r="L37" s="24" t="str">
        <f t="shared" si="2"/>
        <v>BARJ</v>
      </c>
      <c r="M37" s="24" t="str">
        <f t="shared" si="2"/>
        <v>BAPR</v>
      </c>
      <c r="N37" s="24" t="str">
        <f t="shared" si="2"/>
        <v>BAAM</v>
      </c>
      <c r="O37" s="24">
        <f>VLOOKUP(H37, KM!$A:$E, 5, 0)</f>
        <v>1962</v>
      </c>
      <c r="P37" s="24">
        <f>VLOOKUP(I37, KM!$A:$E, 5, 0)</f>
        <v>1372</v>
      </c>
      <c r="Q37" s="24">
        <f>VLOOKUP(J37, KM!$A:$E, 5, 0)</f>
        <v>1202</v>
      </c>
      <c r="R37" s="24">
        <f>VLOOKUP(K37, KM!$A:$E, 5, 0)</f>
        <v>2682</v>
      </c>
      <c r="S37" s="24">
        <f>VLOOKUP(L37, KM!$A:$E, 5, 0)</f>
        <v>1649</v>
      </c>
      <c r="T37" s="24">
        <f>VLOOKUP(M37, KM!$A:$E, 5, 0)</f>
        <v>2385</v>
      </c>
      <c r="U37" s="24">
        <f>VLOOKUP(N37, KM!$A:$E, 5, 0)</f>
        <v>5009</v>
      </c>
      <c r="V37" s="24">
        <f>VLOOKUP(H37, IMPOSTO!$A:$D, 4, 0)</f>
        <v>0.12</v>
      </c>
      <c r="W37" s="24">
        <f>VLOOKUP(I37, IMPOSTO!$A:$D, 4, 0)</f>
        <v>0.12</v>
      </c>
      <c r="X37" s="24">
        <f>VLOOKUP(J37, IMPOSTO!$A:$D, 4, 0)</f>
        <v>0.12</v>
      </c>
      <c r="Y37" s="24">
        <f>VLOOKUP(K37, IMPOSTO!$A:$D, 4, 0)</f>
        <v>0.12</v>
      </c>
      <c r="Z37" s="24">
        <f>VLOOKUP(L37, IMPOSTO!$A:$D, 4, 0)</f>
        <v>0.12</v>
      </c>
      <c r="AA37" s="24">
        <f>VLOOKUP(M37, IMPOSTO!$A:$D, 4, 0)</f>
        <v>0.12</v>
      </c>
      <c r="AB37" s="24">
        <f>VLOOKUP(N37, IMPOSTO!$A:$D, 4, 0)</f>
        <v>0.12</v>
      </c>
      <c r="AC37" s="25">
        <f t="shared" si="3"/>
        <v>270692.45727186528</v>
      </c>
      <c r="AD37" s="25">
        <f t="shared" si="4"/>
        <v>270625.41181731981</v>
      </c>
      <c r="AE37" s="25">
        <f t="shared" si="5"/>
        <v>270606.09363550163</v>
      </c>
      <c r="AF37" s="25">
        <f t="shared" si="6"/>
        <v>270774.27545368345</v>
      </c>
      <c r="AG37" s="25">
        <f t="shared" si="7"/>
        <v>270656.88909004704</v>
      </c>
      <c r="AH37" s="25">
        <f t="shared" si="8"/>
        <v>270740.5254536834</v>
      </c>
      <c r="AI37" s="25">
        <f t="shared" si="9"/>
        <v>271038.70727186522</v>
      </c>
    </row>
    <row r="38" spans="1:35" ht="15.75" customHeight="1">
      <c r="A38" s="12" t="s">
        <v>37</v>
      </c>
      <c r="B38" s="12" t="s">
        <v>38</v>
      </c>
      <c r="C38" s="12" t="s">
        <v>32</v>
      </c>
      <c r="D38" s="12" t="s">
        <v>33</v>
      </c>
      <c r="E38" s="12" t="s">
        <v>34</v>
      </c>
      <c r="F38" s="13">
        <v>0.31540925542916232</v>
      </c>
      <c r="G38" s="14">
        <v>11.162125924120993</v>
      </c>
      <c r="H38" s="24" t="str">
        <f t="shared" si="2"/>
        <v>BASP</v>
      </c>
      <c r="I38" s="24" t="str">
        <f t="shared" si="2"/>
        <v>BAMG</v>
      </c>
      <c r="J38" s="24" t="str">
        <f t="shared" si="2"/>
        <v>BAES</v>
      </c>
      <c r="K38" s="24" t="str">
        <f t="shared" si="2"/>
        <v>BASC</v>
      </c>
      <c r="L38" s="24" t="str">
        <f t="shared" si="2"/>
        <v>BARJ</v>
      </c>
      <c r="M38" s="24" t="str">
        <f t="shared" si="2"/>
        <v>BAPR</v>
      </c>
      <c r="N38" s="24" t="str">
        <f t="shared" si="2"/>
        <v>BAAM</v>
      </c>
      <c r="O38" s="24">
        <f>VLOOKUP(H38, KM!$A:$E, 5, 0)</f>
        <v>1962</v>
      </c>
      <c r="P38" s="24">
        <f>VLOOKUP(I38, KM!$A:$E, 5, 0)</f>
        <v>1372</v>
      </c>
      <c r="Q38" s="24">
        <f>VLOOKUP(J38, KM!$A:$E, 5, 0)</f>
        <v>1202</v>
      </c>
      <c r="R38" s="24">
        <f>VLOOKUP(K38, KM!$A:$E, 5, 0)</f>
        <v>2682</v>
      </c>
      <c r="S38" s="24">
        <f>VLOOKUP(L38, KM!$A:$E, 5, 0)</f>
        <v>1649</v>
      </c>
      <c r="T38" s="24">
        <f>VLOOKUP(M38, KM!$A:$E, 5, 0)</f>
        <v>2385</v>
      </c>
      <c r="U38" s="24">
        <f>VLOOKUP(N38, KM!$A:$E, 5, 0)</f>
        <v>5009</v>
      </c>
      <c r="V38" s="24">
        <f>VLOOKUP(H38, IMPOSTO!$A:$D, 4, 0)</f>
        <v>0.12</v>
      </c>
      <c r="W38" s="24">
        <f>VLOOKUP(I38, IMPOSTO!$A:$D, 4, 0)</f>
        <v>0.12</v>
      </c>
      <c r="X38" s="24">
        <f>VLOOKUP(J38, IMPOSTO!$A:$D, 4, 0)</f>
        <v>0.12</v>
      </c>
      <c r="Y38" s="24">
        <f>VLOOKUP(K38, IMPOSTO!$A:$D, 4, 0)</f>
        <v>0.12</v>
      </c>
      <c r="Z38" s="24">
        <f>VLOOKUP(L38, IMPOSTO!$A:$D, 4, 0)</f>
        <v>0.12</v>
      </c>
      <c r="AA38" s="24">
        <f>VLOOKUP(M38, IMPOSTO!$A:$D, 4, 0)</f>
        <v>0.12</v>
      </c>
      <c r="AB38" s="24">
        <f>VLOOKUP(N38, IMPOSTO!$A:$D, 4, 0)</f>
        <v>0.12</v>
      </c>
      <c r="AC38" s="25">
        <f t="shared" si="3"/>
        <v>235.63877945922843</v>
      </c>
      <c r="AD38" s="25">
        <f t="shared" si="4"/>
        <v>168.59332491377387</v>
      </c>
      <c r="AE38" s="25">
        <f t="shared" si="5"/>
        <v>149.27514309559203</v>
      </c>
      <c r="AF38" s="25">
        <f t="shared" si="6"/>
        <v>317.45696127741019</v>
      </c>
      <c r="AG38" s="25">
        <f t="shared" si="7"/>
        <v>200.07059764104659</v>
      </c>
      <c r="AH38" s="25">
        <f t="shared" si="8"/>
        <v>283.70696127741024</v>
      </c>
      <c r="AI38" s="25">
        <f t="shared" si="9"/>
        <v>581.88877945922843</v>
      </c>
    </row>
    <row r="39" spans="1:35" ht="15.75" customHeight="1">
      <c r="A39" s="12" t="s">
        <v>39</v>
      </c>
      <c r="B39" s="12" t="s">
        <v>40</v>
      </c>
      <c r="C39" s="12" t="s">
        <v>32</v>
      </c>
      <c r="D39" s="12" t="s">
        <v>33</v>
      </c>
      <c r="E39" s="12" t="s">
        <v>41</v>
      </c>
      <c r="F39" s="13">
        <v>17884.083789214175</v>
      </c>
      <c r="G39" s="14">
        <v>1015452.3594430968</v>
      </c>
      <c r="H39" s="24" t="str">
        <f t="shared" si="2"/>
        <v>CESP</v>
      </c>
      <c r="I39" s="24" t="str">
        <f t="shared" si="2"/>
        <v>CEMG</v>
      </c>
      <c r="J39" s="24" t="str">
        <f t="shared" si="2"/>
        <v>CEES</v>
      </c>
      <c r="K39" s="24" t="str">
        <f t="shared" si="2"/>
        <v>CESC</v>
      </c>
      <c r="L39" s="24" t="str">
        <f t="shared" si="2"/>
        <v>CERJ</v>
      </c>
      <c r="M39" s="24" t="str">
        <f t="shared" si="2"/>
        <v>CEPR</v>
      </c>
      <c r="N39" s="24" t="str">
        <f t="shared" si="2"/>
        <v>CEAM</v>
      </c>
      <c r="O39" s="24">
        <f>VLOOKUP(H39, KM!$A:$E, 5, 0)</f>
        <v>3127</v>
      </c>
      <c r="P39" s="24">
        <f>VLOOKUP(I39, KM!$A:$E, 5, 0)</f>
        <v>2528</v>
      </c>
      <c r="Q39" s="24">
        <f>VLOOKUP(J39, KM!$A:$E, 5, 0)</f>
        <v>2397</v>
      </c>
      <c r="R39" s="24">
        <f>VLOOKUP(K39, KM!$A:$E, 5, 0)</f>
        <v>3838</v>
      </c>
      <c r="S39" s="24">
        <f>VLOOKUP(L39, KM!$A:$E, 5, 0)</f>
        <v>2805</v>
      </c>
      <c r="T39" s="24">
        <f>VLOOKUP(M39, KM!$A:$E, 5, 0)</f>
        <v>3541</v>
      </c>
      <c r="U39" s="24">
        <f>VLOOKUP(N39, KM!$A:$E, 5, 0)</f>
        <v>5763</v>
      </c>
      <c r="V39" s="24">
        <f>VLOOKUP(H39, IMPOSTO!$A:$D, 4, 0)</f>
        <v>0.12</v>
      </c>
      <c r="W39" s="24">
        <f>VLOOKUP(I39, IMPOSTO!$A:$D, 4, 0)</f>
        <v>0.12</v>
      </c>
      <c r="X39" s="24">
        <f>VLOOKUP(J39, IMPOSTO!$A:$D, 4, 0)</f>
        <v>0.12</v>
      </c>
      <c r="Y39" s="24">
        <f>VLOOKUP(K39, IMPOSTO!$A:$D, 4, 0)</f>
        <v>0.12</v>
      </c>
      <c r="Z39" s="24">
        <f>VLOOKUP(L39, IMPOSTO!$A:$D, 4, 0)</f>
        <v>0.12</v>
      </c>
      <c r="AA39" s="24">
        <f>VLOOKUP(M39, IMPOSTO!$A:$D, 4, 0)</f>
        <v>0.12</v>
      </c>
      <c r="AB39" s="24">
        <f>VLOOKUP(N39, IMPOSTO!$A:$D, 4, 0)</f>
        <v>0.12</v>
      </c>
      <c r="AC39" s="25">
        <f t="shared" si="3"/>
        <v>1154278.4766398827</v>
      </c>
      <c r="AD39" s="25">
        <f t="shared" si="4"/>
        <v>1154210.4084580645</v>
      </c>
      <c r="AE39" s="25">
        <f t="shared" si="5"/>
        <v>1154195.5220944281</v>
      </c>
      <c r="AF39" s="25">
        <f t="shared" si="6"/>
        <v>1154359.2720944283</v>
      </c>
      <c r="AG39" s="25">
        <f t="shared" si="7"/>
        <v>1154241.8857307918</v>
      </c>
      <c r="AH39" s="25">
        <f t="shared" si="8"/>
        <v>1154325.5220944281</v>
      </c>
      <c r="AI39" s="25">
        <f t="shared" si="9"/>
        <v>1154578.0220944283</v>
      </c>
    </row>
    <row r="40" spans="1:35" ht="15.75" customHeight="1">
      <c r="A40" s="12" t="s">
        <v>42</v>
      </c>
      <c r="B40" s="12" t="s">
        <v>43</v>
      </c>
      <c r="C40" s="12" t="s">
        <v>32</v>
      </c>
      <c r="D40" s="12" t="s">
        <v>33</v>
      </c>
      <c r="E40" s="12" t="s">
        <v>41</v>
      </c>
      <c r="F40" s="13">
        <v>1353.0939170305678</v>
      </c>
      <c r="G40" s="14">
        <v>78723.283899296584</v>
      </c>
      <c r="H40" s="24" t="str">
        <f t="shared" si="2"/>
        <v>CESP</v>
      </c>
      <c r="I40" s="24" t="str">
        <f t="shared" si="2"/>
        <v>CEMG</v>
      </c>
      <c r="J40" s="24" t="str">
        <f t="shared" si="2"/>
        <v>CEES</v>
      </c>
      <c r="K40" s="24" t="str">
        <f t="shared" si="2"/>
        <v>CESC</v>
      </c>
      <c r="L40" s="24" t="str">
        <f t="shared" si="2"/>
        <v>CERJ</v>
      </c>
      <c r="M40" s="24" t="str">
        <f t="shared" si="2"/>
        <v>CEPR</v>
      </c>
      <c r="N40" s="24" t="str">
        <f t="shared" si="2"/>
        <v>CEAM</v>
      </c>
      <c r="O40" s="24">
        <f>VLOOKUP(H40, KM!$A:$E, 5, 0)</f>
        <v>3127</v>
      </c>
      <c r="P40" s="24">
        <f>VLOOKUP(I40, KM!$A:$E, 5, 0)</f>
        <v>2528</v>
      </c>
      <c r="Q40" s="24">
        <f>VLOOKUP(J40, KM!$A:$E, 5, 0)</f>
        <v>2397</v>
      </c>
      <c r="R40" s="24">
        <f>VLOOKUP(K40, KM!$A:$E, 5, 0)</f>
        <v>3838</v>
      </c>
      <c r="S40" s="24">
        <f>VLOOKUP(L40, KM!$A:$E, 5, 0)</f>
        <v>2805</v>
      </c>
      <c r="T40" s="24">
        <f>VLOOKUP(M40, KM!$A:$E, 5, 0)</f>
        <v>3541</v>
      </c>
      <c r="U40" s="24">
        <f>VLOOKUP(N40, KM!$A:$E, 5, 0)</f>
        <v>5763</v>
      </c>
      <c r="V40" s="24">
        <f>VLOOKUP(H40, IMPOSTO!$A:$D, 4, 0)</f>
        <v>0.12</v>
      </c>
      <c r="W40" s="24">
        <f>VLOOKUP(I40, IMPOSTO!$A:$D, 4, 0)</f>
        <v>0.12</v>
      </c>
      <c r="X40" s="24">
        <f>VLOOKUP(J40, IMPOSTO!$A:$D, 4, 0)</f>
        <v>0.12</v>
      </c>
      <c r="Y40" s="24">
        <f>VLOOKUP(K40, IMPOSTO!$A:$D, 4, 0)</f>
        <v>0.12</v>
      </c>
      <c r="Z40" s="24">
        <f>VLOOKUP(L40, IMPOSTO!$A:$D, 4, 0)</f>
        <v>0.12</v>
      </c>
      <c r="AA40" s="24">
        <f>VLOOKUP(M40, IMPOSTO!$A:$D, 4, 0)</f>
        <v>0.12</v>
      </c>
      <c r="AB40" s="24">
        <f>VLOOKUP(N40, IMPOSTO!$A:$D, 4, 0)</f>
        <v>0.12</v>
      </c>
      <c r="AC40" s="25">
        <f t="shared" si="3"/>
        <v>89813.618067382486</v>
      </c>
      <c r="AD40" s="25">
        <f t="shared" si="4"/>
        <v>89745.549885564309</v>
      </c>
      <c r="AE40" s="25">
        <f t="shared" si="5"/>
        <v>89730.663521927927</v>
      </c>
      <c r="AF40" s="25">
        <f t="shared" si="6"/>
        <v>89894.413521927941</v>
      </c>
      <c r="AG40" s="25">
        <f t="shared" si="7"/>
        <v>89777.027158291574</v>
      </c>
      <c r="AH40" s="25">
        <f t="shared" si="8"/>
        <v>89860.663521927941</v>
      </c>
      <c r="AI40" s="25">
        <f t="shared" si="9"/>
        <v>90113.163521927941</v>
      </c>
    </row>
    <row r="41" spans="1:35" ht="15.75" customHeight="1">
      <c r="A41" s="12" t="s">
        <v>39</v>
      </c>
      <c r="B41" s="12" t="s">
        <v>40</v>
      </c>
      <c r="C41" s="12" t="s">
        <v>32</v>
      </c>
      <c r="D41" s="12" t="s">
        <v>33</v>
      </c>
      <c r="E41" s="12" t="s">
        <v>41</v>
      </c>
      <c r="F41" s="13">
        <v>14643.671299845917</v>
      </c>
      <c r="G41" s="14">
        <v>831462.81059730356</v>
      </c>
      <c r="H41" s="24" t="str">
        <f t="shared" si="2"/>
        <v>CESP</v>
      </c>
      <c r="I41" s="24" t="str">
        <f t="shared" si="2"/>
        <v>CEMG</v>
      </c>
      <c r="J41" s="24" t="str">
        <f t="shared" si="2"/>
        <v>CEES</v>
      </c>
      <c r="K41" s="24" t="str">
        <f t="shared" si="2"/>
        <v>CESC</v>
      </c>
      <c r="L41" s="24" t="str">
        <f t="shared" si="2"/>
        <v>CERJ</v>
      </c>
      <c r="M41" s="24" t="str">
        <f t="shared" si="2"/>
        <v>CEPR</v>
      </c>
      <c r="N41" s="24" t="str">
        <f t="shared" si="2"/>
        <v>CEAM</v>
      </c>
      <c r="O41" s="24">
        <f>VLOOKUP(H41, KM!$A:$E, 5, 0)</f>
        <v>3127</v>
      </c>
      <c r="P41" s="24">
        <f>VLOOKUP(I41, KM!$A:$E, 5, 0)</f>
        <v>2528</v>
      </c>
      <c r="Q41" s="24">
        <f>VLOOKUP(J41, KM!$A:$E, 5, 0)</f>
        <v>2397</v>
      </c>
      <c r="R41" s="24">
        <f>VLOOKUP(K41, KM!$A:$E, 5, 0)</f>
        <v>3838</v>
      </c>
      <c r="S41" s="24">
        <f>VLOOKUP(L41, KM!$A:$E, 5, 0)</f>
        <v>2805</v>
      </c>
      <c r="T41" s="24">
        <f>VLOOKUP(M41, KM!$A:$E, 5, 0)</f>
        <v>3541</v>
      </c>
      <c r="U41" s="24">
        <f>VLOOKUP(N41, KM!$A:$E, 5, 0)</f>
        <v>5763</v>
      </c>
      <c r="V41" s="24">
        <f>VLOOKUP(H41, IMPOSTO!$A:$D, 4, 0)</f>
        <v>0.12</v>
      </c>
      <c r="W41" s="24">
        <f>VLOOKUP(I41, IMPOSTO!$A:$D, 4, 0)</f>
        <v>0.12</v>
      </c>
      <c r="X41" s="24">
        <f>VLOOKUP(J41, IMPOSTO!$A:$D, 4, 0)</f>
        <v>0.12</v>
      </c>
      <c r="Y41" s="24">
        <f>VLOOKUP(K41, IMPOSTO!$A:$D, 4, 0)</f>
        <v>0.12</v>
      </c>
      <c r="Z41" s="24">
        <f>VLOOKUP(L41, IMPOSTO!$A:$D, 4, 0)</f>
        <v>0.12</v>
      </c>
      <c r="AA41" s="24">
        <f>VLOOKUP(M41, IMPOSTO!$A:$D, 4, 0)</f>
        <v>0.12</v>
      </c>
      <c r="AB41" s="24">
        <f>VLOOKUP(N41, IMPOSTO!$A:$D, 4, 0)</f>
        <v>0.12</v>
      </c>
      <c r="AC41" s="25">
        <f t="shared" si="3"/>
        <v>945199.44386057218</v>
      </c>
      <c r="AD41" s="25">
        <f t="shared" si="4"/>
        <v>945131.37567875406</v>
      </c>
      <c r="AE41" s="25">
        <f t="shared" si="5"/>
        <v>945116.48931511759</v>
      </c>
      <c r="AF41" s="25">
        <f t="shared" si="6"/>
        <v>945280.23931511771</v>
      </c>
      <c r="AG41" s="25">
        <f t="shared" si="7"/>
        <v>945162.85295148136</v>
      </c>
      <c r="AH41" s="25">
        <f t="shared" si="8"/>
        <v>945246.48931511759</v>
      </c>
      <c r="AI41" s="25">
        <f t="shared" si="9"/>
        <v>945498.98931511771</v>
      </c>
    </row>
    <row r="42" spans="1:35" ht="15.75" customHeight="1">
      <c r="A42" s="12" t="s">
        <v>44</v>
      </c>
      <c r="B42" s="12" t="s">
        <v>45</v>
      </c>
      <c r="C42" s="12" t="s">
        <v>32</v>
      </c>
      <c r="D42" s="12" t="s">
        <v>33</v>
      </c>
      <c r="E42" s="12" t="s">
        <v>41</v>
      </c>
      <c r="F42" s="13">
        <v>8965.9627138373762</v>
      </c>
      <c r="G42" s="14">
        <v>261153.23478507731</v>
      </c>
      <c r="H42" s="24" t="str">
        <f t="shared" si="2"/>
        <v>CESP</v>
      </c>
      <c r="I42" s="24" t="str">
        <f t="shared" si="2"/>
        <v>CEMG</v>
      </c>
      <c r="J42" s="24" t="str">
        <f t="shared" si="2"/>
        <v>CEES</v>
      </c>
      <c r="K42" s="24" t="str">
        <f t="shared" si="2"/>
        <v>CESC</v>
      </c>
      <c r="L42" s="24" t="str">
        <f t="shared" si="2"/>
        <v>CERJ</v>
      </c>
      <c r="M42" s="24" t="str">
        <f t="shared" si="2"/>
        <v>CEPR</v>
      </c>
      <c r="N42" s="24" t="str">
        <f t="shared" si="2"/>
        <v>CEAM</v>
      </c>
      <c r="O42" s="24">
        <f>VLOOKUP(H42, KM!$A:$E, 5, 0)</f>
        <v>3127</v>
      </c>
      <c r="P42" s="24">
        <f>VLOOKUP(I42, KM!$A:$E, 5, 0)</f>
        <v>2528</v>
      </c>
      <c r="Q42" s="24">
        <f>VLOOKUP(J42, KM!$A:$E, 5, 0)</f>
        <v>2397</v>
      </c>
      <c r="R42" s="24">
        <f>VLOOKUP(K42, KM!$A:$E, 5, 0)</f>
        <v>3838</v>
      </c>
      <c r="S42" s="24">
        <f>VLOOKUP(L42, KM!$A:$E, 5, 0)</f>
        <v>2805</v>
      </c>
      <c r="T42" s="24">
        <f>VLOOKUP(M42, KM!$A:$E, 5, 0)</f>
        <v>3541</v>
      </c>
      <c r="U42" s="24">
        <f>VLOOKUP(N42, KM!$A:$E, 5, 0)</f>
        <v>5763</v>
      </c>
      <c r="V42" s="24">
        <f>VLOOKUP(H42, IMPOSTO!$A:$D, 4, 0)</f>
        <v>0.12</v>
      </c>
      <c r="W42" s="24">
        <f>VLOOKUP(I42, IMPOSTO!$A:$D, 4, 0)</f>
        <v>0.12</v>
      </c>
      <c r="X42" s="24">
        <f>VLOOKUP(J42, IMPOSTO!$A:$D, 4, 0)</f>
        <v>0.12</v>
      </c>
      <c r="Y42" s="24">
        <f>VLOOKUP(K42, IMPOSTO!$A:$D, 4, 0)</f>
        <v>0.12</v>
      </c>
      <c r="Z42" s="24">
        <f>VLOOKUP(L42, IMPOSTO!$A:$D, 4, 0)</f>
        <v>0.12</v>
      </c>
      <c r="AA42" s="24">
        <f>VLOOKUP(M42, IMPOSTO!$A:$D, 4, 0)</f>
        <v>0.12</v>
      </c>
      <c r="AB42" s="24">
        <f>VLOOKUP(N42, IMPOSTO!$A:$D, 4, 0)</f>
        <v>0.12</v>
      </c>
      <c r="AC42" s="25">
        <f t="shared" si="3"/>
        <v>297120.38043758785</v>
      </c>
      <c r="AD42" s="25">
        <f t="shared" si="4"/>
        <v>297052.31225576968</v>
      </c>
      <c r="AE42" s="25">
        <f t="shared" si="5"/>
        <v>297037.42589213332</v>
      </c>
      <c r="AF42" s="25">
        <f t="shared" si="6"/>
        <v>297201.17589213327</v>
      </c>
      <c r="AG42" s="25">
        <f t="shared" si="7"/>
        <v>297083.78952849691</v>
      </c>
      <c r="AH42" s="25">
        <f t="shared" si="8"/>
        <v>297167.42589213332</v>
      </c>
      <c r="AI42" s="25">
        <f t="shared" si="9"/>
        <v>297419.92589213327</v>
      </c>
    </row>
    <row r="43" spans="1:35" ht="15.75" customHeight="1">
      <c r="A43" s="12" t="s">
        <v>44</v>
      </c>
      <c r="B43" s="12" t="s">
        <v>46</v>
      </c>
      <c r="C43" s="12" t="s">
        <v>32</v>
      </c>
      <c r="D43" s="12" t="s">
        <v>33</v>
      </c>
      <c r="E43" s="12" t="s">
        <v>41</v>
      </c>
      <c r="F43" s="13">
        <v>52.466287018544939</v>
      </c>
      <c r="G43" s="14">
        <v>1275.2556212952925</v>
      </c>
      <c r="H43" s="24" t="str">
        <f t="shared" si="2"/>
        <v>CESP</v>
      </c>
      <c r="I43" s="24" t="str">
        <f t="shared" si="2"/>
        <v>CEMG</v>
      </c>
      <c r="J43" s="24" t="str">
        <f t="shared" si="2"/>
        <v>CEES</v>
      </c>
      <c r="K43" s="24" t="str">
        <f t="shared" si="2"/>
        <v>CESC</v>
      </c>
      <c r="L43" s="24" t="str">
        <f t="shared" si="2"/>
        <v>CERJ</v>
      </c>
      <c r="M43" s="24" t="str">
        <f t="shared" si="2"/>
        <v>CEPR</v>
      </c>
      <c r="N43" s="24" t="str">
        <f t="shared" si="2"/>
        <v>CEAM</v>
      </c>
      <c r="O43" s="24">
        <f>VLOOKUP(H43, KM!$A:$E, 5, 0)</f>
        <v>3127</v>
      </c>
      <c r="P43" s="24">
        <f>VLOOKUP(I43, KM!$A:$E, 5, 0)</f>
        <v>2528</v>
      </c>
      <c r="Q43" s="24">
        <f>VLOOKUP(J43, KM!$A:$E, 5, 0)</f>
        <v>2397</v>
      </c>
      <c r="R43" s="24">
        <f>VLOOKUP(K43, KM!$A:$E, 5, 0)</f>
        <v>3838</v>
      </c>
      <c r="S43" s="24">
        <f>VLOOKUP(L43, KM!$A:$E, 5, 0)</f>
        <v>2805</v>
      </c>
      <c r="T43" s="24">
        <f>VLOOKUP(M43, KM!$A:$E, 5, 0)</f>
        <v>3541</v>
      </c>
      <c r="U43" s="24">
        <f>VLOOKUP(N43, KM!$A:$E, 5, 0)</f>
        <v>5763</v>
      </c>
      <c r="V43" s="24">
        <f>VLOOKUP(H43, IMPOSTO!$A:$D, 4, 0)</f>
        <v>0.12</v>
      </c>
      <c r="W43" s="24">
        <f>VLOOKUP(I43, IMPOSTO!$A:$D, 4, 0)</f>
        <v>0.12</v>
      </c>
      <c r="X43" s="24">
        <f>VLOOKUP(J43, IMPOSTO!$A:$D, 4, 0)</f>
        <v>0.12</v>
      </c>
      <c r="Y43" s="24">
        <f>VLOOKUP(K43, IMPOSTO!$A:$D, 4, 0)</f>
        <v>0.12</v>
      </c>
      <c r="Z43" s="24">
        <f>VLOOKUP(L43, IMPOSTO!$A:$D, 4, 0)</f>
        <v>0.12</v>
      </c>
      <c r="AA43" s="24">
        <f>VLOOKUP(M43, IMPOSTO!$A:$D, 4, 0)</f>
        <v>0.12</v>
      </c>
      <c r="AB43" s="24">
        <f>VLOOKUP(N43, IMPOSTO!$A:$D, 4, 0)</f>
        <v>0.12</v>
      </c>
      <c r="AC43" s="25">
        <f t="shared" si="3"/>
        <v>1804.495024199196</v>
      </c>
      <c r="AD43" s="25">
        <f t="shared" si="4"/>
        <v>1736.4268423810142</v>
      </c>
      <c r="AE43" s="25">
        <f t="shared" si="5"/>
        <v>1721.5404787446505</v>
      </c>
      <c r="AF43" s="25">
        <f t="shared" si="6"/>
        <v>1885.2904787446505</v>
      </c>
      <c r="AG43" s="25">
        <f t="shared" si="7"/>
        <v>1767.904115108287</v>
      </c>
      <c r="AH43" s="25">
        <f t="shared" si="8"/>
        <v>1851.5404787446507</v>
      </c>
      <c r="AI43" s="25">
        <f t="shared" si="9"/>
        <v>2104.0404787446505</v>
      </c>
    </row>
    <row r="44" spans="1:35" ht="15.75" customHeight="1">
      <c r="A44" s="12" t="s">
        <v>42</v>
      </c>
      <c r="B44" s="12" t="s">
        <v>43</v>
      </c>
      <c r="C44" s="12" t="s">
        <v>32</v>
      </c>
      <c r="D44" s="12" t="s">
        <v>33</v>
      </c>
      <c r="E44" s="12" t="s">
        <v>41</v>
      </c>
      <c r="F44" s="13">
        <v>1873.936650655022</v>
      </c>
      <c r="G44" s="14">
        <v>109026.02184670052</v>
      </c>
      <c r="H44" s="24" t="str">
        <f t="shared" si="2"/>
        <v>CESP</v>
      </c>
      <c r="I44" s="24" t="str">
        <f t="shared" si="2"/>
        <v>CEMG</v>
      </c>
      <c r="J44" s="24" t="str">
        <f t="shared" si="2"/>
        <v>CEES</v>
      </c>
      <c r="K44" s="24" t="str">
        <f t="shared" si="2"/>
        <v>CESC</v>
      </c>
      <c r="L44" s="24" t="str">
        <f t="shared" si="2"/>
        <v>CERJ</v>
      </c>
      <c r="M44" s="24" t="str">
        <f t="shared" si="2"/>
        <v>CEPR</v>
      </c>
      <c r="N44" s="24" t="str">
        <f t="shared" si="2"/>
        <v>CEAM</v>
      </c>
      <c r="O44" s="24">
        <f>VLOOKUP(H44, KM!$A:$E, 5, 0)</f>
        <v>3127</v>
      </c>
      <c r="P44" s="24">
        <f>VLOOKUP(I44, KM!$A:$E, 5, 0)</f>
        <v>2528</v>
      </c>
      <c r="Q44" s="24">
        <f>VLOOKUP(J44, KM!$A:$E, 5, 0)</f>
        <v>2397</v>
      </c>
      <c r="R44" s="24">
        <f>VLOOKUP(K44, KM!$A:$E, 5, 0)</f>
        <v>3838</v>
      </c>
      <c r="S44" s="24">
        <f>VLOOKUP(L44, KM!$A:$E, 5, 0)</f>
        <v>2805</v>
      </c>
      <c r="T44" s="24">
        <f>VLOOKUP(M44, KM!$A:$E, 5, 0)</f>
        <v>3541</v>
      </c>
      <c r="U44" s="24">
        <f>VLOOKUP(N44, KM!$A:$E, 5, 0)</f>
        <v>5763</v>
      </c>
      <c r="V44" s="24">
        <f>VLOOKUP(H44, IMPOSTO!$A:$D, 4, 0)</f>
        <v>0.12</v>
      </c>
      <c r="W44" s="24">
        <f>VLOOKUP(I44, IMPOSTO!$A:$D, 4, 0)</f>
        <v>0.12</v>
      </c>
      <c r="X44" s="24">
        <f>VLOOKUP(J44, IMPOSTO!$A:$D, 4, 0)</f>
        <v>0.12</v>
      </c>
      <c r="Y44" s="24">
        <f>VLOOKUP(K44, IMPOSTO!$A:$D, 4, 0)</f>
        <v>0.12</v>
      </c>
      <c r="Z44" s="24">
        <f>VLOOKUP(L44, IMPOSTO!$A:$D, 4, 0)</f>
        <v>0.12</v>
      </c>
      <c r="AA44" s="24">
        <f>VLOOKUP(M44, IMPOSTO!$A:$D, 4, 0)</f>
        <v>0.12</v>
      </c>
      <c r="AB44" s="24">
        <f>VLOOKUP(N44, IMPOSTO!$A:$D, 4, 0)</f>
        <v>0.12</v>
      </c>
      <c r="AC44" s="25">
        <f t="shared" si="3"/>
        <v>124248.54755306877</v>
      </c>
      <c r="AD44" s="25">
        <f t="shared" si="4"/>
        <v>124180.47937125059</v>
      </c>
      <c r="AE44" s="25">
        <f t="shared" si="5"/>
        <v>124165.59300761422</v>
      </c>
      <c r="AF44" s="25">
        <f t="shared" si="6"/>
        <v>124329.34300761422</v>
      </c>
      <c r="AG44" s="25">
        <f t="shared" si="7"/>
        <v>124211.95664397786</v>
      </c>
      <c r="AH44" s="25">
        <f t="shared" si="8"/>
        <v>124295.59300761422</v>
      </c>
      <c r="AI44" s="25">
        <f t="shared" si="9"/>
        <v>124548.09300761422</v>
      </c>
    </row>
    <row r="45" spans="1:35" ht="15.75" customHeight="1">
      <c r="A45" s="12" t="s">
        <v>44</v>
      </c>
      <c r="B45" s="12" t="s">
        <v>46</v>
      </c>
      <c r="C45" s="12" t="s">
        <v>32</v>
      </c>
      <c r="D45" s="12" t="s">
        <v>33</v>
      </c>
      <c r="E45" s="12" t="s">
        <v>41</v>
      </c>
      <c r="F45" s="13">
        <v>65530.392486162622</v>
      </c>
      <c r="G45" s="14">
        <v>1592794.2709978204</v>
      </c>
      <c r="H45" s="24" t="str">
        <f t="shared" si="2"/>
        <v>CESP</v>
      </c>
      <c r="I45" s="24" t="str">
        <f t="shared" si="2"/>
        <v>CEMG</v>
      </c>
      <c r="J45" s="24" t="str">
        <f t="shared" si="2"/>
        <v>CEES</v>
      </c>
      <c r="K45" s="24" t="str">
        <f t="shared" si="2"/>
        <v>CESC</v>
      </c>
      <c r="L45" s="24" t="str">
        <f t="shared" si="2"/>
        <v>CERJ</v>
      </c>
      <c r="M45" s="24" t="str">
        <f t="shared" si="2"/>
        <v>CEPR</v>
      </c>
      <c r="N45" s="24" t="str">
        <f t="shared" si="2"/>
        <v>CEAM</v>
      </c>
      <c r="O45" s="24">
        <f>VLOOKUP(H45, KM!$A:$E, 5, 0)</f>
        <v>3127</v>
      </c>
      <c r="P45" s="24">
        <f>VLOOKUP(I45, KM!$A:$E, 5, 0)</f>
        <v>2528</v>
      </c>
      <c r="Q45" s="24">
        <f>VLOOKUP(J45, KM!$A:$E, 5, 0)</f>
        <v>2397</v>
      </c>
      <c r="R45" s="24">
        <f>VLOOKUP(K45, KM!$A:$E, 5, 0)</f>
        <v>3838</v>
      </c>
      <c r="S45" s="24">
        <f>VLOOKUP(L45, KM!$A:$E, 5, 0)</f>
        <v>2805</v>
      </c>
      <c r="T45" s="24">
        <f>VLOOKUP(M45, KM!$A:$E, 5, 0)</f>
        <v>3541</v>
      </c>
      <c r="U45" s="24">
        <f>VLOOKUP(N45, KM!$A:$E, 5, 0)</f>
        <v>5763</v>
      </c>
      <c r="V45" s="24">
        <f>VLOOKUP(H45, IMPOSTO!$A:$D, 4, 0)</f>
        <v>0.12</v>
      </c>
      <c r="W45" s="24">
        <f>VLOOKUP(I45, IMPOSTO!$A:$D, 4, 0)</f>
        <v>0.12</v>
      </c>
      <c r="X45" s="24">
        <f>VLOOKUP(J45, IMPOSTO!$A:$D, 4, 0)</f>
        <v>0.12</v>
      </c>
      <c r="Y45" s="24">
        <f>VLOOKUP(K45, IMPOSTO!$A:$D, 4, 0)</f>
        <v>0.12</v>
      </c>
      <c r="Z45" s="24">
        <f>VLOOKUP(L45, IMPOSTO!$A:$D, 4, 0)</f>
        <v>0.12</v>
      </c>
      <c r="AA45" s="24">
        <f>VLOOKUP(M45, IMPOSTO!$A:$D, 4, 0)</f>
        <v>0.12</v>
      </c>
      <c r="AB45" s="24">
        <f>VLOOKUP(N45, IMPOSTO!$A:$D, 4, 0)</f>
        <v>0.12</v>
      </c>
      <c r="AC45" s="25">
        <f t="shared" si="3"/>
        <v>1810348.8306793412</v>
      </c>
      <c r="AD45" s="25">
        <f t="shared" si="4"/>
        <v>1810280.7624975233</v>
      </c>
      <c r="AE45" s="25">
        <f t="shared" si="5"/>
        <v>1810265.8761338869</v>
      </c>
      <c r="AF45" s="25">
        <f t="shared" si="6"/>
        <v>1810429.6261338869</v>
      </c>
      <c r="AG45" s="25">
        <f t="shared" si="7"/>
        <v>1810312.2397702504</v>
      </c>
      <c r="AH45" s="25">
        <f t="shared" si="8"/>
        <v>1810395.8761338869</v>
      </c>
      <c r="AI45" s="25">
        <f t="shared" si="9"/>
        <v>1810648.3761338869</v>
      </c>
    </row>
    <row r="46" spans="1:35" ht="15.75" customHeight="1">
      <c r="A46" s="12" t="s">
        <v>44</v>
      </c>
      <c r="B46" s="12" t="s">
        <v>45</v>
      </c>
      <c r="C46" s="12" t="s">
        <v>32</v>
      </c>
      <c r="D46" s="12" t="s">
        <v>33</v>
      </c>
      <c r="E46" s="12" t="s">
        <v>41</v>
      </c>
      <c r="F46" s="13">
        <v>7.1785129814550643</v>
      </c>
      <c r="G46" s="14">
        <v>209.08985971583456</v>
      </c>
      <c r="H46" s="24" t="str">
        <f t="shared" si="2"/>
        <v>CESP</v>
      </c>
      <c r="I46" s="24" t="str">
        <f t="shared" si="2"/>
        <v>CEMG</v>
      </c>
      <c r="J46" s="24" t="str">
        <f t="shared" si="2"/>
        <v>CEES</v>
      </c>
      <c r="K46" s="24" t="str">
        <f t="shared" si="2"/>
        <v>CESC</v>
      </c>
      <c r="L46" s="24" t="str">
        <f t="shared" si="2"/>
        <v>CERJ</v>
      </c>
      <c r="M46" s="24" t="str">
        <f t="shared" si="2"/>
        <v>CEPR</v>
      </c>
      <c r="N46" s="24" t="str">
        <f t="shared" si="2"/>
        <v>CEAM</v>
      </c>
      <c r="O46" s="24">
        <f>VLOOKUP(H46, KM!$A:$E, 5, 0)</f>
        <v>3127</v>
      </c>
      <c r="P46" s="24">
        <f>VLOOKUP(I46, KM!$A:$E, 5, 0)</f>
        <v>2528</v>
      </c>
      <c r="Q46" s="24">
        <f>VLOOKUP(J46, KM!$A:$E, 5, 0)</f>
        <v>2397</v>
      </c>
      <c r="R46" s="24">
        <f>VLOOKUP(K46, KM!$A:$E, 5, 0)</f>
        <v>3838</v>
      </c>
      <c r="S46" s="24">
        <f>VLOOKUP(L46, KM!$A:$E, 5, 0)</f>
        <v>2805</v>
      </c>
      <c r="T46" s="24">
        <f>VLOOKUP(M46, KM!$A:$E, 5, 0)</f>
        <v>3541</v>
      </c>
      <c r="U46" s="24">
        <f>VLOOKUP(N46, KM!$A:$E, 5, 0)</f>
        <v>5763</v>
      </c>
      <c r="V46" s="24">
        <f>VLOOKUP(H46, IMPOSTO!$A:$D, 4, 0)</f>
        <v>0.12</v>
      </c>
      <c r="W46" s="24">
        <f>VLOOKUP(I46, IMPOSTO!$A:$D, 4, 0)</f>
        <v>0.12</v>
      </c>
      <c r="X46" s="24">
        <f>VLOOKUP(J46, IMPOSTO!$A:$D, 4, 0)</f>
        <v>0.12</v>
      </c>
      <c r="Y46" s="24">
        <f>VLOOKUP(K46, IMPOSTO!$A:$D, 4, 0)</f>
        <v>0.12</v>
      </c>
      <c r="Z46" s="24">
        <f>VLOOKUP(L46, IMPOSTO!$A:$D, 4, 0)</f>
        <v>0.12</v>
      </c>
      <c r="AA46" s="24">
        <f>VLOOKUP(M46, IMPOSTO!$A:$D, 4, 0)</f>
        <v>0.12</v>
      </c>
      <c r="AB46" s="24">
        <f>VLOOKUP(N46, IMPOSTO!$A:$D, 4, 0)</f>
        <v>0.12</v>
      </c>
      <c r="AC46" s="25">
        <f t="shared" si="3"/>
        <v>592.94302240435752</v>
      </c>
      <c r="AD46" s="25">
        <f t="shared" si="4"/>
        <v>524.87484058617565</v>
      </c>
      <c r="AE46" s="25">
        <f t="shared" si="5"/>
        <v>509.98847694981208</v>
      </c>
      <c r="AF46" s="25">
        <f t="shared" si="6"/>
        <v>673.73847694981191</v>
      </c>
      <c r="AG46" s="25">
        <f t="shared" si="7"/>
        <v>556.3521133134484</v>
      </c>
      <c r="AH46" s="25">
        <f t="shared" si="8"/>
        <v>639.98847694981202</v>
      </c>
      <c r="AI46" s="25">
        <f t="shared" si="9"/>
        <v>892.48847694981202</v>
      </c>
    </row>
    <row r="47" spans="1:35" ht="15.75" customHeight="1">
      <c r="A47" s="12" t="s">
        <v>39</v>
      </c>
      <c r="B47" s="12" t="s">
        <v>40</v>
      </c>
      <c r="C47" s="12" t="s">
        <v>32</v>
      </c>
      <c r="D47" s="12" t="s">
        <v>33</v>
      </c>
      <c r="E47" s="12" t="s">
        <v>41</v>
      </c>
      <c r="F47" s="13">
        <v>6.506852388289678</v>
      </c>
      <c r="G47" s="14">
        <v>369.45692539315877</v>
      </c>
      <c r="H47" s="24" t="str">
        <f t="shared" si="2"/>
        <v>CESP</v>
      </c>
      <c r="I47" s="24" t="str">
        <f t="shared" si="2"/>
        <v>CEMG</v>
      </c>
      <c r="J47" s="24" t="str">
        <f t="shared" si="2"/>
        <v>CEES</v>
      </c>
      <c r="K47" s="24" t="str">
        <f t="shared" si="2"/>
        <v>CESC</v>
      </c>
      <c r="L47" s="24" t="str">
        <f t="shared" si="2"/>
        <v>CERJ</v>
      </c>
      <c r="M47" s="24" t="str">
        <f t="shared" si="2"/>
        <v>CEPR</v>
      </c>
      <c r="N47" s="24" t="str">
        <f t="shared" si="2"/>
        <v>CEAM</v>
      </c>
      <c r="O47" s="24">
        <f>VLOOKUP(H47, KM!$A:$E, 5, 0)</f>
        <v>3127</v>
      </c>
      <c r="P47" s="24">
        <f>VLOOKUP(I47, KM!$A:$E, 5, 0)</f>
        <v>2528</v>
      </c>
      <c r="Q47" s="24">
        <f>VLOOKUP(J47, KM!$A:$E, 5, 0)</f>
        <v>2397</v>
      </c>
      <c r="R47" s="24">
        <f>VLOOKUP(K47, KM!$A:$E, 5, 0)</f>
        <v>3838</v>
      </c>
      <c r="S47" s="24">
        <f>VLOOKUP(L47, KM!$A:$E, 5, 0)</f>
        <v>2805</v>
      </c>
      <c r="T47" s="24">
        <f>VLOOKUP(M47, KM!$A:$E, 5, 0)</f>
        <v>3541</v>
      </c>
      <c r="U47" s="24">
        <f>VLOOKUP(N47, KM!$A:$E, 5, 0)</f>
        <v>5763</v>
      </c>
      <c r="V47" s="24">
        <f>VLOOKUP(H47, IMPOSTO!$A:$D, 4, 0)</f>
        <v>0.12</v>
      </c>
      <c r="W47" s="24">
        <f>VLOOKUP(I47, IMPOSTO!$A:$D, 4, 0)</f>
        <v>0.12</v>
      </c>
      <c r="X47" s="24">
        <f>VLOOKUP(J47, IMPOSTO!$A:$D, 4, 0)</f>
        <v>0.12</v>
      </c>
      <c r="Y47" s="24">
        <f>VLOOKUP(K47, IMPOSTO!$A:$D, 4, 0)</f>
        <v>0.12</v>
      </c>
      <c r="Z47" s="24">
        <f>VLOOKUP(L47, IMPOSTO!$A:$D, 4, 0)</f>
        <v>0.12</v>
      </c>
      <c r="AA47" s="24">
        <f>VLOOKUP(M47, IMPOSTO!$A:$D, 4, 0)</f>
        <v>0.12</v>
      </c>
      <c r="AB47" s="24">
        <f>VLOOKUP(N47, IMPOSTO!$A:$D, 4, 0)</f>
        <v>0.12</v>
      </c>
      <c r="AC47" s="25">
        <f t="shared" si="3"/>
        <v>775.17832431040779</v>
      </c>
      <c r="AD47" s="25">
        <f t="shared" si="4"/>
        <v>707.11014249222592</v>
      </c>
      <c r="AE47" s="25">
        <f t="shared" si="5"/>
        <v>692.22377885586218</v>
      </c>
      <c r="AF47" s="25">
        <f t="shared" si="6"/>
        <v>855.97377885586229</v>
      </c>
      <c r="AG47" s="25">
        <f t="shared" si="7"/>
        <v>738.58741521949867</v>
      </c>
      <c r="AH47" s="25">
        <f t="shared" si="8"/>
        <v>822.22377885586218</v>
      </c>
      <c r="AI47" s="25">
        <f t="shared" si="9"/>
        <v>1074.7237788558623</v>
      </c>
    </row>
    <row r="48" spans="1:35" ht="15.75" customHeight="1">
      <c r="A48" s="12" t="s">
        <v>47</v>
      </c>
      <c r="B48" s="12" t="s">
        <v>48</v>
      </c>
      <c r="C48" s="12" t="s">
        <v>49</v>
      </c>
      <c r="D48" s="12" t="s">
        <v>50</v>
      </c>
      <c r="E48" s="12" t="s">
        <v>25</v>
      </c>
      <c r="F48" s="13">
        <v>94716.023092459014</v>
      </c>
      <c r="G48" s="14">
        <v>1002754.5327716395</v>
      </c>
      <c r="H48" s="24" t="str">
        <f t="shared" si="2"/>
        <v>ESSP</v>
      </c>
      <c r="I48" s="24" t="str">
        <f t="shared" si="2"/>
        <v>ESMG</v>
      </c>
      <c r="J48" s="24" t="str">
        <f t="shared" si="2"/>
        <v>ESES</v>
      </c>
      <c r="K48" s="24" t="str">
        <f t="shared" si="2"/>
        <v>ESSC</v>
      </c>
      <c r="L48" s="24" t="str">
        <f t="shared" si="2"/>
        <v>ESRJ</v>
      </c>
      <c r="M48" s="24" t="str">
        <f t="shared" si="2"/>
        <v>ESPR</v>
      </c>
      <c r="N48" s="24" t="str">
        <f t="shared" si="2"/>
        <v>ESAM</v>
      </c>
      <c r="O48" s="24">
        <f>VLOOKUP(H48, KM!$A:$E, 5, 0)</f>
        <v>882</v>
      </c>
      <c r="P48" s="24">
        <f>VLOOKUP(I48, KM!$A:$E, 5, 0)</f>
        <v>524</v>
      </c>
      <c r="Q48" s="24">
        <f>VLOOKUP(J48, KM!$A:$E, 5, 0)</f>
        <v>0</v>
      </c>
      <c r="R48" s="24">
        <f>VLOOKUP(K48, KM!$A:$E, 5, 0)</f>
        <v>1597</v>
      </c>
      <c r="S48" s="24">
        <f>VLOOKUP(L48, KM!$A:$E, 5, 0)</f>
        <v>521</v>
      </c>
      <c r="T48" s="24">
        <f>VLOOKUP(M48, KM!$A:$E, 5, 0)</f>
        <v>1300</v>
      </c>
      <c r="U48" s="24">
        <f>VLOOKUP(N48, KM!$A:$E, 5, 0)</f>
        <v>4476</v>
      </c>
      <c r="V48" s="24">
        <f>VLOOKUP(H48, IMPOSTO!$A:$D, 4, 0)</f>
        <v>0.12</v>
      </c>
      <c r="W48" s="24">
        <f>VLOOKUP(I48, IMPOSTO!$A:$D, 4, 0)</f>
        <v>0.12</v>
      </c>
      <c r="X48" s="24">
        <f>VLOOKUP(J48, IMPOSTO!$A:$D, 4, 0)</f>
        <v>0.18</v>
      </c>
      <c r="Y48" s="24">
        <f>VLOOKUP(K48, IMPOSTO!$A:$D, 4, 0)</f>
        <v>0.12</v>
      </c>
      <c r="Z48" s="24">
        <f>VLOOKUP(L48, IMPOSTO!$A:$D, 4, 0)</f>
        <v>0.12</v>
      </c>
      <c r="AA48" s="24">
        <f>VLOOKUP(M48, IMPOSTO!$A:$D, 4, 0)</f>
        <v>0.12</v>
      </c>
      <c r="AB48" s="24">
        <f>VLOOKUP(N48, IMPOSTO!$A:$D, 4, 0)</f>
        <v>0.12</v>
      </c>
      <c r="AC48" s="25">
        <f t="shared" si="3"/>
        <v>1139594.0145132267</v>
      </c>
      <c r="AD48" s="25">
        <f t="shared" si="4"/>
        <v>1139553.332695045</v>
      </c>
      <c r="AE48" s="25">
        <f t="shared" si="5"/>
        <v>1222871.3814288287</v>
      </c>
      <c r="AF48" s="25">
        <f t="shared" si="6"/>
        <v>1139675.2645132267</v>
      </c>
      <c r="AG48" s="25">
        <f t="shared" si="7"/>
        <v>1139552.991785954</v>
      </c>
      <c r="AH48" s="25">
        <f t="shared" si="8"/>
        <v>1139641.5145132267</v>
      </c>
      <c r="AI48" s="25">
        <f t="shared" si="9"/>
        <v>1140002.4236041359</v>
      </c>
    </row>
    <row r="49" spans="1:35" ht="15.75" customHeight="1">
      <c r="A49" s="12" t="s">
        <v>47</v>
      </c>
      <c r="B49" s="12" t="s">
        <v>48</v>
      </c>
      <c r="C49" s="12" t="s">
        <v>49</v>
      </c>
      <c r="D49" s="12" t="s">
        <v>50</v>
      </c>
      <c r="E49" s="12" t="s">
        <v>25</v>
      </c>
      <c r="F49" s="13">
        <v>9.4791856577721187</v>
      </c>
      <c r="G49" s="14">
        <v>100.35573786745795</v>
      </c>
      <c r="H49" s="24" t="str">
        <f t="shared" si="2"/>
        <v>ESSP</v>
      </c>
      <c r="I49" s="24" t="str">
        <f t="shared" si="2"/>
        <v>ESMG</v>
      </c>
      <c r="J49" s="24" t="str">
        <f t="shared" si="2"/>
        <v>ESES</v>
      </c>
      <c r="K49" s="24" t="str">
        <f t="shared" si="2"/>
        <v>ESSC</v>
      </c>
      <c r="L49" s="24" t="str">
        <f t="shared" si="2"/>
        <v>ESRJ</v>
      </c>
      <c r="M49" s="24" t="str">
        <f t="shared" si="2"/>
        <v>ESPR</v>
      </c>
      <c r="N49" s="24" t="str">
        <f t="shared" si="2"/>
        <v>ESAM</v>
      </c>
      <c r="O49" s="24">
        <f>VLOOKUP(H49, KM!$A:$E, 5, 0)</f>
        <v>882</v>
      </c>
      <c r="P49" s="24">
        <f>VLOOKUP(I49, KM!$A:$E, 5, 0)</f>
        <v>524</v>
      </c>
      <c r="Q49" s="24">
        <f>VLOOKUP(J49, KM!$A:$E, 5, 0)</f>
        <v>0</v>
      </c>
      <c r="R49" s="24">
        <f>VLOOKUP(K49, KM!$A:$E, 5, 0)</f>
        <v>1597</v>
      </c>
      <c r="S49" s="24">
        <f>VLOOKUP(L49, KM!$A:$E, 5, 0)</f>
        <v>521</v>
      </c>
      <c r="T49" s="24">
        <f>VLOOKUP(M49, KM!$A:$E, 5, 0)</f>
        <v>1300</v>
      </c>
      <c r="U49" s="24">
        <f>VLOOKUP(N49, KM!$A:$E, 5, 0)</f>
        <v>4476</v>
      </c>
      <c r="V49" s="24">
        <f>VLOOKUP(H49, IMPOSTO!$A:$D, 4, 0)</f>
        <v>0.12</v>
      </c>
      <c r="W49" s="24">
        <f>VLOOKUP(I49, IMPOSTO!$A:$D, 4, 0)</f>
        <v>0.12</v>
      </c>
      <c r="X49" s="24">
        <f>VLOOKUP(J49, IMPOSTO!$A:$D, 4, 0)</f>
        <v>0.18</v>
      </c>
      <c r="Y49" s="24">
        <f>VLOOKUP(K49, IMPOSTO!$A:$D, 4, 0)</f>
        <v>0.12</v>
      </c>
      <c r="Z49" s="24">
        <f>VLOOKUP(L49, IMPOSTO!$A:$D, 4, 0)</f>
        <v>0.12</v>
      </c>
      <c r="AA49" s="24">
        <f>VLOOKUP(M49, IMPOSTO!$A:$D, 4, 0)</f>
        <v>0.12</v>
      </c>
      <c r="AB49" s="24">
        <f>VLOOKUP(N49, IMPOSTO!$A:$D, 4, 0)</f>
        <v>0.12</v>
      </c>
      <c r="AC49" s="25">
        <f t="shared" si="3"/>
        <v>214.2678839402931</v>
      </c>
      <c r="AD49" s="25">
        <f t="shared" si="4"/>
        <v>173.58606575847494</v>
      </c>
      <c r="AE49" s="25">
        <f t="shared" si="5"/>
        <v>122.38504617982676</v>
      </c>
      <c r="AF49" s="25">
        <f t="shared" si="6"/>
        <v>295.51788394029319</v>
      </c>
      <c r="AG49" s="25">
        <f t="shared" si="7"/>
        <v>173.24515666756585</v>
      </c>
      <c r="AH49" s="25">
        <f t="shared" si="8"/>
        <v>261.76788394029313</v>
      </c>
      <c r="AI49" s="25">
        <f t="shared" si="9"/>
        <v>622.67697484938401</v>
      </c>
    </row>
    <row r="50" spans="1:35" ht="15.75" customHeight="1">
      <c r="A50" s="12" t="s">
        <v>47</v>
      </c>
      <c r="B50" s="12" t="s">
        <v>48</v>
      </c>
      <c r="C50" s="12" t="s">
        <v>49</v>
      </c>
      <c r="D50" s="12" t="s">
        <v>50</v>
      </c>
      <c r="E50" s="12" t="s">
        <v>25</v>
      </c>
      <c r="F50" s="13">
        <v>75.833485262176964</v>
      </c>
      <c r="G50" s="14">
        <v>802.84590293966335</v>
      </c>
      <c r="H50" s="24" t="str">
        <f t="shared" si="2"/>
        <v>ESSP</v>
      </c>
      <c r="I50" s="24" t="str">
        <f t="shared" si="2"/>
        <v>ESMG</v>
      </c>
      <c r="J50" s="24" t="str">
        <f t="shared" si="2"/>
        <v>ESES</v>
      </c>
      <c r="K50" s="24" t="str">
        <f t="shared" si="2"/>
        <v>ESSC</v>
      </c>
      <c r="L50" s="24" t="str">
        <f t="shared" si="2"/>
        <v>ESRJ</v>
      </c>
      <c r="M50" s="24" t="str">
        <f t="shared" si="2"/>
        <v>ESPR</v>
      </c>
      <c r="N50" s="24" t="str">
        <f t="shared" si="2"/>
        <v>ESAM</v>
      </c>
      <c r="O50" s="24">
        <f>VLOOKUP(H50, KM!$A:$E, 5, 0)</f>
        <v>882</v>
      </c>
      <c r="P50" s="24">
        <f>VLOOKUP(I50, KM!$A:$E, 5, 0)</f>
        <v>524</v>
      </c>
      <c r="Q50" s="24">
        <f>VLOOKUP(J50, KM!$A:$E, 5, 0)</f>
        <v>0</v>
      </c>
      <c r="R50" s="24">
        <f>VLOOKUP(K50, KM!$A:$E, 5, 0)</f>
        <v>1597</v>
      </c>
      <c r="S50" s="24">
        <f>VLOOKUP(L50, KM!$A:$E, 5, 0)</f>
        <v>521</v>
      </c>
      <c r="T50" s="24">
        <f>VLOOKUP(M50, KM!$A:$E, 5, 0)</f>
        <v>1300</v>
      </c>
      <c r="U50" s="24">
        <f>VLOOKUP(N50, KM!$A:$E, 5, 0)</f>
        <v>4476</v>
      </c>
      <c r="V50" s="24">
        <f>VLOOKUP(H50, IMPOSTO!$A:$D, 4, 0)</f>
        <v>0.12</v>
      </c>
      <c r="W50" s="24">
        <f>VLOOKUP(I50, IMPOSTO!$A:$D, 4, 0)</f>
        <v>0.12</v>
      </c>
      <c r="X50" s="24">
        <f>VLOOKUP(J50, IMPOSTO!$A:$D, 4, 0)</f>
        <v>0.18</v>
      </c>
      <c r="Y50" s="24">
        <f>VLOOKUP(K50, IMPOSTO!$A:$D, 4, 0)</f>
        <v>0.12</v>
      </c>
      <c r="Z50" s="24">
        <f>VLOOKUP(L50, IMPOSTO!$A:$D, 4, 0)</f>
        <v>0.12</v>
      </c>
      <c r="AA50" s="24">
        <f>VLOOKUP(M50, IMPOSTO!$A:$D, 4, 0)</f>
        <v>0.12</v>
      </c>
      <c r="AB50" s="24">
        <f>VLOOKUP(N50, IMPOSTO!$A:$D, 4, 0)</f>
        <v>0.12</v>
      </c>
      <c r="AC50" s="25">
        <f t="shared" si="3"/>
        <v>1012.5521624314357</v>
      </c>
      <c r="AD50" s="25">
        <f t="shared" si="4"/>
        <v>971.87034424961746</v>
      </c>
      <c r="AE50" s="25">
        <f t="shared" si="5"/>
        <v>979.08036943861373</v>
      </c>
      <c r="AF50" s="25">
        <f t="shared" si="6"/>
        <v>1093.8021624314356</v>
      </c>
      <c r="AG50" s="25">
        <f t="shared" si="7"/>
        <v>971.52943515870834</v>
      </c>
      <c r="AH50" s="25">
        <f t="shared" si="8"/>
        <v>1060.0521624314356</v>
      </c>
      <c r="AI50" s="25">
        <f t="shared" si="9"/>
        <v>1420.9612533405266</v>
      </c>
    </row>
    <row r="51" spans="1:35" ht="15.75" customHeight="1">
      <c r="A51" s="12" t="s">
        <v>47</v>
      </c>
      <c r="B51" s="12" t="s">
        <v>48</v>
      </c>
      <c r="C51" s="12" t="s">
        <v>49</v>
      </c>
      <c r="D51" s="12" t="s">
        <v>50</v>
      </c>
      <c r="E51" s="12" t="s">
        <v>51</v>
      </c>
      <c r="F51" s="13">
        <v>1.5182071301854989</v>
      </c>
      <c r="G51" s="14">
        <v>16.2460385458137</v>
      </c>
      <c r="H51" s="24" t="str">
        <f t="shared" si="2"/>
        <v>GOSP</v>
      </c>
      <c r="I51" s="24" t="str">
        <f t="shared" si="2"/>
        <v>GOMG</v>
      </c>
      <c r="J51" s="24" t="str">
        <f t="shared" si="2"/>
        <v>GOES</v>
      </c>
      <c r="K51" s="24" t="str">
        <f t="shared" si="2"/>
        <v>GOSC</v>
      </c>
      <c r="L51" s="24" t="str">
        <f t="shared" si="2"/>
        <v>GORJ</v>
      </c>
      <c r="M51" s="24" t="str">
        <f t="shared" si="2"/>
        <v>GOPR</v>
      </c>
      <c r="N51" s="24" t="str">
        <f t="shared" si="2"/>
        <v>GOAM</v>
      </c>
      <c r="O51" s="24">
        <f>VLOOKUP(H51, KM!$A:$E, 5, 0)</f>
        <v>926</v>
      </c>
      <c r="P51" s="24">
        <f>VLOOKUP(I51, KM!$A:$E, 5, 0)</f>
        <v>906</v>
      </c>
      <c r="Q51" s="24">
        <f>VLOOKUP(J51, KM!$A:$E, 5, 0)</f>
        <v>1428</v>
      </c>
      <c r="R51" s="24">
        <f>VLOOKUP(K51, KM!$A:$E, 5, 0)</f>
        <v>1493</v>
      </c>
      <c r="S51" s="24">
        <f>VLOOKUP(L51, KM!$A:$E, 5, 0)</f>
        <v>1338</v>
      </c>
      <c r="T51" s="24">
        <f>VLOOKUP(M51, KM!$A:$E, 5, 0)</f>
        <v>1186</v>
      </c>
      <c r="U51" s="24">
        <f>VLOOKUP(N51, KM!$A:$E, 5, 0)</f>
        <v>3291</v>
      </c>
      <c r="V51" s="24">
        <f>VLOOKUP(H51, IMPOSTO!$A:$D, 4, 0)</f>
        <v>0.12</v>
      </c>
      <c r="W51" s="24">
        <f>VLOOKUP(I51, IMPOSTO!$A:$D, 4, 0)</f>
        <v>0.12</v>
      </c>
      <c r="X51" s="24">
        <f>VLOOKUP(J51, IMPOSTO!$A:$D, 4, 0)</f>
        <v>0.12</v>
      </c>
      <c r="Y51" s="24">
        <f>VLOOKUP(K51, IMPOSTO!$A:$D, 4, 0)</f>
        <v>0.12</v>
      </c>
      <c r="Z51" s="24">
        <f>VLOOKUP(L51, IMPOSTO!$A:$D, 4, 0)</f>
        <v>0.12</v>
      </c>
      <c r="AA51" s="24">
        <f>VLOOKUP(M51, IMPOSTO!$A:$D, 4, 0)</f>
        <v>0.12</v>
      </c>
      <c r="AB51" s="24">
        <f>VLOOKUP(N51, IMPOSTO!$A:$D, 4, 0)</f>
        <v>0.12</v>
      </c>
      <c r="AC51" s="25">
        <f t="shared" si="3"/>
        <v>123.68868016569741</v>
      </c>
      <c r="AD51" s="25">
        <f t="shared" si="4"/>
        <v>121.41595289297013</v>
      </c>
      <c r="AE51" s="25">
        <f t="shared" si="5"/>
        <v>180.73413471115194</v>
      </c>
      <c r="AF51" s="25">
        <f t="shared" si="6"/>
        <v>188.12049834751556</v>
      </c>
      <c r="AG51" s="25">
        <f t="shared" si="7"/>
        <v>170.50686198387922</v>
      </c>
      <c r="AH51" s="25">
        <f t="shared" si="8"/>
        <v>153.23413471115194</v>
      </c>
      <c r="AI51" s="25">
        <f t="shared" si="9"/>
        <v>392.43868016569741</v>
      </c>
    </row>
    <row r="52" spans="1:35" ht="15.75" customHeight="1">
      <c r="A52" s="12" t="s">
        <v>47</v>
      </c>
      <c r="B52" s="12" t="s">
        <v>48</v>
      </c>
      <c r="C52" s="12" t="s">
        <v>49</v>
      </c>
      <c r="D52" s="12" t="s">
        <v>50</v>
      </c>
      <c r="E52" s="12" t="s">
        <v>51</v>
      </c>
      <c r="F52" s="13">
        <v>0.18977589127318736</v>
      </c>
      <c r="G52" s="14">
        <v>2.0307548182267126</v>
      </c>
      <c r="H52" s="24" t="str">
        <f t="shared" si="2"/>
        <v>GOSP</v>
      </c>
      <c r="I52" s="24" t="str">
        <f t="shared" si="2"/>
        <v>GOMG</v>
      </c>
      <c r="J52" s="24" t="str">
        <f t="shared" si="2"/>
        <v>GOES</v>
      </c>
      <c r="K52" s="24" t="str">
        <f t="shared" si="2"/>
        <v>GOSC</v>
      </c>
      <c r="L52" s="24" t="str">
        <f t="shared" si="2"/>
        <v>GORJ</v>
      </c>
      <c r="M52" s="24" t="str">
        <f t="shared" si="2"/>
        <v>GOPR</v>
      </c>
      <c r="N52" s="24" t="str">
        <f t="shared" si="2"/>
        <v>GOAM</v>
      </c>
      <c r="O52" s="24">
        <f>VLOOKUP(H52, KM!$A:$E, 5, 0)</f>
        <v>926</v>
      </c>
      <c r="P52" s="24">
        <f>VLOOKUP(I52, KM!$A:$E, 5, 0)</f>
        <v>906</v>
      </c>
      <c r="Q52" s="24">
        <f>VLOOKUP(J52, KM!$A:$E, 5, 0)</f>
        <v>1428</v>
      </c>
      <c r="R52" s="24">
        <f>VLOOKUP(K52, KM!$A:$E, 5, 0)</f>
        <v>1493</v>
      </c>
      <c r="S52" s="24">
        <f>VLOOKUP(L52, KM!$A:$E, 5, 0)</f>
        <v>1338</v>
      </c>
      <c r="T52" s="24">
        <f>VLOOKUP(M52, KM!$A:$E, 5, 0)</f>
        <v>1186</v>
      </c>
      <c r="U52" s="24">
        <f>VLOOKUP(N52, KM!$A:$E, 5, 0)</f>
        <v>3291</v>
      </c>
      <c r="V52" s="24">
        <f>VLOOKUP(H52, IMPOSTO!$A:$D, 4, 0)</f>
        <v>0.12</v>
      </c>
      <c r="W52" s="24">
        <f>VLOOKUP(I52, IMPOSTO!$A:$D, 4, 0)</f>
        <v>0.12</v>
      </c>
      <c r="X52" s="24">
        <f>VLOOKUP(J52, IMPOSTO!$A:$D, 4, 0)</f>
        <v>0.12</v>
      </c>
      <c r="Y52" s="24">
        <f>VLOOKUP(K52, IMPOSTO!$A:$D, 4, 0)</f>
        <v>0.12</v>
      </c>
      <c r="Z52" s="24">
        <f>VLOOKUP(L52, IMPOSTO!$A:$D, 4, 0)</f>
        <v>0.12</v>
      </c>
      <c r="AA52" s="24">
        <f>VLOOKUP(M52, IMPOSTO!$A:$D, 4, 0)</f>
        <v>0.12</v>
      </c>
      <c r="AB52" s="24">
        <f>VLOOKUP(N52, IMPOSTO!$A:$D, 4, 0)</f>
        <v>0.12</v>
      </c>
      <c r="AC52" s="25">
        <f t="shared" si="3"/>
        <v>107.53494865707582</v>
      </c>
      <c r="AD52" s="25">
        <f t="shared" si="4"/>
        <v>105.26222138434855</v>
      </c>
      <c r="AE52" s="25">
        <f t="shared" si="5"/>
        <v>164.58040320253036</v>
      </c>
      <c r="AF52" s="25">
        <f t="shared" si="6"/>
        <v>171.96676683889399</v>
      </c>
      <c r="AG52" s="25">
        <f t="shared" si="7"/>
        <v>154.35313047525764</v>
      </c>
      <c r="AH52" s="25">
        <f t="shared" si="8"/>
        <v>137.08040320253036</v>
      </c>
      <c r="AI52" s="25">
        <f t="shared" si="9"/>
        <v>376.28494865707586</v>
      </c>
    </row>
    <row r="53" spans="1:35" ht="15.75" customHeight="1">
      <c r="A53" s="12" t="s">
        <v>47</v>
      </c>
      <c r="B53" s="12" t="s">
        <v>48</v>
      </c>
      <c r="C53" s="12" t="s">
        <v>49</v>
      </c>
      <c r="D53" s="12" t="s">
        <v>50</v>
      </c>
      <c r="E53" s="12" t="s">
        <v>51</v>
      </c>
      <c r="F53" s="13">
        <v>1896.240705601688</v>
      </c>
      <c r="G53" s="14">
        <v>20291.302143721306</v>
      </c>
      <c r="H53" s="24" t="str">
        <f t="shared" si="2"/>
        <v>GOSP</v>
      </c>
      <c r="I53" s="24" t="str">
        <f t="shared" si="2"/>
        <v>GOMG</v>
      </c>
      <c r="J53" s="24" t="str">
        <f t="shared" si="2"/>
        <v>GOES</v>
      </c>
      <c r="K53" s="24" t="str">
        <f t="shared" si="2"/>
        <v>GOSC</v>
      </c>
      <c r="L53" s="24" t="str">
        <f t="shared" si="2"/>
        <v>GORJ</v>
      </c>
      <c r="M53" s="24" t="str">
        <f t="shared" si="2"/>
        <v>GOPR</v>
      </c>
      <c r="N53" s="24" t="str">
        <f t="shared" si="2"/>
        <v>GOAM</v>
      </c>
      <c r="O53" s="24">
        <f>VLOOKUP(H53, KM!$A:$E, 5, 0)</f>
        <v>926</v>
      </c>
      <c r="P53" s="24">
        <f>VLOOKUP(I53, KM!$A:$E, 5, 0)</f>
        <v>906</v>
      </c>
      <c r="Q53" s="24">
        <f>VLOOKUP(J53, KM!$A:$E, 5, 0)</f>
        <v>1428</v>
      </c>
      <c r="R53" s="24">
        <f>VLOOKUP(K53, KM!$A:$E, 5, 0)</f>
        <v>1493</v>
      </c>
      <c r="S53" s="24">
        <f>VLOOKUP(L53, KM!$A:$E, 5, 0)</f>
        <v>1338</v>
      </c>
      <c r="T53" s="24">
        <f>VLOOKUP(M53, KM!$A:$E, 5, 0)</f>
        <v>1186</v>
      </c>
      <c r="U53" s="24">
        <f>VLOOKUP(N53, KM!$A:$E, 5, 0)</f>
        <v>3291</v>
      </c>
      <c r="V53" s="24">
        <f>VLOOKUP(H53, IMPOSTO!$A:$D, 4, 0)</f>
        <v>0.12</v>
      </c>
      <c r="W53" s="24">
        <f>VLOOKUP(I53, IMPOSTO!$A:$D, 4, 0)</f>
        <v>0.12</v>
      </c>
      <c r="X53" s="24">
        <f>VLOOKUP(J53, IMPOSTO!$A:$D, 4, 0)</f>
        <v>0.12</v>
      </c>
      <c r="Y53" s="24">
        <f>VLOOKUP(K53, IMPOSTO!$A:$D, 4, 0)</f>
        <v>0.12</v>
      </c>
      <c r="Z53" s="24">
        <f>VLOOKUP(L53, IMPOSTO!$A:$D, 4, 0)</f>
        <v>0.12</v>
      </c>
      <c r="AA53" s="24">
        <f>VLOOKUP(M53, IMPOSTO!$A:$D, 4, 0)</f>
        <v>0.12</v>
      </c>
      <c r="AB53" s="24">
        <f>VLOOKUP(N53, IMPOSTO!$A:$D, 4, 0)</f>
        <v>0.12</v>
      </c>
      <c r="AC53" s="25">
        <f t="shared" si="3"/>
        <v>23163.525163319664</v>
      </c>
      <c r="AD53" s="25">
        <f t="shared" si="4"/>
        <v>23161.252436046936</v>
      </c>
      <c r="AE53" s="25">
        <f t="shared" si="5"/>
        <v>23220.57061786512</v>
      </c>
      <c r="AF53" s="25">
        <f t="shared" si="6"/>
        <v>23227.956981501484</v>
      </c>
      <c r="AG53" s="25">
        <f t="shared" si="7"/>
        <v>23210.343345137848</v>
      </c>
      <c r="AH53" s="25">
        <f t="shared" si="8"/>
        <v>23193.07061786512</v>
      </c>
      <c r="AI53" s="25">
        <f t="shared" si="9"/>
        <v>23432.275163319664</v>
      </c>
    </row>
    <row r="54" spans="1:35" ht="15.75" customHeight="1">
      <c r="A54" s="12" t="s">
        <v>52</v>
      </c>
      <c r="B54" s="12" t="s">
        <v>53</v>
      </c>
      <c r="C54" s="12" t="s">
        <v>54</v>
      </c>
      <c r="D54" s="12" t="s">
        <v>33</v>
      </c>
      <c r="E54" s="12" t="s">
        <v>24</v>
      </c>
      <c r="F54" s="13">
        <v>32645.475105491278</v>
      </c>
      <c r="G54" s="14">
        <v>515659.01108511828</v>
      </c>
      <c r="H54" s="24" t="str">
        <f t="shared" si="2"/>
        <v>MGSP</v>
      </c>
      <c r="I54" s="24" t="str">
        <f t="shared" si="2"/>
        <v>MGMG</v>
      </c>
      <c r="J54" s="24" t="str">
        <f t="shared" si="2"/>
        <v>MGES</v>
      </c>
      <c r="K54" s="24" t="str">
        <f t="shared" si="2"/>
        <v>MGSC</v>
      </c>
      <c r="L54" s="24" t="str">
        <f t="shared" si="2"/>
        <v>MGRJ</v>
      </c>
      <c r="M54" s="24" t="str">
        <f t="shared" si="2"/>
        <v>MGPR</v>
      </c>
      <c r="N54" s="24" t="str">
        <f t="shared" si="2"/>
        <v>MGAM</v>
      </c>
      <c r="O54" s="24">
        <f>VLOOKUP(H54, KM!$A:$E, 5, 0)</f>
        <v>586</v>
      </c>
      <c r="P54" s="24">
        <f>VLOOKUP(I54, KM!$A:$E, 5, 0)</f>
        <v>0</v>
      </c>
      <c r="Q54" s="24">
        <f>VLOOKUP(J54, KM!$A:$E, 5, 0)</f>
        <v>524</v>
      </c>
      <c r="R54" s="24">
        <f>VLOOKUP(K54, KM!$A:$E, 5, 0)</f>
        <v>1301</v>
      </c>
      <c r="S54" s="24">
        <f>VLOOKUP(L54, KM!$A:$E, 5, 0)</f>
        <v>434</v>
      </c>
      <c r="T54" s="24">
        <f>VLOOKUP(M54, KM!$A:$E, 5, 0)</f>
        <v>1004</v>
      </c>
      <c r="U54" s="24">
        <f>VLOOKUP(N54, KM!$A:$E, 5, 0)</f>
        <v>3951</v>
      </c>
      <c r="V54" s="24">
        <f>VLOOKUP(H54, IMPOSTO!$A:$D, 4, 0)</f>
        <v>0.12</v>
      </c>
      <c r="W54" s="24">
        <f>VLOOKUP(I54, IMPOSTO!$A:$D, 4, 0)</f>
        <v>0.18</v>
      </c>
      <c r="X54" s="24">
        <f>VLOOKUP(J54, IMPOSTO!$A:$D, 4, 0)</f>
        <v>7.0000000000000007E-2</v>
      </c>
      <c r="Y54" s="24">
        <f>VLOOKUP(K54, IMPOSTO!$A:$D, 4, 0)</f>
        <v>0.12</v>
      </c>
      <c r="Z54" s="24">
        <f>VLOOKUP(L54, IMPOSTO!$A:$D, 4, 0)</f>
        <v>0.12</v>
      </c>
      <c r="AA54" s="24">
        <f>VLOOKUP(M54, IMPOSTO!$A:$D, 4, 0)</f>
        <v>0.12</v>
      </c>
      <c r="AB54" s="24">
        <f>VLOOKUP(N54, IMPOSTO!$A:$D, 4, 0)</f>
        <v>7.0000000000000007E-2</v>
      </c>
      <c r="AC54" s="25">
        <f t="shared" si="3"/>
        <v>586042.73986945255</v>
      </c>
      <c r="AD54" s="25">
        <f t="shared" si="4"/>
        <v>628852.45254282712</v>
      </c>
      <c r="AE54" s="25">
        <f t="shared" si="5"/>
        <v>554528.39901625633</v>
      </c>
      <c r="AF54" s="25">
        <f t="shared" si="6"/>
        <v>586123.98986945255</v>
      </c>
      <c r="AG54" s="25">
        <f t="shared" si="7"/>
        <v>586025.46714217984</v>
      </c>
      <c r="AH54" s="25">
        <f t="shared" si="8"/>
        <v>586090.23986945266</v>
      </c>
      <c r="AI54" s="25">
        <f t="shared" si="9"/>
        <v>554896.89363991213</v>
      </c>
    </row>
    <row r="55" spans="1:35" ht="15.75" customHeight="1">
      <c r="A55" s="12" t="s">
        <v>55</v>
      </c>
      <c r="B55" s="12" t="s">
        <v>56</v>
      </c>
      <c r="C55" s="12" t="s">
        <v>57</v>
      </c>
      <c r="D55" s="12" t="s">
        <v>33</v>
      </c>
      <c r="E55" s="12" t="s">
        <v>24</v>
      </c>
      <c r="F55" s="13">
        <v>19074.550597889298</v>
      </c>
      <c r="G55" s="14">
        <v>304129.43917173659</v>
      </c>
      <c r="H55" s="24" t="str">
        <f t="shared" si="2"/>
        <v>MGSP</v>
      </c>
      <c r="I55" s="24" t="str">
        <f t="shared" si="2"/>
        <v>MGMG</v>
      </c>
      <c r="J55" s="24" t="str">
        <f t="shared" si="2"/>
        <v>MGES</v>
      </c>
      <c r="K55" s="24" t="str">
        <f t="shared" si="2"/>
        <v>MGSC</v>
      </c>
      <c r="L55" s="24" t="str">
        <f t="shared" si="2"/>
        <v>MGRJ</v>
      </c>
      <c r="M55" s="24" t="str">
        <f t="shared" si="2"/>
        <v>MGPR</v>
      </c>
      <c r="N55" s="24" t="str">
        <f t="shared" si="2"/>
        <v>MGAM</v>
      </c>
      <c r="O55" s="24">
        <f>VLOOKUP(H55, KM!$A:$E, 5, 0)</f>
        <v>586</v>
      </c>
      <c r="P55" s="24">
        <f>VLOOKUP(I55, KM!$A:$E, 5, 0)</f>
        <v>0</v>
      </c>
      <c r="Q55" s="24">
        <f>VLOOKUP(J55, KM!$A:$E, 5, 0)</f>
        <v>524</v>
      </c>
      <c r="R55" s="24">
        <f>VLOOKUP(K55, KM!$A:$E, 5, 0)</f>
        <v>1301</v>
      </c>
      <c r="S55" s="24">
        <f>VLOOKUP(L55, KM!$A:$E, 5, 0)</f>
        <v>434</v>
      </c>
      <c r="T55" s="24">
        <f>VLOOKUP(M55, KM!$A:$E, 5, 0)</f>
        <v>1004</v>
      </c>
      <c r="U55" s="24">
        <f>VLOOKUP(N55, KM!$A:$E, 5, 0)</f>
        <v>3951</v>
      </c>
      <c r="V55" s="24">
        <f>VLOOKUP(H55, IMPOSTO!$A:$D, 4, 0)</f>
        <v>0.12</v>
      </c>
      <c r="W55" s="24">
        <f>VLOOKUP(I55, IMPOSTO!$A:$D, 4, 0)</f>
        <v>0.18</v>
      </c>
      <c r="X55" s="24">
        <f>VLOOKUP(J55, IMPOSTO!$A:$D, 4, 0)</f>
        <v>7.0000000000000007E-2</v>
      </c>
      <c r="Y55" s="24">
        <f>VLOOKUP(K55, IMPOSTO!$A:$D, 4, 0)</f>
        <v>0.12</v>
      </c>
      <c r="Z55" s="24">
        <f>VLOOKUP(L55, IMPOSTO!$A:$D, 4, 0)</f>
        <v>0.12</v>
      </c>
      <c r="AA55" s="24">
        <f>VLOOKUP(M55, IMPOSTO!$A:$D, 4, 0)</f>
        <v>0.12</v>
      </c>
      <c r="AB55" s="24">
        <f>VLOOKUP(N55, IMPOSTO!$A:$D, 4, 0)</f>
        <v>7.0000000000000007E-2</v>
      </c>
      <c r="AC55" s="25">
        <f t="shared" si="3"/>
        <v>345668.22633151885</v>
      </c>
      <c r="AD55" s="25">
        <f t="shared" si="4"/>
        <v>370889.55996553239</v>
      </c>
      <c r="AE55" s="25">
        <f t="shared" si="5"/>
        <v>327077.24642122217</v>
      </c>
      <c r="AF55" s="25">
        <f t="shared" si="6"/>
        <v>345749.47633151885</v>
      </c>
      <c r="AG55" s="25">
        <f t="shared" si="7"/>
        <v>345650.95360424614</v>
      </c>
      <c r="AH55" s="25">
        <f t="shared" si="8"/>
        <v>345715.7263315189</v>
      </c>
      <c r="AI55" s="25">
        <f t="shared" si="9"/>
        <v>327445.74104487803</v>
      </c>
    </row>
    <row r="56" spans="1:35" ht="15.75" customHeight="1">
      <c r="A56" s="12" t="s">
        <v>58</v>
      </c>
      <c r="B56" s="12" t="s">
        <v>59</v>
      </c>
      <c r="C56" s="12" t="s">
        <v>60</v>
      </c>
      <c r="D56" s="12" t="s">
        <v>50</v>
      </c>
      <c r="E56" s="12" t="s">
        <v>24</v>
      </c>
      <c r="F56" s="13">
        <v>1451.9598874057597</v>
      </c>
      <c r="G56" s="14">
        <v>87834.325164793481</v>
      </c>
      <c r="H56" s="24" t="str">
        <f t="shared" si="2"/>
        <v>MGSP</v>
      </c>
      <c r="I56" s="24" t="str">
        <f t="shared" si="2"/>
        <v>MGMG</v>
      </c>
      <c r="J56" s="24" t="str">
        <f t="shared" si="2"/>
        <v>MGES</v>
      </c>
      <c r="K56" s="24" t="str">
        <f t="shared" si="2"/>
        <v>MGSC</v>
      </c>
      <c r="L56" s="24" t="str">
        <f t="shared" si="2"/>
        <v>MGRJ</v>
      </c>
      <c r="M56" s="24" t="str">
        <f t="shared" si="2"/>
        <v>MGPR</v>
      </c>
      <c r="N56" s="24" t="str">
        <f t="shared" si="2"/>
        <v>MGAM</v>
      </c>
      <c r="O56" s="24">
        <f>VLOOKUP(H56, KM!$A:$E, 5, 0)</f>
        <v>586</v>
      </c>
      <c r="P56" s="24">
        <f>VLOOKUP(I56, KM!$A:$E, 5, 0)</f>
        <v>0</v>
      </c>
      <c r="Q56" s="24">
        <f>VLOOKUP(J56, KM!$A:$E, 5, 0)</f>
        <v>524</v>
      </c>
      <c r="R56" s="24">
        <f>VLOOKUP(K56, KM!$A:$E, 5, 0)</f>
        <v>1301</v>
      </c>
      <c r="S56" s="24">
        <f>VLOOKUP(L56, KM!$A:$E, 5, 0)</f>
        <v>434</v>
      </c>
      <c r="T56" s="24">
        <f>VLOOKUP(M56, KM!$A:$E, 5, 0)</f>
        <v>1004</v>
      </c>
      <c r="U56" s="24">
        <f>VLOOKUP(N56, KM!$A:$E, 5, 0)</f>
        <v>3951</v>
      </c>
      <c r="V56" s="24">
        <f>VLOOKUP(H56, IMPOSTO!$A:$D, 4, 0)</f>
        <v>0.12</v>
      </c>
      <c r="W56" s="24">
        <f>VLOOKUP(I56, IMPOSTO!$A:$D, 4, 0)</f>
        <v>0.18</v>
      </c>
      <c r="X56" s="24">
        <f>VLOOKUP(J56, IMPOSTO!$A:$D, 4, 0)</f>
        <v>7.0000000000000007E-2</v>
      </c>
      <c r="Y56" s="24">
        <f>VLOOKUP(K56, IMPOSTO!$A:$D, 4, 0)</f>
        <v>0.12</v>
      </c>
      <c r="Z56" s="24">
        <f>VLOOKUP(L56, IMPOSTO!$A:$D, 4, 0)</f>
        <v>0.12</v>
      </c>
      <c r="AA56" s="24">
        <f>VLOOKUP(M56, IMPOSTO!$A:$D, 4, 0)</f>
        <v>0.12</v>
      </c>
      <c r="AB56" s="24">
        <f>VLOOKUP(N56, IMPOSTO!$A:$D, 4, 0)</f>
        <v>7.0000000000000007E-2</v>
      </c>
      <c r="AC56" s="25">
        <f t="shared" si="3"/>
        <v>99878.32405090169</v>
      </c>
      <c r="AD56" s="25">
        <f t="shared" si="4"/>
        <v>107115.03068877253</v>
      </c>
      <c r="AE56" s="25">
        <f t="shared" si="5"/>
        <v>94501.855015906971</v>
      </c>
      <c r="AF56" s="25">
        <f t="shared" si="6"/>
        <v>99959.57405090169</v>
      </c>
      <c r="AG56" s="25">
        <f t="shared" si="7"/>
        <v>99861.051323628955</v>
      </c>
      <c r="AH56" s="25">
        <f t="shared" si="8"/>
        <v>99925.824050901676</v>
      </c>
      <c r="AI56" s="25">
        <f t="shared" si="9"/>
        <v>94870.34963956289</v>
      </c>
    </row>
    <row r="57" spans="1:35" ht="15.75" customHeight="1">
      <c r="A57" s="12" t="s">
        <v>61</v>
      </c>
      <c r="B57" s="12" t="s">
        <v>62</v>
      </c>
      <c r="C57" s="12" t="s">
        <v>63</v>
      </c>
      <c r="D57" s="12" t="s">
        <v>33</v>
      </c>
      <c r="E57" s="12" t="s">
        <v>24</v>
      </c>
      <c r="F57" s="13">
        <v>5</v>
      </c>
      <c r="G57" s="14">
        <v>1460.71</v>
      </c>
      <c r="H57" s="24" t="str">
        <f t="shared" si="2"/>
        <v>MGSP</v>
      </c>
      <c r="I57" s="24" t="str">
        <f t="shared" si="2"/>
        <v>MGMG</v>
      </c>
      <c r="J57" s="24" t="str">
        <f t="shared" si="2"/>
        <v>MGES</v>
      </c>
      <c r="K57" s="24" t="str">
        <f t="shared" si="2"/>
        <v>MGSC</v>
      </c>
      <c r="L57" s="24" t="str">
        <f t="shared" si="2"/>
        <v>MGRJ</v>
      </c>
      <c r="M57" s="24" t="str">
        <f t="shared" si="2"/>
        <v>MGPR</v>
      </c>
      <c r="N57" s="24" t="str">
        <f t="shared" si="2"/>
        <v>MGAM</v>
      </c>
      <c r="O57" s="24">
        <f>VLOOKUP(H57, KM!$A:$E, 5, 0)</f>
        <v>586</v>
      </c>
      <c r="P57" s="24">
        <f>VLOOKUP(I57, KM!$A:$E, 5, 0)</f>
        <v>0</v>
      </c>
      <c r="Q57" s="24">
        <f>VLOOKUP(J57, KM!$A:$E, 5, 0)</f>
        <v>524</v>
      </c>
      <c r="R57" s="24">
        <f>VLOOKUP(K57, KM!$A:$E, 5, 0)</f>
        <v>1301</v>
      </c>
      <c r="S57" s="24">
        <f>VLOOKUP(L57, KM!$A:$E, 5, 0)</f>
        <v>434</v>
      </c>
      <c r="T57" s="24">
        <f>VLOOKUP(M57, KM!$A:$E, 5, 0)</f>
        <v>1004</v>
      </c>
      <c r="U57" s="24">
        <f>VLOOKUP(N57, KM!$A:$E, 5, 0)</f>
        <v>3951</v>
      </c>
      <c r="V57" s="24">
        <f>VLOOKUP(H57, IMPOSTO!$A:$D, 4, 0)</f>
        <v>0.12</v>
      </c>
      <c r="W57" s="24">
        <f>VLOOKUP(I57, IMPOSTO!$A:$D, 4, 0)</f>
        <v>0.18</v>
      </c>
      <c r="X57" s="24">
        <f>VLOOKUP(J57, IMPOSTO!$A:$D, 4, 0)</f>
        <v>7.0000000000000007E-2</v>
      </c>
      <c r="Y57" s="24">
        <f>VLOOKUP(K57, IMPOSTO!$A:$D, 4, 0)</f>
        <v>0.12</v>
      </c>
      <c r="Z57" s="24">
        <f>VLOOKUP(L57, IMPOSTO!$A:$D, 4, 0)</f>
        <v>0.12</v>
      </c>
      <c r="AA57" s="24">
        <f>VLOOKUP(M57, IMPOSTO!$A:$D, 4, 0)</f>
        <v>0.12</v>
      </c>
      <c r="AB57" s="24">
        <f>VLOOKUP(N57, IMPOSTO!$A:$D, 4, 0)</f>
        <v>7.0000000000000007E-2</v>
      </c>
      <c r="AC57" s="25">
        <f t="shared" si="3"/>
        <v>1726.4886363636363</v>
      </c>
      <c r="AD57" s="25">
        <f t="shared" si="4"/>
        <v>1781.3536585365853</v>
      </c>
      <c r="AE57" s="25">
        <f t="shared" si="5"/>
        <v>1627.0000000000002</v>
      </c>
      <c r="AF57" s="25">
        <f t="shared" si="6"/>
        <v>1807.7386363636363</v>
      </c>
      <c r="AG57" s="25">
        <f t="shared" si="7"/>
        <v>1709.2159090909092</v>
      </c>
      <c r="AH57" s="25">
        <f t="shared" si="8"/>
        <v>1773.9886363636365</v>
      </c>
      <c r="AI57" s="25">
        <f t="shared" si="9"/>
        <v>1995.494623655914</v>
      </c>
    </row>
    <row r="58" spans="1:35" ht="15.75" customHeight="1">
      <c r="A58" s="12" t="s">
        <v>64</v>
      </c>
      <c r="B58" s="12" t="s">
        <v>65</v>
      </c>
      <c r="C58" s="12" t="s">
        <v>66</v>
      </c>
      <c r="D58" s="12" t="s">
        <v>50</v>
      </c>
      <c r="E58" s="12" t="s">
        <v>24</v>
      </c>
      <c r="F58" s="13">
        <v>47.467184236561501</v>
      </c>
      <c r="G58" s="14">
        <v>889.09833449818609</v>
      </c>
      <c r="H58" s="24" t="str">
        <f t="shared" si="2"/>
        <v>MGSP</v>
      </c>
      <c r="I58" s="24" t="str">
        <f t="shared" si="2"/>
        <v>MGMG</v>
      </c>
      <c r="J58" s="24" t="str">
        <f t="shared" si="2"/>
        <v>MGES</v>
      </c>
      <c r="K58" s="24" t="str">
        <f t="shared" si="2"/>
        <v>MGSC</v>
      </c>
      <c r="L58" s="24" t="str">
        <f t="shared" si="2"/>
        <v>MGRJ</v>
      </c>
      <c r="M58" s="24" t="str">
        <f t="shared" si="2"/>
        <v>MGPR</v>
      </c>
      <c r="N58" s="24" t="str">
        <f t="shared" si="2"/>
        <v>MGAM</v>
      </c>
      <c r="O58" s="24">
        <f>VLOOKUP(H58, KM!$A:$E, 5, 0)</f>
        <v>586</v>
      </c>
      <c r="P58" s="24">
        <f>VLOOKUP(I58, KM!$A:$E, 5, 0)</f>
        <v>0</v>
      </c>
      <c r="Q58" s="24">
        <f>VLOOKUP(J58, KM!$A:$E, 5, 0)</f>
        <v>524</v>
      </c>
      <c r="R58" s="24">
        <f>VLOOKUP(K58, KM!$A:$E, 5, 0)</f>
        <v>1301</v>
      </c>
      <c r="S58" s="24">
        <f>VLOOKUP(L58, KM!$A:$E, 5, 0)</f>
        <v>434</v>
      </c>
      <c r="T58" s="24">
        <f>VLOOKUP(M58, KM!$A:$E, 5, 0)</f>
        <v>1004</v>
      </c>
      <c r="U58" s="24">
        <f>VLOOKUP(N58, KM!$A:$E, 5, 0)</f>
        <v>3951</v>
      </c>
      <c r="V58" s="24">
        <f>VLOOKUP(H58, IMPOSTO!$A:$D, 4, 0)</f>
        <v>0.12</v>
      </c>
      <c r="W58" s="24">
        <f>VLOOKUP(I58, IMPOSTO!$A:$D, 4, 0)</f>
        <v>0.18</v>
      </c>
      <c r="X58" s="24">
        <f>VLOOKUP(J58, IMPOSTO!$A:$D, 4, 0)</f>
        <v>7.0000000000000007E-2</v>
      </c>
      <c r="Y58" s="24">
        <f>VLOOKUP(K58, IMPOSTO!$A:$D, 4, 0)</f>
        <v>0.12</v>
      </c>
      <c r="Z58" s="24">
        <f>VLOOKUP(L58, IMPOSTO!$A:$D, 4, 0)</f>
        <v>0.12</v>
      </c>
      <c r="AA58" s="24">
        <f>VLOOKUP(M58, IMPOSTO!$A:$D, 4, 0)</f>
        <v>0.12</v>
      </c>
      <c r="AB58" s="24">
        <f>VLOOKUP(N58, IMPOSTO!$A:$D, 4, 0)</f>
        <v>7.0000000000000007E-2</v>
      </c>
      <c r="AC58" s="25">
        <f t="shared" si="3"/>
        <v>1076.9299255661206</v>
      </c>
      <c r="AD58" s="25">
        <f t="shared" si="4"/>
        <v>1084.2662615831537</v>
      </c>
      <c r="AE58" s="25">
        <f t="shared" si="5"/>
        <v>1012.363800535684</v>
      </c>
      <c r="AF58" s="25">
        <f t="shared" si="6"/>
        <v>1158.1799255661206</v>
      </c>
      <c r="AG58" s="25">
        <f t="shared" si="7"/>
        <v>1059.6571982933933</v>
      </c>
      <c r="AH58" s="25">
        <f t="shared" si="8"/>
        <v>1124.4299255661206</v>
      </c>
      <c r="AI58" s="25">
        <f t="shared" si="9"/>
        <v>1380.858424191598</v>
      </c>
    </row>
    <row r="59" spans="1:35" ht="15.75" customHeight="1">
      <c r="A59" s="12" t="s">
        <v>67</v>
      </c>
      <c r="B59" s="12" t="s">
        <v>68</v>
      </c>
      <c r="C59" s="12" t="s">
        <v>69</v>
      </c>
      <c r="D59" s="12" t="s">
        <v>33</v>
      </c>
      <c r="E59" s="12" t="s">
        <v>24</v>
      </c>
      <c r="F59" s="13">
        <v>3.7818384058335535</v>
      </c>
      <c r="G59" s="14">
        <v>52.858772751429463</v>
      </c>
      <c r="H59" s="24" t="str">
        <f t="shared" si="2"/>
        <v>MGSP</v>
      </c>
      <c r="I59" s="24" t="str">
        <f t="shared" si="2"/>
        <v>MGMG</v>
      </c>
      <c r="J59" s="24" t="str">
        <f t="shared" si="2"/>
        <v>MGES</v>
      </c>
      <c r="K59" s="24" t="str">
        <f t="shared" si="2"/>
        <v>MGSC</v>
      </c>
      <c r="L59" s="24" t="str">
        <f t="shared" si="2"/>
        <v>MGRJ</v>
      </c>
      <c r="M59" s="24" t="str">
        <f t="shared" si="2"/>
        <v>MGPR</v>
      </c>
      <c r="N59" s="24" t="str">
        <f t="shared" si="2"/>
        <v>MGAM</v>
      </c>
      <c r="O59" s="24">
        <f>VLOOKUP(H59, KM!$A:$E, 5, 0)</f>
        <v>586</v>
      </c>
      <c r="P59" s="24">
        <f>VLOOKUP(I59, KM!$A:$E, 5, 0)</f>
        <v>0</v>
      </c>
      <c r="Q59" s="24">
        <f>VLOOKUP(J59, KM!$A:$E, 5, 0)</f>
        <v>524</v>
      </c>
      <c r="R59" s="24">
        <f>VLOOKUP(K59, KM!$A:$E, 5, 0)</f>
        <v>1301</v>
      </c>
      <c r="S59" s="24">
        <f>VLOOKUP(L59, KM!$A:$E, 5, 0)</f>
        <v>434</v>
      </c>
      <c r="T59" s="24">
        <f>VLOOKUP(M59, KM!$A:$E, 5, 0)</f>
        <v>1004</v>
      </c>
      <c r="U59" s="24">
        <f>VLOOKUP(N59, KM!$A:$E, 5, 0)</f>
        <v>3951</v>
      </c>
      <c r="V59" s="24">
        <f>VLOOKUP(H59, IMPOSTO!$A:$D, 4, 0)</f>
        <v>0.12</v>
      </c>
      <c r="W59" s="24">
        <f>VLOOKUP(I59, IMPOSTO!$A:$D, 4, 0)</f>
        <v>0.18</v>
      </c>
      <c r="X59" s="24">
        <f>VLOOKUP(J59, IMPOSTO!$A:$D, 4, 0)</f>
        <v>7.0000000000000007E-2</v>
      </c>
      <c r="Y59" s="24">
        <f>VLOOKUP(K59, IMPOSTO!$A:$D, 4, 0)</f>
        <v>0.12</v>
      </c>
      <c r="Z59" s="24">
        <f>VLOOKUP(L59, IMPOSTO!$A:$D, 4, 0)</f>
        <v>0.12</v>
      </c>
      <c r="AA59" s="24">
        <f>VLOOKUP(M59, IMPOSTO!$A:$D, 4, 0)</f>
        <v>0.12</v>
      </c>
      <c r="AB59" s="24">
        <f>VLOOKUP(N59, IMPOSTO!$A:$D, 4, 0)</f>
        <v>7.0000000000000007E-2</v>
      </c>
      <c r="AC59" s="25">
        <f t="shared" si="3"/>
        <v>126.65769630844257</v>
      </c>
      <c r="AD59" s="25">
        <f t="shared" si="4"/>
        <v>64.461917989548127</v>
      </c>
      <c r="AE59" s="25">
        <f t="shared" si="5"/>
        <v>113.18147607680588</v>
      </c>
      <c r="AF59" s="25">
        <f t="shared" si="6"/>
        <v>207.90769630844255</v>
      </c>
      <c r="AG59" s="25">
        <f t="shared" si="7"/>
        <v>109.3849690357153</v>
      </c>
      <c r="AH59" s="25">
        <f t="shared" si="8"/>
        <v>174.15769630844258</v>
      </c>
      <c r="AI59" s="25">
        <f t="shared" si="9"/>
        <v>481.67609973271988</v>
      </c>
    </row>
    <row r="60" spans="1:35" ht="15.75" customHeight="1">
      <c r="A60" s="12" t="s">
        <v>70</v>
      </c>
      <c r="B60" s="12" t="s">
        <v>71</v>
      </c>
      <c r="C60" s="12" t="s">
        <v>54</v>
      </c>
      <c r="D60" s="12" t="s">
        <v>33</v>
      </c>
      <c r="E60" s="12" t="s">
        <v>24</v>
      </c>
      <c r="F60" s="13">
        <v>7.7865747104371223</v>
      </c>
      <c r="G60" s="14">
        <v>123.05701038906015</v>
      </c>
      <c r="H60" s="24" t="str">
        <f t="shared" si="2"/>
        <v>MGSP</v>
      </c>
      <c r="I60" s="24" t="str">
        <f t="shared" si="2"/>
        <v>MGMG</v>
      </c>
      <c r="J60" s="24" t="str">
        <f t="shared" si="2"/>
        <v>MGES</v>
      </c>
      <c r="K60" s="24" t="str">
        <f t="shared" si="2"/>
        <v>MGSC</v>
      </c>
      <c r="L60" s="24" t="str">
        <f t="shared" si="2"/>
        <v>MGRJ</v>
      </c>
      <c r="M60" s="24" t="str">
        <f t="shared" si="2"/>
        <v>MGPR</v>
      </c>
      <c r="N60" s="24" t="str">
        <f t="shared" si="2"/>
        <v>MGAM</v>
      </c>
      <c r="O60" s="24">
        <f>VLOOKUP(H60, KM!$A:$E, 5, 0)</f>
        <v>586</v>
      </c>
      <c r="P60" s="24">
        <f>VLOOKUP(I60, KM!$A:$E, 5, 0)</f>
        <v>0</v>
      </c>
      <c r="Q60" s="24">
        <f>VLOOKUP(J60, KM!$A:$E, 5, 0)</f>
        <v>524</v>
      </c>
      <c r="R60" s="24">
        <f>VLOOKUP(K60, KM!$A:$E, 5, 0)</f>
        <v>1301</v>
      </c>
      <c r="S60" s="24">
        <f>VLOOKUP(L60, KM!$A:$E, 5, 0)</f>
        <v>434</v>
      </c>
      <c r="T60" s="24">
        <f>VLOOKUP(M60, KM!$A:$E, 5, 0)</f>
        <v>1004</v>
      </c>
      <c r="U60" s="24">
        <f>VLOOKUP(N60, KM!$A:$E, 5, 0)</f>
        <v>3951</v>
      </c>
      <c r="V60" s="24">
        <f>VLOOKUP(H60, IMPOSTO!$A:$D, 4, 0)</f>
        <v>0.12</v>
      </c>
      <c r="W60" s="24">
        <f>VLOOKUP(I60, IMPOSTO!$A:$D, 4, 0)</f>
        <v>0.18</v>
      </c>
      <c r="X60" s="24">
        <f>VLOOKUP(J60, IMPOSTO!$A:$D, 4, 0)</f>
        <v>7.0000000000000007E-2</v>
      </c>
      <c r="Y60" s="24">
        <f>VLOOKUP(K60, IMPOSTO!$A:$D, 4, 0)</f>
        <v>0.12</v>
      </c>
      <c r="Z60" s="24">
        <f>VLOOKUP(L60, IMPOSTO!$A:$D, 4, 0)</f>
        <v>0.12</v>
      </c>
      <c r="AA60" s="24">
        <f>VLOOKUP(M60, IMPOSTO!$A:$D, 4, 0)</f>
        <v>0.12</v>
      </c>
      <c r="AB60" s="24">
        <f>VLOOKUP(N60, IMPOSTO!$A:$D, 4, 0)</f>
        <v>7.0000000000000007E-2</v>
      </c>
      <c r="AC60" s="25">
        <f t="shared" si="3"/>
        <v>206.42842089665928</v>
      </c>
      <c r="AD60" s="25">
        <f t="shared" si="4"/>
        <v>150.06952486470749</v>
      </c>
      <c r="AE60" s="25">
        <f t="shared" si="5"/>
        <v>188.66345203124749</v>
      </c>
      <c r="AF60" s="25">
        <f t="shared" si="6"/>
        <v>287.67842089665925</v>
      </c>
      <c r="AG60" s="25">
        <f t="shared" si="7"/>
        <v>189.155693623932</v>
      </c>
      <c r="AH60" s="25">
        <f t="shared" si="8"/>
        <v>253.92842089665925</v>
      </c>
      <c r="AI60" s="25">
        <f t="shared" si="9"/>
        <v>557.1580756871615</v>
      </c>
    </row>
    <row r="61" spans="1:35" ht="15.75" customHeight="1">
      <c r="A61" s="12" t="s">
        <v>72</v>
      </c>
      <c r="B61" s="12" t="s">
        <v>73</v>
      </c>
      <c r="C61" s="12" t="s">
        <v>63</v>
      </c>
      <c r="D61" s="12" t="s">
        <v>33</v>
      </c>
      <c r="E61" s="12" t="s">
        <v>24</v>
      </c>
      <c r="F61" s="13">
        <v>1.7856731253589802</v>
      </c>
      <c r="G61" s="14">
        <v>28.173951747077904</v>
      </c>
      <c r="H61" s="24" t="str">
        <f t="shared" si="2"/>
        <v>MGSP</v>
      </c>
      <c r="I61" s="24" t="str">
        <f t="shared" si="2"/>
        <v>MGMG</v>
      </c>
      <c r="J61" s="24" t="str">
        <f t="shared" si="2"/>
        <v>MGES</v>
      </c>
      <c r="K61" s="24" t="str">
        <f t="shared" si="2"/>
        <v>MGSC</v>
      </c>
      <c r="L61" s="24" t="str">
        <f t="shared" si="2"/>
        <v>MGRJ</v>
      </c>
      <c r="M61" s="24" t="str">
        <f t="shared" si="2"/>
        <v>MGPR</v>
      </c>
      <c r="N61" s="24" t="str">
        <f t="shared" si="2"/>
        <v>MGAM</v>
      </c>
      <c r="O61" s="24">
        <f>VLOOKUP(H61, KM!$A:$E, 5, 0)</f>
        <v>586</v>
      </c>
      <c r="P61" s="24">
        <f>VLOOKUP(I61, KM!$A:$E, 5, 0)</f>
        <v>0</v>
      </c>
      <c r="Q61" s="24">
        <f>VLOOKUP(J61, KM!$A:$E, 5, 0)</f>
        <v>524</v>
      </c>
      <c r="R61" s="24">
        <f>VLOOKUP(K61, KM!$A:$E, 5, 0)</f>
        <v>1301</v>
      </c>
      <c r="S61" s="24">
        <f>VLOOKUP(L61, KM!$A:$E, 5, 0)</f>
        <v>434</v>
      </c>
      <c r="T61" s="24">
        <f>VLOOKUP(M61, KM!$A:$E, 5, 0)</f>
        <v>1004</v>
      </c>
      <c r="U61" s="24">
        <f>VLOOKUP(N61, KM!$A:$E, 5, 0)</f>
        <v>3951</v>
      </c>
      <c r="V61" s="24">
        <f>VLOOKUP(H61, IMPOSTO!$A:$D, 4, 0)</f>
        <v>0.12</v>
      </c>
      <c r="W61" s="24">
        <f>VLOOKUP(I61, IMPOSTO!$A:$D, 4, 0)</f>
        <v>0.18</v>
      </c>
      <c r="X61" s="24">
        <f>VLOOKUP(J61, IMPOSTO!$A:$D, 4, 0)</f>
        <v>7.0000000000000007E-2</v>
      </c>
      <c r="Y61" s="24">
        <f>VLOOKUP(K61, IMPOSTO!$A:$D, 4, 0)</f>
        <v>0.12</v>
      </c>
      <c r="Z61" s="24">
        <f>VLOOKUP(L61, IMPOSTO!$A:$D, 4, 0)</f>
        <v>0.12</v>
      </c>
      <c r="AA61" s="24">
        <f>VLOOKUP(M61, IMPOSTO!$A:$D, 4, 0)</f>
        <v>0.12</v>
      </c>
      <c r="AB61" s="24">
        <f>VLOOKUP(N61, IMPOSTO!$A:$D, 4, 0)</f>
        <v>7.0000000000000007E-2</v>
      </c>
      <c r="AC61" s="25">
        <f t="shared" si="3"/>
        <v>98.606763348952157</v>
      </c>
      <c r="AD61" s="25">
        <f t="shared" si="4"/>
        <v>34.358477740338905</v>
      </c>
      <c r="AE61" s="25">
        <f t="shared" si="5"/>
        <v>86.638657792556899</v>
      </c>
      <c r="AF61" s="25">
        <f t="shared" si="6"/>
        <v>179.85676334895214</v>
      </c>
      <c r="AG61" s="25">
        <f t="shared" si="7"/>
        <v>81.334036076224905</v>
      </c>
      <c r="AH61" s="25">
        <f t="shared" si="8"/>
        <v>146.10676334895217</v>
      </c>
      <c r="AI61" s="25">
        <f t="shared" si="9"/>
        <v>455.13328144847094</v>
      </c>
    </row>
    <row r="62" spans="1:35" ht="15.75" customHeight="1">
      <c r="A62" s="12" t="s">
        <v>70</v>
      </c>
      <c r="B62" s="12" t="s">
        <v>71</v>
      </c>
      <c r="C62" s="12" t="s">
        <v>54</v>
      </c>
      <c r="D62" s="12" t="s">
        <v>33</v>
      </c>
      <c r="E62" s="12" t="s">
        <v>24</v>
      </c>
      <c r="F62" s="13">
        <v>1.5573149420874246</v>
      </c>
      <c r="G62" s="14">
        <v>24.611402077812031</v>
      </c>
      <c r="H62" s="24" t="str">
        <f t="shared" si="2"/>
        <v>MGSP</v>
      </c>
      <c r="I62" s="24" t="str">
        <f t="shared" si="2"/>
        <v>MGMG</v>
      </c>
      <c r="J62" s="24" t="str">
        <f t="shared" si="2"/>
        <v>MGES</v>
      </c>
      <c r="K62" s="24" t="str">
        <f t="shared" si="2"/>
        <v>MGSC</v>
      </c>
      <c r="L62" s="24" t="str">
        <f t="shared" si="2"/>
        <v>MGRJ</v>
      </c>
      <c r="M62" s="24" t="str">
        <f t="shared" si="2"/>
        <v>MGPR</v>
      </c>
      <c r="N62" s="24" t="str">
        <f t="shared" si="2"/>
        <v>MGAM</v>
      </c>
      <c r="O62" s="24">
        <f>VLOOKUP(H62, KM!$A:$E, 5, 0)</f>
        <v>586</v>
      </c>
      <c r="P62" s="24">
        <f>VLOOKUP(I62, KM!$A:$E, 5, 0)</f>
        <v>0</v>
      </c>
      <c r="Q62" s="24">
        <f>VLOOKUP(J62, KM!$A:$E, 5, 0)</f>
        <v>524</v>
      </c>
      <c r="R62" s="24">
        <f>VLOOKUP(K62, KM!$A:$E, 5, 0)</f>
        <v>1301</v>
      </c>
      <c r="S62" s="24">
        <f>VLOOKUP(L62, KM!$A:$E, 5, 0)</f>
        <v>434</v>
      </c>
      <c r="T62" s="24">
        <f>VLOOKUP(M62, KM!$A:$E, 5, 0)</f>
        <v>1004</v>
      </c>
      <c r="U62" s="24">
        <f>VLOOKUP(N62, KM!$A:$E, 5, 0)</f>
        <v>3951</v>
      </c>
      <c r="V62" s="24">
        <f>VLOOKUP(H62, IMPOSTO!$A:$D, 4, 0)</f>
        <v>0.12</v>
      </c>
      <c r="W62" s="24">
        <f>VLOOKUP(I62, IMPOSTO!$A:$D, 4, 0)</f>
        <v>0.18</v>
      </c>
      <c r="X62" s="24">
        <f>VLOOKUP(J62, IMPOSTO!$A:$D, 4, 0)</f>
        <v>7.0000000000000007E-2</v>
      </c>
      <c r="Y62" s="24">
        <f>VLOOKUP(K62, IMPOSTO!$A:$D, 4, 0)</f>
        <v>0.12</v>
      </c>
      <c r="Z62" s="24">
        <f>VLOOKUP(L62, IMPOSTO!$A:$D, 4, 0)</f>
        <v>0.12</v>
      </c>
      <c r="AA62" s="24">
        <f>VLOOKUP(M62, IMPOSTO!$A:$D, 4, 0)</f>
        <v>0.12</v>
      </c>
      <c r="AB62" s="24">
        <f>VLOOKUP(N62, IMPOSTO!$A:$D, 4, 0)</f>
        <v>7.0000000000000007E-2</v>
      </c>
      <c r="AC62" s="25">
        <f t="shared" si="3"/>
        <v>94.558411452059133</v>
      </c>
      <c r="AD62" s="25">
        <f t="shared" si="4"/>
        <v>30.0139049729415</v>
      </c>
      <c r="AE62" s="25">
        <f t="shared" si="5"/>
        <v>82.807959223453807</v>
      </c>
      <c r="AF62" s="25">
        <f t="shared" si="6"/>
        <v>175.80841145205909</v>
      </c>
      <c r="AG62" s="25">
        <f t="shared" si="7"/>
        <v>77.285684179331852</v>
      </c>
      <c r="AH62" s="25">
        <f t="shared" si="8"/>
        <v>142.05841145205912</v>
      </c>
      <c r="AI62" s="25">
        <f t="shared" si="9"/>
        <v>451.30258287936783</v>
      </c>
    </row>
    <row r="63" spans="1:35" ht="15.75" customHeight="1">
      <c r="A63" s="12" t="s">
        <v>72</v>
      </c>
      <c r="B63" s="12" t="s">
        <v>73</v>
      </c>
      <c r="C63" s="12" t="s">
        <v>63</v>
      </c>
      <c r="D63" s="12" t="s">
        <v>33</v>
      </c>
      <c r="E63" s="12" t="s">
        <v>24</v>
      </c>
      <c r="F63" s="13">
        <v>17846.01721483764</v>
      </c>
      <c r="G63" s="14">
        <v>281570.47376029653</v>
      </c>
      <c r="H63" s="24" t="str">
        <f t="shared" si="2"/>
        <v>MGSP</v>
      </c>
      <c r="I63" s="24" t="str">
        <f t="shared" si="2"/>
        <v>MGMG</v>
      </c>
      <c r="J63" s="24" t="str">
        <f t="shared" si="2"/>
        <v>MGES</v>
      </c>
      <c r="K63" s="24" t="str">
        <f t="shared" si="2"/>
        <v>MGSC</v>
      </c>
      <c r="L63" s="24" t="str">
        <f t="shared" si="2"/>
        <v>MGRJ</v>
      </c>
      <c r="M63" s="24" t="str">
        <f t="shared" si="2"/>
        <v>MGPR</v>
      </c>
      <c r="N63" s="24" t="str">
        <f t="shared" si="2"/>
        <v>MGAM</v>
      </c>
      <c r="O63" s="24">
        <f>VLOOKUP(H63, KM!$A:$E, 5, 0)</f>
        <v>586</v>
      </c>
      <c r="P63" s="24">
        <f>VLOOKUP(I63, KM!$A:$E, 5, 0)</f>
        <v>0</v>
      </c>
      <c r="Q63" s="24">
        <f>VLOOKUP(J63, KM!$A:$E, 5, 0)</f>
        <v>524</v>
      </c>
      <c r="R63" s="24">
        <f>VLOOKUP(K63, KM!$A:$E, 5, 0)</f>
        <v>1301</v>
      </c>
      <c r="S63" s="24">
        <f>VLOOKUP(L63, KM!$A:$E, 5, 0)</f>
        <v>434</v>
      </c>
      <c r="T63" s="24">
        <f>VLOOKUP(M63, KM!$A:$E, 5, 0)</f>
        <v>1004</v>
      </c>
      <c r="U63" s="24">
        <f>VLOOKUP(N63, KM!$A:$E, 5, 0)</f>
        <v>3951</v>
      </c>
      <c r="V63" s="24">
        <f>VLOOKUP(H63, IMPOSTO!$A:$D, 4, 0)</f>
        <v>0.12</v>
      </c>
      <c r="W63" s="24">
        <f>VLOOKUP(I63, IMPOSTO!$A:$D, 4, 0)</f>
        <v>0.18</v>
      </c>
      <c r="X63" s="24">
        <f>VLOOKUP(J63, IMPOSTO!$A:$D, 4, 0)</f>
        <v>7.0000000000000007E-2</v>
      </c>
      <c r="Y63" s="24">
        <f>VLOOKUP(K63, IMPOSTO!$A:$D, 4, 0)</f>
        <v>0.12</v>
      </c>
      <c r="Z63" s="24">
        <f>VLOOKUP(L63, IMPOSTO!$A:$D, 4, 0)</f>
        <v>0.12</v>
      </c>
      <c r="AA63" s="24">
        <f>VLOOKUP(M63, IMPOSTO!$A:$D, 4, 0)</f>
        <v>0.12</v>
      </c>
      <c r="AB63" s="24">
        <f>VLOOKUP(N63, IMPOSTO!$A:$D, 4, 0)</f>
        <v>7.0000000000000007E-2</v>
      </c>
      <c r="AC63" s="25">
        <f t="shared" si="3"/>
        <v>320033.03836397332</v>
      </c>
      <c r="AD63" s="25">
        <f t="shared" si="4"/>
        <v>343378.62653694698</v>
      </c>
      <c r="AE63" s="25">
        <f t="shared" si="5"/>
        <v>302820.29436591029</v>
      </c>
      <c r="AF63" s="25">
        <f t="shared" si="6"/>
        <v>320114.28836397332</v>
      </c>
      <c r="AG63" s="25">
        <f t="shared" si="7"/>
        <v>320015.76563670061</v>
      </c>
      <c r="AH63" s="25">
        <f t="shared" si="8"/>
        <v>320080.53836397338</v>
      </c>
      <c r="AI63" s="25">
        <f t="shared" si="9"/>
        <v>303188.78898956615</v>
      </c>
    </row>
    <row r="64" spans="1:35" ht="15.75" customHeight="1">
      <c r="A64" s="12" t="s">
        <v>74</v>
      </c>
      <c r="B64" s="12" t="s">
        <v>75</v>
      </c>
      <c r="C64" s="12" t="s">
        <v>57</v>
      </c>
      <c r="D64" s="12" t="s">
        <v>33</v>
      </c>
      <c r="E64" s="12" t="s">
        <v>24</v>
      </c>
      <c r="F64" s="13">
        <v>4502.1062761089179</v>
      </c>
      <c r="G64" s="14">
        <v>24020.419512074095</v>
      </c>
      <c r="H64" s="24" t="str">
        <f t="shared" si="2"/>
        <v>MGSP</v>
      </c>
      <c r="I64" s="24" t="str">
        <f t="shared" si="2"/>
        <v>MGMG</v>
      </c>
      <c r="J64" s="24" t="str">
        <f t="shared" si="2"/>
        <v>MGES</v>
      </c>
      <c r="K64" s="24" t="str">
        <f t="shared" si="2"/>
        <v>MGSC</v>
      </c>
      <c r="L64" s="24" t="str">
        <f t="shared" si="2"/>
        <v>MGRJ</v>
      </c>
      <c r="M64" s="24" t="str">
        <f t="shared" si="2"/>
        <v>MGPR</v>
      </c>
      <c r="N64" s="24" t="str">
        <f t="shared" si="2"/>
        <v>MGAM</v>
      </c>
      <c r="O64" s="24">
        <f>VLOOKUP(H64, KM!$A:$E, 5, 0)</f>
        <v>586</v>
      </c>
      <c r="P64" s="24">
        <f>VLOOKUP(I64, KM!$A:$E, 5, 0)</f>
        <v>0</v>
      </c>
      <c r="Q64" s="24">
        <f>VLOOKUP(J64, KM!$A:$E, 5, 0)</f>
        <v>524</v>
      </c>
      <c r="R64" s="24">
        <f>VLOOKUP(K64, KM!$A:$E, 5, 0)</f>
        <v>1301</v>
      </c>
      <c r="S64" s="24">
        <f>VLOOKUP(L64, KM!$A:$E, 5, 0)</f>
        <v>434</v>
      </c>
      <c r="T64" s="24">
        <f>VLOOKUP(M64, KM!$A:$E, 5, 0)</f>
        <v>1004</v>
      </c>
      <c r="U64" s="24">
        <f>VLOOKUP(N64, KM!$A:$E, 5, 0)</f>
        <v>3951</v>
      </c>
      <c r="V64" s="24">
        <f>VLOOKUP(H64, IMPOSTO!$A:$D, 4, 0)</f>
        <v>0.12</v>
      </c>
      <c r="W64" s="24">
        <f>VLOOKUP(I64, IMPOSTO!$A:$D, 4, 0)</f>
        <v>0.18</v>
      </c>
      <c r="X64" s="24">
        <f>VLOOKUP(J64, IMPOSTO!$A:$D, 4, 0)</f>
        <v>7.0000000000000007E-2</v>
      </c>
      <c r="Y64" s="24">
        <f>VLOOKUP(K64, IMPOSTO!$A:$D, 4, 0)</f>
        <v>0.12</v>
      </c>
      <c r="Z64" s="24">
        <f>VLOOKUP(L64, IMPOSTO!$A:$D, 4, 0)</f>
        <v>0.12</v>
      </c>
      <c r="AA64" s="24">
        <f>VLOOKUP(M64, IMPOSTO!$A:$D, 4, 0)</f>
        <v>0.12</v>
      </c>
      <c r="AB64" s="24">
        <f>VLOOKUP(N64, IMPOSTO!$A:$D, 4, 0)</f>
        <v>7.0000000000000007E-2</v>
      </c>
      <c r="AC64" s="25">
        <f t="shared" si="3"/>
        <v>27362.52217281147</v>
      </c>
      <c r="AD64" s="25">
        <f t="shared" si="4"/>
        <v>29293.194526919626</v>
      </c>
      <c r="AE64" s="25">
        <f t="shared" si="5"/>
        <v>25884.752163520534</v>
      </c>
      <c r="AF64" s="25">
        <f t="shared" si="6"/>
        <v>27443.77217281147</v>
      </c>
      <c r="AG64" s="25">
        <f t="shared" si="7"/>
        <v>27345.249445538746</v>
      </c>
      <c r="AH64" s="25">
        <f t="shared" si="8"/>
        <v>27410.022172811474</v>
      </c>
      <c r="AI64" s="25">
        <f t="shared" si="9"/>
        <v>26253.246787176446</v>
      </c>
    </row>
    <row r="65" spans="1:35" ht="15.75" customHeight="1">
      <c r="A65" s="12" t="s">
        <v>74</v>
      </c>
      <c r="B65" s="12" t="s">
        <v>75</v>
      </c>
      <c r="C65" s="12" t="s">
        <v>57</v>
      </c>
      <c r="D65" s="12" t="s">
        <v>33</v>
      </c>
      <c r="E65" s="12" t="s">
        <v>24</v>
      </c>
      <c r="F65" s="13">
        <v>407.33186227313672</v>
      </c>
      <c r="G65" s="14">
        <v>2030.971724815063</v>
      </c>
      <c r="H65" s="24" t="str">
        <f t="shared" si="2"/>
        <v>MGSP</v>
      </c>
      <c r="I65" s="24" t="str">
        <f t="shared" si="2"/>
        <v>MGMG</v>
      </c>
      <c r="J65" s="24" t="str">
        <f t="shared" si="2"/>
        <v>MGES</v>
      </c>
      <c r="K65" s="24" t="str">
        <f t="shared" si="2"/>
        <v>MGSC</v>
      </c>
      <c r="L65" s="24" t="str">
        <f t="shared" si="2"/>
        <v>MGRJ</v>
      </c>
      <c r="M65" s="24" t="str">
        <f t="shared" si="2"/>
        <v>MGPR</v>
      </c>
      <c r="N65" s="24" t="str">
        <f t="shared" si="2"/>
        <v>MGAM</v>
      </c>
      <c r="O65" s="24">
        <f>VLOOKUP(H65, KM!$A:$E, 5, 0)</f>
        <v>586</v>
      </c>
      <c r="P65" s="24">
        <f>VLOOKUP(I65, KM!$A:$E, 5, 0)</f>
        <v>0</v>
      </c>
      <c r="Q65" s="24">
        <f>VLOOKUP(J65, KM!$A:$E, 5, 0)</f>
        <v>524</v>
      </c>
      <c r="R65" s="24">
        <f>VLOOKUP(K65, KM!$A:$E, 5, 0)</f>
        <v>1301</v>
      </c>
      <c r="S65" s="24">
        <f>VLOOKUP(L65, KM!$A:$E, 5, 0)</f>
        <v>434</v>
      </c>
      <c r="T65" s="24">
        <f>VLOOKUP(M65, KM!$A:$E, 5, 0)</f>
        <v>1004</v>
      </c>
      <c r="U65" s="24">
        <f>VLOOKUP(N65, KM!$A:$E, 5, 0)</f>
        <v>3951</v>
      </c>
      <c r="V65" s="24">
        <f>VLOOKUP(H65, IMPOSTO!$A:$D, 4, 0)</f>
        <v>0.12</v>
      </c>
      <c r="W65" s="24">
        <f>VLOOKUP(I65, IMPOSTO!$A:$D, 4, 0)</f>
        <v>0.18</v>
      </c>
      <c r="X65" s="24">
        <f>VLOOKUP(J65, IMPOSTO!$A:$D, 4, 0)</f>
        <v>7.0000000000000007E-2</v>
      </c>
      <c r="Y65" s="24">
        <f>VLOOKUP(K65, IMPOSTO!$A:$D, 4, 0)</f>
        <v>0.12</v>
      </c>
      <c r="Z65" s="24">
        <f>VLOOKUP(L65, IMPOSTO!$A:$D, 4, 0)</f>
        <v>0.12</v>
      </c>
      <c r="AA65" s="24">
        <f>VLOOKUP(M65, IMPOSTO!$A:$D, 4, 0)</f>
        <v>0.12</v>
      </c>
      <c r="AB65" s="24">
        <f>VLOOKUP(N65, IMPOSTO!$A:$D, 4, 0)</f>
        <v>7.0000000000000007E-2</v>
      </c>
      <c r="AC65" s="25">
        <f t="shared" si="3"/>
        <v>2374.5133236534807</v>
      </c>
      <c r="AD65" s="25">
        <f t="shared" si="4"/>
        <v>2476.7947863598329</v>
      </c>
      <c r="AE65" s="25">
        <f t="shared" si="5"/>
        <v>2240.1846503387774</v>
      </c>
      <c r="AF65" s="25">
        <f t="shared" si="6"/>
        <v>2455.7633236534807</v>
      </c>
      <c r="AG65" s="25">
        <f t="shared" si="7"/>
        <v>2357.2405963807532</v>
      </c>
      <c r="AH65" s="25">
        <f t="shared" si="8"/>
        <v>2422.0133236534807</v>
      </c>
      <c r="AI65" s="25">
        <f t="shared" si="9"/>
        <v>2608.6792739946918</v>
      </c>
    </row>
    <row r="66" spans="1:35" ht="15.75" customHeight="1">
      <c r="A66" s="12" t="s">
        <v>70</v>
      </c>
      <c r="B66" s="12" t="s">
        <v>71</v>
      </c>
      <c r="C66" s="12" t="s">
        <v>54</v>
      </c>
      <c r="D66" s="12" t="s">
        <v>33</v>
      </c>
      <c r="E66" s="12" t="s">
        <v>24</v>
      </c>
      <c r="F66" s="13">
        <v>3260.5198394170375</v>
      </c>
      <c r="G66" s="14">
        <v>48528.750518701454</v>
      </c>
      <c r="H66" s="24" t="str">
        <f t="shared" si="2"/>
        <v>MGSP</v>
      </c>
      <c r="I66" s="24" t="str">
        <f t="shared" si="2"/>
        <v>MGMG</v>
      </c>
      <c r="J66" s="24" t="str">
        <f t="shared" si="2"/>
        <v>MGES</v>
      </c>
      <c r="K66" s="24" t="str">
        <f t="shared" si="2"/>
        <v>MGSC</v>
      </c>
      <c r="L66" s="24" t="str">
        <f t="shared" si="2"/>
        <v>MGRJ</v>
      </c>
      <c r="M66" s="24" t="str">
        <f t="shared" si="2"/>
        <v>MGPR</v>
      </c>
      <c r="N66" s="24" t="str">
        <f t="shared" si="2"/>
        <v>MGAM</v>
      </c>
      <c r="O66" s="24">
        <f>VLOOKUP(H66, KM!$A:$E, 5, 0)</f>
        <v>586</v>
      </c>
      <c r="P66" s="24">
        <f>VLOOKUP(I66, KM!$A:$E, 5, 0)</f>
        <v>0</v>
      </c>
      <c r="Q66" s="24">
        <f>VLOOKUP(J66, KM!$A:$E, 5, 0)</f>
        <v>524</v>
      </c>
      <c r="R66" s="24">
        <f>VLOOKUP(K66, KM!$A:$E, 5, 0)</f>
        <v>1301</v>
      </c>
      <c r="S66" s="24">
        <f>VLOOKUP(L66, KM!$A:$E, 5, 0)</f>
        <v>434</v>
      </c>
      <c r="T66" s="24">
        <f>VLOOKUP(M66, KM!$A:$E, 5, 0)</f>
        <v>1004</v>
      </c>
      <c r="U66" s="24">
        <f>VLOOKUP(N66, KM!$A:$E, 5, 0)</f>
        <v>3951</v>
      </c>
      <c r="V66" s="24">
        <f>VLOOKUP(H66, IMPOSTO!$A:$D, 4, 0)</f>
        <v>0.12</v>
      </c>
      <c r="W66" s="24">
        <f>VLOOKUP(I66, IMPOSTO!$A:$D, 4, 0)</f>
        <v>0.18</v>
      </c>
      <c r="X66" s="24">
        <f>VLOOKUP(J66, IMPOSTO!$A:$D, 4, 0)</f>
        <v>7.0000000000000007E-2</v>
      </c>
      <c r="Y66" s="24">
        <f>VLOOKUP(K66, IMPOSTO!$A:$D, 4, 0)</f>
        <v>0.12</v>
      </c>
      <c r="Z66" s="24">
        <f>VLOOKUP(L66, IMPOSTO!$A:$D, 4, 0)</f>
        <v>0.12</v>
      </c>
      <c r="AA66" s="24">
        <f>VLOOKUP(M66, IMPOSTO!$A:$D, 4, 0)</f>
        <v>0.12</v>
      </c>
      <c r="AB66" s="24">
        <f>VLOOKUP(N66, IMPOSTO!$A:$D, 4, 0)</f>
        <v>7.0000000000000007E-2</v>
      </c>
      <c r="AC66" s="25">
        <f t="shared" si="3"/>
        <v>55212.898316706196</v>
      </c>
      <c r="AD66" s="25">
        <f t="shared" si="4"/>
        <v>59181.403071587134</v>
      </c>
      <c r="AE66" s="25">
        <f t="shared" si="5"/>
        <v>52237.796256668233</v>
      </c>
      <c r="AF66" s="25">
        <f t="shared" si="6"/>
        <v>55294.148316706196</v>
      </c>
      <c r="AG66" s="25">
        <f t="shared" si="7"/>
        <v>55195.625589433475</v>
      </c>
      <c r="AH66" s="25">
        <f t="shared" si="8"/>
        <v>55260.398316706196</v>
      </c>
      <c r="AI66" s="25">
        <f t="shared" si="9"/>
        <v>52606.290880324144</v>
      </c>
    </row>
    <row r="67" spans="1:35" ht="15.75" customHeight="1">
      <c r="A67" s="12" t="s">
        <v>76</v>
      </c>
      <c r="B67" s="12" t="s">
        <v>77</v>
      </c>
      <c r="C67" s="12" t="s">
        <v>78</v>
      </c>
      <c r="D67" s="12" t="s">
        <v>33</v>
      </c>
      <c r="E67" s="12" t="s">
        <v>24</v>
      </c>
      <c r="F67" s="13">
        <v>215951.92532332728</v>
      </c>
      <c r="G67" s="14">
        <v>851249.08719884662</v>
      </c>
      <c r="H67" s="24" t="str">
        <f t="shared" si="2"/>
        <v>MGSP</v>
      </c>
      <c r="I67" s="24" t="str">
        <f t="shared" si="2"/>
        <v>MGMG</v>
      </c>
      <c r="J67" s="24" t="str">
        <f t="shared" si="2"/>
        <v>MGES</v>
      </c>
      <c r="K67" s="24" t="str">
        <f t="shared" si="2"/>
        <v>MGSC</v>
      </c>
      <c r="L67" s="24" t="str">
        <f t="shared" si="2"/>
        <v>MGRJ</v>
      </c>
      <c r="M67" s="24" t="str">
        <f t="shared" si="2"/>
        <v>MGPR</v>
      </c>
      <c r="N67" s="24" t="str">
        <f t="shared" si="2"/>
        <v>MGAM</v>
      </c>
      <c r="O67" s="24">
        <f>VLOOKUP(H67, KM!$A:$E, 5, 0)</f>
        <v>586</v>
      </c>
      <c r="P67" s="24">
        <f>VLOOKUP(I67, KM!$A:$E, 5, 0)</f>
        <v>0</v>
      </c>
      <c r="Q67" s="24">
        <f>VLOOKUP(J67, KM!$A:$E, 5, 0)</f>
        <v>524</v>
      </c>
      <c r="R67" s="24">
        <f>VLOOKUP(K67, KM!$A:$E, 5, 0)</f>
        <v>1301</v>
      </c>
      <c r="S67" s="24">
        <f>VLOOKUP(L67, KM!$A:$E, 5, 0)</f>
        <v>434</v>
      </c>
      <c r="T67" s="24">
        <f>VLOOKUP(M67, KM!$A:$E, 5, 0)</f>
        <v>1004</v>
      </c>
      <c r="U67" s="24">
        <f>VLOOKUP(N67, KM!$A:$E, 5, 0)</f>
        <v>3951</v>
      </c>
      <c r="V67" s="24">
        <f>VLOOKUP(H67, IMPOSTO!$A:$D, 4, 0)</f>
        <v>0.12</v>
      </c>
      <c r="W67" s="24">
        <f>VLOOKUP(I67, IMPOSTO!$A:$D, 4, 0)</f>
        <v>0.18</v>
      </c>
      <c r="X67" s="24">
        <f>VLOOKUP(J67, IMPOSTO!$A:$D, 4, 0)</f>
        <v>7.0000000000000007E-2</v>
      </c>
      <c r="Y67" s="24">
        <f>VLOOKUP(K67, IMPOSTO!$A:$D, 4, 0)</f>
        <v>0.12</v>
      </c>
      <c r="Z67" s="24">
        <f>VLOOKUP(L67, IMPOSTO!$A:$D, 4, 0)</f>
        <v>0.12</v>
      </c>
      <c r="AA67" s="24">
        <f>VLOOKUP(M67, IMPOSTO!$A:$D, 4, 0)</f>
        <v>0.12</v>
      </c>
      <c r="AB67" s="24">
        <f>VLOOKUP(N67, IMPOSTO!$A:$D, 4, 0)</f>
        <v>7.0000000000000007E-2</v>
      </c>
      <c r="AC67" s="25">
        <f t="shared" si="3"/>
        <v>967395.0990895984</v>
      </c>
      <c r="AD67" s="25">
        <f t="shared" si="4"/>
        <v>1038108.6429254226</v>
      </c>
      <c r="AE67" s="25">
        <f t="shared" si="5"/>
        <v>915377.94322456641</v>
      </c>
      <c r="AF67" s="25">
        <f t="shared" si="6"/>
        <v>967476.3490895984</v>
      </c>
      <c r="AG67" s="25">
        <f t="shared" si="7"/>
        <v>967377.82636232569</v>
      </c>
      <c r="AH67" s="25">
        <f t="shared" si="8"/>
        <v>967442.59908959852</v>
      </c>
      <c r="AI67" s="25">
        <f t="shared" si="9"/>
        <v>915746.43784822221</v>
      </c>
    </row>
    <row r="68" spans="1:35" ht="15.75" customHeight="1">
      <c r="A68" s="12" t="s">
        <v>79</v>
      </c>
      <c r="B68" s="12" t="s">
        <v>80</v>
      </c>
      <c r="C68" s="12" t="s">
        <v>81</v>
      </c>
      <c r="D68" s="12" t="s">
        <v>50</v>
      </c>
      <c r="E68" s="12" t="s">
        <v>24</v>
      </c>
      <c r="F68" s="13">
        <v>384.20341435839458</v>
      </c>
      <c r="G68" s="14">
        <v>6197.0797462068967</v>
      </c>
      <c r="H68" s="24" t="str">
        <f t="shared" si="2"/>
        <v>MGSP</v>
      </c>
      <c r="I68" s="24" t="str">
        <f t="shared" si="2"/>
        <v>MGMG</v>
      </c>
      <c r="J68" s="24" t="str">
        <f t="shared" ref="I68:N131" si="10">$E68 &amp; J$17</f>
        <v>MGES</v>
      </c>
      <c r="K68" s="24" t="str">
        <f t="shared" si="10"/>
        <v>MGSC</v>
      </c>
      <c r="L68" s="24" t="str">
        <f t="shared" si="10"/>
        <v>MGRJ</v>
      </c>
      <c r="M68" s="24" t="str">
        <f t="shared" si="10"/>
        <v>MGPR</v>
      </c>
      <c r="N68" s="24" t="str">
        <f t="shared" si="10"/>
        <v>MGAM</v>
      </c>
      <c r="O68" s="24">
        <f>VLOOKUP(H68, KM!$A:$E, 5, 0)</f>
        <v>586</v>
      </c>
      <c r="P68" s="24">
        <f>VLOOKUP(I68, KM!$A:$E, 5, 0)</f>
        <v>0</v>
      </c>
      <c r="Q68" s="24">
        <f>VLOOKUP(J68, KM!$A:$E, 5, 0)</f>
        <v>524</v>
      </c>
      <c r="R68" s="24">
        <f>VLOOKUP(K68, KM!$A:$E, 5, 0)</f>
        <v>1301</v>
      </c>
      <c r="S68" s="24">
        <f>VLOOKUP(L68, KM!$A:$E, 5, 0)</f>
        <v>434</v>
      </c>
      <c r="T68" s="24">
        <f>VLOOKUP(M68, KM!$A:$E, 5, 0)</f>
        <v>1004</v>
      </c>
      <c r="U68" s="24">
        <f>VLOOKUP(N68, KM!$A:$E, 5, 0)</f>
        <v>3951</v>
      </c>
      <c r="V68" s="24">
        <f>VLOOKUP(H68, IMPOSTO!$A:$D, 4, 0)</f>
        <v>0.12</v>
      </c>
      <c r="W68" s="24">
        <f>VLOOKUP(I68, IMPOSTO!$A:$D, 4, 0)</f>
        <v>0.18</v>
      </c>
      <c r="X68" s="24">
        <f>VLOOKUP(J68, IMPOSTO!$A:$D, 4, 0)</f>
        <v>7.0000000000000007E-2</v>
      </c>
      <c r="Y68" s="24">
        <f>VLOOKUP(K68, IMPOSTO!$A:$D, 4, 0)</f>
        <v>0.12</v>
      </c>
      <c r="Z68" s="24">
        <f>VLOOKUP(L68, IMPOSTO!$A:$D, 4, 0)</f>
        <v>0.12</v>
      </c>
      <c r="AA68" s="24">
        <f>VLOOKUP(M68, IMPOSTO!$A:$D, 4, 0)</f>
        <v>0.12</v>
      </c>
      <c r="AB68" s="24">
        <f>VLOOKUP(N68, IMPOSTO!$A:$D, 4, 0)</f>
        <v>7.0000000000000007E-2</v>
      </c>
      <c r="AC68" s="25">
        <f t="shared" si="3"/>
        <v>7108.7269843260192</v>
      </c>
      <c r="AD68" s="25">
        <f t="shared" si="4"/>
        <v>7557.4143246425565</v>
      </c>
      <c r="AE68" s="25">
        <f t="shared" si="5"/>
        <v>6719.8706948461258</v>
      </c>
      <c r="AF68" s="25">
        <f t="shared" si="6"/>
        <v>7189.9769843260192</v>
      </c>
      <c r="AG68" s="25">
        <f t="shared" si="7"/>
        <v>7091.4542570532913</v>
      </c>
      <c r="AH68" s="25">
        <f t="shared" si="8"/>
        <v>7156.2269843260183</v>
      </c>
      <c r="AI68" s="25">
        <f t="shared" si="9"/>
        <v>7088.3653185020403</v>
      </c>
    </row>
    <row r="69" spans="1:35" ht="15.75" customHeight="1">
      <c r="A69" s="12" t="s">
        <v>52</v>
      </c>
      <c r="B69" s="12" t="s">
        <v>53</v>
      </c>
      <c r="C69" s="12" t="s">
        <v>54</v>
      </c>
      <c r="D69" s="12" t="s">
        <v>33</v>
      </c>
      <c r="E69" s="12" t="s">
        <v>24</v>
      </c>
      <c r="F69" s="13">
        <v>5332.0436305385947</v>
      </c>
      <c r="G69" s="14">
        <v>84223.505300547462</v>
      </c>
      <c r="H69" s="24" t="str">
        <f t="shared" ref="H69:H132" si="11">$E69 &amp; H$17</f>
        <v>MGSP</v>
      </c>
      <c r="I69" s="24" t="str">
        <f t="shared" si="10"/>
        <v>MGMG</v>
      </c>
      <c r="J69" s="24" t="str">
        <f t="shared" si="10"/>
        <v>MGES</v>
      </c>
      <c r="K69" s="24" t="str">
        <f t="shared" si="10"/>
        <v>MGSC</v>
      </c>
      <c r="L69" s="24" t="str">
        <f t="shared" si="10"/>
        <v>MGRJ</v>
      </c>
      <c r="M69" s="24" t="str">
        <f t="shared" si="10"/>
        <v>MGPR</v>
      </c>
      <c r="N69" s="24" t="str">
        <f t="shared" si="10"/>
        <v>MGAM</v>
      </c>
      <c r="O69" s="24">
        <f>VLOOKUP(H69, KM!$A:$E, 5, 0)</f>
        <v>586</v>
      </c>
      <c r="P69" s="24">
        <f>VLOOKUP(I69, KM!$A:$E, 5, 0)</f>
        <v>0</v>
      </c>
      <c r="Q69" s="24">
        <f>VLOOKUP(J69, KM!$A:$E, 5, 0)</f>
        <v>524</v>
      </c>
      <c r="R69" s="24">
        <f>VLOOKUP(K69, KM!$A:$E, 5, 0)</f>
        <v>1301</v>
      </c>
      <c r="S69" s="24">
        <f>VLOOKUP(L69, KM!$A:$E, 5, 0)</f>
        <v>434</v>
      </c>
      <c r="T69" s="24">
        <f>VLOOKUP(M69, KM!$A:$E, 5, 0)</f>
        <v>1004</v>
      </c>
      <c r="U69" s="24">
        <f>VLOOKUP(N69, KM!$A:$E, 5, 0)</f>
        <v>3951</v>
      </c>
      <c r="V69" s="24">
        <f>VLOOKUP(H69, IMPOSTO!$A:$D, 4, 0)</f>
        <v>0.12</v>
      </c>
      <c r="W69" s="24">
        <f>VLOOKUP(I69, IMPOSTO!$A:$D, 4, 0)</f>
        <v>0.18</v>
      </c>
      <c r="X69" s="24">
        <f>VLOOKUP(J69, IMPOSTO!$A:$D, 4, 0)</f>
        <v>7.0000000000000007E-2</v>
      </c>
      <c r="Y69" s="24">
        <f>VLOOKUP(K69, IMPOSTO!$A:$D, 4, 0)</f>
        <v>0.12</v>
      </c>
      <c r="Z69" s="24">
        <f>VLOOKUP(L69, IMPOSTO!$A:$D, 4, 0)</f>
        <v>0.12</v>
      </c>
      <c r="AA69" s="24">
        <f>VLOOKUP(M69, IMPOSTO!$A:$D, 4, 0)</f>
        <v>0.12</v>
      </c>
      <c r="AB69" s="24">
        <f>VLOOKUP(N69, IMPOSTO!$A:$D, 4, 0)</f>
        <v>7.0000000000000007E-2</v>
      </c>
      <c r="AC69" s="25">
        <f t="shared" si="3"/>
        <v>95775.119659713033</v>
      </c>
      <c r="AD69" s="25">
        <f t="shared" si="4"/>
        <v>102711.59182993592</v>
      </c>
      <c r="AE69" s="25">
        <f t="shared" si="5"/>
        <v>90619.253011341352</v>
      </c>
      <c r="AF69" s="25">
        <f t="shared" si="6"/>
        <v>95856.369659713033</v>
      </c>
      <c r="AG69" s="25">
        <f t="shared" si="7"/>
        <v>95757.846932440298</v>
      </c>
      <c r="AH69" s="25">
        <f t="shared" si="8"/>
        <v>95822.619659713018</v>
      </c>
      <c r="AI69" s="25">
        <f t="shared" si="9"/>
        <v>90987.747634997286</v>
      </c>
    </row>
    <row r="70" spans="1:35" ht="15.75" customHeight="1">
      <c r="A70" s="12" t="s">
        <v>58</v>
      </c>
      <c r="B70" s="12" t="s">
        <v>59</v>
      </c>
      <c r="C70" s="12" t="s">
        <v>60</v>
      </c>
      <c r="D70" s="12" t="s">
        <v>50</v>
      </c>
      <c r="E70" s="12" t="s">
        <v>24</v>
      </c>
      <c r="F70" s="13">
        <v>9.1145717463848711E-2</v>
      </c>
      <c r="G70" s="14">
        <v>5.7073169632925476</v>
      </c>
      <c r="H70" s="24" t="str">
        <f t="shared" si="11"/>
        <v>MGSP</v>
      </c>
      <c r="I70" s="24" t="str">
        <f t="shared" si="10"/>
        <v>MGMG</v>
      </c>
      <c r="J70" s="24" t="str">
        <f t="shared" si="10"/>
        <v>MGES</v>
      </c>
      <c r="K70" s="24" t="str">
        <f t="shared" si="10"/>
        <v>MGSC</v>
      </c>
      <c r="L70" s="24" t="str">
        <f t="shared" si="10"/>
        <v>MGRJ</v>
      </c>
      <c r="M70" s="24" t="str">
        <f t="shared" si="10"/>
        <v>MGPR</v>
      </c>
      <c r="N70" s="24" t="str">
        <f t="shared" si="10"/>
        <v>MGAM</v>
      </c>
      <c r="O70" s="24">
        <f>VLOOKUP(H70, KM!$A:$E, 5, 0)</f>
        <v>586</v>
      </c>
      <c r="P70" s="24">
        <f>VLOOKUP(I70, KM!$A:$E, 5, 0)</f>
        <v>0</v>
      </c>
      <c r="Q70" s="24">
        <f>VLOOKUP(J70, KM!$A:$E, 5, 0)</f>
        <v>524</v>
      </c>
      <c r="R70" s="24">
        <f>VLOOKUP(K70, KM!$A:$E, 5, 0)</f>
        <v>1301</v>
      </c>
      <c r="S70" s="24">
        <f>VLOOKUP(L70, KM!$A:$E, 5, 0)</f>
        <v>434</v>
      </c>
      <c r="T70" s="24">
        <f>VLOOKUP(M70, KM!$A:$E, 5, 0)</f>
        <v>1004</v>
      </c>
      <c r="U70" s="24">
        <f>VLOOKUP(N70, KM!$A:$E, 5, 0)</f>
        <v>3951</v>
      </c>
      <c r="V70" s="24">
        <f>VLOOKUP(H70, IMPOSTO!$A:$D, 4, 0)</f>
        <v>0.12</v>
      </c>
      <c r="W70" s="24">
        <f>VLOOKUP(I70, IMPOSTO!$A:$D, 4, 0)</f>
        <v>0.18</v>
      </c>
      <c r="X70" s="24">
        <f>VLOOKUP(J70, IMPOSTO!$A:$D, 4, 0)</f>
        <v>7.0000000000000007E-2</v>
      </c>
      <c r="Y70" s="24">
        <f>VLOOKUP(K70, IMPOSTO!$A:$D, 4, 0)</f>
        <v>0.12</v>
      </c>
      <c r="Z70" s="24">
        <f>VLOOKUP(L70, IMPOSTO!$A:$D, 4, 0)</f>
        <v>0.12</v>
      </c>
      <c r="AA70" s="24">
        <f>VLOOKUP(M70, IMPOSTO!$A:$D, 4, 0)</f>
        <v>0.12</v>
      </c>
      <c r="AB70" s="24">
        <f>VLOOKUP(N70, IMPOSTO!$A:$D, 4, 0)</f>
        <v>7.0000000000000007E-2</v>
      </c>
      <c r="AC70" s="25">
        <f t="shared" si="3"/>
        <v>73.076496549196079</v>
      </c>
      <c r="AD70" s="25">
        <f t="shared" si="4"/>
        <v>6.9601426381616429</v>
      </c>
      <c r="AE70" s="25">
        <f t="shared" si="5"/>
        <v>62.480985982035008</v>
      </c>
      <c r="AF70" s="25">
        <f t="shared" si="6"/>
        <v>154.32649654919607</v>
      </c>
      <c r="AG70" s="25">
        <f t="shared" si="7"/>
        <v>55.803769276468813</v>
      </c>
      <c r="AH70" s="25">
        <f t="shared" si="8"/>
        <v>120.57649654919608</v>
      </c>
      <c r="AI70" s="25">
        <f t="shared" si="9"/>
        <v>430.97560963794905</v>
      </c>
    </row>
    <row r="71" spans="1:35" ht="15.75" customHeight="1">
      <c r="A71" s="12" t="s">
        <v>82</v>
      </c>
      <c r="B71" s="12" t="s">
        <v>83</v>
      </c>
      <c r="C71" s="12" t="s">
        <v>69</v>
      </c>
      <c r="D71" s="12" t="s">
        <v>33</v>
      </c>
      <c r="E71" s="12" t="s">
        <v>24</v>
      </c>
      <c r="F71" s="13">
        <v>4.6896040000000001</v>
      </c>
      <c r="G71" s="14">
        <v>284.91689102000004</v>
      </c>
      <c r="H71" s="24" t="str">
        <f t="shared" si="11"/>
        <v>MGSP</v>
      </c>
      <c r="I71" s="24" t="str">
        <f t="shared" si="10"/>
        <v>MGMG</v>
      </c>
      <c r="J71" s="24" t="str">
        <f t="shared" si="10"/>
        <v>MGES</v>
      </c>
      <c r="K71" s="24" t="str">
        <f t="shared" si="10"/>
        <v>MGSC</v>
      </c>
      <c r="L71" s="24" t="str">
        <f t="shared" si="10"/>
        <v>MGRJ</v>
      </c>
      <c r="M71" s="24" t="str">
        <f t="shared" si="10"/>
        <v>MGPR</v>
      </c>
      <c r="N71" s="24" t="str">
        <f t="shared" si="10"/>
        <v>MGAM</v>
      </c>
      <c r="O71" s="24">
        <f>VLOOKUP(H71, KM!$A:$E, 5, 0)</f>
        <v>586</v>
      </c>
      <c r="P71" s="24">
        <f>VLOOKUP(I71, KM!$A:$E, 5, 0)</f>
        <v>0</v>
      </c>
      <c r="Q71" s="24">
        <f>VLOOKUP(J71, KM!$A:$E, 5, 0)</f>
        <v>524</v>
      </c>
      <c r="R71" s="24">
        <f>VLOOKUP(K71, KM!$A:$E, 5, 0)</f>
        <v>1301</v>
      </c>
      <c r="S71" s="24">
        <f>VLOOKUP(L71, KM!$A:$E, 5, 0)</f>
        <v>434</v>
      </c>
      <c r="T71" s="24">
        <f>VLOOKUP(M71, KM!$A:$E, 5, 0)</f>
        <v>1004</v>
      </c>
      <c r="U71" s="24">
        <f>VLOOKUP(N71, KM!$A:$E, 5, 0)</f>
        <v>3951</v>
      </c>
      <c r="V71" s="24">
        <f>VLOOKUP(H71, IMPOSTO!$A:$D, 4, 0)</f>
        <v>0.12</v>
      </c>
      <c r="W71" s="24">
        <f>VLOOKUP(I71, IMPOSTO!$A:$D, 4, 0)</f>
        <v>0.18</v>
      </c>
      <c r="X71" s="24">
        <f>VLOOKUP(J71, IMPOSTO!$A:$D, 4, 0)</f>
        <v>7.0000000000000007E-2</v>
      </c>
      <c r="Y71" s="24">
        <f>VLOOKUP(K71, IMPOSTO!$A:$D, 4, 0)</f>
        <v>0.12</v>
      </c>
      <c r="Z71" s="24">
        <f>VLOOKUP(L71, IMPOSTO!$A:$D, 4, 0)</f>
        <v>0.12</v>
      </c>
      <c r="AA71" s="24">
        <f>VLOOKUP(M71, IMPOSTO!$A:$D, 4, 0)</f>
        <v>0.12</v>
      </c>
      <c r="AB71" s="24">
        <f>VLOOKUP(N71, IMPOSTO!$A:$D, 4, 0)</f>
        <v>7.0000000000000007E-2</v>
      </c>
      <c r="AC71" s="25">
        <f t="shared" si="3"/>
        <v>390.36010343181823</v>
      </c>
      <c r="AD71" s="25">
        <f t="shared" si="4"/>
        <v>347.45962319512199</v>
      </c>
      <c r="AE71" s="25">
        <f t="shared" si="5"/>
        <v>362.70633443010763</v>
      </c>
      <c r="AF71" s="25">
        <f t="shared" si="6"/>
        <v>471.61010343181817</v>
      </c>
      <c r="AG71" s="25">
        <f t="shared" si="7"/>
        <v>373.08737615909098</v>
      </c>
      <c r="AH71" s="25">
        <f t="shared" si="8"/>
        <v>437.86010343181829</v>
      </c>
      <c r="AI71" s="25">
        <f t="shared" si="9"/>
        <v>731.2009580860215</v>
      </c>
    </row>
    <row r="72" spans="1:35" ht="15.75" customHeight="1">
      <c r="A72" s="12" t="s">
        <v>84</v>
      </c>
      <c r="B72" s="12" t="s">
        <v>85</v>
      </c>
      <c r="C72" s="12" t="s">
        <v>86</v>
      </c>
      <c r="D72" s="12" t="s">
        <v>33</v>
      </c>
      <c r="E72" s="12" t="s">
        <v>24</v>
      </c>
      <c r="F72" s="13">
        <v>1198.909090909091</v>
      </c>
      <c r="G72" s="14">
        <v>2411.5140530303033</v>
      </c>
      <c r="H72" s="24" t="str">
        <f t="shared" si="11"/>
        <v>MGSP</v>
      </c>
      <c r="I72" s="24" t="str">
        <f t="shared" si="10"/>
        <v>MGMG</v>
      </c>
      <c r="J72" s="24" t="str">
        <f t="shared" si="10"/>
        <v>MGES</v>
      </c>
      <c r="K72" s="24" t="str">
        <f t="shared" si="10"/>
        <v>MGSC</v>
      </c>
      <c r="L72" s="24" t="str">
        <f t="shared" si="10"/>
        <v>MGRJ</v>
      </c>
      <c r="M72" s="24" t="str">
        <f t="shared" si="10"/>
        <v>MGPR</v>
      </c>
      <c r="N72" s="24" t="str">
        <f t="shared" si="10"/>
        <v>MGAM</v>
      </c>
      <c r="O72" s="24">
        <f>VLOOKUP(H72, KM!$A:$E, 5, 0)</f>
        <v>586</v>
      </c>
      <c r="P72" s="24">
        <f>VLOOKUP(I72, KM!$A:$E, 5, 0)</f>
        <v>0</v>
      </c>
      <c r="Q72" s="24">
        <f>VLOOKUP(J72, KM!$A:$E, 5, 0)</f>
        <v>524</v>
      </c>
      <c r="R72" s="24">
        <f>VLOOKUP(K72, KM!$A:$E, 5, 0)</f>
        <v>1301</v>
      </c>
      <c r="S72" s="24">
        <f>VLOOKUP(L72, KM!$A:$E, 5, 0)</f>
        <v>434</v>
      </c>
      <c r="T72" s="24">
        <f>VLOOKUP(M72, KM!$A:$E, 5, 0)</f>
        <v>1004</v>
      </c>
      <c r="U72" s="24">
        <f>VLOOKUP(N72, KM!$A:$E, 5, 0)</f>
        <v>3951</v>
      </c>
      <c r="V72" s="24">
        <f>VLOOKUP(H72, IMPOSTO!$A:$D, 4, 0)</f>
        <v>0.12</v>
      </c>
      <c r="W72" s="24">
        <f>VLOOKUP(I72, IMPOSTO!$A:$D, 4, 0)</f>
        <v>0.18</v>
      </c>
      <c r="X72" s="24">
        <f>VLOOKUP(J72, IMPOSTO!$A:$D, 4, 0)</f>
        <v>7.0000000000000007E-2</v>
      </c>
      <c r="Y72" s="24">
        <f>VLOOKUP(K72, IMPOSTO!$A:$D, 4, 0)</f>
        <v>0.12</v>
      </c>
      <c r="Z72" s="24">
        <f>VLOOKUP(L72, IMPOSTO!$A:$D, 4, 0)</f>
        <v>0.12</v>
      </c>
      <c r="AA72" s="24">
        <f>VLOOKUP(M72, IMPOSTO!$A:$D, 4, 0)</f>
        <v>0.12</v>
      </c>
      <c r="AB72" s="24">
        <f>VLOOKUP(N72, IMPOSTO!$A:$D, 4, 0)</f>
        <v>7.0000000000000007E-2</v>
      </c>
      <c r="AC72" s="25">
        <f t="shared" si="3"/>
        <v>2806.9477875344355</v>
      </c>
      <c r="AD72" s="25">
        <f t="shared" si="4"/>
        <v>2940.8707963784186</v>
      </c>
      <c r="AE72" s="25">
        <f t="shared" si="5"/>
        <v>2649.3699494949501</v>
      </c>
      <c r="AF72" s="25">
        <f t="shared" si="6"/>
        <v>2888.1977875344355</v>
      </c>
      <c r="AG72" s="25">
        <f t="shared" si="7"/>
        <v>2789.6750602617085</v>
      </c>
      <c r="AH72" s="25">
        <f t="shared" si="8"/>
        <v>2854.4477875344355</v>
      </c>
      <c r="AI72" s="25">
        <f t="shared" si="9"/>
        <v>3017.8645731508641</v>
      </c>
    </row>
    <row r="73" spans="1:35" ht="15.75" customHeight="1">
      <c r="A73" s="12" t="s">
        <v>79</v>
      </c>
      <c r="B73" s="12" t="s">
        <v>80</v>
      </c>
      <c r="C73" s="12" t="s">
        <v>81</v>
      </c>
      <c r="D73" s="12" t="s">
        <v>50</v>
      </c>
      <c r="E73" s="12" t="s">
        <v>24</v>
      </c>
      <c r="F73" s="13">
        <v>0.67835839457320513</v>
      </c>
      <c r="G73" s="14">
        <v>10.722417727529679</v>
      </c>
      <c r="H73" s="24" t="str">
        <f t="shared" si="11"/>
        <v>MGSP</v>
      </c>
      <c r="I73" s="24" t="str">
        <f t="shared" si="10"/>
        <v>MGMG</v>
      </c>
      <c r="J73" s="24" t="str">
        <f t="shared" si="10"/>
        <v>MGES</v>
      </c>
      <c r="K73" s="24" t="str">
        <f t="shared" si="10"/>
        <v>MGSC</v>
      </c>
      <c r="L73" s="24" t="str">
        <f t="shared" si="10"/>
        <v>MGRJ</v>
      </c>
      <c r="M73" s="24" t="str">
        <f t="shared" si="10"/>
        <v>MGPR</v>
      </c>
      <c r="N73" s="24" t="str">
        <f t="shared" si="10"/>
        <v>MGAM</v>
      </c>
      <c r="O73" s="24">
        <f>VLOOKUP(H73, KM!$A:$E, 5, 0)</f>
        <v>586</v>
      </c>
      <c r="P73" s="24">
        <f>VLOOKUP(I73, KM!$A:$E, 5, 0)</f>
        <v>0</v>
      </c>
      <c r="Q73" s="24">
        <f>VLOOKUP(J73, KM!$A:$E, 5, 0)</f>
        <v>524</v>
      </c>
      <c r="R73" s="24">
        <f>VLOOKUP(K73, KM!$A:$E, 5, 0)</f>
        <v>1301</v>
      </c>
      <c r="S73" s="24">
        <f>VLOOKUP(L73, KM!$A:$E, 5, 0)</f>
        <v>434</v>
      </c>
      <c r="T73" s="24">
        <f>VLOOKUP(M73, KM!$A:$E, 5, 0)</f>
        <v>1004</v>
      </c>
      <c r="U73" s="24">
        <f>VLOOKUP(N73, KM!$A:$E, 5, 0)</f>
        <v>3951</v>
      </c>
      <c r="V73" s="24">
        <f>VLOOKUP(H73, IMPOSTO!$A:$D, 4, 0)</f>
        <v>0.12</v>
      </c>
      <c r="W73" s="24">
        <f>VLOOKUP(I73, IMPOSTO!$A:$D, 4, 0)</f>
        <v>0.18</v>
      </c>
      <c r="X73" s="24">
        <f>VLOOKUP(J73, IMPOSTO!$A:$D, 4, 0)</f>
        <v>7.0000000000000007E-2</v>
      </c>
      <c r="Y73" s="24">
        <f>VLOOKUP(K73, IMPOSTO!$A:$D, 4, 0)</f>
        <v>0.12</v>
      </c>
      <c r="Z73" s="24">
        <f>VLOOKUP(L73, IMPOSTO!$A:$D, 4, 0)</f>
        <v>0.12</v>
      </c>
      <c r="AA73" s="24">
        <f>VLOOKUP(M73, IMPOSTO!$A:$D, 4, 0)</f>
        <v>0.12</v>
      </c>
      <c r="AB73" s="24">
        <f>VLOOKUP(N73, IMPOSTO!$A:$D, 4, 0)</f>
        <v>7.0000000000000007E-2</v>
      </c>
      <c r="AC73" s="25">
        <f t="shared" si="3"/>
        <v>78.775474690374637</v>
      </c>
      <c r="AD73" s="25">
        <f t="shared" si="4"/>
        <v>13.076119179914242</v>
      </c>
      <c r="AE73" s="25">
        <f t="shared" si="5"/>
        <v>67.873567448956663</v>
      </c>
      <c r="AF73" s="25">
        <f t="shared" si="6"/>
        <v>160.02547469037464</v>
      </c>
      <c r="AG73" s="25">
        <f t="shared" si="7"/>
        <v>61.50274741764737</v>
      </c>
      <c r="AH73" s="25">
        <f t="shared" si="8"/>
        <v>126.27547469037464</v>
      </c>
      <c r="AI73" s="25">
        <f t="shared" si="9"/>
        <v>436.36819110487068</v>
      </c>
    </row>
    <row r="74" spans="1:35" ht="15.75" customHeight="1">
      <c r="A74" s="12" t="s">
        <v>64</v>
      </c>
      <c r="B74" s="12" t="s">
        <v>65</v>
      </c>
      <c r="C74" s="12" t="s">
        <v>66</v>
      </c>
      <c r="D74" s="12" t="s">
        <v>50</v>
      </c>
      <c r="E74" s="12" t="s">
        <v>24</v>
      </c>
      <c r="F74" s="13">
        <v>64.748381334505865</v>
      </c>
      <c r="G74" s="14">
        <v>1212.7889811003624</v>
      </c>
      <c r="H74" s="24" t="str">
        <f t="shared" si="11"/>
        <v>MGSP</v>
      </c>
      <c r="I74" s="24" t="str">
        <f t="shared" si="10"/>
        <v>MGMG</v>
      </c>
      <c r="J74" s="24" t="str">
        <f t="shared" si="10"/>
        <v>MGES</v>
      </c>
      <c r="K74" s="24" t="str">
        <f t="shared" si="10"/>
        <v>MGSC</v>
      </c>
      <c r="L74" s="24" t="str">
        <f t="shared" si="10"/>
        <v>MGRJ</v>
      </c>
      <c r="M74" s="24" t="str">
        <f t="shared" si="10"/>
        <v>MGPR</v>
      </c>
      <c r="N74" s="24" t="str">
        <f t="shared" si="10"/>
        <v>MGAM</v>
      </c>
      <c r="O74" s="24">
        <f>VLOOKUP(H74, KM!$A:$E, 5, 0)</f>
        <v>586</v>
      </c>
      <c r="P74" s="24">
        <f>VLOOKUP(I74, KM!$A:$E, 5, 0)</f>
        <v>0</v>
      </c>
      <c r="Q74" s="24">
        <f>VLOOKUP(J74, KM!$A:$E, 5, 0)</f>
        <v>524</v>
      </c>
      <c r="R74" s="24">
        <f>VLOOKUP(K74, KM!$A:$E, 5, 0)</f>
        <v>1301</v>
      </c>
      <c r="S74" s="24">
        <f>VLOOKUP(L74, KM!$A:$E, 5, 0)</f>
        <v>434</v>
      </c>
      <c r="T74" s="24">
        <f>VLOOKUP(M74, KM!$A:$E, 5, 0)</f>
        <v>1004</v>
      </c>
      <c r="U74" s="24">
        <f>VLOOKUP(N74, KM!$A:$E, 5, 0)</f>
        <v>3951</v>
      </c>
      <c r="V74" s="24">
        <f>VLOOKUP(H74, IMPOSTO!$A:$D, 4, 0)</f>
        <v>0.12</v>
      </c>
      <c r="W74" s="24">
        <f>VLOOKUP(I74, IMPOSTO!$A:$D, 4, 0)</f>
        <v>0.18</v>
      </c>
      <c r="X74" s="24">
        <f>VLOOKUP(J74, IMPOSTO!$A:$D, 4, 0)</f>
        <v>7.0000000000000007E-2</v>
      </c>
      <c r="Y74" s="24">
        <f>VLOOKUP(K74, IMPOSTO!$A:$D, 4, 0)</f>
        <v>0.12</v>
      </c>
      <c r="Z74" s="24">
        <f>VLOOKUP(L74, IMPOSTO!$A:$D, 4, 0)</f>
        <v>0.12</v>
      </c>
      <c r="AA74" s="24">
        <f>VLOOKUP(M74, IMPOSTO!$A:$D, 4, 0)</f>
        <v>0.12</v>
      </c>
      <c r="AB74" s="24">
        <f>VLOOKUP(N74, IMPOSTO!$A:$D, 4, 0)</f>
        <v>7.0000000000000007E-2</v>
      </c>
      <c r="AC74" s="25">
        <f t="shared" si="3"/>
        <v>1444.7602057958663</v>
      </c>
      <c r="AD74" s="25">
        <f t="shared" si="4"/>
        <v>1479.0109525614175</v>
      </c>
      <c r="AE74" s="25">
        <f t="shared" si="5"/>
        <v>1360.4182592477018</v>
      </c>
      <c r="AF74" s="25">
        <f t="shared" si="6"/>
        <v>1526.0102057958663</v>
      </c>
      <c r="AG74" s="25">
        <f t="shared" si="7"/>
        <v>1427.4874785231393</v>
      </c>
      <c r="AH74" s="25">
        <f t="shared" si="8"/>
        <v>1492.2602057958666</v>
      </c>
      <c r="AI74" s="25">
        <f t="shared" si="9"/>
        <v>1728.9128829036156</v>
      </c>
    </row>
    <row r="75" spans="1:35" ht="15.75" customHeight="1">
      <c r="A75" s="12" t="s">
        <v>87</v>
      </c>
      <c r="B75" s="12" t="s">
        <v>88</v>
      </c>
      <c r="C75" s="12" t="s">
        <v>89</v>
      </c>
      <c r="D75" s="12" t="s">
        <v>33</v>
      </c>
      <c r="E75" s="12" t="s">
        <v>24</v>
      </c>
      <c r="F75" s="13">
        <v>5.4546913853664352</v>
      </c>
      <c r="G75" s="14">
        <v>32.973374619944039</v>
      </c>
      <c r="H75" s="24" t="str">
        <f t="shared" si="11"/>
        <v>MGSP</v>
      </c>
      <c r="I75" s="24" t="str">
        <f t="shared" si="10"/>
        <v>MGMG</v>
      </c>
      <c r="J75" s="24" t="str">
        <f t="shared" si="10"/>
        <v>MGES</v>
      </c>
      <c r="K75" s="24" t="str">
        <f t="shared" si="10"/>
        <v>MGSC</v>
      </c>
      <c r="L75" s="24" t="str">
        <f t="shared" si="10"/>
        <v>MGRJ</v>
      </c>
      <c r="M75" s="24" t="str">
        <f t="shared" si="10"/>
        <v>MGPR</v>
      </c>
      <c r="N75" s="24" t="str">
        <f t="shared" si="10"/>
        <v>MGAM</v>
      </c>
      <c r="O75" s="24">
        <f>VLOOKUP(H75, KM!$A:$E, 5, 0)</f>
        <v>586</v>
      </c>
      <c r="P75" s="24">
        <f>VLOOKUP(I75, KM!$A:$E, 5, 0)</f>
        <v>0</v>
      </c>
      <c r="Q75" s="24">
        <f>VLOOKUP(J75, KM!$A:$E, 5, 0)</f>
        <v>524</v>
      </c>
      <c r="R75" s="24">
        <f>VLOOKUP(K75, KM!$A:$E, 5, 0)</f>
        <v>1301</v>
      </c>
      <c r="S75" s="24">
        <f>VLOOKUP(L75, KM!$A:$E, 5, 0)</f>
        <v>434</v>
      </c>
      <c r="T75" s="24">
        <f>VLOOKUP(M75, KM!$A:$E, 5, 0)</f>
        <v>1004</v>
      </c>
      <c r="U75" s="24">
        <f>VLOOKUP(N75, KM!$A:$E, 5, 0)</f>
        <v>3951</v>
      </c>
      <c r="V75" s="24">
        <f>VLOOKUP(H75, IMPOSTO!$A:$D, 4, 0)</f>
        <v>0.12</v>
      </c>
      <c r="W75" s="24">
        <f>VLOOKUP(I75, IMPOSTO!$A:$D, 4, 0)</f>
        <v>0.18</v>
      </c>
      <c r="X75" s="24">
        <f>VLOOKUP(J75, IMPOSTO!$A:$D, 4, 0)</f>
        <v>7.0000000000000007E-2</v>
      </c>
      <c r="Y75" s="24">
        <f>VLOOKUP(K75, IMPOSTO!$A:$D, 4, 0)</f>
        <v>0.12</v>
      </c>
      <c r="Z75" s="24">
        <f>VLOOKUP(L75, IMPOSTO!$A:$D, 4, 0)</f>
        <v>0.12</v>
      </c>
      <c r="AA75" s="24">
        <f>VLOOKUP(M75, IMPOSTO!$A:$D, 4, 0)</f>
        <v>0.12</v>
      </c>
      <c r="AB75" s="24">
        <f>VLOOKUP(N75, IMPOSTO!$A:$D, 4, 0)</f>
        <v>7.0000000000000007E-2</v>
      </c>
      <c r="AC75" s="25">
        <f t="shared" si="3"/>
        <v>104.06065297720914</v>
      </c>
      <c r="AD75" s="25">
        <f t="shared" si="4"/>
        <v>40.211432463346384</v>
      </c>
      <c r="AE75" s="25">
        <f t="shared" si="5"/>
        <v>91.799327548326943</v>
      </c>
      <c r="AF75" s="25">
        <f t="shared" si="6"/>
        <v>185.31065297720914</v>
      </c>
      <c r="AG75" s="25">
        <f t="shared" si="7"/>
        <v>86.787925704481864</v>
      </c>
      <c r="AH75" s="25">
        <f t="shared" si="8"/>
        <v>151.56065297720914</v>
      </c>
      <c r="AI75" s="25">
        <f t="shared" si="9"/>
        <v>460.29395120424095</v>
      </c>
    </row>
    <row r="76" spans="1:35" ht="15.75" customHeight="1">
      <c r="A76" s="12" t="s">
        <v>90</v>
      </c>
      <c r="B76" s="12" t="s">
        <v>91</v>
      </c>
      <c r="C76" s="12" t="s">
        <v>63</v>
      </c>
      <c r="D76" s="12" t="s">
        <v>33</v>
      </c>
      <c r="E76" s="12" t="s">
        <v>24</v>
      </c>
      <c r="F76" s="13">
        <v>9.8356794671232972</v>
      </c>
      <c r="G76" s="14">
        <v>236.58816639822444</v>
      </c>
      <c r="H76" s="24" t="str">
        <f t="shared" si="11"/>
        <v>MGSP</v>
      </c>
      <c r="I76" s="24" t="str">
        <f t="shared" si="10"/>
        <v>MGMG</v>
      </c>
      <c r="J76" s="24" t="str">
        <f t="shared" si="10"/>
        <v>MGES</v>
      </c>
      <c r="K76" s="24" t="str">
        <f t="shared" si="10"/>
        <v>MGSC</v>
      </c>
      <c r="L76" s="24" t="str">
        <f t="shared" si="10"/>
        <v>MGRJ</v>
      </c>
      <c r="M76" s="24" t="str">
        <f t="shared" si="10"/>
        <v>MGPR</v>
      </c>
      <c r="N76" s="24" t="str">
        <f t="shared" si="10"/>
        <v>MGAM</v>
      </c>
      <c r="O76" s="24">
        <f>VLOOKUP(H76, KM!$A:$E, 5, 0)</f>
        <v>586</v>
      </c>
      <c r="P76" s="24">
        <f>VLOOKUP(I76, KM!$A:$E, 5, 0)</f>
        <v>0</v>
      </c>
      <c r="Q76" s="24">
        <f>VLOOKUP(J76, KM!$A:$E, 5, 0)</f>
        <v>524</v>
      </c>
      <c r="R76" s="24">
        <f>VLOOKUP(K76, KM!$A:$E, 5, 0)</f>
        <v>1301</v>
      </c>
      <c r="S76" s="24">
        <f>VLOOKUP(L76, KM!$A:$E, 5, 0)</f>
        <v>434</v>
      </c>
      <c r="T76" s="24">
        <f>VLOOKUP(M76, KM!$A:$E, 5, 0)</f>
        <v>1004</v>
      </c>
      <c r="U76" s="24">
        <f>VLOOKUP(N76, KM!$A:$E, 5, 0)</f>
        <v>3951</v>
      </c>
      <c r="V76" s="24">
        <f>VLOOKUP(H76, IMPOSTO!$A:$D, 4, 0)</f>
        <v>0.12</v>
      </c>
      <c r="W76" s="24">
        <f>VLOOKUP(I76, IMPOSTO!$A:$D, 4, 0)</f>
        <v>0.18</v>
      </c>
      <c r="X76" s="24">
        <f>VLOOKUP(J76, IMPOSTO!$A:$D, 4, 0)</f>
        <v>7.0000000000000007E-2</v>
      </c>
      <c r="Y76" s="24">
        <f>VLOOKUP(K76, IMPOSTO!$A:$D, 4, 0)</f>
        <v>0.12</v>
      </c>
      <c r="Z76" s="24">
        <f>VLOOKUP(L76, IMPOSTO!$A:$D, 4, 0)</f>
        <v>0.12</v>
      </c>
      <c r="AA76" s="24">
        <f>VLOOKUP(M76, IMPOSTO!$A:$D, 4, 0)</f>
        <v>0.12</v>
      </c>
      <c r="AB76" s="24">
        <f>VLOOKUP(N76, IMPOSTO!$A:$D, 4, 0)</f>
        <v>7.0000000000000007E-2</v>
      </c>
      <c r="AC76" s="25">
        <f t="shared" si="3"/>
        <v>335.44109817980052</v>
      </c>
      <c r="AD76" s="25">
        <f t="shared" si="4"/>
        <v>288.52215414417611</v>
      </c>
      <c r="AE76" s="25">
        <f t="shared" si="5"/>
        <v>310.73996386905856</v>
      </c>
      <c r="AF76" s="25">
        <f t="shared" si="6"/>
        <v>416.69109817980052</v>
      </c>
      <c r="AG76" s="25">
        <f t="shared" si="7"/>
        <v>318.16837090707321</v>
      </c>
      <c r="AH76" s="25">
        <f t="shared" si="8"/>
        <v>382.94109817980052</v>
      </c>
      <c r="AI76" s="25">
        <f t="shared" si="9"/>
        <v>679.23458752497254</v>
      </c>
    </row>
    <row r="77" spans="1:35" ht="15.75" customHeight="1">
      <c r="A77" s="12" t="s">
        <v>72</v>
      </c>
      <c r="B77" s="12" t="s">
        <v>73</v>
      </c>
      <c r="C77" s="12" t="s">
        <v>63</v>
      </c>
      <c r="D77" s="12" t="s">
        <v>33</v>
      </c>
      <c r="E77" s="12" t="s">
        <v>24</v>
      </c>
      <c r="F77" s="13">
        <v>8.9283656267949034</v>
      </c>
      <c r="G77" s="14">
        <v>140.8697587353895</v>
      </c>
      <c r="H77" s="24" t="str">
        <f t="shared" si="11"/>
        <v>MGSP</v>
      </c>
      <c r="I77" s="24" t="str">
        <f t="shared" si="10"/>
        <v>MGMG</v>
      </c>
      <c r="J77" s="24" t="str">
        <f t="shared" si="10"/>
        <v>MGES</v>
      </c>
      <c r="K77" s="24" t="str">
        <f t="shared" si="10"/>
        <v>MGSC</v>
      </c>
      <c r="L77" s="24" t="str">
        <f t="shared" si="10"/>
        <v>MGRJ</v>
      </c>
      <c r="M77" s="24" t="str">
        <f t="shared" si="10"/>
        <v>MGPR</v>
      </c>
      <c r="N77" s="24" t="str">
        <f t="shared" si="10"/>
        <v>MGAM</v>
      </c>
      <c r="O77" s="24">
        <f>VLOOKUP(H77, KM!$A:$E, 5, 0)</f>
        <v>586</v>
      </c>
      <c r="P77" s="24">
        <f>VLOOKUP(I77, KM!$A:$E, 5, 0)</f>
        <v>0</v>
      </c>
      <c r="Q77" s="24">
        <f>VLOOKUP(J77, KM!$A:$E, 5, 0)</f>
        <v>524</v>
      </c>
      <c r="R77" s="24">
        <f>VLOOKUP(K77, KM!$A:$E, 5, 0)</f>
        <v>1301</v>
      </c>
      <c r="S77" s="24">
        <f>VLOOKUP(L77, KM!$A:$E, 5, 0)</f>
        <v>434</v>
      </c>
      <c r="T77" s="24">
        <f>VLOOKUP(M77, KM!$A:$E, 5, 0)</f>
        <v>1004</v>
      </c>
      <c r="U77" s="24">
        <f>VLOOKUP(N77, KM!$A:$E, 5, 0)</f>
        <v>3951</v>
      </c>
      <c r="V77" s="24">
        <f>VLOOKUP(H77, IMPOSTO!$A:$D, 4, 0)</f>
        <v>0.12</v>
      </c>
      <c r="W77" s="24">
        <f>VLOOKUP(I77, IMPOSTO!$A:$D, 4, 0)</f>
        <v>0.18</v>
      </c>
      <c r="X77" s="24">
        <f>VLOOKUP(J77, IMPOSTO!$A:$D, 4, 0)</f>
        <v>7.0000000000000007E-2</v>
      </c>
      <c r="Y77" s="24">
        <f>VLOOKUP(K77, IMPOSTO!$A:$D, 4, 0)</f>
        <v>0.12</v>
      </c>
      <c r="Z77" s="24">
        <f>VLOOKUP(L77, IMPOSTO!$A:$D, 4, 0)</f>
        <v>0.12</v>
      </c>
      <c r="AA77" s="24">
        <f>VLOOKUP(M77, IMPOSTO!$A:$D, 4, 0)</f>
        <v>0.12</v>
      </c>
      <c r="AB77" s="24">
        <f>VLOOKUP(N77, IMPOSTO!$A:$D, 4, 0)</f>
        <v>7.0000000000000007E-2</v>
      </c>
      <c r="AC77" s="25">
        <f t="shared" si="3"/>
        <v>226.67018038112442</v>
      </c>
      <c r="AD77" s="25">
        <f t="shared" si="4"/>
        <v>171.79238870169451</v>
      </c>
      <c r="AE77" s="25">
        <f t="shared" si="5"/>
        <v>207.81694487676293</v>
      </c>
      <c r="AF77" s="25">
        <f t="shared" si="6"/>
        <v>307.92018038112445</v>
      </c>
      <c r="AG77" s="25">
        <f t="shared" si="7"/>
        <v>209.39745310839717</v>
      </c>
      <c r="AH77" s="25">
        <f t="shared" si="8"/>
        <v>274.17018038112445</v>
      </c>
      <c r="AI77" s="25">
        <f t="shared" si="9"/>
        <v>576.31156853267692</v>
      </c>
    </row>
    <row r="78" spans="1:35" ht="15.75" customHeight="1">
      <c r="A78" s="12" t="s">
        <v>74</v>
      </c>
      <c r="B78" s="12" t="s">
        <v>75</v>
      </c>
      <c r="C78" s="12" t="s">
        <v>57</v>
      </c>
      <c r="D78" s="12" t="s">
        <v>33</v>
      </c>
      <c r="E78" s="12" t="s">
        <v>24</v>
      </c>
      <c r="F78" s="13">
        <v>10.479213662797287</v>
      </c>
      <c r="G78" s="14">
        <v>49.734524318147493</v>
      </c>
      <c r="H78" s="24" t="str">
        <f t="shared" si="11"/>
        <v>MGSP</v>
      </c>
      <c r="I78" s="24" t="str">
        <f t="shared" si="10"/>
        <v>MGMG</v>
      </c>
      <c r="J78" s="24" t="str">
        <f t="shared" si="10"/>
        <v>MGES</v>
      </c>
      <c r="K78" s="24" t="str">
        <f t="shared" si="10"/>
        <v>MGSC</v>
      </c>
      <c r="L78" s="24" t="str">
        <f t="shared" si="10"/>
        <v>MGRJ</v>
      </c>
      <c r="M78" s="24" t="str">
        <f t="shared" si="10"/>
        <v>MGPR</v>
      </c>
      <c r="N78" s="24" t="str">
        <f t="shared" si="10"/>
        <v>MGAM</v>
      </c>
      <c r="O78" s="24">
        <f>VLOOKUP(H78, KM!$A:$E, 5, 0)</f>
        <v>586</v>
      </c>
      <c r="P78" s="24">
        <f>VLOOKUP(I78, KM!$A:$E, 5, 0)</f>
        <v>0</v>
      </c>
      <c r="Q78" s="24">
        <f>VLOOKUP(J78, KM!$A:$E, 5, 0)</f>
        <v>524</v>
      </c>
      <c r="R78" s="24">
        <f>VLOOKUP(K78, KM!$A:$E, 5, 0)</f>
        <v>1301</v>
      </c>
      <c r="S78" s="24">
        <f>VLOOKUP(L78, KM!$A:$E, 5, 0)</f>
        <v>434</v>
      </c>
      <c r="T78" s="24">
        <f>VLOOKUP(M78, KM!$A:$E, 5, 0)</f>
        <v>1004</v>
      </c>
      <c r="U78" s="24">
        <f>VLOOKUP(N78, KM!$A:$E, 5, 0)</f>
        <v>3951</v>
      </c>
      <c r="V78" s="24">
        <f>VLOOKUP(H78, IMPOSTO!$A:$D, 4, 0)</f>
        <v>0.12</v>
      </c>
      <c r="W78" s="24">
        <f>VLOOKUP(I78, IMPOSTO!$A:$D, 4, 0)</f>
        <v>0.18</v>
      </c>
      <c r="X78" s="24">
        <f>VLOOKUP(J78, IMPOSTO!$A:$D, 4, 0)</f>
        <v>7.0000000000000007E-2</v>
      </c>
      <c r="Y78" s="24">
        <f>VLOOKUP(K78, IMPOSTO!$A:$D, 4, 0)</f>
        <v>0.12</v>
      </c>
      <c r="Z78" s="24">
        <f>VLOOKUP(L78, IMPOSTO!$A:$D, 4, 0)</f>
        <v>0.12</v>
      </c>
      <c r="AA78" s="24">
        <f>VLOOKUP(M78, IMPOSTO!$A:$D, 4, 0)</f>
        <v>0.12</v>
      </c>
      <c r="AB78" s="24">
        <f>VLOOKUP(N78, IMPOSTO!$A:$D, 4, 0)</f>
        <v>7.0000000000000007E-2</v>
      </c>
      <c r="AC78" s="25">
        <f t="shared" si="3"/>
        <v>123.10741399789487</v>
      </c>
      <c r="AD78" s="25">
        <f t="shared" si="4"/>
        <v>60.651858924570107</v>
      </c>
      <c r="AE78" s="25">
        <f t="shared" si="5"/>
        <v>109.82206915929839</v>
      </c>
      <c r="AF78" s="25">
        <f t="shared" si="6"/>
        <v>204.35741399789487</v>
      </c>
      <c r="AG78" s="25">
        <f t="shared" si="7"/>
        <v>105.83468672516761</v>
      </c>
      <c r="AH78" s="25">
        <f t="shared" si="8"/>
        <v>170.60741399789489</v>
      </c>
      <c r="AI78" s="25">
        <f t="shared" si="9"/>
        <v>478.31669281521238</v>
      </c>
    </row>
    <row r="79" spans="1:35" ht="15.75" customHeight="1">
      <c r="A79" s="12" t="s">
        <v>74</v>
      </c>
      <c r="B79" s="12" t="s">
        <v>75</v>
      </c>
      <c r="C79" s="12" t="s">
        <v>57</v>
      </c>
      <c r="D79" s="12" t="s">
        <v>33</v>
      </c>
      <c r="E79" s="12" t="s">
        <v>24</v>
      </c>
      <c r="F79" s="13">
        <v>8.1184044249609819</v>
      </c>
      <c r="G79" s="14">
        <v>43.314721620650538</v>
      </c>
      <c r="H79" s="24" t="str">
        <f t="shared" si="11"/>
        <v>MGSP</v>
      </c>
      <c r="I79" s="24" t="str">
        <f t="shared" si="10"/>
        <v>MGMG</v>
      </c>
      <c r="J79" s="24" t="str">
        <f t="shared" si="10"/>
        <v>MGES</v>
      </c>
      <c r="K79" s="24" t="str">
        <f t="shared" si="10"/>
        <v>MGSC</v>
      </c>
      <c r="L79" s="24" t="str">
        <f t="shared" si="10"/>
        <v>MGRJ</v>
      </c>
      <c r="M79" s="24" t="str">
        <f t="shared" si="10"/>
        <v>MGPR</v>
      </c>
      <c r="N79" s="24" t="str">
        <f t="shared" si="10"/>
        <v>MGAM</v>
      </c>
      <c r="O79" s="24">
        <f>VLOOKUP(H79, KM!$A:$E, 5, 0)</f>
        <v>586</v>
      </c>
      <c r="P79" s="24">
        <f>VLOOKUP(I79, KM!$A:$E, 5, 0)</f>
        <v>0</v>
      </c>
      <c r="Q79" s="24">
        <f>VLOOKUP(J79, KM!$A:$E, 5, 0)</f>
        <v>524</v>
      </c>
      <c r="R79" s="24">
        <f>VLOOKUP(K79, KM!$A:$E, 5, 0)</f>
        <v>1301</v>
      </c>
      <c r="S79" s="24">
        <f>VLOOKUP(L79, KM!$A:$E, 5, 0)</f>
        <v>434</v>
      </c>
      <c r="T79" s="24">
        <f>VLOOKUP(M79, KM!$A:$E, 5, 0)</f>
        <v>1004</v>
      </c>
      <c r="U79" s="24">
        <f>VLOOKUP(N79, KM!$A:$E, 5, 0)</f>
        <v>3951</v>
      </c>
      <c r="V79" s="24">
        <f>VLOOKUP(H79, IMPOSTO!$A:$D, 4, 0)</f>
        <v>0.12</v>
      </c>
      <c r="W79" s="24">
        <f>VLOOKUP(I79, IMPOSTO!$A:$D, 4, 0)</f>
        <v>0.18</v>
      </c>
      <c r="X79" s="24">
        <f>VLOOKUP(J79, IMPOSTO!$A:$D, 4, 0)</f>
        <v>7.0000000000000007E-2</v>
      </c>
      <c r="Y79" s="24">
        <f>VLOOKUP(K79, IMPOSTO!$A:$D, 4, 0)</f>
        <v>0.12</v>
      </c>
      <c r="Z79" s="24">
        <f>VLOOKUP(L79, IMPOSTO!$A:$D, 4, 0)</f>
        <v>0.12</v>
      </c>
      <c r="AA79" s="24">
        <f>VLOOKUP(M79, IMPOSTO!$A:$D, 4, 0)</f>
        <v>0.12</v>
      </c>
      <c r="AB79" s="24">
        <f>VLOOKUP(N79, IMPOSTO!$A:$D, 4, 0)</f>
        <v>7.0000000000000007E-2</v>
      </c>
      <c r="AC79" s="25">
        <f t="shared" si="3"/>
        <v>115.81218365983015</v>
      </c>
      <c r="AD79" s="25">
        <f t="shared" si="4"/>
        <v>52.82283124469577</v>
      </c>
      <c r="AE79" s="25">
        <f t="shared" si="5"/>
        <v>102.91905550607586</v>
      </c>
      <c r="AF79" s="25">
        <f t="shared" si="6"/>
        <v>197.06218365983017</v>
      </c>
      <c r="AG79" s="25">
        <f t="shared" si="7"/>
        <v>98.539456387102902</v>
      </c>
      <c r="AH79" s="25">
        <f t="shared" si="8"/>
        <v>163.31218365983017</v>
      </c>
      <c r="AI79" s="25">
        <f t="shared" si="9"/>
        <v>471.41367916198988</v>
      </c>
    </row>
    <row r="80" spans="1:35" ht="15.75" customHeight="1">
      <c r="A80" s="12" t="s">
        <v>74</v>
      </c>
      <c r="B80" s="12" t="s">
        <v>75</v>
      </c>
      <c r="C80" s="12" t="s">
        <v>57</v>
      </c>
      <c r="D80" s="12" t="s">
        <v>33</v>
      </c>
      <c r="E80" s="12" t="s">
        <v>24</v>
      </c>
      <c r="F80" s="13">
        <v>0.73451948716854965</v>
      </c>
      <c r="G80" s="14">
        <v>3.6623413190413876</v>
      </c>
      <c r="H80" s="24" t="str">
        <f t="shared" si="11"/>
        <v>MGSP</v>
      </c>
      <c r="I80" s="24" t="str">
        <f t="shared" si="10"/>
        <v>MGMG</v>
      </c>
      <c r="J80" s="24" t="str">
        <f t="shared" si="10"/>
        <v>MGES</v>
      </c>
      <c r="K80" s="24" t="str">
        <f t="shared" si="10"/>
        <v>MGSC</v>
      </c>
      <c r="L80" s="24" t="str">
        <f t="shared" si="10"/>
        <v>MGRJ</v>
      </c>
      <c r="M80" s="24" t="str">
        <f t="shared" si="10"/>
        <v>MGPR</v>
      </c>
      <c r="N80" s="24" t="str">
        <f t="shared" si="10"/>
        <v>MGAM</v>
      </c>
      <c r="O80" s="24">
        <f>VLOOKUP(H80, KM!$A:$E, 5, 0)</f>
        <v>586</v>
      </c>
      <c r="P80" s="24">
        <f>VLOOKUP(I80, KM!$A:$E, 5, 0)</f>
        <v>0</v>
      </c>
      <c r="Q80" s="24">
        <f>VLOOKUP(J80, KM!$A:$E, 5, 0)</f>
        <v>524</v>
      </c>
      <c r="R80" s="24">
        <f>VLOOKUP(K80, KM!$A:$E, 5, 0)</f>
        <v>1301</v>
      </c>
      <c r="S80" s="24">
        <f>VLOOKUP(L80, KM!$A:$E, 5, 0)</f>
        <v>434</v>
      </c>
      <c r="T80" s="24">
        <f>VLOOKUP(M80, KM!$A:$E, 5, 0)</f>
        <v>1004</v>
      </c>
      <c r="U80" s="24">
        <f>VLOOKUP(N80, KM!$A:$E, 5, 0)</f>
        <v>3951</v>
      </c>
      <c r="V80" s="24">
        <f>VLOOKUP(H80, IMPOSTO!$A:$D, 4, 0)</f>
        <v>0.12</v>
      </c>
      <c r="W80" s="24">
        <f>VLOOKUP(I80, IMPOSTO!$A:$D, 4, 0)</f>
        <v>0.18</v>
      </c>
      <c r="X80" s="24">
        <f>VLOOKUP(J80, IMPOSTO!$A:$D, 4, 0)</f>
        <v>7.0000000000000007E-2</v>
      </c>
      <c r="Y80" s="24">
        <f>VLOOKUP(K80, IMPOSTO!$A:$D, 4, 0)</f>
        <v>0.12</v>
      </c>
      <c r="Z80" s="24">
        <f>VLOOKUP(L80, IMPOSTO!$A:$D, 4, 0)</f>
        <v>0.12</v>
      </c>
      <c r="AA80" s="24">
        <f>VLOOKUP(M80, IMPOSTO!$A:$D, 4, 0)</f>
        <v>0.12</v>
      </c>
      <c r="AB80" s="24">
        <f>VLOOKUP(N80, IMPOSTO!$A:$D, 4, 0)</f>
        <v>7.0000000000000007E-2</v>
      </c>
      <c r="AC80" s="25">
        <f t="shared" si="3"/>
        <v>70.752660589819754</v>
      </c>
      <c r="AD80" s="25">
        <f t="shared" si="4"/>
        <v>4.4662699012699845</v>
      </c>
      <c r="AE80" s="25">
        <f t="shared" si="5"/>
        <v>60.282087439829461</v>
      </c>
      <c r="AF80" s="25">
        <f t="shared" si="6"/>
        <v>152.00266058981975</v>
      </c>
      <c r="AG80" s="25">
        <f t="shared" si="7"/>
        <v>53.479933317092495</v>
      </c>
      <c r="AH80" s="25">
        <f t="shared" si="8"/>
        <v>118.25266058981977</v>
      </c>
      <c r="AI80" s="25">
        <f t="shared" si="9"/>
        <v>428.77671109574351</v>
      </c>
    </row>
    <row r="81" spans="1:35" ht="15.75" customHeight="1">
      <c r="A81" s="12" t="s">
        <v>92</v>
      </c>
      <c r="B81" s="12" t="s">
        <v>93</v>
      </c>
      <c r="C81" s="12" t="s">
        <v>86</v>
      </c>
      <c r="D81" s="12" t="s">
        <v>33</v>
      </c>
      <c r="E81" s="12" t="s">
        <v>24</v>
      </c>
      <c r="F81" s="13">
        <v>0.41923178135688566</v>
      </c>
      <c r="G81" s="14">
        <v>12.709185394696856</v>
      </c>
      <c r="H81" s="24" t="str">
        <f t="shared" si="11"/>
        <v>MGSP</v>
      </c>
      <c r="I81" s="24" t="str">
        <f t="shared" si="10"/>
        <v>MGMG</v>
      </c>
      <c r="J81" s="24" t="str">
        <f t="shared" si="10"/>
        <v>MGES</v>
      </c>
      <c r="K81" s="24" t="str">
        <f t="shared" si="10"/>
        <v>MGSC</v>
      </c>
      <c r="L81" s="24" t="str">
        <f t="shared" si="10"/>
        <v>MGRJ</v>
      </c>
      <c r="M81" s="24" t="str">
        <f t="shared" si="10"/>
        <v>MGPR</v>
      </c>
      <c r="N81" s="24" t="str">
        <f t="shared" si="10"/>
        <v>MGAM</v>
      </c>
      <c r="O81" s="24">
        <f>VLOOKUP(H81, KM!$A:$E, 5, 0)</f>
        <v>586</v>
      </c>
      <c r="P81" s="24">
        <f>VLOOKUP(I81, KM!$A:$E, 5, 0)</f>
        <v>0</v>
      </c>
      <c r="Q81" s="24">
        <f>VLOOKUP(J81, KM!$A:$E, 5, 0)</f>
        <v>524</v>
      </c>
      <c r="R81" s="24">
        <f>VLOOKUP(K81, KM!$A:$E, 5, 0)</f>
        <v>1301</v>
      </c>
      <c r="S81" s="24">
        <f>VLOOKUP(L81, KM!$A:$E, 5, 0)</f>
        <v>434</v>
      </c>
      <c r="T81" s="24">
        <f>VLOOKUP(M81, KM!$A:$E, 5, 0)</f>
        <v>1004</v>
      </c>
      <c r="U81" s="24">
        <f>VLOOKUP(N81, KM!$A:$E, 5, 0)</f>
        <v>3951</v>
      </c>
      <c r="V81" s="24">
        <f>VLOOKUP(H81, IMPOSTO!$A:$D, 4, 0)</f>
        <v>0.12</v>
      </c>
      <c r="W81" s="24">
        <f>VLOOKUP(I81, IMPOSTO!$A:$D, 4, 0)</f>
        <v>0.18</v>
      </c>
      <c r="X81" s="24">
        <f>VLOOKUP(J81, IMPOSTO!$A:$D, 4, 0)</f>
        <v>7.0000000000000007E-2</v>
      </c>
      <c r="Y81" s="24">
        <f>VLOOKUP(K81, IMPOSTO!$A:$D, 4, 0)</f>
        <v>0.12</v>
      </c>
      <c r="Z81" s="24">
        <f>VLOOKUP(L81, IMPOSTO!$A:$D, 4, 0)</f>
        <v>0.12</v>
      </c>
      <c r="AA81" s="24">
        <f>VLOOKUP(M81, IMPOSTO!$A:$D, 4, 0)</f>
        <v>0.12</v>
      </c>
      <c r="AB81" s="24">
        <f>VLOOKUP(N81, IMPOSTO!$A:$D, 4, 0)</f>
        <v>7.0000000000000007E-2</v>
      </c>
      <c r="AC81" s="25">
        <f t="shared" si="3"/>
        <v>81.033165221246421</v>
      </c>
      <c r="AD81" s="25">
        <f t="shared" si="4"/>
        <v>15.499006578898603</v>
      </c>
      <c r="AE81" s="25">
        <f t="shared" si="5"/>
        <v>70.009876768491253</v>
      </c>
      <c r="AF81" s="25">
        <f t="shared" si="6"/>
        <v>162.28316522124641</v>
      </c>
      <c r="AG81" s="25">
        <f t="shared" si="7"/>
        <v>63.760437948519169</v>
      </c>
      <c r="AH81" s="25">
        <f t="shared" si="8"/>
        <v>128.53316522124643</v>
      </c>
      <c r="AI81" s="25">
        <f t="shared" si="9"/>
        <v>438.50450042440531</v>
      </c>
    </row>
    <row r="82" spans="1:35" ht="15.75" customHeight="1">
      <c r="A82" s="12" t="s">
        <v>92</v>
      </c>
      <c r="B82" s="12" t="s">
        <v>93</v>
      </c>
      <c r="C82" s="12" t="s">
        <v>86</v>
      </c>
      <c r="D82" s="12" t="s">
        <v>33</v>
      </c>
      <c r="E82" s="12" t="s">
        <v>24</v>
      </c>
      <c r="F82" s="13">
        <v>0.63680776914969972</v>
      </c>
      <c r="G82" s="14">
        <v>18.719848829390351</v>
      </c>
      <c r="H82" s="24" t="str">
        <f t="shared" si="11"/>
        <v>MGSP</v>
      </c>
      <c r="I82" s="24" t="str">
        <f t="shared" si="10"/>
        <v>MGMG</v>
      </c>
      <c r="J82" s="24" t="str">
        <f t="shared" si="10"/>
        <v>MGES</v>
      </c>
      <c r="K82" s="24" t="str">
        <f t="shared" si="10"/>
        <v>MGSC</v>
      </c>
      <c r="L82" s="24" t="str">
        <f t="shared" si="10"/>
        <v>MGRJ</v>
      </c>
      <c r="M82" s="24" t="str">
        <f t="shared" si="10"/>
        <v>MGPR</v>
      </c>
      <c r="N82" s="24" t="str">
        <f t="shared" si="10"/>
        <v>MGAM</v>
      </c>
      <c r="O82" s="24">
        <f>VLOOKUP(H82, KM!$A:$E, 5, 0)</f>
        <v>586</v>
      </c>
      <c r="P82" s="24">
        <f>VLOOKUP(I82, KM!$A:$E, 5, 0)</f>
        <v>0</v>
      </c>
      <c r="Q82" s="24">
        <f>VLOOKUP(J82, KM!$A:$E, 5, 0)</f>
        <v>524</v>
      </c>
      <c r="R82" s="24">
        <f>VLOOKUP(K82, KM!$A:$E, 5, 0)</f>
        <v>1301</v>
      </c>
      <c r="S82" s="24">
        <f>VLOOKUP(L82, KM!$A:$E, 5, 0)</f>
        <v>434</v>
      </c>
      <c r="T82" s="24">
        <f>VLOOKUP(M82, KM!$A:$E, 5, 0)</f>
        <v>1004</v>
      </c>
      <c r="U82" s="24">
        <f>VLOOKUP(N82, KM!$A:$E, 5, 0)</f>
        <v>3951</v>
      </c>
      <c r="V82" s="24">
        <f>VLOOKUP(H82, IMPOSTO!$A:$D, 4, 0)</f>
        <v>0.12</v>
      </c>
      <c r="W82" s="24">
        <f>VLOOKUP(I82, IMPOSTO!$A:$D, 4, 0)</f>
        <v>0.18</v>
      </c>
      <c r="X82" s="24">
        <f>VLOOKUP(J82, IMPOSTO!$A:$D, 4, 0)</f>
        <v>7.0000000000000007E-2</v>
      </c>
      <c r="Y82" s="24">
        <f>VLOOKUP(K82, IMPOSTO!$A:$D, 4, 0)</f>
        <v>0.12</v>
      </c>
      <c r="Z82" s="24">
        <f>VLOOKUP(L82, IMPOSTO!$A:$D, 4, 0)</f>
        <v>0.12</v>
      </c>
      <c r="AA82" s="24">
        <f>VLOOKUP(M82, IMPOSTO!$A:$D, 4, 0)</f>
        <v>0.12</v>
      </c>
      <c r="AB82" s="24">
        <f>VLOOKUP(N82, IMPOSTO!$A:$D, 4, 0)</f>
        <v>7.0000000000000007E-2</v>
      </c>
      <c r="AC82" s="25">
        <f t="shared" si="3"/>
        <v>87.863464578852671</v>
      </c>
      <c r="AD82" s="25">
        <f t="shared" si="4"/>
        <v>22.829083938280913</v>
      </c>
      <c r="AE82" s="25">
        <f t="shared" si="5"/>
        <v>76.472955730527261</v>
      </c>
      <c r="AF82" s="25">
        <f t="shared" si="6"/>
        <v>169.11346457885264</v>
      </c>
      <c r="AG82" s="25">
        <f t="shared" si="7"/>
        <v>70.590737306125405</v>
      </c>
      <c r="AH82" s="25">
        <f t="shared" si="8"/>
        <v>135.36346457885267</v>
      </c>
      <c r="AI82" s="25">
        <f t="shared" si="9"/>
        <v>444.96757938644129</v>
      </c>
    </row>
    <row r="83" spans="1:35" ht="15.75" customHeight="1">
      <c r="A83" s="12" t="s">
        <v>67</v>
      </c>
      <c r="B83" s="12" t="s">
        <v>68</v>
      </c>
      <c r="C83" s="12" t="s">
        <v>69</v>
      </c>
      <c r="D83" s="12" t="s">
        <v>33</v>
      </c>
      <c r="E83" s="12" t="s">
        <v>24</v>
      </c>
      <c r="F83" s="13">
        <v>0</v>
      </c>
      <c r="G83" s="14">
        <v>0</v>
      </c>
      <c r="H83" s="24" t="str">
        <f t="shared" si="11"/>
        <v>MGSP</v>
      </c>
      <c r="I83" s="24" t="str">
        <f t="shared" si="10"/>
        <v>MGMG</v>
      </c>
      <c r="J83" s="24" t="str">
        <f t="shared" si="10"/>
        <v>MGES</v>
      </c>
      <c r="K83" s="24" t="str">
        <f t="shared" si="10"/>
        <v>MGSC</v>
      </c>
      <c r="L83" s="24" t="str">
        <f t="shared" si="10"/>
        <v>MGRJ</v>
      </c>
      <c r="M83" s="24" t="str">
        <f t="shared" si="10"/>
        <v>MGPR</v>
      </c>
      <c r="N83" s="24" t="str">
        <f t="shared" si="10"/>
        <v>MGAM</v>
      </c>
      <c r="O83" s="24">
        <f>VLOOKUP(H83, KM!$A:$E, 5, 0)</f>
        <v>586</v>
      </c>
      <c r="P83" s="24">
        <f>VLOOKUP(I83, KM!$A:$E, 5, 0)</f>
        <v>0</v>
      </c>
      <c r="Q83" s="24">
        <f>VLOOKUP(J83, KM!$A:$E, 5, 0)</f>
        <v>524</v>
      </c>
      <c r="R83" s="24">
        <f>VLOOKUP(K83, KM!$A:$E, 5, 0)</f>
        <v>1301</v>
      </c>
      <c r="S83" s="24">
        <f>VLOOKUP(L83, KM!$A:$E, 5, 0)</f>
        <v>434</v>
      </c>
      <c r="T83" s="24">
        <f>VLOOKUP(M83, KM!$A:$E, 5, 0)</f>
        <v>1004</v>
      </c>
      <c r="U83" s="24">
        <f>VLOOKUP(N83, KM!$A:$E, 5, 0)</f>
        <v>3951</v>
      </c>
      <c r="V83" s="24">
        <f>VLOOKUP(H83, IMPOSTO!$A:$D, 4, 0)</f>
        <v>0.12</v>
      </c>
      <c r="W83" s="24">
        <f>VLOOKUP(I83, IMPOSTO!$A:$D, 4, 0)</f>
        <v>0.18</v>
      </c>
      <c r="X83" s="24">
        <f>VLOOKUP(J83, IMPOSTO!$A:$D, 4, 0)</f>
        <v>7.0000000000000007E-2</v>
      </c>
      <c r="Y83" s="24">
        <f>VLOOKUP(K83, IMPOSTO!$A:$D, 4, 0)</f>
        <v>0.12</v>
      </c>
      <c r="Z83" s="24">
        <f>VLOOKUP(L83, IMPOSTO!$A:$D, 4, 0)</f>
        <v>0.12</v>
      </c>
      <c r="AA83" s="24">
        <f>VLOOKUP(M83, IMPOSTO!$A:$D, 4, 0)</f>
        <v>0.12</v>
      </c>
      <c r="AB83" s="24">
        <f>VLOOKUP(N83, IMPOSTO!$A:$D, 4, 0)</f>
        <v>7.0000000000000007E-2</v>
      </c>
      <c r="AC83" s="25">
        <f t="shared" ref="AC83:AC146" si="12">($G83 + O83 * $AE$5) / (1 - V83)</f>
        <v>66.590909090909093</v>
      </c>
      <c r="AD83" s="25">
        <f t="shared" ref="AD83:AD146" si="13">($G83 + P83 * $AE$5) / (1 - W83)</f>
        <v>0</v>
      </c>
      <c r="AE83" s="25">
        <f t="shared" ref="AE83:AE146" si="14">($G83 + Q83 * $AE$5) / (1 - X83)</f>
        <v>56.344086021505383</v>
      </c>
      <c r="AF83" s="25">
        <f t="shared" ref="AF83:AF146" si="15">($G83 + R83 * $AE$5) / (1 - Y83)</f>
        <v>147.84090909090909</v>
      </c>
      <c r="AG83" s="25">
        <f t="shared" ref="AG83:AG146" si="16">($G83 + S83 * $AE$5) / (1 - Z83)</f>
        <v>49.318181818181827</v>
      </c>
      <c r="AH83" s="25">
        <f t="shared" ref="AH83:AH146" si="17">($G83 + T83 * $AE$5) / (1 - AA83)</f>
        <v>114.09090909090909</v>
      </c>
      <c r="AI83" s="25">
        <f t="shared" ref="AI83:AI146" si="18">($G83 + U83 * $AE$5) / (1 - AB83)</f>
        <v>424.83870967741939</v>
      </c>
    </row>
    <row r="84" spans="1:35" ht="15.75" customHeight="1">
      <c r="A84" s="12" t="s">
        <v>70</v>
      </c>
      <c r="B84" s="12" t="s">
        <v>71</v>
      </c>
      <c r="C84" s="12" t="s">
        <v>54</v>
      </c>
      <c r="D84" s="12" t="s">
        <v>33</v>
      </c>
      <c r="E84" s="12" t="s">
        <v>24</v>
      </c>
      <c r="F84" s="13">
        <v>1.8724300979201769</v>
      </c>
      <c r="G84" s="14">
        <v>24.795932465119051</v>
      </c>
      <c r="H84" s="24" t="str">
        <f t="shared" si="11"/>
        <v>MGSP</v>
      </c>
      <c r="I84" s="24" t="str">
        <f t="shared" si="10"/>
        <v>MGMG</v>
      </c>
      <c r="J84" s="24" t="str">
        <f t="shared" si="10"/>
        <v>MGES</v>
      </c>
      <c r="K84" s="24" t="str">
        <f t="shared" si="10"/>
        <v>MGSC</v>
      </c>
      <c r="L84" s="24" t="str">
        <f t="shared" si="10"/>
        <v>MGRJ</v>
      </c>
      <c r="M84" s="24" t="str">
        <f t="shared" si="10"/>
        <v>MGPR</v>
      </c>
      <c r="N84" s="24" t="str">
        <f t="shared" si="10"/>
        <v>MGAM</v>
      </c>
      <c r="O84" s="24">
        <f>VLOOKUP(H84, KM!$A:$E, 5, 0)</f>
        <v>586</v>
      </c>
      <c r="P84" s="24">
        <f>VLOOKUP(I84, KM!$A:$E, 5, 0)</f>
        <v>0</v>
      </c>
      <c r="Q84" s="24">
        <f>VLOOKUP(J84, KM!$A:$E, 5, 0)</f>
        <v>524</v>
      </c>
      <c r="R84" s="24">
        <f>VLOOKUP(K84, KM!$A:$E, 5, 0)</f>
        <v>1301</v>
      </c>
      <c r="S84" s="24">
        <f>VLOOKUP(L84, KM!$A:$E, 5, 0)</f>
        <v>434</v>
      </c>
      <c r="T84" s="24">
        <f>VLOOKUP(M84, KM!$A:$E, 5, 0)</f>
        <v>1004</v>
      </c>
      <c r="U84" s="24">
        <f>VLOOKUP(N84, KM!$A:$E, 5, 0)</f>
        <v>3951</v>
      </c>
      <c r="V84" s="24">
        <f>VLOOKUP(H84, IMPOSTO!$A:$D, 4, 0)</f>
        <v>0.12</v>
      </c>
      <c r="W84" s="24">
        <f>VLOOKUP(I84, IMPOSTO!$A:$D, 4, 0)</f>
        <v>0.18</v>
      </c>
      <c r="X84" s="24">
        <f>VLOOKUP(J84, IMPOSTO!$A:$D, 4, 0)</f>
        <v>7.0000000000000007E-2</v>
      </c>
      <c r="Y84" s="24">
        <f>VLOOKUP(K84, IMPOSTO!$A:$D, 4, 0)</f>
        <v>0.12</v>
      </c>
      <c r="Z84" s="24">
        <f>VLOOKUP(L84, IMPOSTO!$A:$D, 4, 0)</f>
        <v>0.12</v>
      </c>
      <c r="AA84" s="24">
        <f>VLOOKUP(M84, IMPOSTO!$A:$D, 4, 0)</f>
        <v>0.12</v>
      </c>
      <c r="AB84" s="24">
        <f>VLOOKUP(N84, IMPOSTO!$A:$D, 4, 0)</f>
        <v>7.0000000000000007E-2</v>
      </c>
      <c r="AC84" s="25">
        <f t="shared" si="12"/>
        <v>94.76810507399891</v>
      </c>
      <c r="AD84" s="25">
        <f t="shared" si="13"/>
        <v>30.238942030632987</v>
      </c>
      <c r="AE84" s="25">
        <f t="shared" si="14"/>
        <v>83.006378994751685</v>
      </c>
      <c r="AF84" s="25">
        <f t="shared" si="15"/>
        <v>176.01810507399892</v>
      </c>
      <c r="AG84" s="25">
        <f t="shared" si="16"/>
        <v>77.495377801271658</v>
      </c>
      <c r="AH84" s="25">
        <f t="shared" si="17"/>
        <v>142.26810507399892</v>
      </c>
      <c r="AI84" s="25">
        <f t="shared" si="18"/>
        <v>451.50100265066573</v>
      </c>
    </row>
    <row r="85" spans="1:35" ht="15.75" customHeight="1">
      <c r="A85" s="12" t="s">
        <v>76</v>
      </c>
      <c r="B85" s="12" t="s">
        <v>77</v>
      </c>
      <c r="C85" s="12" t="s">
        <v>78</v>
      </c>
      <c r="D85" s="12" t="s">
        <v>33</v>
      </c>
      <c r="E85" s="12" t="s">
        <v>24</v>
      </c>
      <c r="F85" s="13">
        <v>0</v>
      </c>
      <c r="G85" s="14">
        <v>0</v>
      </c>
      <c r="H85" s="24" t="str">
        <f t="shared" si="11"/>
        <v>MGSP</v>
      </c>
      <c r="I85" s="24" t="str">
        <f t="shared" si="10"/>
        <v>MGMG</v>
      </c>
      <c r="J85" s="24" t="str">
        <f t="shared" si="10"/>
        <v>MGES</v>
      </c>
      <c r="K85" s="24" t="str">
        <f t="shared" si="10"/>
        <v>MGSC</v>
      </c>
      <c r="L85" s="24" t="str">
        <f t="shared" si="10"/>
        <v>MGRJ</v>
      </c>
      <c r="M85" s="24" t="str">
        <f t="shared" si="10"/>
        <v>MGPR</v>
      </c>
      <c r="N85" s="24" t="str">
        <f t="shared" si="10"/>
        <v>MGAM</v>
      </c>
      <c r="O85" s="24">
        <f>VLOOKUP(H85, KM!$A:$E, 5, 0)</f>
        <v>586</v>
      </c>
      <c r="P85" s="24">
        <f>VLOOKUP(I85, KM!$A:$E, 5, 0)</f>
        <v>0</v>
      </c>
      <c r="Q85" s="24">
        <f>VLOOKUP(J85, KM!$A:$E, 5, 0)</f>
        <v>524</v>
      </c>
      <c r="R85" s="24">
        <f>VLOOKUP(K85, KM!$A:$E, 5, 0)</f>
        <v>1301</v>
      </c>
      <c r="S85" s="24">
        <f>VLOOKUP(L85, KM!$A:$E, 5, 0)</f>
        <v>434</v>
      </c>
      <c r="T85" s="24">
        <f>VLOOKUP(M85, KM!$A:$E, 5, 0)</f>
        <v>1004</v>
      </c>
      <c r="U85" s="24">
        <f>VLOOKUP(N85, KM!$A:$E, 5, 0)</f>
        <v>3951</v>
      </c>
      <c r="V85" s="24">
        <f>VLOOKUP(H85, IMPOSTO!$A:$D, 4, 0)</f>
        <v>0.12</v>
      </c>
      <c r="W85" s="24">
        <f>VLOOKUP(I85, IMPOSTO!$A:$D, 4, 0)</f>
        <v>0.18</v>
      </c>
      <c r="X85" s="24">
        <f>VLOOKUP(J85, IMPOSTO!$A:$D, 4, 0)</f>
        <v>7.0000000000000007E-2</v>
      </c>
      <c r="Y85" s="24">
        <f>VLOOKUP(K85, IMPOSTO!$A:$D, 4, 0)</f>
        <v>0.12</v>
      </c>
      <c r="Z85" s="24">
        <f>VLOOKUP(L85, IMPOSTO!$A:$D, 4, 0)</f>
        <v>0.12</v>
      </c>
      <c r="AA85" s="24">
        <f>VLOOKUP(M85, IMPOSTO!$A:$D, 4, 0)</f>
        <v>0.12</v>
      </c>
      <c r="AB85" s="24">
        <f>VLOOKUP(N85, IMPOSTO!$A:$D, 4, 0)</f>
        <v>7.0000000000000007E-2</v>
      </c>
      <c r="AC85" s="25">
        <f t="shared" si="12"/>
        <v>66.590909090909093</v>
      </c>
      <c r="AD85" s="25">
        <f t="shared" si="13"/>
        <v>0</v>
      </c>
      <c r="AE85" s="25">
        <f t="shared" si="14"/>
        <v>56.344086021505383</v>
      </c>
      <c r="AF85" s="25">
        <f t="shared" si="15"/>
        <v>147.84090909090909</v>
      </c>
      <c r="AG85" s="25">
        <f t="shared" si="16"/>
        <v>49.318181818181827</v>
      </c>
      <c r="AH85" s="25">
        <f t="shared" si="17"/>
        <v>114.09090909090909</v>
      </c>
      <c r="AI85" s="25">
        <f t="shared" si="18"/>
        <v>424.83870967741939</v>
      </c>
    </row>
    <row r="86" spans="1:35" ht="15.75" customHeight="1">
      <c r="A86" s="12" t="s">
        <v>94</v>
      </c>
      <c r="B86" s="12" t="s">
        <v>95</v>
      </c>
      <c r="C86" s="12" t="s">
        <v>78</v>
      </c>
      <c r="D86" s="12" t="s">
        <v>33</v>
      </c>
      <c r="E86" s="12" t="s">
        <v>24</v>
      </c>
      <c r="F86" s="13">
        <v>85664.457836576985</v>
      </c>
      <c r="G86" s="14">
        <v>263096.96388532652</v>
      </c>
      <c r="H86" s="24" t="str">
        <f t="shared" si="11"/>
        <v>MGSP</v>
      </c>
      <c r="I86" s="24" t="str">
        <f t="shared" si="10"/>
        <v>MGMG</v>
      </c>
      <c r="J86" s="24" t="str">
        <f t="shared" si="10"/>
        <v>MGES</v>
      </c>
      <c r="K86" s="24" t="str">
        <f t="shared" si="10"/>
        <v>MGSC</v>
      </c>
      <c r="L86" s="24" t="str">
        <f t="shared" si="10"/>
        <v>MGRJ</v>
      </c>
      <c r="M86" s="24" t="str">
        <f t="shared" si="10"/>
        <v>MGPR</v>
      </c>
      <c r="N86" s="24" t="str">
        <f t="shared" si="10"/>
        <v>MGAM</v>
      </c>
      <c r="O86" s="24">
        <f>VLOOKUP(H86, KM!$A:$E, 5, 0)</f>
        <v>586</v>
      </c>
      <c r="P86" s="24">
        <f>VLOOKUP(I86, KM!$A:$E, 5, 0)</f>
        <v>0</v>
      </c>
      <c r="Q86" s="24">
        <f>VLOOKUP(J86, KM!$A:$E, 5, 0)</f>
        <v>524</v>
      </c>
      <c r="R86" s="24">
        <f>VLOOKUP(K86, KM!$A:$E, 5, 0)</f>
        <v>1301</v>
      </c>
      <c r="S86" s="24">
        <f>VLOOKUP(L86, KM!$A:$E, 5, 0)</f>
        <v>434</v>
      </c>
      <c r="T86" s="24">
        <f>VLOOKUP(M86, KM!$A:$E, 5, 0)</f>
        <v>1004</v>
      </c>
      <c r="U86" s="24">
        <f>VLOOKUP(N86, KM!$A:$E, 5, 0)</f>
        <v>3951</v>
      </c>
      <c r="V86" s="24">
        <f>VLOOKUP(H86, IMPOSTO!$A:$D, 4, 0)</f>
        <v>0.12</v>
      </c>
      <c r="W86" s="24">
        <f>VLOOKUP(I86, IMPOSTO!$A:$D, 4, 0)</f>
        <v>0.18</v>
      </c>
      <c r="X86" s="24">
        <f>VLOOKUP(J86, IMPOSTO!$A:$D, 4, 0)</f>
        <v>7.0000000000000007E-2</v>
      </c>
      <c r="Y86" s="24">
        <f>VLOOKUP(K86, IMPOSTO!$A:$D, 4, 0)</f>
        <v>0.12</v>
      </c>
      <c r="Z86" s="24">
        <f>VLOOKUP(L86, IMPOSTO!$A:$D, 4, 0)</f>
        <v>0.12</v>
      </c>
      <c r="AA86" s="24">
        <f>VLOOKUP(M86, IMPOSTO!$A:$D, 4, 0)</f>
        <v>0.12</v>
      </c>
      <c r="AB86" s="24">
        <f>VLOOKUP(N86, IMPOSTO!$A:$D, 4, 0)</f>
        <v>7.0000000000000007E-2</v>
      </c>
      <c r="AC86" s="25">
        <f t="shared" si="12"/>
        <v>299040.41350605286</v>
      </c>
      <c r="AD86" s="25">
        <f t="shared" si="13"/>
        <v>320849.95595771522</v>
      </c>
      <c r="AE86" s="25">
        <f t="shared" si="14"/>
        <v>282956.30525303929</v>
      </c>
      <c r="AF86" s="25">
        <f t="shared" si="15"/>
        <v>299121.66350605286</v>
      </c>
      <c r="AG86" s="25">
        <f t="shared" si="16"/>
        <v>299023.14077878016</v>
      </c>
      <c r="AH86" s="25">
        <f t="shared" si="17"/>
        <v>299087.91350605286</v>
      </c>
      <c r="AI86" s="25">
        <f t="shared" si="18"/>
        <v>283324.79987669515</v>
      </c>
    </row>
    <row r="87" spans="1:35" ht="15.75" customHeight="1">
      <c r="A87" s="12" t="s">
        <v>96</v>
      </c>
      <c r="B87" s="12" t="s">
        <v>97</v>
      </c>
      <c r="C87" s="12" t="s">
        <v>98</v>
      </c>
      <c r="D87" s="12" t="s">
        <v>33</v>
      </c>
      <c r="E87" s="12" t="s">
        <v>24</v>
      </c>
      <c r="F87" s="13">
        <v>3618</v>
      </c>
      <c r="G87" s="14">
        <v>197625.64342318056</v>
      </c>
      <c r="H87" s="24" t="str">
        <f t="shared" si="11"/>
        <v>MGSP</v>
      </c>
      <c r="I87" s="24" t="str">
        <f t="shared" si="10"/>
        <v>MGMG</v>
      </c>
      <c r="J87" s="24" t="str">
        <f t="shared" si="10"/>
        <v>MGES</v>
      </c>
      <c r="K87" s="24" t="str">
        <f t="shared" si="10"/>
        <v>MGSC</v>
      </c>
      <c r="L87" s="24" t="str">
        <f t="shared" si="10"/>
        <v>MGRJ</v>
      </c>
      <c r="M87" s="24" t="str">
        <f t="shared" si="10"/>
        <v>MGPR</v>
      </c>
      <c r="N87" s="24" t="str">
        <f t="shared" si="10"/>
        <v>MGAM</v>
      </c>
      <c r="O87" s="24">
        <f>VLOOKUP(H87, KM!$A:$E, 5, 0)</f>
        <v>586</v>
      </c>
      <c r="P87" s="24">
        <f>VLOOKUP(I87, KM!$A:$E, 5, 0)</f>
        <v>0</v>
      </c>
      <c r="Q87" s="24">
        <f>VLOOKUP(J87, KM!$A:$E, 5, 0)</f>
        <v>524</v>
      </c>
      <c r="R87" s="24">
        <f>VLOOKUP(K87, KM!$A:$E, 5, 0)</f>
        <v>1301</v>
      </c>
      <c r="S87" s="24">
        <f>VLOOKUP(L87, KM!$A:$E, 5, 0)</f>
        <v>434</v>
      </c>
      <c r="T87" s="24">
        <f>VLOOKUP(M87, KM!$A:$E, 5, 0)</f>
        <v>1004</v>
      </c>
      <c r="U87" s="24">
        <f>VLOOKUP(N87, KM!$A:$E, 5, 0)</f>
        <v>3951</v>
      </c>
      <c r="V87" s="24">
        <f>VLOOKUP(H87, IMPOSTO!$A:$D, 4, 0)</f>
        <v>0.12</v>
      </c>
      <c r="W87" s="24">
        <f>VLOOKUP(I87, IMPOSTO!$A:$D, 4, 0)</f>
        <v>0.18</v>
      </c>
      <c r="X87" s="24">
        <f>VLOOKUP(J87, IMPOSTO!$A:$D, 4, 0)</f>
        <v>7.0000000000000007E-2</v>
      </c>
      <c r="Y87" s="24">
        <f>VLOOKUP(K87, IMPOSTO!$A:$D, 4, 0)</f>
        <v>0.12</v>
      </c>
      <c r="Z87" s="24">
        <f>VLOOKUP(L87, IMPOSTO!$A:$D, 4, 0)</f>
        <v>0.12</v>
      </c>
      <c r="AA87" s="24">
        <f>VLOOKUP(M87, IMPOSTO!$A:$D, 4, 0)</f>
        <v>0.12</v>
      </c>
      <c r="AB87" s="24">
        <f>VLOOKUP(N87, IMPOSTO!$A:$D, 4, 0)</f>
        <v>7.0000000000000007E-2</v>
      </c>
      <c r="AC87" s="25">
        <f t="shared" si="12"/>
        <v>224641.18570815973</v>
      </c>
      <c r="AD87" s="25">
        <f t="shared" si="13"/>
        <v>241006.88222339092</v>
      </c>
      <c r="AE87" s="25">
        <f t="shared" si="14"/>
        <v>212557.03593890383</v>
      </c>
      <c r="AF87" s="25">
        <f t="shared" si="15"/>
        <v>224722.43570815973</v>
      </c>
      <c r="AG87" s="25">
        <f t="shared" si="16"/>
        <v>224623.91298088699</v>
      </c>
      <c r="AH87" s="25">
        <f t="shared" si="17"/>
        <v>224688.68570815973</v>
      </c>
      <c r="AI87" s="25">
        <f t="shared" si="18"/>
        <v>212925.53056255975</v>
      </c>
    </row>
    <row r="88" spans="1:35" ht="15.75" customHeight="1">
      <c r="A88" s="12" t="s">
        <v>99</v>
      </c>
      <c r="B88" s="12" t="s">
        <v>100</v>
      </c>
      <c r="C88" s="12" t="s">
        <v>101</v>
      </c>
      <c r="D88" s="12" t="s">
        <v>33</v>
      </c>
      <c r="E88" s="12" t="s">
        <v>24</v>
      </c>
      <c r="F88" s="13">
        <v>25424.160633595766</v>
      </c>
      <c r="G88" s="14">
        <v>196157.70031832071</v>
      </c>
      <c r="H88" s="24" t="str">
        <f t="shared" si="11"/>
        <v>MGSP</v>
      </c>
      <c r="I88" s="24" t="str">
        <f t="shared" si="10"/>
        <v>MGMG</v>
      </c>
      <c r="J88" s="24" t="str">
        <f t="shared" si="10"/>
        <v>MGES</v>
      </c>
      <c r="K88" s="24" t="str">
        <f t="shared" si="10"/>
        <v>MGSC</v>
      </c>
      <c r="L88" s="24" t="str">
        <f t="shared" si="10"/>
        <v>MGRJ</v>
      </c>
      <c r="M88" s="24" t="str">
        <f t="shared" si="10"/>
        <v>MGPR</v>
      </c>
      <c r="N88" s="24" t="str">
        <f t="shared" si="10"/>
        <v>MGAM</v>
      </c>
      <c r="O88" s="24">
        <f>VLOOKUP(H88, KM!$A:$E, 5, 0)</f>
        <v>586</v>
      </c>
      <c r="P88" s="24">
        <f>VLOOKUP(I88, KM!$A:$E, 5, 0)</f>
        <v>0</v>
      </c>
      <c r="Q88" s="24">
        <f>VLOOKUP(J88, KM!$A:$E, 5, 0)</f>
        <v>524</v>
      </c>
      <c r="R88" s="24">
        <f>VLOOKUP(K88, KM!$A:$E, 5, 0)</f>
        <v>1301</v>
      </c>
      <c r="S88" s="24">
        <f>VLOOKUP(L88, KM!$A:$E, 5, 0)</f>
        <v>434</v>
      </c>
      <c r="T88" s="24">
        <f>VLOOKUP(M88, KM!$A:$E, 5, 0)</f>
        <v>1004</v>
      </c>
      <c r="U88" s="24">
        <f>VLOOKUP(N88, KM!$A:$E, 5, 0)</f>
        <v>3951</v>
      </c>
      <c r="V88" s="24">
        <f>VLOOKUP(H88, IMPOSTO!$A:$D, 4, 0)</f>
        <v>0.12</v>
      </c>
      <c r="W88" s="24">
        <f>VLOOKUP(I88, IMPOSTO!$A:$D, 4, 0)</f>
        <v>0.18</v>
      </c>
      <c r="X88" s="24">
        <f>VLOOKUP(J88, IMPOSTO!$A:$D, 4, 0)</f>
        <v>7.0000000000000007E-2</v>
      </c>
      <c r="Y88" s="24">
        <f>VLOOKUP(K88, IMPOSTO!$A:$D, 4, 0)</f>
        <v>0.12</v>
      </c>
      <c r="Z88" s="24">
        <f>VLOOKUP(L88, IMPOSTO!$A:$D, 4, 0)</f>
        <v>0.12</v>
      </c>
      <c r="AA88" s="24">
        <f>VLOOKUP(M88, IMPOSTO!$A:$D, 4, 0)</f>
        <v>0.12</v>
      </c>
      <c r="AB88" s="24">
        <f>VLOOKUP(N88, IMPOSTO!$A:$D, 4, 0)</f>
        <v>7.0000000000000007E-2</v>
      </c>
      <c r="AC88" s="25">
        <f t="shared" si="12"/>
        <v>222973.06854354628</v>
      </c>
      <c r="AD88" s="25">
        <f t="shared" si="13"/>
        <v>239216.70770526913</v>
      </c>
      <c r="AE88" s="25">
        <f t="shared" si="14"/>
        <v>210978.60249281797</v>
      </c>
      <c r="AF88" s="25">
        <f t="shared" si="15"/>
        <v>223054.31854354628</v>
      </c>
      <c r="AG88" s="25">
        <f t="shared" si="16"/>
        <v>222955.79581627352</v>
      </c>
      <c r="AH88" s="25">
        <f t="shared" si="17"/>
        <v>223020.56854354625</v>
      </c>
      <c r="AI88" s="25">
        <f t="shared" si="18"/>
        <v>211347.09711647392</v>
      </c>
    </row>
    <row r="89" spans="1:35" ht="15.75" customHeight="1">
      <c r="A89" s="12" t="s">
        <v>55</v>
      </c>
      <c r="B89" s="12" t="s">
        <v>56</v>
      </c>
      <c r="C89" s="12" t="s">
        <v>57</v>
      </c>
      <c r="D89" s="12" t="s">
        <v>33</v>
      </c>
      <c r="E89" s="12" t="s">
        <v>24</v>
      </c>
      <c r="F89" s="13">
        <v>15.271857964683189</v>
      </c>
      <c r="G89" s="14">
        <v>243.49835001740325</v>
      </c>
      <c r="H89" s="24" t="str">
        <f t="shared" si="11"/>
        <v>MGSP</v>
      </c>
      <c r="I89" s="24" t="str">
        <f t="shared" si="10"/>
        <v>MGMG</v>
      </c>
      <c r="J89" s="24" t="str">
        <f t="shared" si="10"/>
        <v>MGES</v>
      </c>
      <c r="K89" s="24" t="str">
        <f t="shared" si="10"/>
        <v>MGSC</v>
      </c>
      <c r="L89" s="24" t="str">
        <f t="shared" si="10"/>
        <v>MGRJ</v>
      </c>
      <c r="M89" s="24" t="str">
        <f t="shared" si="10"/>
        <v>MGPR</v>
      </c>
      <c r="N89" s="24" t="str">
        <f t="shared" si="10"/>
        <v>MGAM</v>
      </c>
      <c r="O89" s="24">
        <f>VLOOKUP(H89, KM!$A:$E, 5, 0)</f>
        <v>586</v>
      </c>
      <c r="P89" s="24">
        <f>VLOOKUP(I89, KM!$A:$E, 5, 0)</f>
        <v>0</v>
      </c>
      <c r="Q89" s="24">
        <f>VLOOKUP(J89, KM!$A:$E, 5, 0)</f>
        <v>524</v>
      </c>
      <c r="R89" s="24">
        <f>VLOOKUP(K89, KM!$A:$E, 5, 0)</f>
        <v>1301</v>
      </c>
      <c r="S89" s="24">
        <f>VLOOKUP(L89, KM!$A:$E, 5, 0)</f>
        <v>434</v>
      </c>
      <c r="T89" s="24">
        <f>VLOOKUP(M89, KM!$A:$E, 5, 0)</f>
        <v>1004</v>
      </c>
      <c r="U89" s="24">
        <f>VLOOKUP(N89, KM!$A:$E, 5, 0)</f>
        <v>3951</v>
      </c>
      <c r="V89" s="24">
        <f>VLOOKUP(H89, IMPOSTO!$A:$D, 4, 0)</f>
        <v>0.12</v>
      </c>
      <c r="W89" s="24">
        <f>VLOOKUP(I89, IMPOSTO!$A:$D, 4, 0)</f>
        <v>0.18</v>
      </c>
      <c r="X89" s="24">
        <f>VLOOKUP(J89, IMPOSTO!$A:$D, 4, 0)</f>
        <v>7.0000000000000007E-2</v>
      </c>
      <c r="Y89" s="24">
        <f>VLOOKUP(K89, IMPOSTO!$A:$D, 4, 0)</f>
        <v>0.12</v>
      </c>
      <c r="Z89" s="24">
        <f>VLOOKUP(L89, IMPOSTO!$A:$D, 4, 0)</f>
        <v>0.12</v>
      </c>
      <c r="AA89" s="24">
        <f>VLOOKUP(M89, IMPOSTO!$A:$D, 4, 0)</f>
        <v>0.12</v>
      </c>
      <c r="AB89" s="24">
        <f>VLOOKUP(N89, IMPOSTO!$A:$D, 4, 0)</f>
        <v>7.0000000000000007E-2</v>
      </c>
      <c r="AC89" s="25">
        <f t="shared" si="12"/>
        <v>343.29357956523097</v>
      </c>
      <c r="AD89" s="25">
        <f t="shared" si="13"/>
        <v>296.94920733829662</v>
      </c>
      <c r="AE89" s="25">
        <f t="shared" si="14"/>
        <v>318.17026883591745</v>
      </c>
      <c r="AF89" s="25">
        <f t="shared" si="15"/>
        <v>424.54357956523097</v>
      </c>
      <c r="AG89" s="25">
        <f t="shared" si="16"/>
        <v>326.02085229250366</v>
      </c>
      <c r="AH89" s="25">
        <f t="shared" si="17"/>
        <v>390.79357956523097</v>
      </c>
      <c r="AI89" s="25">
        <f t="shared" si="18"/>
        <v>686.66489249183155</v>
      </c>
    </row>
    <row r="90" spans="1:35" ht="15.75" customHeight="1">
      <c r="A90" s="12" t="s">
        <v>55</v>
      </c>
      <c r="B90" s="12" t="s">
        <v>56</v>
      </c>
      <c r="C90" s="12" t="s">
        <v>57</v>
      </c>
      <c r="D90" s="12" t="s">
        <v>33</v>
      </c>
      <c r="E90" s="12" t="s">
        <v>24</v>
      </c>
      <c r="F90" s="13">
        <v>39.141302035316812</v>
      </c>
      <c r="G90" s="14">
        <v>626.23458279757278</v>
      </c>
      <c r="H90" s="24" t="str">
        <f t="shared" si="11"/>
        <v>MGSP</v>
      </c>
      <c r="I90" s="24" t="str">
        <f t="shared" si="10"/>
        <v>MGMG</v>
      </c>
      <c r="J90" s="24" t="str">
        <f t="shared" si="10"/>
        <v>MGES</v>
      </c>
      <c r="K90" s="24" t="str">
        <f t="shared" si="10"/>
        <v>MGSC</v>
      </c>
      <c r="L90" s="24" t="str">
        <f t="shared" si="10"/>
        <v>MGRJ</v>
      </c>
      <c r="M90" s="24" t="str">
        <f t="shared" si="10"/>
        <v>MGPR</v>
      </c>
      <c r="N90" s="24" t="str">
        <f t="shared" si="10"/>
        <v>MGAM</v>
      </c>
      <c r="O90" s="24">
        <f>VLOOKUP(H90, KM!$A:$E, 5, 0)</f>
        <v>586</v>
      </c>
      <c r="P90" s="24">
        <f>VLOOKUP(I90, KM!$A:$E, 5, 0)</f>
        <v>0</v>
      </c>
      <c r="Q90" s="24">
        <f>VLOOKUP(J90, KM!$A:$E, 5, 0)</f>
        <v>524</v>
      </c>
      <c r="R90" s="24">
        <f>VLOOKUP(K90, KM!$A:$E, 5, 0)</f>
        <v>1301</v>
      </c>
      <c r="S90" s="24">
        <f>VLOOKUP(L90, KM!$A:$E, 5, 0)</f>
        <v>434</v>
      </c>
      <c r="T90" s="24">
        <f>VLOOKUP(M90, KM!$A:$E, 5, 0)</f>
        <v>1004</v>
      </c>
      <c r="U90" s="24">
        <f>VLOOKUP(N90, KM!$A:$E, 5, 0)</f>
        <v>3951</v>
      </c>
      <c r="V90" s="24">
        <f>VLOOKUP(H90, IMPOSTO!$A:$D, 4, 0)</f>
        <v>0.12</v>
      </c>
      <c r="W90" s="24">
        <f>VLOOKUP(I90, IMPOSTO!$A:$D, 4, 0)</f>
        <v>0.18</v>
      </c>
      <c r="X90" s="24">
        <f>VLOOKUP(J90, IMPOSTO!$A:$D, 4, 0)</f>
        <v>7.0000000000000007E-2</v>
      </c>
      <c r="Y90" s="24">
        <f>VLOOKUP(K90, IMPOSTO!$A:$D, 4, 0)</f>
        <v>0.12</v>
      </c>
      <c r="Z90" s="24">
        <f>VLOOKUP(L90, IMPOSTO!$A:$D, 4, 0)</f>
        <v>0.12</v>
      </c>
      <c r="AA90" s="24">
        <f>VLOOKUP(M90, IMPOSTO!$A:$D, 4, 0)</f>
        <v>0.12</v>
      </c>
      <c r="AB90" s="24">
        <f>VLOOKUP(N90, IMPOSTO!$A:$D, 4, 0)</f>
        <v>7.0000000000000007E-2</v>
      </c>
      <c r="AC90" s="25">
        <f t="shared" si="12"/>
        <v>778.22111681542367</v>
      </c>
      <c r="AD90" s="25">
        <f t="shared" si="13"/>
        <v>763.70071072874725</v>
      </c>
      <c r="AE90" s="25">
        <f t="shared" si="14"/>
        <v>729.71460515868046</v>
      </c>
      <c r="AF90" s="25">
        <f t="shared" si="15"/>
        <v>859.47111681542367</v>
      </c>
      <c r="AG90" s="25">
        <f t="shared" si="16"/>
        <v>760.9483895426963</v>
      </c>
      <c r="AH90" s="25">
        <f t="shared" si="17"/>
        <v>825.72111681542356</v>
      </c>
      <c r="AI90" s="25">
        <f t="shared" si="18"/>
        <v>1098.2092288145946</v>
      </c>
    </row>
    <row r="91" spans="1:35" ht="15.75" customHeight="1">
      <c r="A91" s="12" t="s">
        <v>58</v>
      </c>
      <c r="B91" s="12" t="s">
        <v>59</v>
      </c>
      <c r="C91" s="12" t="s">
        <v>60</v>
      </c>
      <c r="D91" s="12" t="s">
        <v>50</v>
      </c>
      <c r="E91" s="12" t="s">
        <v>24</v>
      </c>
      <c r="F91" s="13">
        <v>1.3079410456062293</v>
      </c>
      <c r="G91" s="14">
        <v>79.12210254060065</v>
      </c>
      <c r="H91" s="24" t="str">
        <f t="shared" si="11"/>
        <v>MGSP</v>
      </c>
      <c r="I91" s="24" t="str">
        <f t="shared" si="10"/>
        <v>MGMG</v>
      </c>
      <c r="J91" s="24" t="str">
        <f t="shared" si="10"/>
        <v>MGES</v>
      </c>
      <c r="K91" s="24" t="str">
        <f t="shared" si="10"/>
        <v>MGSC</v>
      </c>
      <c r="L91" s="24" t="str">
        <f t="shared" si="10"/>
        <v>MGRJ</v>
      </c>
      <c r="M91" s="24" t="str">
        <f t="shared" si="10"/>
        <v>MGPR</v>
      </c>
      <c r="N91" s="24" t="str">
        <f t="shared" si="10"/>
        <v>MGAM</v>
      </c>
      <c r="O91" s="24">
        <f>VLOOKUP(H91, KM!$A:$E, 5, 0)</f>
        <v>586</v>
      </c>
      <c r="P91" s="24">
        <f>VLOOKUP(I91, KM!$A:$E, 5, 0)</f>
        <v>0</v>
      </c>
      <c r="Q91" s="24">
        <f>VLOOKUP(J91, KM!$A:$E, 5, 0)</f>
        <v>524</v>
      </c>
      <c r="R91" s="24">
        <f>VLOOKUP(K91, KM!$A:$E, 5, 0)</f>
        <v>1301</v>
      </c>
      <c r="S91" s="24">
        <f>VLOOKUP(L91, KM!$A:$E, 5, 0)</f>
        <v>434</v>
      </c>
      <c r="T91" s="24">
        <f>VLOOKUP(M91, KM!$A:$E, 5, 0)</f>
        <v>1004</v>
      </c>
      <c r="U91" s="24">
        <f>VLOOKUP(N91, KM!$A:$E, 5, 0)</f>
        <v>3951</v>
      </c>
      <c r="V91" s="24">
        <f>VLOOKUP(H91, IMPOSTO!$A:$D, 4, 0)</f>
        <v>0.12</v>
      </c>
      <c r="W91" s="24">
        <f>VLOOKUP(I91, IMPOSTO!$A:$D, 4, 0)</f>
        <v>0.18</v>
      </c>
      <c r="X91" s="24">
        <f>VLOOKUP(J91, IMPOSTO!$A:$D, 4, 0)</f>
        <v>7.0000000000000007E-2</v>
      </c>
      <c r="Y91" s="24">
        <f>VLOOKUP(K91, IMPOSTO!$A:$D, 4, 0)</f>
        <v>0.12</v>
      </c>
      <c r="Z91" s="24">
        <f>VLOOKUP(L91, IMPOSTO!$A:$D, 4, 0)</f>
        <v>0.12</v>
      </c>
      <c r="AA91" s="24">
        <f>VLOOKUP(M91, IMPOSTO!$A:$D, 4, 0)</f>
        <v>0.12</v>
      </c>
      <c r="AB91" s="24">
        <f>VLOOKUP(N91, IMPOSTO!$A:$D, 4, 0)</f>
        <v>7.0000000000000007E-2</v>
      </c>
      <c r="AC91" s="25">
        <f t="shared" si="12"/>
        <v>156.50238925068254</v>
      </c>
      <c r="AD91" s="25">
        <f t="shared" si="13"/>
        <v>96.490368951952007</v>
      </c>
      <c r="AE91" s="25">
        <f t="shared" si="14"/>
        <v>141.42161563505448</v>
      </c>
      <c r="AF91" s="25">
        <f t="shared" si="15"/>
        <v>237.75238925068254</v>
      </c>
      <c r="AG91" s="25">
        <f t="shared" si="16"/>
        <v>139.22966197795529</v>
      </c>
      <c r="AH91" s="25">
        <f t="shared" si="17"/>
        <v>204.00238925068257</v>
      </c>
      <c r="AI91" s="25">
        <f t="shared" si="18"/>
        <v>509.91623929096846</v>
      </c>
    </row>
    <row r="92" spans="1:35" ht="15.75" customHeight="1">
      <c r="A92" s="12" t="s">
        <v>102</v>
      </c>
      <c r="B92" s="12" t="s">
        <v>103</v>
      </c>
      <c r="C92" s="12" t="s">
        <v>104</v>
      </c>
      <c r="D92" s="12" t="s">
        <v>33</v>
      </c>
      <c r="E92" s="12" t="s">
        <v>24</v>
      </c>
      <c r="F92" s="13">
        <v>45.247800000000005</v>
      </c>
      <c r="G92" s="14">
        <v>1986.9431846934822</v>
      </c>
      <c r="H92" s="24" t="str">
        <f t="shared" si="11"/>
        <v>MGSP</v>
      </c>
      <c r="I92" s="24" t="str">
        <f t="shared" si="10"/>
        <v>MGMG</v>
      </c>
      <c r="J92" s="24" t="str">
        <f t="shared" si="10"/>
        <v>MGES</v>
      </c>
      <c r="K92" s="24" t="str">
        <f t="shared" si="10"/>
        <v>MGSC</v>
      </c>
      <c r="L92" s="24" t="str">
        <f t="shared" si="10"/>
        <v>MGRJ</v>
      </c>
      <c r="M92" s="24" t="str">
        <f t="shared" si="10"/>
        <v>MGPR</v>
      </c>
      <c r="N92" s="24" t="str">
        <f t="shared" si="10"/>
        <v>MGAM</v>
      </c>
      <c r="O92" s="24">
        <f>VLOOKUP(H92, KM!$A:$E, 5, 0)</f>
        <v>586</v>
      </c>
      <c r="P92" s="24">
        <f>VLOOKUP(I92, KM!$A:$E, 5, 0)</f>
        <v>0</v>
      </c>
      <c r="Q92" s="24">
        <f>VLOOKUP(J92, KM!$A:$E, 5, 0)</f>
        <v>524</v>
      </c>
      <c r="R92" s="24">
        <f>VLOOKUP(K92, KM!$A:$E, 5, 0)</f>
        <v>1301</v>
      </c>
      <c r="S92" s="24">
        <f>VLOOKUP(L92, KM!$A:$E, 5, 0)</f>
        <v>434</v>
      </c>
      <c r="T92" s="24">
        <f>VLOOKUP(M92, KM!$A:$E, 5, 0)</f>
        <v>1004</v>
      </c>
      <c r="U92" s="24">
        <f>VLOOKUP(N92, KM!$A:$E, 5, 0)</f>
        <v>3951</v>
      </c>
      <c r="V92" s="24">
        <f>VLOOKUP(H92, IMPOSTO!$A:$D, 4, 0)</f>
        <v>0.12</v>
      </c>
      <c r="W92" s="24">
        <f>VLOOKUP(I92, IMPOSTO!$A:$D, 4, 0)</f>
        <v>0.18</v>
      </c>
      <c r="X92" s="24">
        <f>VLOOKUP(J92, IMPOSTO!$A:$D, 4, 0)</f>
        <v>7.0000000000000007E-2</v>
      </c>
      <c r="Y92" s="24">
        <f>VLOOKUP(K92, IMPOSTO!$A:$D, 4, 0)</f>
        <v>0.12</v>
      </c>
      <c r="Z92" s="24">
        <f>VLOOKUP(L92, IMPOSTO!$A:$D, 4, 0)</f>
        <v>0.12</v>
      </c>
      <c r="AA92" s="24">
        <f>VLOOKUP(M92, IMPOSTO!$A:$D, 4, 0)</f>
        <v>0.12</v>
      </c>
      <c r="AB92" s="24">
        <f>VLOOKUP(N92, IMPOSTO!$A:$D, 4, 0)</f>
        <v>7.0000000000000007E-2</v>
      </c>
      <c r="AC92" s="25">
        <f t="shared" si="12"/>
        <v>2324.4808916971388</v>
      </c>
      <c r="AD92" s="25">
        <f t="shared" si="13"/>
        <v>2423.1014447481489</v>
      </c>
      <c r="AE92" s="25">
        <f t="shared" si="14"/>
        <v>2192.8421340790132</v>
      </c>
      <c r="AF92" s="25">
        <f t="shared" si="15"/>
        <v>2405.7308916971388</v>
      </c>
      <c r="AG92" s="25">
        <f t="shared" si="16"/>
        <v>2307.2081644244117</v>
      </c>
      <c r="AH92" s="25">
        <f t="shared" si="17"/>
        <v>2371.9808916971388</v>
      </c>
      <c r="AI92" s="25">
        <f t="shared" si="18"/>
        <v>2561.3367577349272</v>
      </c>
    </row>
    <row r="93" spans="1:35" ht="15.75" customHeight="1">
      <c r="A93" s="12" t="s">
        <v>99</v>
      </c>
      <c r="B93" s="12" t="s">
        <v>100</v>
      </c>
      <c r="C93" s="12" t="s">
        <v>101</v>
      </c>
      <c r="D93" s="12" t="s">
        <v>33</v>
      </c>
      <c r="E93" s="12" t="s">
        <v>24</v>
      </c>
      <c r="F93" s="13">
        <v>0</v>
      </c>
      <c r="G93" s="14">
        <v>0</v>
      </c>
      <c r="H93" s="24" t="str">
        <f t="shared" si="11"/>
        <v>MGSP</v>
      </c>
      <c r="I93" s="24" t="str">
        <f t="shared" si="10"/>
        <v>MGMG</v>
      </c>
      <c r="J93" s="24" t="str">
        <f t="shared" si="10"/>
        <v>MGES</v>
      </c>
      <c r="K93" s="24" t="str">
        <f t="shared" si="10"/>
        <v>MGSC</v>
      </c>
      <c r="L93" s="24" t="str">
        <f t="shared" si="10"/>
        <v>MGRJ</v>
      </c>
      <c r="M93" s="24" t="str">
        <f t="shared" si="10"/>
        <v>MGPR</v>
      </c>
      <c r="N93" s="24" t="str">
        <f t="shared" si="10"/>
        <v>MGAM</v>
      </c>
      <c r="O93" s="24">
        <f>VLOOKUP(H93, KM!$A:$E, 5, 0)</f>
        <v>586</v>
      </c>
      <c r="P93" s="24">
        <f>VLOOKUP(I93, KM!$A:$E, 5, 0)</f>
        <v>0</v>
      </c>
      <c r="Q93" s="24">
        <f>VLOOKUP(J93, KM!$A:$E, 5, 0)</f>
        <v>524</v>
      </c>
      <c r="R93" s="24">
        <f>VLOOKUP(K93, KM!$A:$E, 5, 0)</f>
        <v>1301</v>
      </c>
      <c r="S93" s="24">
        <f>VLOOKUP(L93, KM!$A:$E, 5, 0)</f>
        <v>434</v>
      </c>
      <c r="T93" s="24">
        <f>VLOOKUP(M93, KM!$A:$E, 5, 0)</f>
        <v>1004</v>
      </c>
      <c r="U93" s="24">
        <f>VLOOKUP(N93, KM!$A:$E, 5, 0)</f>
        <v>3951</v>
      </c>
      <c r="V93" s="24">
        <f>VLOOKUP(H93, IMPOSTO!$A:$D, 4, 0)</f>
        <v>0.12</v>
      </c>
      <c r="W93" s="24">
        <f>VLOOKUP(I93, IMPOSTO!$A:$D, 4, 0)</f>
        <v>0.18</v>
      </c>
      <c r="X93" s="24">
        <f>VLOOKUP(J93, IMPOSTO!$A:$D, 4, 0)</f>
        <v>7.0000000000000007E-2</v>
      </c>
      <c r="Y93" s="24">
        <f>VLOOKUP(K93, IMPOSTO!$A:$D, 4, 0)</f>
        <v>0.12</v>
      </c>
      <c r="Z93" s="24">
        <f>VLOOKUP(L93, IMPOSTO!$A:$D, 4, 0)</f>
        <v>0.12</v>
      </c>
      <c r="AA93" s="24">
        <f>VLOOKUP(M93, IMPOSTO!$A:$D, 4, 0)</f>
        <v>0.12</v>
      </c>
      <c r="AB93" s="24">
        <f>VLOOKUP(N93, IMPOSTO!$A:$D, 4, 0)</f>
        <v>7.0000000000000007E-2</v>
      </c>
      <c r="AC93" s="25">
        <f t="shared" si="12"/>
        <v>66.590909090909093</v>
      </c>
      <c r="AD93" s="25">
        <f t="shared" si="13"/>
        <v>0</v>
      </c>
      <c r="AE93" s="25">
        <f t="shared" si="14"/>
        <v>56.344086021505383</v>
      </c>
      <c r="AF93" s="25">
        <f t="shared" si="15"/>
        <v>147.84090909090909</v>
      </c>
      <c r="AG93" s="25">
        <f t="shared" si="16"/>
        <v>49.318181818181827</v>
      </c>
      <c r="AH93" s="25">
        <f t="shared" si="17"/>
        <v>114.09090909090909</v>
      </c>
      <c r="AI93" s="25">
        <f t="shared" si="18"/>
        <v>424.83870967741939</v>
      </c>
    </row>
    <row r="94" spans="1:35" ht="15.75" customHeight="1">
      <c r="A94" s="12" t="s">
        <v>105</v>
      </c>
      <c r="B94" s="12" t="s">
        <v>106</v>
      </c>
      <c r="C94" s="12" t="s">
        <v>49</v>
      </c>
      <c r="D94" s="12" t="s">
        <v>33</v>
      </c>
      <c r="E94" s="12" t="s">
        <v>24</v>
      </c>
      <c r="F94" s="13">
        <v>166</v>
      </c>
      <c r="G94" s="14">
        <v>1501.5391666666669</v>
      </c>
      <c r="H94" s="24" t="str">
        <f t="shared" si="11"/>
        <v>MGSP</v>
      </c>
      <c r="I94" s="24" t="str">
        <f t="shared" si="10"/>
        <v>MGMG</v>
      </c>
      <c r="J94" s="24" t="str">
        <f t="shared" si="10"/>
        <v>MGES</v>
      </c>
      <c r="K94" s="24" t="str">
        <f t="shared" si="10"/>
        <v>MGSC</v>
      </c>
      <c r="L94" s="24" t="str">
        <f t="shared" si="10"/>
        <v>MGRJ</v>
      </c>
      <c r="M94" s="24" t="str">
        <f t="shared" si="10"/>
        <v>MGPR</v>
      </c>
      <c r="N94" s="24" t="str">
        <f t="shared" si="10"/>
        <v>MGAM</v>
      </c>
      <c r="O94" s="24">
        <f>VLOOKUP(H94, KM!$A:$E, 5, 0)</f>
        <v>586</v>
      </c>
      <c r="P94" s="24">
        <f>VLOOKUP(I94, KM!$A:$E, 5, 0)</f>
        <v>0</v>
      </c>
      <c r="Q94" s="24">
        <f>VLOOKUP(J94, KM!$A:$E, 5, 0)</f>
        <v>524</v>
      </c>
      <c r="R94" s="24">
        <f>VLOOKUP(K94, KM!$A:$E, 5, 0)</f>
        <v>1301</v>
      </c>
      <c r="S94" s="24">
        <f>VLOOKUP(L94, KM!$A:$E, 5, 0)</f>
        <v>434</v>
      </c>
      <c r="T94" s="24">
        <f>VLOOKUP(M94, KM!$A:$E, 5, 0)</f>
        <v>1004</v>
      </c>
      <c r="U94" s="24">
        <f>VLOOKUP(N94, KM!$A:$E, 5, 0)</f>
        <v>3951</v>
      </c>
      <c r="V94" s="24">
        <f>VLOOKUP(H94, IMPOSTO!$A:$D, 4, 0)</f>
        <v>0.12</v>
      </c>
      <c r="W94" s="24">
        <f>VLOOKUP(I94, IMPOSTO!$A:$D, 4, 0)</f>
        <v>0.18</v>
      </c>
      <c r="X94" s="24">
        <f>VLOOKUP(J94, IMPOSTO!$A:$D, 4, 0)</f>
        <v>7.0000000000000007E-2</v>
      </c>
      <c r="Y94" s="24">
        <f>VLOOKUP(K94, IMPOSTO!$A:$D, 4, 0)</f>
        <v>0.12</v>
      </c>
      <c r="Z94" s="24">
        <f>VLOOKUP(L94, IMPOSTO!$A:$D, 4, 0)</f>
        <v>0.12</v>
      </c>
      <c r="AA94" s="24">
        <f>VLOOKUP(M94, IMPOSTO!$A:$D, 4, 0)</f>
        <v>0.12</v>
      </c>
      <c r="AB94" s="24">
        <f>VLOOKUP(N94, IMPOSTO!$A:$D, 4, 0)</f>
        <v>7.0000000000000007E-2</v>
      </c>
      <c r="AC94" s="25">
        <f t="shared" si="12"/>
        <v>1772.8854166666667</v>
      </c>
      <c r="AD94" s="25">
        <f t="shared" si="13"/>
        <v>1831.1453252032522</v>
      </c>
      <c r="AE94" s="25">
        <f t="shared" si="14"/>
        <v>1670.9023297491044</v>
      </c>
      <c r="AF94" s="25">
        <f t="shared" si="15"/>
        <v>1854.1354166666667</v>
      </c>
      <c r="AG94" s="25">
        <f t="shared" si="16"/>
        <v>1755.6126893939397</v>
      </c>
      <c r="AH94" s="25">
        <f t="shared" si="17"/>
        <v>1820.385416666667</v>
      </c>
      <c r="AI94" s="25">
        <f t="shared" si="18"/>
        <v>2039.3969534050182</v>
      </c>
    </row>
    <row r="95" spans="1:35" ht="15.75" customHeight="1">
      <c r="A95" s="12" t="s">
        <v>107</v>
      </c>
      <c r="B95" s="12" t="s">
        <v>108</v>
      </c>
      <c r="C95" s="12" t="s">
        <v>98</v>
      </c>
      <c r="D95" s="12" t="s">
        <v>33</v>
      </c>
      <c r="E95" s="12" t="s">
        <v>24</v>
      </c>
      <c r="F95" s="13">
        <v>472.99999999999994</v>
      </c>
      <c r="G95" s="14">
        <v>23461.110656779674</v>
      </c>
      <c r="H95" s="24" t="str">
        <f t="shared" si="11"/>
        <v>MGSP</v>
      </c>
      <c r="I95" s="24" t="str">
        <f t="shared" si="10"/>
        <v>MGMG</v>
      </c>
      <c r="J95" s="24" t="str">
        <f t="shared" si="10"/>
        <v>MGES</v>
      </c>
      <c r="K95" s="24" t="str">
        <f t="shared" si="10"/>
        <v>MGSC</v>
      </c>
      <c r="L95" s="24" t="str">
        <f t="shared" si="10"/>
        <v>MGRJ</v>
      </c>
      <c r="M95" s="24" t="str">
        <f t="shared" si="10"/>
        <v>MGPR</v>
      </c>
      <c r="N95" s="24" t="str">
        <f t="shared" si="10"/>
        <v>MGAM</v>
      </c>
      <c r="O95" s="24">
        <f>VLOOKUP(H95, KM!$A:$E, 5, 0)</f>
        <v>586</v>
      </c>
      <c r="P95" s="24">
        <f>VLOOKUP(I95, KM!$A:$E, 5, 0)</f>
        <v>0</v>
      </c>
      <c r="Q95" s="24">
        <f>VLOOKUP(J95, KM!$A:$E, 5, 0)</f>
        <v>524</v>
      </c>
      <c r="R95" s="24">
        <f>VLOOKUP(K95, KM!$A:$E, 5, 0)</f>
        <v>1301</v>
      </c>
      <c r="S95" s="24">
        <f>VLOOKUP(L95, KM!$A:$E, 5, 0)</f>
        <v>434</v>
      </c>
      <c r="T95" s="24">
        <f>VLOOKUP(M95, KM!$A:$E, 5, 0)</f>
        <v>1004</v>
      </c>
      <c r="U95" s="24">
        <f>VLOOKUP(N95, KM!$A:$E, 5, 0)</f>
        <v>3951</v>
      </c>
      <c r="V95" s="24">
        <f>VLOOKUP(H95, IMPOSTO!$A:$D, 4, 0)</f>
        <v>0.12</v>
      </c>
      <c r="W95" s="24">
        <f>VLOOKUP(I95, IMPOSTO!$A:$D, 4, 0)</f>
        <v>0.18</v>
      </c>
      <c r="X95" s="24">
        <f>VLOOKUP(J95, IMPOSTO!$A:$D, 4, 0)</f>
        <v>7.0000000000000007E-2</v>
      </c>
      <c r="Y95" s="24">
        <f>VLOOKUP(K95, IMPOSTO!$A:$D, 4, 0)</f>
        <v>0.12</v>
      </c>
      <c r="Z95" s="24">
        <f>VLOOKUP(L95, IMPOSTO!$A:$D, 4, 0)</f>
        <v>0.12</v>
      </c>
      <c r="AA95" s="24">
        <f>VLOOKUP(M95, IMPOSTO!$A:$D, 4, 0)</f>
        <v>0.12</v>
      </c>
      <c r="AB95" s="24">
        <f>VLOOKUP(N95, IMPOSTO!$A:$D, 4, 0)</f>
        <v>7.0000000000000007E-2</v>
      </c>
      <c r="AC95" s="25">
        <f t="shared" si="12"/>
        <v>26726.943928158718</v>
      </c>
      <c r="AD95" s="25">
        <f t="shared" si="13"/>
        <v>28611.110557048381</v>
      </c>
      <c r="AE95" s="25">
        <f t="shared" si="14"/>
        <v>25283.344792236214</v>
      </c>
      <c r="AF95" s="25">
        <f t="shared" si="15"/>
        <v>26808.193928158718</v>
      </c>
      <c r="AG95" s="25">
        <f t="shared" si="16"/>
        <v>26709.671200885994</v>
      </c>
      <c r="AH95" s="25">
        <f t="shared" si="17"/>
        <v>26774.443928158722</v>
      </c>
      <c r="AI95" s="25">
        <f t="shared" si="18"/>
        <v>25651.839415892122</v>
      </c>
    </row>
    <row r="96" spans="1:35" ht="15.75" customHeight="1">
      <c r="A96" s="12" t="s">
        <v>109</v>
      </c>
      <c r="B96" s="12" t="s">
        <v>110</v>
      </c>
      <c r="C96" s="12" t="s">
        <v>111</v>
      </c>
      <c r="D96" s="12" t="s">
        <v>33</v>
      </c>
      <c r="E96" s="12" t="s">
        <v>24</v>
      </c>
      <c r="F96" s="13">
        <v>0.31894236421725242</v>
      </c>
      <c r="G96" s="14">
        <v>1.8096452779552712</v>
      </c>
      <c r="H96" s="24" t="str">
        <f t="shared" si="11"/>
        <v>MGSP</v>
      </c>
      <c r="I96" s="24" t="str">
        <f t="shared" si="10"/>
        <v>MGMG</v>
      </c>
      <c r="J96" s="24" t="str">
        <f t="shared" si="10"/>
        <v>MGES</v>
      </c>
      <c r="K96" s="24" t="str">
        <f t="shared" si="10"/>
        <v>MGSC</v>
      </c>
      <c r="L96" s="24" t="str">
        <f t="shared" si="10"/>
        <v>MGRJ</v>
      </c>
      <c r="M96" s="24" t="str">
        <f t="shared" si="10"/>
        <v>MGPR</v>
      </c>
      <c r="N96" s="24" t="str">
        <f t="shared" si="10"/>
        <v>MGAM</v>
      </c>
      <c r="O96" s="24">
        <f>VLOOKUP(H96, KM!$A:$E, 5, 0)</f>
        <v>586</v>
      </c>
      <c r="P96" s="24">
        <f>VLOOKUP(I96, KM!$A:$E, 5, 0)</f>
        <v>0</v>
      </c>
      <c r="Q96" s="24">
        <f>VLOOKUP(J96, KM!$A:$E, 5, 0)</f>
        <v>524</v>
      </c>
      <c r="R96" s="24">
        <f>VLOOKUP(K96, KM!$A:$E, 5, 0)</f>
        <v>1301</v>
      </c>
      <c r="S96" s="24">
        <f>VLOOKUP(L96, KM!$A:$E, 5, 0)</f>
        <v>434</v>
      </c>
      <c r="T96" s="24">
        <f>VLOOKUP(M96, KM!$A:$E, 5, 0)</f>
        <v>1004</v>
      </c>
      <c r="U96" s="24">
        <f>VLOOKUP(N96, KM!$A:$E, 5, 0)</f>
        <v>3951</v>
      </c>
      <c r="V96" s="24">
        <f>VLOOKUP(H96, IMPOSTO!$A:$D, 4, 0)</f>
        <v>0.12</v>
      </c>
      <c r="W96" s="24">
        <f>VLOOKUP(I96, IMPOSTO!$A:$D, 4, 0)</f>
        <v>0.18</v>
      </c>
      <c r="X96" s="24">
        <f>VLOOKUP(J96, IMPOSTO!$A:$D, 4, 0)</f>
        <v>7.0000000000000007E-2</v>
      </c>
      <c r="Y96" s="24">
        <f>VLOOKUP(K96, IMPOSTO!$A:$D, 4, 0)</f>
        <v>0.12</v>
      </c>
      <c r="Z96" s="24">
        <f>VLOOKUP(L96, IMPOSTO!$A:$D, 4, 0)</f>
        <v>0.12</v>
      </c>
      <c r="AA96" s="24">
        <f>VLOOKUP(M96, IMPOSTO!$A:$D, 4, 0)</f>
        <v>0.12</v>
      </c>
      <c r="AB96" s="24">
        <f>VLOOKUP(N96, IMPOSTO!$A:$D, 4, 0)</f>
        <v>7.0000000000000007E-2</v>
      </c>
      <c r="AC96" s="25">
        <f t="shared" si="12"/>
        <v>68.647324179494632</v>
      </c>
      <c r="AD96" s="25">
        <f t="shared" si="13"/>
        <v>2.2068844853113063</v>
      </c>
      <c r="AE96" s="25">
        <f t="shared" si="14"/>
        <v>58.289941159091697</v>
      </c>
      <c r="AF96" s="25">
        <f t="shared" si="15"/>
        <v>149.8973241794946</v>
      </c>
      <c r="AG96" s="25">
        <f t="shared" si="16"/>
        <v>51.374596906767358</v>
      </c>
      <c r="AH96" s="25">
        <f t="shared" si="17"/>
        <v>116.14732417949463</v>
      </c>
      <c r="AI96" s="25">
        <f t="shared" si="18"/>
        <v>426.78456481500569</v>
      </c>
    </row>
    <row r="97" spans="1:35" ht="15.75" customHeight="1">
      <c r="A97" s="12" t="s">
        <v>52</v>
      </c>
      <c r="B97" s="12" t="s">
        <v>53</v>
      </c>
      <c r="C97" s="12" t="s">
        <v>54</v>
      </c>
      <c r="D97" s="12" t="s">
        <v>33</v>
      </c>
      <c r="E97" s="12" t="s">
        <v>24</v>
      </c>
      <c r="F97" s="13">
        <v>35759.838717534622</v>
      </c>
      <c r="G97" s="14">
        <v>479802.63362715219</v>
      </c>
      <c r="H97" s="24" t="str">
        <f t="shared" si="11"/>
        <v>MGSP</v>
      </c>
      <c r="I97" s="24" t="str">
        <f t="shared" si="10"/>
        <v>MGMG</v>
      </c>
      <c r="J97" s="24" t="str">
        <f t="shared" si="10"/>
        <v>MGES</v>
      </c>
      <c r="K97" s="24" t="str">
        <f t="shared" si="10"/>
        <v>MGSC</v>
      </c>
      <c r="L97" s="24" t="str">
        <f t="shared" si="10"/>
        <v>MGRJ</v>
      </c>
      <c r="M97" s="24" t="str">
        <f t="shared" si="10"/>
        <v>MGPR</v>
      </c>
      <c r="N97" s="24" t="str">
        <f t="shared" si="10"/>
        <v>MGAM</v>
      </c>
      <c r="O97" s="24">
        <f>VLOOKUP(H97, KM!$A:$E, 5, 0)</f>
        <v>586</v>
      </c>
      <c r="P97" s="24">
        <f>VLOOKUP(I97, KM!$A:$E, 5, 0)</f>
        <v>0</v>
      </c>
      <c r="Q97" s="24">
        <f>VLOOKUP(J97, KM!$A:$E, 5, 0)</f>
        <v>524</v>
      </c>
      <c r="R97" s="24">
        <f>VLOOKUP(K97, KM!$A:$E, 5, 0)</f>
        <v>1301</v>
      </c>
      <c r="S97" s="24">
        <f>VLOOKUP(L97, KM!$A:$E, 5, 0)</f>
        <v>434</v>
      </c>
      <c r="T97" s="24">
        <f>VLOOKUP(M97, KM!$A:$E, 5, 0)</f>
        <v>1004</v>
      </c>
      <c r="U97" s="24">
        <f>VLOOKUP(N97, KM!$A:$E, 5, 0)</f>
        <v>3951</v>
      </c>
      <c r="V97" s="24">
        <f>VLOOKUP(H97, IMPOSTO!$A:$D, 4, 0)</f>
        <v>0.12</v>
      </c>
      <c r="W97" s="24">
        <f>VLOOKUP(I97, IMPOSTO!$A:$D, 4, 0)</f>
        <v>0.18</v>
      </c>
      <c r="X97" s="24">
        <f>VLOOKUP(J97, IMPOSTO!$A:$D, 4, 0)</f>
        <v>7.0000000000000007E-2</v>
      </c>
      <c r="Y97" s="24">
        <f>VLOOKUP(K97, IMPOSTO!$A:$D, 4, 0)</f>
        <v>0.12</v>
      </c>
      <c r="Z97" s="24">
        <f>VLOOKUP(L97, IMPOSTO!$A:$D, 4, 0)</f>
        <v>0.12</v>
      </c>
      <c r="AA97" s="24">
        <f>VLOOKUP(M97, IMPOSTO!$A:$D, 4, 0)</f>
        <v>0.12</v>
      </c>
      <c r="AB97" s="24">
        <f>VLOOKUP(N97, IMPOSTO!$A:$D, 4, 0)</f>
        <v>7.0000000000000007E-2</v>
      </c>
      <c r="AC97" s="25">
        <f t="shared" si="12"/>
        <v>545296.85639449104</v>
      </c>
      <c r="AD97" s="25">
        <f t="shared" si="13"/>
        <v>585125.16295994166</v>
      </c>
      <c r="AE97" s="25">
        <f t="shared" si="14"/>
        <v>515973.15443779813</v>
      </c>
      <c r="AF97" s="25">
        <f t="shared" si="15"/>
        <v>545378.10639449104</v>
      </c>
      <c r="AG97" s="25">
        <f t="shared" si="16"/>
        <v>545279.58366721845</v>
      </c>
      <c r="AH97" s="25">
        <f t="shared" si="17"/>
        <v>545344.35639449116</v>
      </c>
      <c r="AI97" s="25">
        <f t="shared" si="18"/>
        <v>516341.64906145399</v>
      </c>
    </row>
    <row r="98" spans="1:35" ht="15.75" customHeight="1">
      <c r="A98" s="12" t="s">
        <v>58</v>
      </c>
      <c r="B98" s="12" t="s">
        <v>59</v>
      </c>
      <c r="C98" s="12" t="s">
        <v>60</v>
      </c>
      <c r="D98" s="12" t="s">
        <v>50</v>
      </c>
      <c r="E98" s="12" t="s">
        <v>24</v>
      </c>
      <c r="F98" s="13">
        <v>647.5639915956001</v>
      </c>
      <c r="G98" s="14">
        <v>38642.774107225312</v>
      </c>
      <c r="H98" s="24" t="str">
        <f t="shared" si="11"/>
        <v>MGSP</v>
      </c>
      <c r="I98" s="24" t="str">
        <f t="shared" si="10"/>
        <v>MGMG</v>
      </c>
      <c r="J98" s="24" t="str">
        <f t="shared" si="10"/>
        <v>MGES</v>
      </c>
      <c r="K98" s="24" t="str">
        <f t="shared" si="10"/>
        <v>MGSC</v>
      </c>
      <c r="L98" s="24" t="str">
        <f t="shared" si="10"/>
        <v>MGRJ</v>
      </c>
      <c r="M98" s="24" t="str">
        <f t="shared" si="10"/>
        <v>MGPR</v>
      </c>
      <c r="N98" s="24" t="str">
        <f t="shared" si="10"/>
        <v>MGAM</v>
      </c>
      <c r="O98" s="24">
        <f>VLOOKUP(H98, KM!$A:$E, 5, 0)</f>
        <v>586</v>
      </c>
      <c r="P98" s="24">
        <f>VLOOKUP(I98, KM!$A:$E, 5, 0)</f>
        <v>0</v>
      </c>
      <c r="Q98" s="24">
        <f>VLOOKUP(J98, KM!$A:$E, 5, 0)</f>
        <v>524</v>
      </c>
      <c r="R98" s="24">
        <f>VLOOKUP(K98, KM!$A:$E, 5, 0)</f>
        <v>1301</v>
      </c>
      <c r="S98" s="24">
        <f>VLOOKUP(L98, KM!$A:$E, 5, 0)</f>
        <v>434</v>
      </c>
      <c r="T98" s="24">
        <f>VLOOKUP(M98, KM!$A:$E, 5, 0)</f>
        <v>1004</v>
      </c>
      <c r="U98" s="24">
        <f>VLOOKUP(N98, KM!$A:$E, 5, 0)</f>
        <v>3951</v>
      </c>
      <c r="V98" s="24">
        <f>VLOOKUP(H98, IMPOSTO!$A:$D, 4, 0)</f>
        <v>0.12</v>
      </c>
      <c r="W98" s="24">
        <f>VLOOKUP(I98, IMPOSTO!$A:$D, 4, 0)</f>
        <v>0.18</v>
      </c>
      <c r="X98" s="24">
        <f>VLOOKUP(J98, IMPOSTO!$A:$D, 4, 0)</f>
        <v>7.0000000000000007E-2</v>
      </c>
      <c r="Y98" s="24">
        <f>VLOOKUP(K98, IMPOSTO!$A:$D, 4, 0)</f>
        <v>0.12</v>
      </c>
      <c r="Z98" s="24">
        <f>VLOOKUP(L98, IMPOSTO!$A:$D, 4, 0)</f>
        <v>0.12</v>
      </c>
      <c r="AA98" s="24">
        <f>VLOOKUP(M98, IMPOSTO!$A:$D, 4, 0)</f>
        <v>0.12</v>
      </c>
      <c r="AB98" s="24">
        <f>VLOOKUP(N98, IMPOSTO!$A:$D, 4, 0)</f>
        <v>7.0000000000000007E-2</v>
      </c>
      <c r="AC98" s="25">
        <f t="shared" si="12"/>
        <v>43978.834212756032</v>
      </c>
      <c r="AD98" s="25">
        <f t="shared" si="13"/>
        <v>47125.334277104033</v>
      </c>
      <c r="AE98" s="25">
        <f t="shared" si="14"/>
        <v>41607.714093790666</v>
      </c>
      <c r="AF98" s="25">
        <f t="shared" si="15"/>
        <v>44060.084212756032</v>
      </c>
      <c r="AG98" s="25">
        <f t="shared" si="16"/>
        <v>43961.561485483311</v>
      </c>
      <c r="AH98" s="25">
        <f t="shared" si="17"/>
        <v>44026.334212756039</v>
      </c>
      <c r="AI98" s="25">
        <f t="shared" si="18"/>
        <v>41976.208717446571</v>
      </c>
    </row>
    <row r="99" spans="1:35" ht="15.75" customHeight="1">
      <c r="A99" s="12" t="s">
        <v>82</v>
      </c>
      <c r="B99" s="12" t="s">
        <v>83</v>
      </c>
      <c r="C99" s="12" t="s">
        <v>69</v>
      </c>
      <c r="D99" s="12" t="s">
        <v>33</v>
      </c>
      <c r="E99" s="12" t="s">
        <v>24</v>
      </c>
      <c r="F99" s="13">
        <v>46872.591980000005</v>
      </c>
      <c r="G99" s="14">
        <v>2847744.3257449004</v>
      </c>
      <c r="H99" s="24" t="str">
        <f t="shared" si="11"/>
        <v>MGSP</v>
      </c>
      <c r="I99" s="24" t="str">
        <f t="shared" si="10"/>
        <v>MGMG</v>
      </c>
      <c r="J99" s="24" t="str">
        <f t="shared" si="10"/>
        <v>MGES</v>
      </c>
      <c r="K99" s="24" t="str">
        <f t="shared" si="10"/>
        <v>MGSC</v>
      </c>
      <c r="L99" s="24" t="str">
        <f t="shared" si="10"/>
        <v>MGRJ</v>
      </c>
      <c r="M99" s="24" t="str">
        <f t="shared" si="10"/>
        <v>MGPR</v>
      </c>
      <c r="N99" s="24" t="str">
        <f t="shared" si="10"/>
        <v>MGAM</v>
      </c>
      <c r="O99" s="24">
        <f>VLOOKUP(H99, KM!$A:$E, 5, 0)</f>
        <v>586</v>
      </c>
      <c r="P99" s="24">
        <f>VLOOKUP(I99, KM!$A:$E, 5, 0)</f>
        <v>0</v>
      </c>
      <c r="Q99" s="24">
        <f>VLOOKUP(J99, KM!$A:$E, 5, 0)</f>
        <v>524</v>
      </c>
      <c r="R99" s="24">
        <f>VLOOKUP(K99, KM!$A:$E, 5, 0)</f>
        <v>1301</v>
      </c>
      <c r="S99" s="24">
        <f>VLOOKUP(L99, KM!$A:$E, 5, 0)</f>
        <v>434</v>
      </c>
      <c r="T99" s="24">
        <f>VLOOKUP(M99, KM!$A:$E, 5, 0)</f>
        <v>1004</v>
      </c>
      <c r="U99" s="24">
        <f>VLOOKUP(N99, KM!$A:$E, 5, 0)</f>
        <v>3951</v>
      </c>
      <c r="V99" s="24">
        <f>VLOOKUP(H99, IMPOSTO!$A:$D, 4, 0)</f>
        <v>0.12</v>
      </c>
      <c r="W99" s="24">
        <f>VLOOKUP(I99, IMPOSTO!$A:$D, 4, 0)</f>
        <v>0.18</v>
      </c>
      <c r="X99" s="24">
        <f>VLOOKUP(J99, IMPOSTO!$A:$D, 4, 0)</f>
        <v>7.0000000000000007E-2</v>
      </c>
      <c r="Y99" s="24">
        <f>VLOOKUP(K99, IMPOSTO!$A:$D, 4, 0)</f>
        <v>0.12</v>
      </c>
      <c r="Z99" s="24">
        <f>VLOOKUP(L99, IMPOSTO!$A:$D, 4, 0)</f>
        <v>0.12</v>
      </c>
      <c r="AA99" s="24">
        <f>VLOOKUP(M99, IMPOSTO!$A:$D, 4, 0)</f>
        <v>0.12</v>
      </c>
      <c r="AB99" s="24">
        <f>VLOOKUP(N99, IMPOSTO!$A:$D, 4, 0)</f>
        <v>7.0000000000000007E-2</v>
      </c>
      <c r="AC99" s="25">
        <f t="shared" si="12"/>
        <v>3236139.6883464777</v>
      </c>
      <c r="AD99" s="25">
        <f t="shared" si="13"/>
        <v>3472858.9338352443</v>
      </c>
      <c r="AE99" s="25">
        <f t="shared" si="14"/>
        <v>3062147.0169300004</v>
      </c>
      <c r="AF99" s="25">
        <f t="shared" si="15"/>
        <v>3236220.9383464777</v>
      </c>
      <c r="AG99" s="25">
        <f t="shared" si="16"/>
        <v>3236122.4156192048</v>
      </c>
      <c r="AH99" s="25">
        <f t="shared" si="17"/>
        <v>3236187.1883464777</v>
      </c>
      <c r="AI99" s="25">
        <f t="shared" si="18"/>
        <v>3062515.5115536568</v>
      </c>
    </row>
    <row r="100" spans="1:35" ht="15.75" customHeight="1">
      <c r="A100" s="12" t="s">
        <v>70</v>
      </c>
      <c r="B100" s="12" t="s">
        <v>71</v>
      </c>
      <c r="C100" s="12" t="s">
        <v>54</v>
      </c>
      <c r="D100" s="12" t="s">
        <v>33</v>
      </c>
      <c r="E100" s="12" t="s">
        <v>24</v>
      </c>
      <c r="F100" s="13">
        <v>9.362150489600884</v>
      </c>
      <c r="G100" s="14">
        <v>123.97966232559524</v>
      </c>
      <c r="H100" s="24" t="str">
        <f t="shared" si="11"/>
        <v>MGSP</v>
      </c>
      <c r="I100" s="24" t="str">
        <f t="shared" si="10"/>
        <v>MGMG</v>
      </c>
      <c r="J100" s="24" t="str">
        <f t="shared" si="10"/>
        <v>MGES</v>
      </c>
      <c r="K100" s="24" t="str">
        <f t="shared" si="10"/>
        <v>MGSC</v>
      </c>
      <c r="L100" s="24" t="str">
        <f t="shared" si="10"/>
        <v>MGRJ</v>
      </c>
      <c r="M100" s="24" t="str">
        <f t="shared" si="10"/>
        <v>MGPR</v>
      </c>
      <c r="N100" s="24" t="str">
        <f t="shared" si="10"/>
        <v>MGAM</v>
      </c>
      <c r="O100" s="24">
        <f>VLOOKUP(H100, KM!$A:$E, 5, 0)</f>
        <v>586</v>
      </c>
      <c r="P100" s="24">
        <f>VLOOKUP(I100, KM!$A:$E, 5, 0)</f>
        <v>0</v>
      </c>
      <c r="Q100" s="24">
        <f>VLOOKUP(J100, KM!$A:$E, 5, 0)</f>
        <v>524</v>
      </c>
      <c r="R100" s="24">
        <f>VLOOKUP(K100, KM!$A:$E, 5, 0)</f>
        <v>1301</v>
      </c>
      <c r="S100" s="24">
        <f>VLOOKUP(L100, KM!$A:$E, 5, 0)</f>
        <v>434</v>
      </c>
      <c r="T100" s="24">
        <f>VLOOKUP(M100, KM!$A:$E, 5, 0)</f>
        <v>1004</v>
      </c>
      <c r="U100" s="24">
        <f>VLOOKUP(N100, KM!$A:$E, 5, 0)</f>
        <v>3951</v>
      </c>
      <c r="V100" s="24">
        <f>VLOOKUP(H100, IMPOSTO!$A:$D, 4, 0)</f>
        <v>0.12</v>
      </c>
      <c r="W100" s="24">
        <f>VLOOKUP(I100, IMPOSTO!$A:$D, 4, 0)</f>
        <v>0.18</v>
      </c>
      <c r="X100" s="24">
        <f>VLOOKUP(J100, IMPOSTO!$A:$D, 4, 0)</f>
        <v>7.0000000000000007E-2</v>
      </c>
      <c r="Y100" s="24">
        <f>VLOOKUP(K100, IMPOSTO!$A:$D, 4, 0)</f>
        <v>0.12</v>
      </c>
      <c r="Z100" s="24">
        <f>VLOOKUP(L100, IMPOSTO!$A:$D, 4, 0)</f>
        <v>0.12</v>
      </c>
      <c r="AA100" s="24">
        <f>VLOOKUP(M100, IMPOSTO!$A:$D, 4, 0)</f>
        <v>0.12</v>
      </c>
      <c r="AB100" s="24">
        <f>VLOOKUP(N100, IMPOSTO!$A:$D, 4, 0)</f>
        <v>7.0000000000000007E-2</v>
      </c>
      <c r="AC100" s="25">
        <f t="shared" si="12"/>
        <v>207.47688900635825</v>
      </c>
      <c r="AD100" s="25">
        <f t="shared" si="13"/>
        <v>151.19471015316492</v>
      </c>
      <c r="AE100" s="25">
        <f t="shared" si="14"/>
        <v>189.65555088773684</v>
      </c>
      <c r="AF100" s="25">
        <f t="shared" si="15"/>
        <v>288.72688900635819</v>
      </c>
      <c r="AG100" s="25">
        <f t="shared" si="16"/>
        <v>190.20416173363094</v>
      </c>
      <c r="AH100" s="25">
        <f t="shared" si="17"/>
        <v>254.97688900635822</v>
      </c>
      <c r="AI100" s="25">
        <f t="shared" si="18"/>
        <v>558.15017454365079</v>
      </c>
    </row>
    <row r="101" spans="1:35" ht="15.75" customHeight="1">
      <c r="A101" s="12" t="s">
        <v>70</v>
      </c>
      <c r="B101" s="12" t="s">
        <v>71</v>
      </c>
      <c r="C101" s="12" t="s">
        <v>54</v>
      </c>
      <c r="D101" s="12" t="s">
        <v>33</v>
      </c>
      <c r="E101" s="12" t="s">
        <v>24</v>
      </c>
      <c r="F101" s="13">
        <v>1.6312386629062625</v>
      </c>
      <c r="G101" s="14">
        <v>24.278942624925687</v>
      </c>
      <c r="H101" s="24" t="str">
        <f t="shared" si="11"/>
        <v>MGSP</v>
      </c>
      <c r="I101" s="24" t="str">
        <f t="shared" si="10"/>
        <v>MGMG</v>
      </c>
      <c r="J101" s="24" t="str">
        <f t="shared" si="10"/>
        <v>MGES</v>
      </c>
      <c r="K101" s="24" t="str">
        <f t="shared" si="10"/>
        <v>MGSC</v>
      </c>
      <c r="L101" s="24" t="str">
        <f t="shared" si="10"/>
        <v>MGRJ</v>
      </c>
      <c r="M101" s="24" t="str">
        <f t="shared" si="10"/>
        <v>MGPR</v>
      </c>
      <c r="N101" s="24" t="str">
        <f t="shared" si="10"/>
        <v>MGAM</v>
      </c>
      <c r="O101" s="24">
        <f>VLOOKUP(H101, KM!$A:$E, 5, 0)</f>
        <v>586</v>
      </c>
      <c r="P101" s="24">
        <f>VLOOKUP(I101, KM!$A:$E, 5, 0)</f>
        <v>0</v>
      </c>
      <c r="Q101" s="24">
        <f>VLOOKUP(J101, KM!$A:$E, 5, 0)</f>
        <v>524</v>
      </c>
      <c r="R101" s="24">
        <f>VLOOKUP(K101, KM!$A:$E, 5, 0)</f>
        <v>1301</v>
      </c>
      <c r="S101" s="24">
        <f>VLOOKUP(L101, KM!$A:$E, 5, 0)</f>
        <v>434</v>
      </c>
      <c r="T101" s="24">
        <f>VLOOKUP(M101, KM!$A:$E, 5, 0)</f>
        <v>1004</v>
      </c>
      <c r="U101" s="24">
        <f>VLOOKUP(N101, KM!$A:$E, 5, 0)</f>
        <v>3951</v>
      </c>
      <c r="V101" s="24">
        <f>VLOOKUP(H101, IMPOSTO!$A:$D, 4, 0)</f>
        <v>0.12</v>
      </c>
      <c r="W101" s="24">
        <f>VLOOKUP(I101, IMPOSTO!$A:$D, 4, 0)</f>
        <v>0.18</v>
      </c>
      <c r="X101" s="24">
        <f>VLOOKUP(J101, IMPOSTO!$A:$D, 4, 0)</f>
        <v>7.0000000000000007E-2</v>
      </c>
      <c r="Y101" s="24">
        <f>VLOOKUP(K101, IMPOSTO!$A:$D, 4, 0)</f>
        <v>0.12</v>
      </c>
      <c r="Z101" s="24">
        <f>VLOOKUP(L101, IMPOSTO!$A:$D, 4, 0)</f>
        <v>0.12</v>
      </c>
      <c r="AA101" s="24">
        <f>VLOOKUP(M101, IMPOSTO!$A:$D, 4, 0)</f>
        <v>0.12</v>
      </c>
      <c r="AB101" s="24">
        <f>VLOOKUP(N101, IMPOSTO!$A:$D, 4, 0)</f>
        <v>7.0000000000000007E-2</v>
      </c>
      <c r="AC101" s="25">
        <f t="shared" si="12"/>
        <v>94.180616619233732</v>
      </c>
      <c r="AD101" s="25">
        <f t="shared" si="13"/>
        <v>29.608466615763032</v>
      </c>
      <c r="AE101" s="25">
        <f t="shared" si="14"/>
        <v>82.450475940780322</v>
      </c>
      <c r="AF101" s="25">
        <f t="shared" si="15"/>
        <v>175.43061661923375</v>
      </c>
      <c r="AG101" s="25">
        <f t="shared" si="16"/>
        <v>76.907889346506479</v>
      </c>
      <c r="AH101" s="25">
        <f t="shared" si="17"/>
        <v>141.68061661923375</v>
      </c>
      <c r="AI101" s="25">
        <f t="shared" si="18"/>
        <v>450.94509959669432</v>
      </c>
    </row>
    <row r="102" spans="1:35" ht="15.75" customHeight="1">
      <c r="A102" s="12" t="s">
        <v>76</v>
      </c>
      <c r="B102" s="12" t="s">
        <v>77</v>
      </c>
      <c r="C102" s="12" t="s">
        <v>78</v>
      </c>
      <c r="D102" s="12" t="s">
        <v>33</v>
      </c>
      <c r="E102" s="12" t="s">
        <v>24</v>
      </c>
      <c r="F102" s="13">
        <v>194.53181142127366</v>
      </c>
      <c r="G102" s="14">
        <v>766.81431135918524</v>
      </c>
      <c r="H102" s="24" t="str">
        <f t="shared" si="11"/>
        <v>MGSP</v>
      </c>
      <c r="I102" s="24" t="str">
        <f t="shared" si="10"/>
        <v>MGMG</v>
      </c>
      <c r="J102" s="24" t="str">
        <f t="shared" si="10"/>
        <v>MGES</v>
      </c>
      <c r="K102" s="24" t="str">
        <f t="shared" si="10"/>
        <v>MGSC</v>
      </c>
      <c r="L102" s="24" t="str">
        <f t="shared" si="10"/>
        <v>MGRJ</v>
      </c>
      <c r="M102" s="24" t="str">
        <f t="shared" si="10"/>
        <v>MGPR</v>
      </c>
      <c r="N102" s="24" t="str">
        <f t="shared" si="10"/>
        <v>MGAM</v>
      </c>
      <c r="O102" s="24">
        <f>VLOOKUP(H102, KM!$A:$E, 5, 0)</f>
        <v>586</v>
      </c>
      <c r="P102" s="24">
        <f>VLOOKUP(I102, KM!$A:$E, 5, 0)</f>
        <v>0</v>
      </c>
      <c r="Q102" s="24">
        <f>VLOOKUP(J102, KM!$A:$E, 5, 0)</f>
        <v>524</v>
      </c>
      <c r="R102" s="24">
        <f>VLOOKUP(K102, KM!$A:$E, 5, 0)</f>
        <v>1301</v>
      </c>
      <c r="S102" s="24">
        <f>VLOOKUP(L102, KM!$A:$E, 5, 0)</f>
        <v>434</v>
      </c>
      <c r="T102" s="24">
        <f>VLOOKUP(M102, KM!$A:$E, 5, 0)</f>
        <v>1004</v>
      </c>
      <c r="U102" s="24">
        <f>VLOOKUP(N102, KM!$A:$E, 5, 0)</f>
        <v>3951</v>
      </c>
      <c r="V102" s="24">
        <f>VLOOKUP(H102, IMPOSTO!$A:$D, 4, 0)</f>
        <v>0.12</v>
      </c>
      <c r="W102" s="24">
        <f>VLOOKUP(I102, IMPOSTO!$A:$D, 4, 0)</f>
        <v>0.18</v>
      </c>
      <c r="X102" s="24">
        <f>VLOOKUP(J102, IMPOSTO!$A:$D, 4, 0)</f>
        <v>7.0000000000000007E-2</v>
      </c>
      <c r="Y102" s="24">
        <f>VLOOKUP(K102, IMPOSTO!$A:$D, 4, 0)</f>
        <v>0.12</v>
      </c>
      <c r="Z102" s="24">
        <f>VLOOKUP(L102, IMPOSTO!$A:$D, 4, 0)</f>
        <v>0.12</v>
      </c>
      <c r="AA102" s="24">
        <f>VLOOKUP(M102, IMPOSTO!$A:$D, 4, 0)</f>
        <v>0.12</v>
      </c>
      <c r="AB102" s="24">
        <f>VLOOKUP(N102, IMPOSTO!$A:$D, 4, 0)</f>
        <v>7.0000000000000007E-2</v>
      </c>
      <c r="AC102" s="25">
        <f t="shared" si="12"/>
        <v>937.9708083627105</v>
      </c>
      <c r="AD102" s="25">
        <f t="shared" si="13"/>
        <v>935.13940409656732</v>
      </c>
      <c r="AE102" s="25">
        <f t="shared" si="14"/>
        <v>880.87560361202713</v>
      </c>
      <c r="AF102" s="25">
        <f t="shared" si="15"/>
        <v>1019.2208083627105</v>
      </c>
      <c r="AG102" s="25">
        <f t="shared" si="16"/>
        <v>920.69808108998325</v>
      </c>
      <c r="AH102" s="25">
        <f t="shared" si="17"/>
        <v>985.4708083627105</v>
      </c>
      <c r="AI102" s="25">
        <f t="shared" si="18"/>
        <v>1249.3702272679413</v>
      </c>
    </row>
    <row r="103" spans="1:35" ht="15.75" customHeight="1">
      <c r="A103" s="12" t="s">
        <v>70</v>
      </c>
      <c r="B103" s="12" t="s">
        <v>71</v>
      </c>
      <c r="C103" s="12" t="s">
        <v>54</v>
      </c>
      <c r="D103" s="12" t="s">
        <v>33</v>
      </c>
      <c r="E103" s="12" t="s">
        <v>24</v>
      </c>
      <c r="F103" s="13">
        <v>0.3262477325812525</v>
      </c>
      <c r="G103" s="14">
        <v>4.8557885249851367</v>
      </c>
      <c r="H103" s="24" t="str">
        <f t="shared" si="11"/>
        <v>MGSP</v>
      </c>
      <c r="I103" s="24" t="str">
        <f t="shared" si="10"/>
        <v>MGMG</v>
      </c>
      <c r="J103" s="24" t="str">
        <f t="shared" si="10"/>
        <v>MGES</v>
      </c>
      <c r="K103" s="24" t="str">
        <f t="shared" si="10"/>
        <v>MGSC</v>
      </c>
      <c r="L103" s="24" t="str">
        <f t="shared" si="10"/>
        <v>MGRJ</v>
      </c>
      <c r="M103" s="24" t="str">
        <f t="shared" si="10"/>
        <v>MGPR</v>
      </c>
      <c r="N103" s="24" t="str">
        <f t="shared" si="10"/>
        <v>MGAM</v>
      </c>
      <c r="O103" s="24">
        <f>VLOOKUP(H103, KM!$A:$E, 5, 0)</f>
        <v>586</v>
      </c>
      <c r="P103" s="24">
        <f>VLOOKUP(I103, KM!$A:$E, 5, 0)</f>
        <v>0</v>
      </c>
      <c r="Q103" s="24">
        <f>VLOOKUP(J103, KM!$A:$E, 5, 0)</f>
        <v>524</v>
      </c>
      <c r="R103" s="24">
        <f>VLOOKUP(K103, KM!$A:$E, 5, 0)</f>
        <v>1301</v>
      </c>
      <c r="S103" s="24">
        <f>VLOOKUP(L103, KM!$A:$E, 5, 0)</f>
        <v>434</v>
      </c>
      <c r="T103" s="24">
        <f>VLOOKUP(M103, KM!$A:$E, 5, 0)</f>
        <v>1004</v>
      </c>
      <c r="U103" s="24">
        <f>VLOOKUP(N103, KM!$A:$E, 5, 0)</f>
        <v>3951</v>
      </c>
      <c r="V103" s="24">
        <f>VLOOKUP(H103, IMPOSTO!$A:$D, 4, 0)</f>
        <v>0.12</v>
      </c>
      <c r="W103" s="24">
        <f>VLOOKUP(I103, IMPOSTO!$A:$D, 4, 0)</f>
        <v>0.18</v>
      </c>
      <c r="X103" s="24">
        <f>VLOOKUP(J103, IMPOSTO!$A:$D, 4, 0)</f>
        <v>7.0000000000000007E-2</v>
      </c>
      <c r="Y103" s="24">
        <f>VLOOKUP(K103, IMPOSTO!$A:$D, 4, 0)</f>
        <v>0.12</v>
      </c>
      <c r="Z103" s="24">
        <f>VLOOKUP(L103, IMPOSTO!$A:$D, 4, 0)</f>
        <v>0.12</v>
      </c>
      <c r="AA103" s="24">
        <f>VLOOKUP(M103, IMPOSTO!$A:$D, 4, 0)</f>
        <v>0.12</v>
      </c>
      <c r="AB103" s="24">
        <f>VLOOKUP(N103, IMPOSTO!$A:$D, 4, 0)</f>
        <v>7.0000000000000007E-2</v>
      </c>
      <c r="AC103" s="25">
        <f t="shared" si="12"/>
        <v>72.108850596574015</v>
      </c>
      <c r="AD103" s="25">
        <f t="shared" si="13"/>
        <v>5.9216933231526054</v>
      </c>
      <c r="AE103" s="25">
        <f t="shared" si="14"/>
        <v>61.565364005360372</v>
      </c>
      <c r="AF103" s="25">
        <f t="shared" si="15"/>
        <v>153.35885059657403</v>
      </c>
      <c r="AG103" s="25">
        <f t="shared" si="16"/>
        <v>54.836123323846749</v>
      </c>
      <c r="AH103" s="25">
        <f t="shared" si="17"/>
        <v>119.60885059657403</v>
      </c>
      <c r="AI103" s="25">
        <f t="shared" si="18"/>
        <v>430.05998766127442</v>
      </c>
    </row>
    <row r="104" spans="1:35" ht="15.75" customHeight="1">
      <c r="A104" s="12" t="s">
        <v>67</v>
      </c>
      <c r="B104" s="12" t="s">
        <v>68</v>
      </c>
      <c r="C104" s="12" t="s">
        <v>69</v>
      </c>
      <c r="D104" s="12" t="s">
        <v>33</v>
      </c>
      <c r="E104" s="12" t="s">
        <v>24</v>
      </c>
      <c r="F104" s="13">
        <v>855.72689019270138</v>
      </c>
      <c r="G104" s="14">
        <v>11960.498670755265</v>
      </c>
      <c r="H104" s="24" t="str">
        <f t="shared" si="11"/>
        <v>MGSP</v>
      </c>
      <c r="I104" s="24" t="str">
        <f t="shared" si="10"/>
        <v>MGMG</v>
      </c>
      <c r="J104" s="24" t="str">
        <f t="shared" si="10"/>
        <v>MGES</v>
      </c>
      <c r="K104" s="24" t="str">
        <f t="shared" si="10"/>
        <v>MGSC</v>
      </c>
      <c r="L104" s="24" t="str">
        <f t="shared" si="10"/>
        <v>MGRJ</v>
      </c>
      <c r="M104" s="24" t="str">
        <f t="shared" si="10"/>
        <v>MGPR</v>
      </c>
      <c r="N104" s="24" t="str">
        <f t="shared" si="10"/>
        <v>MGAM</v>
      </c>
      <c r="O104" s="24">
        <f>VLOOKUP(H104, KM!$A:$E, 5, 0)</f>
        <v>586</v>
      </c>
      <c r="P104" s="24">
        <f>VLOOKUP(I104, KM!$A:$E, 5, 0)</f>
        <v>0</v>
      </c>
      <c r="Q104" s="24">
        <f>VLOOKUP(J104, KM!$A:$E, 5, 0)</f>
        <v>524</v>
      </c>
      <c r="R104" s="24">
        <f>VLOOKUP(K104, KM!$A:$E, 5, 0)</f>
        <v>1301</v>
      </c>
      <c r="S104" s="24">
        <f>VLOOKUP(L104, KM!$A:$E, 5, 0)</f>
        <v>434</v>
      </c>
      <c r="T104" s="24">
        <f>VLOOKUP(M104, KM!$A:$E, 5, 0)</f>
        <v>1004</v>
      </c>
      <c r="U104" s="24">
        <f>VLOOKUP(N104, KM!$A:$E, 5, 0)</f>
        <v>3951</v>
      </c>
      <c r="V104" s="24">
        <f>VLOOKUP(H104, IMPOSTO!$A:$D, 4, 0)</f>
        <v>0.12</v>
      </c>
      <c r="W104" s="24">
        <f>VLOOKUP(I104, IMPOSTO!$A:$D, 4, 0)</f>
        <v>0.18</v>
      </c>
      <c r="X104" s="24">
        <f>VLOOKUP(J104, IMPOSTO!$A:$D, 4, 0)</f>
        <v>7.0000000000000007E-2</v>
      </c>
      <c r="Y104" s="24">
        <f>VLOOKUP(K104, IMPOSTO!$A:$D, 4, 0)</f>
        <v>0.12</v>
      </c>
      <c r="Z104" s="24">
        <f>VLOOKUP(L104, IMPOSTO!$A:$D, 4, 0)</f>
        <v>0.12</v>
      </c>
      <c r="AA104" s="24">
        <f>VLOOKUP(M104, IMPOSTO!$A:$D, 4, 0)</f>
        <v>0.12</v>
      </c>
      <c r="AB104" s="24">
        <f>VLOOKUP(N104, IMPOSTO!$A:$D, 4, 0)</f>
        <v>7.0000000000000007E-2</v>
      </c>
      <c r="AC104" s="25">
        <f t="shared" si="12"/>
        <v>13658.066671312801</v>
      </c>
      <c r="AD104" s="25">
        <f t="shared" si="13"/>
        <v>14585.973988725933</v>
      </c>
      <c r="AE104" s="25">
        <f t="shared" si="14"/>
        <v>12917.095344898134</v>
      </c>
      <c r="AF104" s="25">
        <f t="shared" si="15"/>
        <v>13739.316671312801</v>
      </c>
      <c r="AG104" s="25">
        <f t="shared" si="16"/>
        <v>13640.793944040073</v>
      </c>
      <c r="AH104" s="25">
        <f t="shared" si="17"/>
        <v>13705.566671312801</v>
      </c>
      <c r="AI104" s="25">
        <f t="shared" si="18"/>
        <v>13285.58996855405</v>
      </c>
    </row>
    <row r="105" spans="1:35" ht="15.75" customHeight="1">
      <c r="A105" s="12" t="s">
        <v>70</v>
      </c>
      <c r="B105" s="12" t="s">
        <v>71</v>
      </c>
      <c r="C105" s="12" t="s">
        <v>54</v>
      </c>
      <c r="D105" s="12" t="s">
        <v>33</v>
      </c>
      <c r="E105" s="12" t="s">
        <v>24</v>
      </c>
      <c r="F105" s="13">
        <v>18713.066398614254</v>
      </c>
      <c r="G105" s="14">
        <v>247810.54905639976</v>
      </c>
      <c r="H105" s="24" t="str">
        <f t="shared" si="11"/>
        <v>MGSP</v>
      </c>
      <c r="I105" s="24" t="str">
        <f t="shared" si="10"/>
        <v>MGMG</v>
      </c>
      <c r="J105" s="24" t="str">
        <f t="shared" si="10"/>
        <v>MGES</v>
      </c>
      <c r="K105" s="24" t="str">
        <f t="shared" si="10"/>
        <v>MGSC</v>
      </c>
      <c r="L105" s="24" t="str">
        <f t="shared" si="10"/>
        <v>MGRJ</v>
      </c>
      <c r="M105" s="24" t="str">
        <f t="shared" si="10"/>
        <v>MGPR</v>
      </c>
      <c r="N105" s="24" t="str">
        <f t="shared" si="10"/>
        <v>MGAM</v>
      </c>
      <c r="O105" s="24">
        <f>VLOOKUP(H105, KM!$A:$E, 5, 0)</f>
        <v>586</v>
      </c>
      <c r="P105" s="24">
        <f>VLOOKUP(I105, KM!$A:$E, 5, 0)</f>
        <v>0</v>
      </c>
      <c r="Q105" s="24">
        <f>VLOOKUP(J105, KM!$A:$E, 5, 0)</f>
        <v>524</v>
      </c>
      <c r="R105" s="24">
        <f>VLOOKUP(K105, KM!$A:$E, 5, 0)</f>
        <v>1301</v>
      </c>
      <c r="S105" s="24">
        <f>VLOOKUP(L105, KM!$A:$E, 5, 0)</f>
        <v>434</v>
      </c>
      <c r="T105" s="24">
        <f>VLOOKUP(M105, KM!$A:$E, 5, 0)</f>
        <v>1004</v>
      </c>
      <c r="U105" s="24">
        <f>VLOOKUP(N105, KM!$A:$E, 5, 0)</f>
        <v>3951</v>
      </c>
      <c r="V105" s="24">
        <f>VLOOKUP(H105, IMPOSTO!$A:$D, 4, 0)</f>
        <v>0.12</v>
      </c>
      <c r="W105" s="24">
        <f>VLOOKUP(I105, IMPOSTO!$A:$D, 4, 0)</f>
        <v>0.18</v>
      </c>
      <c r="X105" s="24">
        <f>VLOOKUP(J105, IMPOSTO!$A:$D, 4, 0)</f>
        <v>7.0000000000000007E-2</v>
      </c>
      <c r="Y105" s="24">
        <f>VLOOKUP(K105, IMPOSTO!$A:$D, 4, 0)</f>
        <v>0.12</v>
      </c>
      <c r="Z105" s="24">
        <f>VLOOKUP(L105, IMPOSTO!$A:$D, 4, 0)</f>
        <v>0.12</v>
      </c>
      <c r="AA105" s="24">
        <f>VLOOKUP(M105, IMPOSTO!$A:$D, 4, 0)</f>
        <v>0.12</v>
      </c>
      <c r="AB105" s="24">
        <f>VLOOKUP(N105, IMPOSTO!$A:$D, 4, 0)</f>
        <v>7.0000000000000007E-2</v>
      </c>
      <c r="AC105" s="25">
        <f t="shared" si="12"/>
        <v>281669.48756409064</v>
      </c>
      <c r="AD105" s="25">
        <f t="shared" si="13"/>
        <v>302207.98665414605</v>
      </c>
      <c r="AE105" s="25">
        <f t="shared" si="14"/>
        <v>266519.30006064492</v>
      </c>
      <c r="AF105" s="25">
        <f t="shared" si="15"/>
        <v>281750.73756409064</v>
      </c>
      <c r="AG105" s="25">
        <f t="shared" si="16"/>
        <v>281652.21483681788</v>
      </c>
      <c r="AH105" s="25">
        <f t="shared" si="17"/>
        <v>281716.98756409064</v>
      </c>
      <c r="AI105" s="25">
        <f t="shared" si="18"/>
        <v>266887.79468430084</v>
      </c>
    </row>
    <row r="106" spans="1:35" ht="15.75" customHeight="1">
      <c r="A106" s="12" t="s">
        <v>70</v>
      </c>
      <c r="B106" s="12" t="s">
        <v>71</v>
      </c>
      <c r="C106" s="12" t="s">
        <v>54</v>
      </c>
      <c r="D106" s="12" t="s">
        <v>33</v>
      </c>
      <c r="E106" s="12" t="s">
        <v>24</v>
      </c>
      <c r="F106" s="13">
        <v>15563.80553122172</v>
      </c>
      <c r="G106" s="14">
        <v>245966.35236565344</v>
      </c>
      <c r="H106" s="24" t="str">
        <f t="shared" si="11"/>
        <v>MGSP</v>
      </c>
      <c r="I106" s="24" t="str">
        <f t="shared" si="10"/>
        <v>MGMG</v>
      </c>
      <c r="J106" s="24" t="str">
        <f t="shared" si="10"/>
        <v>MGES</v>
      </c>
      <c r="K106" s="24" t="str">
        <f t="shared" si="10"/>
        <v>MGSC</v>
      </c>
      <c r="L106" s="24" t="str">
        <f t="shared" si="10"/>
        <v>MGRJ</v>
      </c>
      <c r="M106" s="24" t="str">
        <f t="shared" si="10"/>
        <v>MGPR</v>
      </c>
      <c r="N106" s="24" t="str">
        <f t="shared" si="10"/>
        <v>MGAM</v>
      </c>
      <c r="O106" s="24">
        <f>VLOOKUP(H106, KM!$A:$E, 5, 0)</f>
        <v>586</v>
      </c>
      <c r="P106" s="24">
        <f>VLOOKUP(I106, KM!$A:$E, 5, 0)</f>
        <v>0</v>
      </c>
      <c r="Q106" s="24">
        <f>VLOOKUP(J106, KM!$A:$E, 5, 0)</f>
        <v>524</v>
      </c>
      <c r="R106" s="24">
        <f>VLOOKUP(K106, KM!$A:$E, 5, 0)</f>
        <v>1301</v>
      </c>
      <c r="S106" s="24">
        <f>VLOOKUP(L106, KM!$A:$E, 5, 0)</f>
        <v>434</v>
      </c>
      <c r="T106" s="24">
        <f>VLOOKUP(M106, KM!$A:$E, 5, 0)</f>
        <v>1004</v>
      </c>
      <c r="U106" s="24">
        <f>VLOOKUP(N106, KM!$A:$E, 5, 0)</f>
        <v>3951</v>
      </c>
      <c r="V106" s="24">
        <f>VLOOKUP(H106, IMPOSTO!$A:$D, 4, 0)</f>
        <v>0.12</v>
      </c>
      <c r="W106" s="24">
        <f>VLOOKUP(I106, IMPOSTO!$A:$D, 4, 0)</f>
        <v>0.18</v>
      </c>
      <c r="X106" s="24">
        <f>VLOOKUP(J106, IMPOSTO!$A:$D, 4, 0)</f>
        <v>7.0000000000000007E-2</v>
      </c>
      <c r="Y106" s="24">
        <f>VLOOKUP(K106, IMPOSTO!$A:$D, 4, 0)</f>
        <v>0.12</v>
      </c>
      <c r="Z106" s="24">
        <f>VLOOKUP(L106, IMPOSTO!$A:$D, 4, 0)</f>
        <v>0.12</v>
      </c>
      <c r="AA106" s="24">
        <f>VLOOKUP(M106, IMPOSTO!$A:$D, 4, 0)</f>
        <v>0.12</v>
      </c>
      <c r="AB106" s="24">
        <f>VLOOKUP(N106, IMPOSTO!$A:$D, 4, 0)</f>
        <v>7.0000000000000007E-2</v>
      </c>
      <c r="AC106" s="25">
        <f t="shared" si="12"/>
        <v>279573.80950642435</v>
      </c>
      <c r="AD106" s="25">
        <f t="shared" si="13"/>
        <v>299958.96629957733</v>
      </c>
      <c r="AE106" s="25">
        <f t="shared" si="14"/>
        <v>264536.29286629404</v>
      </c>
      <c r="AF106" s="25">
        <f t="shared" si="15"/>
        <v>279655.05950642435</v>
      </c>
      <c r="AG106" s="25">
        <f t="shared" si="16"/>
        <v>279556.53677915165</v>
      </c>
      <c r="AH106" s="25">
        <f t="shared" si="17"/>
        <v>279621.30950642435</v>
      </c>
      <c r="AI106" s="25">
        <f t="shared" si="18"/>
        <v>264904.78748994996</v>
      </c>
    </row>
    <row r="107" spans="1:35" ht="15.75" customHeight="1">
      <c r="A107" s="12" t="s">
        <v>109</v>
      </c>
      <c r="B107" s="12" t="s">
        <v>110</v>
      </c>
      <c r="C107" s="12" t="s">
        <v>111</v>
      </c>
      <c r="D107" s="12" t="s">
        <v>33</v>
      </c>
      <c r="E107" s="12" t="s">
        <v>24</v>
      </c>
      <c r="F107" s="13">
        <v>1594.3928787220443</v>
      </c>
      <c r="G107" s="14">
        <v>9046.4167444984032</v>
      </c>
      <c r="H107" s="24" t="str">
        <f t="shared" si="11"/>
        <v>MGSP</v>
      </c>
      <c r="I107" s="24" t="str">
        <f t="shared" si="10"/>
        <v>MGMG</v>
      </c>
      <c r="J107" s="24" t="str">
        <f t="shared" si="10"/>
        <v>MGES</v>
      </c>
      <c r="K107" s="24" t="str">
        <f t="shared" si="10"/>
        <v>MGSC</v>
      </c>
      <c r="L107" s="24" t="str">
        <f t="shared" si="10"/>
        <v>MGRJ</v>
      </c>
      <c r="M107" s="24" t="str">
        <f t="shared" si="10"/>
        <v>MGPR</v>
      </c>
      <c r="N107" s="24" t="str">
        <f t="shared" si="10"/>
        <v>MGAM</v>
      </c>
      <c r="O107" s="24">
        <f>VLOOKUP(H107, KM!$A:$E, 5, 0)</f>
        <v>586</v>
      </c>
      <c r="P107" s="24">
        <f>VLOOKUP(I107, KM!$A:$E, 5, 0)</f>
        <v>0</v>
      </c>
      <c r="Q107" s="24">
        <f>VLOOKUP(J107, KM!$A:$E, 5, 0)</f>
        <v>524</v>
      </c>
      <c r="R107" s="24">
        <f>VLOOKUP(K107, KM!$A:$E, 5, 0)</f>
        <v>1301</v>
      </c>
      <c r="S107" s="24">
        <f>VLOOKUP(L107, KM!$A:$E, 5, 0)</f>
        <v>434</v>
      </c>
      <c r="T107" s="24">
        <f>VLOOKUP(M107, KM!$A:$E, 5, 0)</f>
        <v>1004</v>
      </c>
      <c r="U107" s="24">
        <f>VLOOKUP(N107, KM!$A:$E, 5, 0)</f>
        <v>3951</v>
      </c>
      <c r="V107" s="24">
        <f>VLOOKUP(H107, IMPOSTO!$A:$D, 4, 0)</f>
        <v>0.12</v>
      </c>
      <c r="W107" s="24">
        <f>VLOOKUP(I107, IMPOSTO!$A:$D, 4, 0)</f>
        <v>0.18</v>
      </c>
      <c r="X107" s="24">
        <f>VLOOKUP(J107, IMPOSTO!$A:$D, 4, 0)</f>
        <v>7.0000000000000007E-2</v>
      </c>
      <c r="Y107" s="24">
        <f>VLOOKUP(K107, IMPOSTO!$A:$D, 4, 0)</f>
        <v>0.12</v>
      </c>
      <c r="Z107" s="24">
        <f>VLOOKUP(L107, IMPOSTO!$A:$D, 4, 0)</f>
        <v>0.12</v>
      </c>
      <c r="AA107" s="24">
        <f>VLOOKUP(M107, IMPOSTO!$A:$D, 4, 0)</f>
        <v>0.12</v>
      </c>
      <c r="AB107" s="24">
        <f>VLOOKUP(N107, IMPOSTO!$A:$D, 4, 0)</f>
        <v>7.0000000000000007E-2</v>
      </c>
      <c r="AC107" s="25">
        <f t="shared" si="12"/>
        <v>10346.609936930005</v>
      </c>
      <c r="AD107" s="25">
        <f t="shared" si="13"/>
        <v>11032.215542071222</v>
      </c>
      <c r="AE107" s="25">
        <f t="shared" si="14"/>
        <v>9783.6739188154879</v>
      </c>
      <c r="AF107" s="25">
        <f t="shared" si="15"/>
        <v>10427.859936930005</v>
      </c>
      <c r="AG107" s="25">
        <f t="shared" si="16"/>
        <v>10329.337209657277</v>
      </c>
      <c r="AH107" s="25">
        <f t="shared" si="17"/>
        <v>10394.109936930003</v>
      </c>
      <c r="AI107" s="25">
        <f t="shared" si="18"/>
        <v>10152.168542471403</v>
      </c>
    </row>
    <row r="108" spans="1:35" ht="15.75" customHeight="1">
      <c r="A108" s="12" t="s">
        <v>82</v>
      </c>
      <c r="B108" s="12" t="s">
        <v>83</v>
      </c>
      <c r="C108" s="12" t="s">
        <v>69</v>
      </c>
      <c r="D108" s="12" t="s">
        <v>33</v>
      </c>
      <c r="E108" s="12" t="s">
        <v>24</v>
      </c>
      <c r="F108" s="13">
        <v>14.068811999999999</v>
      </c>
      <c r="G108" s="14">
        <v>854.75067306000005</v>
      </c>
      <c r="H108" s="24" t="str">
        <f t="shared" si="11"/>
        <v>MGSP</v>
      </c>
      <c r="I108" s="24" t="str">
        <f t="shared" si="10"/>
        <v>MGMG</v>
      </c>
      <c r="J108" s="24" t="str">
        <f t="shared" si="10"/>
        <v>MGES</v>
      </c>
      <c r="K108" s="24" t="str">
        <f t="shared" si="10"/>
        <v>MGSC</v>
      </c>
      <c r="L108" s="24" t="str">
        <f t="shared" si="10"/>
        <v>MGRJ</v>
      </c>
      <c r="M108" s="24" t="str">
        <f t="shared" si="10"/>
        <v>MGPR</v>
      </c>
      <c r="N108" s="24" t="str">
        <f t="shared" si="10"/>
        <v>MGAM</v>
      </c>
      <c r="O108" s="24">
        <f>VLOOKUP(H108, KM!$A:$E, 5, 0)</f>
        <v>586</v>
      </c>
      <c r="P108" s="24">
        <f>VLOOKUP(I108, KM!$A:$E, 5, 0)</f>
        <v>0</v>
      </c>
      <c r="Q108" s="24">
        <f>VLOOKUP(J108, KM!$A:$E, 5, 0)</f>
        <v>524</v>
      </c>
      <c r="R108" s="24">
        <f>VLOOKUP(K108, KM!$A:$E, 5, 0)</f>
        <v>1301</v>
      </c>
      <c r="S108" s="24">
        <f>VLOOKUP(L108, KM!$A:$E, 5, 0)</f>
        <v>434</v>
      </c>
      <c r="T108" s="24">
        <f>VLOOKUP(M108, KM!$A:$E, 5, 0)</f>
        <v>1004</v>
      </c>
      <c r="U108" s="24">
        <f>VLOOKUP(N108, KM!$A:$E, 5, 0)</f>
        <v>3951</v>
      </c>
      <c r="V108" s="24">
        <f>VLOOKUP(H108, IMPOSTO!$A:$D, 4, 0)</f>
        <v>0.12</v>
      </c>
      <c r="W108" s="24">
        <f>VLOOKUP(I108, IMPOSTO!$A:$D, 4, 0)</f>
        <v>0.18</v>
      </c>
      <c r="X108" s="24">
        <f>VLOOKUP(J108, IMPOSTO!$A:$D, 4, 0)</f>
        <v>7.0000000000000007E-2</v>
      </c>
      <c r="Y108" s="24">
        <f>VLOOKUP(K108, IMPOSTO!$A:$D, 4, 0)</f>
        <v>0.12</v>
      </c>
      <c r="Z108" s="24">
        <f>VLOOKUP(L108, IMPOSTO!$A:$D, 4, 0)</f>
        <v>0.12</v>
      </c>
      <c r="AA108" s="24">
        <f>VLOOKUP(M108, IMPOSTO!$A:$D, 4, 0)</f>
        <v>0.12</v>
      </c>
      <c r="AB108" s="24">
        <f>VLOOKUP(N108, IMPOSTO!$A:$D, 4, 0)</f>
        <v>7.0000000000000007E-2</v>
      </c>
      <c r="AC108" s="25">
        <f t="shared" si="12"/>
        <v>1037.8984921136364</v>
      </c>
      <c r="AD108" s="25">
        <f t="shared" si="13"/>
        <v>1042.3788695853659</v>
      </c>
      <c r="AE108" s="25">
        <f t="shared" si="14"/>
        <v>975.43083124731197</v>
      </c>
      <c r="AF108" s="25">
        <f t="shared" si="15"/>
        <v>1119.1484921136364</v>
      </c>
      <c r="AG108" s="25">
        <f t="shared" si="16"/>
        <v>1020.6257648409091</v>
      </c>
      <c r="AH108" s="25">
        <f t="shared" si="17"/>
        <v>1085.3984921136364</v>
      </c>
      <c r="AI108" s="25">
        <f t="shared" si="18"/>
        <v>1343.9254549032262</v>
      </c>
    </row>
    <row r="109" spans="1:35" ht="15.75" customHeight="1">
      <c r="A109" s="12" t="s">
        <v>112</v>
      </c>
      <c r="B109" s="12" t="s">
        <v>113</v>
      </c>
      <c r="C109" s="12" t="s">
        <v>98</v>
      </c>
      <c r="D109" s="12" t="s">
        <v>33</v>
      </c>
      <c r="E109" s="12" t="s">
        <v>24</v>
      </c>
      <c r="F109" s="13">
        <v>41</v>
      </c>
      <c r="G109" s="14">
        <v>2239.5318181818184</v>
      </c>
      <c r="H109" s="24" t="str">
        <f t="shared" si="11"/>
        <v>MGSP</v>
      </c>
      <c r="I109" s="24" t="str">
        <f t="shared" si="10"/>
        <v>MGMG</v>
      </c>
      <c r="J109" s="24" t="str">
        <f t="shared" si="10"/>
        <v>MGES</v>
      </c>
      <c r="K109" s="24" t="str">
        <f t="shared" si="10"/>
        <v>MGSC</v>
      </c>
      <c r="L109" s="24" t="str">
        <f t="shared" si="10"/>
        <v>MGRJ</v>
      </c>
      <c r="M109" s="24" t="str">
        <f t="shared" si="10"/>
        <v>MGPR</v>
      </c>
      <c r="N109" s="24" t="str">
        <f t="shared" si="10"/>
        <v>MGAM</v>
      </c>
      <c r="O109" s="24">
        <f>VLOOKUP(H109, KM!$A:$E, 5, 0)</f>
        <v>586</v>
      </c>
      <c r="P109" s="24">
        <f>VLOOKUP(I109, KM!$A:$E, 5, 0)</f>
        <v>0</v>
      </c>
      <c r="Q109" s="24">
        <f>VLOOKUP(J109, KM!$A:$E, 5, 0)</f>
        <v>524</v>
      </c>
      <c r="R109" s="24">
        <f>VLOOKUP(K109, KM!$A:$E, 5, 0)</f>
        <v>1301</v>
      </c>
      <c r="S109" s="24">
        <f>VLOOKUP(L109, KM!$A:$E, 5, 0)</f>
        <v>434</v>
      </c>
      <c r="T109" s="24">
        <f>VLOOKUP(M109, KM!$A:$E, 5, 0)</f>
        <v>1004</v>
      </c>
      <c r="U109" s="24">
        <f>VLOOKUP(N109, KM!$A:$E, 5, 0)</f>
        <v>3951</v>
      </c>
      <c r="V109" s="24">
        <f>VLOOKUP(H109, IMPOSTO!$A:$D, 4, 0)</f>
        <v>0.12</v>
      </c>
      <c r="W109" s="24">
        <f>VLOOKUP(I109, IMPOSTO!$A:$D, 4, 0)</f>
        <v>0.18</v>
      </c>
      <c r="X109" s="24">
        <f>VLOOKUP(J109, IMPOSTO!$A:$D, 4, 0)</f>
        <v>7.0000000000000007E-2</v>
      </c>
      <c r="Y109" s="24">
        <f>VLOOKUP(K109, IMPOSTO!$A:$D, 4, 0)</f>
        <v>0.12</v>
      </c>
      <c r="Z109" s="24">
        <f>VLOOKUP(L109, IMPOSTO!$A:$D, 4, 0)</f>
        <v>0.12</v>
      </c>
      <c r="AA109" s="24">
        <f>VLOOKUP(M109, IMPOSTO!$A:$D, 4, 0)</f>
        <v>0.12</v>
      </c>
      <c r="AB109" s="24">
        <f>VLOOKUP(N109, IMPOSTO!$A:$D, 4, 0)</f>
        <v>7.0000000000000007E-2</v>
      </c>
      <c r="AC109" s="25">
        <f t="shared" si="12"/>
        <v>2611.5134297520663</v>
      </c>
      <c r="AD109" s="25">
        <f t="shared" si="13"/>
        <v>2731.1363636363635</v>
      </c>
      <c r="AE109" s="25">
        <f t="shared" si="14"/>
        <v>2464.4428152492674</v>
      </c>
      <c r="AF109" s="25">
        <f t="shared" si="15"/>
        <v>2692.7634297520663</v>
      </c>
      <c r="AG109" s="25">
        <f t="shared" si="16"/>
        <v>2594.2407024793392</v>
      </c>
      <c r="AH109" s="25">
        <f t="shared" si="17"/>
        <v>2659.0134297520663</v>
      </c>
      <c r="AI109" s="25">
        <f t="shared" si="18"/>
        <v>2832.9374389051814</v>
      </c>
    </row>
    <row r="110" spans="1:35" ht="15.75" customHeight="1">
      <c r="A110" s="12" t="s">
        <v>79</v>
      </c>
      <c r="B110" s="12" t="s">
        <v>80</v>
      </c>
      <c r="C110" s="12" t="s">
        <v>81</v>
      </c>
      <c r="D110" s="12" t="s">
        <v>50</v>
      </c>
      <c r="E110" s="12" t="s">
        <v>24</v>
      </c>
      <c r="F110" s="13">
        <v>0.30760881854154892</v>
      </c>
      <c r="G110" s="14">
        <v>4.9616331034482766</v>
      </c>
      <c r="H110" s="24" t="str">
        <f t="shared" si="11"/>
        <v>MGSP</v>
      </c>
      <c r="I110" s="24" t="str">
        <f t="shared" si="10"/>
        <v>MGMG</v>
      </c>
      <c r="J110" s="24" t="str">
        <f t="shared" si="10"/>
        <v>MGES</v>
      </c>
      <c r="K110" s="24" t="str">
        <f t="shared" si="10"/>
        <v>MGSC</v>
      </c>
      <c r="L110" s="24" t="str">
        <f t="shared" si="10"/>
        <v>MGRJ</v>
      </c>
      <c r="M110" s="24" t="str">
        <f t="shared" ref="I110:N173" si="19">$E110 &amp; M$17</f>
        <v>MGPR</v>
      </c>
      <c r="N110" s="24" t="str">
        <f t="shared" si="19"/>
        <v>MGAM</v>
      </c>
      <c r="O110" s="24">
        <f>VLOOKUP(H110, KM!$A:$E, 5, 0)</f>
        <v>586</v>
      </c>
      <c r="P110" s="24">
        <f>VLOOKUP(I110, KM!$A:$E, 5, 0)</f>
        <v>0</v>
      </c>
      <c r="Q110" s="24">
        <f>VLOOKUP(J110, KM!$A:$E, 5, 0)</f>
        <v>524</v>
      </c>
      <c r="R110" s="24">
        <f>VLOOKUP(K110, KM!$A:$E, 5, 0)</f>
        <v>1301</v>
      </c>
      <c r="S110" s="24">
        <f>VLOOKUP(L110, KM!$A:$E, 5, 0)</f>
        <v>434</v>
      </c>
      <c r="T110" s="24">
        <f>VLOOKUP(M110, KM!$A:$E, 5, 0)</f>
        <v>1004</v>
      </c>
      <c r="U110" s="24">
        <f>VLOOKUP(N110, KM!$A:$E, 5, 0)</f>
        <v>3951</v>
      </c>
      <c r="V110" s="24">
        <f>VLOOKUP(H110, IMPOSTO!$A:$D, 4, 0)</f>
        <v>0.12</v>
      </c>
      <c r="W110" s="24">
        <f>VLOOKUP(I110, IMPOSTO!$A:$D, 4, 0)</f>
        <v>0.18</v>
      </c>
      <c r="X110" s="24">
        <f>VLOOKUP(J110, IMPOSTO!$A:$D, 4, 0)</f>
        <v>7.0000000000000007E-2</v>
      </c>
      <c r="Y110" s="24">
        <f>VLOOKUP(K110, IMPOSTO!$A:$D, 4, 0)</f>
        <v>0.12</v>
      </c>
      <c r="Z110" s="24">
        <f>VLOOKUP(L110, IMPOSTO!$A:$D, 4, 0)</f>
        <v>0.12</v>
      </c>
      <c r="AA110" s="24">
        <f>VLOOKUP(M110, IMPOSTO!$A:$D, 4, 0)</f>
        <v>0.12</v>
      </c>
      <c r="AB110" s="24">
        <f>VLOOKUP(N110, IMPOSTO!$A:$D, 4, 0)</f>
        <v>7.0000000000000007E-2</v>
      </c>
      <c r="AC110" s="25">
        <f t="shared" si="12"/>
        <v>72.229128526645766</v>
      </c>
      <c r="AD110" s="25">
        <f t="shared" si="13"/>
        <v>6.0507720773759468</v>
      </c>
      <c r="AE110" s="25">
        <f t="shared" si="14"/>
        <v>61.679175380051923</v>
      </c>
      <c r="AF110" s="25">
        <f t="shared" si="15"/>
        <v>153.47912852664575</v>
      </c>
      <c r="AG110" s="25">
        <f t="shared" si="16"/>
        <v>54.956401253918507</v>
      </c>
      <c r="AH110" s="25">
        <f t="shared" si="17"/>
        <v>119.72912852664578</v>
      </c>
      <c r="AI110" s="25">
        <f t="shared" si="18"/>
        <v>430.17379903596594</v>
      </c>
    </row>
    <row r="111" spans="1:35" ht="15.75" customHeight="1">
      <c r="A111" s="12" t="s">
        <v>99</v>
      </c>
      <c r="B111" s="12" t="s">
        <v>100</v>
      </c>
      <c r="C111" s="12" t="s">
        <v>101</v>
      </c>
      <c r="D111" s="12" t="s">
        <v>33</v>
      </c>
      <c r="E111" s="12" t="s">
        <v>24</v>
      </c>
      <c r="F111" s="13">
        <v>82442.452152130965</v>
      </c>
      <c r="G111" s="14">
        <v>636076.92131222913</v>
      </c>
      <c r="H111" s="24" t="str">
        <f t="shared" si="11"/>
        <v>MGSP</v>
      </c>
      <c r="I111" s="24" t="str">
        <f t="shared" si="19"/>
        <v>MGMG</v>
      </c>
      <c r="J111" s="24" t="str">
        <f t="shared" si="19"/>
        <v>MGES</v>
      </c>
      <c r="K111" s="24" t="str">
        <f t="shared" si="19"/>
        <v>MGSC</v>
      </c>
      <c r="L111" s="24" t="str">
        <f t="shared" si="19"/>
        <v>MGRJ</v>
      </c>
      <c r="M111" s="24" t="str">
        <f t="shared" si="19"/>
        <v>MGPR</v>
      </c>
      <c r="N111" s="24" t="str">
        <f t="shared" si="19"/>
        <v>MGAM</v>
      </c>
      <c r="O111" s="24">
        <f>VLOOKUP(H111, KM!$A:$E, 5, 0)</f>
        <v>586</v>
      </c>
      <c r="P111" s="24">
        <f>VLOOKUP(I111, KM!$A:$E, 5, 0)</f>
        <v>0</v>
      </c>
      <c r="Q111" s="24">
        <f>VLOOKUP(J111, KM!$A:$E, 5, 0)</f>
        <v>524</v>
      </c>
      <c r="R111" s="24">
        <f>VLOOKUP(K111, KM!$A:$E, 5, 0)</f>
        <v>1301</v>
      </c>
      <c r="S111" s="24">
        <f>VLOOKUP(L111, KM!$A:$E, 5, 0)</f>
        <v>434</v>
      </c>
      <c r="T111" s="24">
        <f>VLOOKUP(M111, KM!$A:$E, 5, 0)</f>
        <v>1004</v>
      </c>
      <c r="U111" s="24">
        <f>VLOOKUP(N111, KM!$A:$E, 5, 0)</f>
        <v>3951</v>
      </c>
      <c r="V111" s="24">
        <f>VLOOKUP(H111, IMPOSTO!$A:$D, 4, 0)</f>
        <v>0.12</v>
      </c>
      <c r="W111" s="24">
        <f>VLOOKUP(I111, IMPOSTO!$A:$D, 4, 0)</f>
        <v>0.18</v>
      </c>
      <c r="X111" s="24">
        <f>VLOOKUP(J111, IMPOSTO!$A:$D, 4, 0)</f>
        <v>7.0000000000000007E-2</v>
      </c>
      <c r="Y111" s="24">
        <f>VLOOKUP(K111, IMPOSTO!$A:$D, 4, 0)</f>
        <v>0.12</v>
      </c>
      <c r="Z111" s="24">
        <f>VLOOKUP(L111, IMPOSTO!$A:$D, 4, 0)</f>
        <v>0.12</v>
      </c>
      <c r="AA111" s="24">
        <f>VLOOKUP(M111, IMPOSTO!$A:$D, 4, 0)</f>
        <v>0.12</v>
      </c>
      <c r="AB111" s="24">
        <f>VLOOKUP(N111, IMPOSTO!$A:$D, 4, 0)</f>
        <v>7.0000000000000007E-2</v>
      </c>
      <c r="AC111" s="25">
        <f t="shared" si="12"/>
        <v>722881.27421844215</v>
      </c>
      <c r="AD111" s="25">
        <f t="shared" si="13"/>
        <v>775703.56257588917</v>
      </c>
      <c r="AE111" s="25">
        <f t="shared" si="14"/>
        <v>684010.02291637543</v>
      </c>
      <c r="AF111" s="25">
        <f t="shared" si="15"/>
        <v>722962.52421844215</v>
      </c>
      <c r="AG111" s="25">
        <f t="shared" si="16"/>
        <v>722864.00149116945</v>
      </c>
      <c r="AH111" s="25">
        <f t="shared" si="17"/>
        <v>722928.77421844227</v>
      </c>
      <c r="AI111" s="25">
        <f t="shared" si="18"/>
        <v>684378.51754003135</v>
      </c>
    </row>
    <row r="112" spans="1:35" ht="15.75" customHeight="1">
      <c r="A112" s="12" t="s">
        <v>52</v>
      </c>
      <c r="B112" s="12" t="s">
        <v>53</v>
      </c>
      <c r="C112" s="12" t="s">
        <v>54</v>
      </c>
      <c r="D112" s="12" t="s">
        <v>33</v>
      </c>
      <c r="E112" s="12" t="s">
        <v>24</v>
      </c>
      <c r="F112" s="13">
        <v>1652.748234416898</v>
      </c>
      <c r="G112" s="14">
        <v>24601.039108419365</v>
      </c>
      <c r="H112" s="24" t="str">
        <f t="shared" si="11"/>
        <v>MGSP</v>
      </c>
      <c r="I112" s="24" t="str">
        <f t="shared" si="19"/>
        <v>MGMG</v>
      </c>
      <c r="J112" s="24" t="str">
        <f t="shared" si="19"/>
        <v>MGES</v>
      </c>
      <c r="K112" s="24" t="str">
        <f t="shared" si="19"/>
        <v>MGSC</v>
      </c>
      <c r="L112" s="24" t="str">
        <f t="shared" si="19"/>
        <v>MGRJ</v>
      </c>
      <c r="M112" s="24" t="str">
        <f t="shared" si="19"/>
        <v>MGPR</v>
      </c>
      <c r="N112" s="24" t="str">
        <f t="shared" si="19"/>
        <v>MGAM</v>
      </c>
      <c r="O112" s="24">
        <f>VLOOKUP(H112, KM!$A:$E, 5, 0)</f>
        <v>586</v>
      </c>
      <c r="P112" s="24">
        <f>VLOOKUP(I112, KM!$A:$E, 5, 0)</f>
        <v>0</v>
      </c>
      <c r="Q112" s="24">
        <f>VLOOKUP(J112, KM!$A:$E, 5, 0)</f>
        <v>524</v>
      </c>
      <c r="R112" s="24">
        <f>VLOOKUP(K112, KM!$A:$E, 5, 0)</f>
        <v>1301</v>
      </c>
      <c r="S112" s="24">
        <f>VLOOKUP(L112, KM!$A:$E, 5, 0)</f>
        <v>434</v>
      </c>
      <c r="T112" s="24">
        <f>VLOOKUP(M112, KM!$A:$E, 5, 0)</f>
        <v>1004</v>
      </c>
      <c r="U112" s="24">
        <f>VLOOKUP(N112, KM!$A:$E, 5, 0)</f>
        <v>3951</v>
      </c>
      <c r="V112" s="24">
        <f>VLOOKUP(H112, IMPOSTO!$A:$D, 4, 0)</f>
        <v>0.12</v>
      </c>
      <c r="W112" s="24">
        <f>VLOOKUP(I112, IMPOSTO!$A:$D, 4, 0)</f>
        <v>0.18</v>
      </c>
      <c r="X112" s="24">
        <f>VLOOKUP(J112, IMPOSTO!$A:$D, 4, 0)</f>
        <v>7.0000000000000007E-2</v>
      </c>
      <c r="Y112" s="24">
        <f>VLOOKUP(K112, IMPOSTO!$A:$D, 4, 0)</f>
        <v>0.12</v>
      </c>
      <c r="Z112" s="24">
        <f>VLOOKUP(L112, IMPOSTO!$A:$D, 4, 0)</f>
        <v>0.12</v>
      </c>
      <c r="AA112" s="24">
        <f>VLOOKUP(M112, IMPOSTO!$A:$D, 4, 0)</f>
        <v>0.12</v>
      </c>
      <c r="AB112" s="24">
        <f>VLOOKUP(N112, IMPOSTO!$A:$D, 4, 0)</f>
        <v>7.0000000000000007E-2</v>
      </c>
      <c r="AC112" s="25">
        <f t="shared" si="12"/>
        <v>28022.317168658366</v>
      </c>
      <c r="AD112" s="25">
        <f t="shared" si="13"/>
        <v>30001.267205389468</v>
      </c>
      <c r="AE112" s="25">
        <f t="shared" si="14"/>
        <v>26509.074310128351</v>
      </c>
      <c r="AF112" s="25">
        <f t="shared" si="15"/>
        <v>28103.567168658366</v>
      </c>
      <c r="AG112" s="25">
        <f t="shared" si="16"/>
        <v>28005.044441385642</v>
      </c>
      <c r="AH112" s="25">
        <f t="shared" si="17"/>
        <v>28069.81716865837</v>
      </c>
      <c r="AI112" s="25">
        <f t="shared" si="18"/>
        <v>26877.568933784263</v>
      </c>
    </row>
    <row r="113" spans="1:35" ht="15.75" customHeight="1">
      <c r="A113" s="12" t="s">
        <v>55</v>
      </c>
      <c r="B113" s="12" t="s">
        <v>56</v>
      </c>
      <c r="C113" s="12" t="s">
        <v>57</v>
      </c>
      <c r="D113" s="12" t="s">
        <v>33</v>
      </c>
      <c r="E113" s="12" t="s">
        <v>24</v>
      </c>
      <c r="F113" s="13">
        <v>48887.486242110681</v>
      </c>
      <c r="G113" s="14">
        <v>782166.99391416786</v>
      </c>
      <c r="H113" s="24" t="str">
        <f t="shared" si="11"/>
        <v>MGSP</v>
      </c>
      <c r="I113" s="24" t="str">
        <f t="shared" si="19"/>
        <v>MGMG</v>
      </c>
      <c r="J113" s="24" t="str">
        <f t="shared" si="19"/>
        <v>MGES</v>
      </c>
      <c r="K113" s="24" t="str">
        <f t="shared" si="19"/>
        <v>MGSC</v>
      </c>
      <c r="L113" s="24" t="str">
        <f t="shared" si="19"/>
        <v>MGRJ</v>
      </c>
      <c r="M113" s="24" t="str">
        <f t="shared" si="19"/>
        <v>MGPR</v>
      </c>
      <c r="N113" s="24" t="str">
        <f t="shared" si="19"/>
        <v>MGAM</v>
      </c>
      <c r="O113" s="24">
        <f>VLOOKUP(H113, KM!$A:$E, 5, 0)</f>
        <v>586</v>
      </c>
      <c r="P113" s="24">
        <f>VLOOKUP(I113, KM!$A:$E, 5, 0)</f>
        <v>0</v>
      </c>
      <c r="Q113" s="24">
        <f>VLOOKUP(J113, KM!$A:$E, 5, 0)</f>
        <v>524</v>
      </c>
      <c r="R113" s="24">
        <f>VLOOKUP(K113, KM!$A:$E, 5, 0)</f>
        <v>1301</v>
      </c>
      <c r="S113" s="24">
        <f>VLOOKUP(L113, KM!$A:$E, 5, 0)</f>
        <v>434</v>
      </c>
      <c r="T113" s="24">
        <f>VLOOKUP(M113, KM!$A:$E, 5, 0)</f>
        <v>1004</v>
      </c>
      <c r="U113" s="24">
        <f>VLOOKUP(N113, KM!$A:$E, 5, 0)</f>
        <v>3951</v>
      </c>
      <c r="V113" s="24">
        <f>VLOOKUP(H113, IMPOSTO!$A:$D, 4, 0)</f>
        <v>0.12</v>
      </c>
      <c r="W113" s="24">
        <f>VLOOKUP(I113, IMPOSTO!$A:$D, 4, 0)</f>
        <v>0.18</v>
      </c>
      <c r="X113" s="24">
        <f>VLOOKUP(J113, IMPOSTO!$A:$D, 4, 0)</f>
        <v>7.0000000000000007E-2</v>
      </c>
      <c r="Y113" s="24">
        <f>VLOOKUP(K113, IMPOSTO!$A:$D, 4, 0)</f>
        <v>0.12</v>
      </c>
      <c r="Z113" s="24">
        <f>VLOOKUP(L113, IMPOSTO!$A:$D, 4, 0)</f>
        <v>0.12</v>
      </c>
      <c r="AA113" s="24">
        <f>VLOOKUP(M113, IMPOSTO!$A:$D, 4, 0)</f>
        <v>0.12</v>
      </c>
      <c r="AB113" s="24">
        <f>VLOOKUP(N113, IMPOSTO!$A:$D, 4, 0)</f>
        <v>7.0000000000000007E-2</v>
      </c>
      <c r="AC113" s="25">
        <f t="shared" si="12"/>
        <v>888892.72035700886</v>
      </c>
      <c r="AD113" s="25">
        <f t="shared" si="13"/>
        <v>953862.18770020467</v>
      </c>
      <c r="AE113" s="25">
        <f t="shared" si="14"/>
        <v>841096.12248835259</v>
      </c>
      <c r="AF113" s="25">
        <f t="shared" si="15"/>
        <v>888973.97035700886</v>
      </c>
      <c r="AG113" s="25">
        <f t="shared" si="16"/>
        <v>888875.44762973627</v>
      </c>
      <c r="AH113" s="25">
        <f t="shared" si="17"/>
        <v>888940.22035700898</v>
      </c>
      <c r="AI113" s="25">
        <f t="shared" si="18"/>
        <v>841464.61711200851</v>
      </c>
    </row>
    <row r="114" spans="1:35" ht="15.75" customHeight="1">
      <c r="A114" s="12" t="s">
        <v>58</v>
      </c>
      <c r="B114" s="12" t="s">
        <v>59</v>
      </c>
      <c r="C114" s="12" t="s">
        <v>60</v>
      </c>
      <c r="D114" s="12" t="s">
        <v>50</v>
      </c>
      <c r="E114" s="12" t="s">
        <v>24</v>
      </c>
      <c r="F114" s="13">
        <v>101.18187368681251</v>
      </c>
      <c r="G114" s="14">
        <v>6335.755975583982</v>
      </c>
      <c r="H114" s="24" t="str">
        <f t="shared" si="11"/>
        <v>MGSP</v>
      </c>
      <c r="I114" s="24" t="str">
        <f t="shared" si="19"/>
        <v>MGMG</v>
      </c>
      <c r="J114" s="24" t="str">
        <f t="shared" si="19"/>
        <v>MGES</v>
      </c>
      <c r="K114" s="24" t="str">
        <f t="shared" si="19"/>
        <v>MGSC</v>
      </c>
      <c r="L114" s="24" t="str">
        <f t="shared" si="19"/>
        <v>MGRJ</v>
      </c>
      <c r="M114" s="24" t="str">
        <f t="shared" si="19"/>
        <v>MGPR</v>
      </c>
      <c r="N114" s="24" t="str">
        <f t="shared" si="19"/>
        <v>MGAM</v>
      </c>
      <c r="O114" s="24">
        <f>VLOOKUP(H114, KM!$A:$E, 5, 0)</f>
        <v>586</v>
      </c>
      <c r="P114" s="24">
        <f>VLOOKUP(I114, KM!$A:$E, 5, 0)</f>
        <v>0</v>
      </c>
      <c r="Q114" s="24">
        <f>VLOOKUP(J114, KM!$A:$E, 5, 0)</f>
        <v>524</v>
      </c>
      <c r="R114" s="24">
        <f>VLOOKUP(K114, KM!$A:$E, 5, 0)</f>
        <v>1301</v>
      </c>
      <c r="S114" s="24">
        <f>VLOOKUP(L114, KM!$A:$E, 5, 0)</f>
        <v>434</v>
      </c>
      <c r="T114" s="24">
        <f>VLOOKUP(M114, KM!$A:$E, 5, 0)</f>
        <v>1004</v>
      </c>
      <c r="U114" s="24">
        <f>VLOOKUP(N114, KM!$A:$E, 5, 0)</f>
        <v>3951</v>
      </c>
      <c r="V114" s="24">
        <f>VLOOKUP(H114, IMPOSTO!$A:$D, 4, 0)</f>
        <v>0.12</v>
      </c>
      <c r="W114" s="24">
        <f>VLOOKUP(I114, IMPOSTO!$A:$D, 4, 0)</f>
        <v>0.18</v>
      </c>
      <c r="X114" s="24">
        <f>VLOOKUP(J114, IMPOSTO!$A:$D, 4, 0)</f>
        <v>7.0000000000000007E-2</v>
      </c>
      <c r="Y114" s="24">
        <f>VLOOKUP(K114, IMPOSTO!$A:$D, 4, 0)</f>
        <v>0.12</v>
      </c>
      <c r="Z114" s="24">
        <f>VLOOKUP(L114, IMPOSTO!$A:$D, 4, 0)</f>
        <v>0.12</v>
      </c>
      <c r="AA114" s="24">
        <f>VLOOKUP(M114, IMPOSTO!$A:$D, 4, 0)</f>
        <v>0.12</v>
      </c>
      <c r="AB114" s="24">
        <f>VLOOKUP(N114, IMPOSTO!$A:$D, 4, 0)</f>
        <v>7.0000000000000007E-2</v>
      </c>
      <c r="AC114" s="25">
        <f t="shared" si="12"/>
        <v>7266.3136086181621</v>
      </c>
      <c r="AD114" s="25">
        <f t="shared" si="13"/>
        <v>7726.5316775414412</v>
      </c>
      <c r="AE114" s="25">
        <f t="shared" si="14"/>
        <v>6868.9849199827768</v>
      </c>
      <c r="AF114" s="25">
        <f t="shared" si="15"/>
        <v>7347.5636086181621</v>
      </c>
      <c r="AG114" s="25">
        <f t="shared" si="16"/>
        <v>7249.0408813454333</v>
      </c>
      <c r="AH114" s="25">
        <f t="shared" si="17"/>
        <v>7313.8136086181612</v>
      </c>
      <c r="AI114" s="25">
        <f t="shared" si="18"/>
        <v>7237.4795436386912</v>
      </c>
    </row>
    <row r="115" spans="1:35" ht="15.75" customHeight="1">
      <c r="A115" s="12" t="s">
        <v>102</v>
      </c>
      <c r="B115" s="12" t="s">
        <v>103</v>
      </c>
      <c r="C115" s="12" t="s">
        <v>104</v>
      </c>
      <c r="D115" s="12" t="s">
        <v>33</v>
      </c>
      <c r="E115" s="12" t="s">
        <v>24</v>
      </c>
      <c r="F115" s="13">
        <v>11556.752200000003</v>
      </c>
      <c r="G115" s="14">
        <v>507485.6682751737</v>
      </c>
      <c r="H115" s="24" t="str">
        <f t="shared" si="11"/>
        <v>MGSP</v>
      </c>
      <c r="I115" s="24" t="str">
        <f t="shared" si="19"/>
        <v>MGMG</v>
      </c>
      <c r="J115" s="24" t="str">
        <f t="shared" si="19"/>
        <v>MGES</v>
      </c>
      <c r="K115" s="24" t="str">
        <f t="shared" si="19"/>
        <v>MGSC</v>
      </c>
      <c r="L115" s="24" t="str">
        <f t="shared" si="19"/>
        <v>MGRJ</v>
      </c>
      <c r="M115" s="24" t="str">
        <f t="shared" si="19"/>
        <v>MGPR</v>
      </c>
      <c r="N115" s="24" t="str">
        <f t="shared" si="19"/>
        <v>MGAM</v>
      </c>
      <c r="O115" s="24">
        <f>VLOOKUP(H115, KM!$A:$E, 5, 0)</f>
        <v>586</v>
      </c>
      <c r="P115" s="24">
        <f>VLOOKUP(I115, KM!$A:$E, 5, 0)</f>
        <v>0</v>
      </c>
      <c r="Q115" s="24">
        <f>VLOOKUP(J115, KM!$A:$E, 5, 0)</f>
        <v>524</v>
      </c>
      <c r="R115" s="24">
        <f>VLOOKUP(K115, KM!$A:$E, 5, 0)</f>
        <v>1301</v>
      </c>
      <c r="S115" s="24">
        <f>VLOOKUP(L115, KM!$A:$E, 5, 0)</f>
        <v>434</v>
      </c>
      <c r="T115" s="24">
        <f>VLOOKUP(M115, KM!$A:$E, 5, 0)</f>
        <v>1004</v>
      </c>
      <c r="U115" s="24">
        <f>VLOOKUP(N115, KM!$A:$E, 5, 0)</f>
        <v>3951</v>
      </c>
      <c r="V115" s="24">
        <f>VLOOKUP(H115, IMPOSTO!$A:$D, 4, 0)</f>
        <v>0.12</v>
      </c>
      <c r="W115" s="24">
        <f>VLOOKUP(I115, IMPOSTO!$A:$D, 4, 0)</f>
        <v>0.18</v>
      </c>
      <c r="X115" s="24">
        <f>VLOOKUP(J115, IMPOSTO!$A:$D, 4, 0)</f>
        <v>7.0000000000000007E-2</v>
      </c>
      <c r="Y115" s="24">
        <f>VLOOKUP(K115, IMPOSTO!$A:$D, 4, 0)</f>
        <v>0.12</v>
      </c>
      <c r="Z115" s="24">
        <f>VLOOKUP(L115, IMPOSTO!$A:$D, 4, 0)</f>
        <v>0.12</v>
      </c>
      <c r="AA115" s="24">
        <f>VLOOKUP(M115, IMPOSTO!$A:$D, 4, 0)</f>
        <v>0.12</v>
      </c>
      <c r="AB115" s="24">
        <f>VLOOKUP(N115, IMPOSTO!$A:$D, 4, 0)</f>
        <v>7.0000000000000007E-2</v>
      </c>
      <c r="AC115" s="25">
        <f t="shared" si="12"/>
        <v>576754.85031269735</v>
      </c>
      <c r="AD115" s="25">
        <f t="shared" si="13"/>
        <v>618884.96131118736</v>
      </c>
      <c r="AE115" s="25">
        <f t="shared" si="14"/>
        <v>545739.85836040194</v>
      </c>
      <c r="AF115" s="25">
        <f t="shared" si="15"/>
        <v>576836.10031269735</v>
      </c>
      <c r="AG115" s="25">
        <f t="shared" si="16"/>
        <v>576737.57758542465</v>
      </c>
      <c r="AH115" s="25">
        <f t="shared" si="17"/>
        <v>576802.35031269735</v>
      </c>
      <c r="AI115" s="25">
        <f t="shared" si="18"/>
        <v>546108.35298405774</v>
      </c>
    </row>
    <row r="116" spans="1:35" ht="15.75" customHeight="1">
      <c r="A116" s="12" t="s">
        <v>74</v>
      </c>
      <c r="B116" s="12" t="s">
        <v>75</v>
      </c>
      <c r="C116" s="12" t="s">
        <v>57</v>
      </c>
      <c r="D116" s="12" t="s">
        <v>33</v>
      </c>
      <c r="E116" s="12" t="s">
        <v>24</v>
      </c>
      <c r="F116" s="13">
        <v>17.958024861122517</v>
      </c>
      <c r="G116" s="14">
        <v>99.313427947201049</v>
      </c>
      <c r="H116" s="24" t="str">
        <f t="shared" si="11"/>
        <v>MGSP</v>
      </c>
      <c r="I116" s="24" t="str">
        <f t="shared" si="19"/>
        <v>MGMG</v>
      </c>
      <c r="J116" s="24" t="str">
        <f t="shared" si="19"/>
        <v>MGES</v>
      </c>
      <c r="K116" s="24" t="str">
        <f t="shared" si="19"/>
        <v>MGSC</v>
      </c>
      <c r="L116" s="24" t="str">
        <f t="shared" si="19"/>
        <v>MGRJ</v>
      </c>
      <c r="M116" s="24" t="str">
        <f t="shared" si="19"/>
        <v>MGPR</v>
      </c>
      <c r="N116" s="24" t="str">
        <f t="shared" si="19"/>
        <v>MGAM</v>
      </c>
      <c r="O116" s="24">
        <f>VLOOKUP(H116, KM!$A:$E, 5, 0)</f>
        <v>586</v>
      </c>
      <c r="P116" s="24">
        <f>VLOOKUP(I116, KM!$A:$E, 5, 0)</f>
        <v>0</v>
      </c>
      <c r="Q116" s="24">
        <f>VLOOKUP(J116, KM!$A:$E, 5, 0)</f>
        <v>524</v>
      </c>
      <c r="R116" s="24">
        <f>VLOOKUP(K116, KM!$A:$E, 5, 0)</f>
        <v>1301</v>
      </c>
      <c r="S116" s="24">
        <f>VLOOKUP(L116, KM!$A:$E, 5, 0)</f>
        <v>434</v>
      </c>
      <c r="T116" s="24">
        <f>VLOOKUP(M116, KM!$A:$E, 5, 0)</f>
        <v>1004</v>
      </c>
      <c r="U116" s="24">
        <f>VLOOKUP(N116, KM!$A:$E, 5, 0)</f>
        <v>3951</v>
      </c>
      <c r="V116" s="24">
        <f>VLOOKUP(H116, IMPOSTO!$A:$D, 4, 0)</f>
        <v>0.12</v>
      </c>
      <c r="W116" s="24">
        <f>VLOOKUP(I116, IMPOSTO!$A:$D, 4, 0)</f>
        <v>0.18</v>
      </c>
      <c r="X116" s="24">
        <f>VLOOKUP(J116, IMPOSTO!$A:$D, 4, 0)</f>
        <v>7.0000000000000007E-2</v>
      </c>
      <c r="Y116" s="24">
        <f>VLOOKUP(K116, IMPOSTO!$A:$D, 4, 0)</f>
        <v>0.12</v>
      </c>
      <c r="Z116" s="24">
        <f>VLOOKUP(L116, IMPOSTO!$A:$D, 4, 0)</f>
        <v>0.12</v>
      </c>
      <c r="AA116" s="24">
        <f>VLOOKUP(M116, IMPOSTO!$A:$D, 4, 0)</f>
        <v>0.12</v>
      </c>
      <c r="AB116" s="24">
        <f>VLOOKUP(N116, IMPOSTO!$A:$D, 4, 0)</f>
        <v>7.0000000000000007E-2</v>
      </c>
      <c r="AC116" s="25">
        <f t="shared" si="12"/>
        <v>179.44707721272849</v>
      </c>
      <c r="AD116" s="25">
        <f t="shared" si="13"/>
        <v>121.11393652097688</v>
      </c>
      <c r="AE116" s="25">
        <f t="shared" si="14"/>
        <v>163.13271822279685</v>
      </c>
      <c r="AF116" s="25">
        <f t="shared" si="15"/>
        <v>260.69707721272846</v>
      </c>
      <c r="AG116" s="25">
        <f t="shared" si="16"/>
        <v>162.17434994000121</v>
      </c>
      <c r="AH116" s="25">
        <f t="shared" si="17"/>
        <v>226.94707721272849</v>
      </c>
      <c r="AI116" s="25">
        <f t="shared" si="18"/>
        <v>531.62734187871081</v>
      </c>
    </row>
    <row r="117" spans="1:35" ht="15.75" customHeight="1">
      <c r="A117" s="12" t="s">
        <v>94</v>
      </c>
      <c r="B117" s="12" t="s">
        <v>95</v>
      </c>
      <c r="C117" s="12" t="s">
        <v>78</v>
      </c>
      <c r="D117" s="12" t="s">
        <v>33</v>
      </c>
      <c r="E117" s="12" t="s">
        <v>24</v>
      </c>
      <c r="F117" s="13">
        <v>25.70704946581284</v>
      </c>
      <c r="G117" s="14">
        <v>78.952774998097368</v>
      </c>
      <c r="H117" s="24" t="str">
        <f t="shared" si="11"/>
        <v>MGSP</v>
      </c>
      <c r="I117" s="24" t="str">
        <f t="shared" si="19"/>
        <v>MGMG</v>
      </c>
      <c r="J117" s="24" t="str">
        <f t="shared" si="19"/>
        <v>MGES</v>
      </c>
      <c r="K117" s="24" t="str">
        <f t="shared" si="19"/>
        <v>MGSC</v>
      </c>
      <c r="L117" s="24" t="str">
        <f t="shared" si="19"/>
        <v>MGRJ</v>
      </c>
      <c r="M117" s="24" t="str">
        <f t="shared" si="19"/>
        <v>MGPR</v>
      </c>
      <c r="N117" s="24" t="str">
        <f t="shared" si="19"/>
        <v>MGAM</v>
      </c>
      <c r="O117" s="24">
        <f>VLOOKUP(H117, KM!$A:$E, 5, 0)</f>
        <v>586</v>
      </c>
      <c r="P117" s="24">
        <f>VLOOKUP(I117, KM!$A:$E, 5, 0)</f>
        <v>0</v>
      </c>
      <c r="Q117" s="24">
        <f>VLOOKUP(J117, KM!$A:$E, 5, 0)</f>
        <v>524</v>
      </c>
      <c r="R117" s="24">
        <f>VLOOKUP(K117, KM!$A:$E, 5, 0)</f>
        <v>1301</v>
      </c>
      <c r="S117" s="24">
        <f>VLOOKUP(L117, KM!$A:$E, 5, 0)</f>
        <v>434</v>
      </c>
      <c r="T117" s="24">
        <f>VLOOKUP(M117, KM!$A:$E, 5, 0)</f>
        <v>1004</v>
      </c>
      <c r="U117" s="24">
        <f>VLOOKUP(N117, KM!$A:$E, 5, 0)</f>
        <v>3951</v>
      </c>
      <c r="V117" s="24">
        <f>VLOOKUP(H117, IMPOSTO!$A:$D, 4, 0)</f>
        <v>0.12</v>
      </c>
      <c r="W117" s="24">
        <f>VLOOKUP(I117, IMPOSTO!$A:$D, 4, 0)</f>
        <v>0.18</v>
      </c>
      <c r="X117" s="24">
        <f>VLOOKUP(J117, IMPOSTO!$A:$D, 4, 0)</f>
        <v>7.0000000000000007E-2</v>
      </c>
      <c r="Y117" s="24">
        <f>VLOOKUP(K117, IMPOSTO!$A:$D, 4, 0)</f>
        <v>0.12</v>
      </c>
      <c r="Z117" s="24">
        <f>VLOOKUP(L117, IMPOSTO!$A:$D, 4, 0)</f>
        <v>0.12</v>
      </c>
      <c r="AA117" s="24">
        <f>VLOOKUP(M117, IMPOSTO!$A:$D, 4, 0)</f>
        <v>0.12</v>
      </c>
      <c r="AB117" s="24">
        <f>VLOOKUP(N117, IMPOSTO!$A:$D, 4, 0)</f>
        <v>7.0000000000000007E-2</v>
      </c>
      <c r="AC117" s="25">
        <f t="shared" si="12"/>
        <v>156.309971588747</v>
      </c>
      <c r="AD117" s="25">
        <f t="shared" si="13"/>
        <v>96.283871948899218</v>
      </c>
      <c r="AE117" s="25">
        <f t="shared" si="14"/>
        <v>141.23954300870687</v>
      </c>
      <c r="AF117" s="25">
        <f t="shared" si="15"/>
        <v>237.559971588747</v>
      </c>
      <c r="AG117" s="25">
        <f t="shared" si="16"/>
        <v>139.03724431601975</v>
      </c>
      <c r="AH117" s="25">
        <f t="shared" si="17"/>
        <v>203.809971588747</v>
      </c>
      <c r="AI117" s="25">
        <f t="shared" si="18"/>
        <v>509.73416666462089</v>
      </c>
    </row>
    <row r="118" spans="1:35" ht="15.75" customHeight="1">
      <c r="A118" s="12" t="s">
        <v>94</v>
      </c>
      <c r="B118" s="12" t="s">
        <v>95</v>
      </c>
      <c r="C118" s="12" t="s">
        <v>78</v>
      </c>
      <c r="D118" s="12" t="s">
        <v>33</v>
      </c>
      <c r="E118" s="12" t="s">
        <v>24</v>
      </c>
      <c r="F118" s="13">
        <v>0</v>
      </c>
      <c r="G118" s="14">
        <v>0</v>
      </c>
      <c r="H118" s="24" t="str">
        <f t="shared" si="11"/>
        <v>MGSP</v>
      </c>
      <c r="I118" s="24" t="str">
        <f t="shared" si="19"/>
        <v>MGMG</v>
      </c>
      <c r="J118" s="24" t="str">
        <f t="shared" si="19"/>
        <v>MGES</v>
      </c>
      <c r="K118" s="24" t="str">
        <f t="shared" si="19"/>
        <v>MGSC</v>
      </c>
      <c r="L118" s="24" t="str">
        <f t="shared" si="19"/>
        <v>MGRJ</v>
      </c>
      <c r="M118" s="24" t="str">
        <f t="shared" si="19"/>
        <v>MGPR</v>
      </c>
      <c r="N118" s="24" t="str">
        <f t="shared" si="19"/>
        <v>MGAM</v>
      </c>
      <c r="O118" s="24">
        <f>VLOOKUP(H118, KM!$A:$E, 5, 0)</f>
        <v>586</v>
      </c>
      <c r="P118" s="24">
        <f>VLOOKUP(I118, KM!$A:$E, 5, 0)</f>
        <v>0</v>
      </c>
      <c r="Q118" s="24">
        <f>VLOOKUP(J118, KM!$A:$E, 5, 0)</f>
        <v>524</v>
      </c>
      <c r="R118" s="24">
        <f>VLOOKUP(K118, KM!$A:$E, 5, 0)</f>
        <v>1301</v>
      </c>
      <c r="S118" s="24">
        <f>VLOOKUP(L118, KM!$A:$E, 5, 0)</f>
        <v>434</v>
      </c>
      <c r="T118" s="24">
        <f>VLOOKUP(M118, KM!$A:$E, 5, 0)</f>
        <v>1004</v>
      </c>
      <c r="U118" s="24">
        <f>VLOOKUP(N118, KM!$A:$E, 5, 0)</f>
        <v>3951</v>
      </c>
      <c r="V118" s="24">
        <f>VLOOKUP(H118, IMPOSTO!$A:$D, 4, 0)</f>
        <v>0.12</v>
      </c>
      <c r="W118" s="24">
        <f>VLOOKUP(I118, IMPOSTO!$A:$D, 4, 0)</f>
        <v>0.18</v>
      </c>
      <c r="X118" s="24">
        <f>VLOOKUP(J118, IMPOSTO!$A:$D, 4, 0)</f>
        <v>7.0000000000000007E-2</v>
      </c>
      <c r="Y118" s="24">
        <f>VLOOKUP(K118, IMPOSTO!$A:$D, 4, 0)</f>
        <v>0.12</v>
      </c>
      <c r="Z118" s="24">
        <f>VLOOKUP(L118, IMPOSTO!$A:$D, 4, 0)</f>
        <v>0.12</v>
      </c>
      <c r="AA118" s="24">
        <f>VLOOKUP(M118, IMPOSTO!$A:$D, 4, 0)</f>
        <v>0.12</v>
      </c>
      <c r="AB118" s="24">
        <f>VLOOKUP(N118, IMPOSTO!$A:$D, 4, 0)</f>
        <v>7.0000000000000007E-2</v>
      </c>
      <c r="AC118" s="25">
        <f t="shared" si="12"/>
        <v>66.590909090909093</v>
      </c>
      <c r="AD118" s="25">
        <f t="shared" si="13"/>
        <v>0</v>
      </c>
      <c r="AE118" s="25">
        <f t="shared" si="14"/>
        <v>56.344086021505383</v>
      </c>
      <c r="AF118" s="25">
        <f t="shared" si="15"/>
        <v>147.84090909090909</v>
      </c>
      <c r="AG118" s="25">
        <f t="shared" si="16"/>
        <v>49.318181818181827</v>
      </c>
      <c r="AH118" s="25">
        <f t="shared" si="17"/>
        <v>114.09090909090909</v>
      </c>
      <c r="AI118" s="25">
        <f t="shared" si="18"/>
        <v>424.83870967741939</v>
      </c>
    </row>
    <row r="119" spans="1:35" ht="15.75" customHeight="1">
      <c r="A119" s="12" t="s">
        <v>87</v>
      </c>
      <c r="B119" s="12" t="s">
        <v>88</v>
      </c>
      <c r="C119" s="12" t="s">
        <v>89</v>
      </c>
      <c r="D119" s="12" t="s">
        <v>33</v>
      </c>
      <c r="E119" s="12" t="s">
        <v>24</v>
      </c>
      <c r="F119" s="13">
        <v>3890.7534410192306</v>
      </c>
      <c r="G119" s="14">
        <v>23519.437068197225</v>
      </c>
      <c r="H119" s="24" t="str">
        <f t="shared" si="11"/>
        <v>MGSP</v>
      </c>
      <c r="I119" s="24" t="str">
        <f t="shared" si="19"/>
        <v>MGMG</v>
      </c>
      <c r="J119" s="24" t="str">
        <f t="shared" si="19"/>
        <v>MGES</v>
      </c>
      <c r="K119" s="24" t="str">
        <f t="shared" si="19"/>
        <v>MGSC</v>
      </c>
      <c r="L119" s="24" t="str">
        <f t="shared" si="19"/>
        <v>MGRJ</v>
      </c>
      <c r="M119" s="24" t="str">
        <f t="shared" si="19"/>
        <v>MGPR</v>
      </c>
      <c r="N119" s="24" t="str">
        <f t="shared" si="19"/>
        <v>MGAM</v>
      </c>
      <c r="O119" s="24">
        <f>VLOOKUP(H119, KM!$A:$E, 5, 0)</f>
        <v>586</v>
      </c>
      <c r="P119" s="24">
        <f>VLOOKUP(I119, KM!$A:$E, 5, 0)</f>
        <v>0</v>
      </c>
      <c r="Q119" s="24">
        <f>VLOOKUP(J119, KM!$A:$E, 5, 0)</f>
        <v>524</v>
      </c>
      <c r="R119" s="24">
        <f>VLOOKUP(K119, KM!$A:$E, 5, 0)</f>
        <v>1301</v>
      </c>
      <c r="S119" s="24">
        <f>VLOOKUP(L119, KM!$A:$E, 5, 0)</f>
        <v>434</v>
      </c>
      <c r="T119" s="24">
        <f>VLOOKUP(M119, KM!$A:$E, 5, 0)</f>
        <v>1004</v>
      </c>
      <c r="U119" s="24">
        <f>VLOOKUP(N119, KM!$A:$E, 5, 0)</f>
        <v>3951</v>
      </c>
      <c r="V119" s="24">
        <f>VLOOKUP(H119, IMPOSTO!$A:$D, 4, 0)</f>
        <v>0.12</v>
      </c>
      <c r="W119" s="24">
        <f>VLOOKUP(I119, IMPOSTO!$A:$D, 4, 0)</f>
        <v>0.18</v>
      </c>
      <c r="X119" s="24">
        <f>VLOOKUP(J119, IMPOSTO!$A:$D, 4, 0)</f>
        <v>7.0000000000000007E-2</v>
      </c>
      <c r="Y119" s="24">
        <f>VLOOKUP(K119, IMPOSTO!$A:$D, 4, 0)</f>
        <v>0.12</v>
      </c>
      <c r="Z119" s="24">
        <f>VLOOKUP(L119, IMPOSTO!$A:$D, 4, 0)</f>
        <v>0.12</v>
      </c>
      <c r="AA119" s="24">
        <f>VLOOKUP(M119, IMPOSTO!$A:$D, 4, 0)</f>
        <v>0.12</v>
      </c>
      <c r="AB119" s="24">
        <f>VLOOKUP(N119, IMPOSTO!$A:$D, 4, 0)</f>
        <v>7.0000000000000007E-2</v>
      </c>
      <c r="AC119" s="25">
        <f t="shared" si="12"/>
        <v>26793.223941133208</v>
      </c>
      <c r="AD119" s="25">
        <f t="shared" si="13"/>
        <v>28682.240327069783</v>
      </c>
      <c r="AE119" s="25">
        <f t="shared" si="14"/>
        <v>25346.061363652934</v>
      </c>
      <c r="AF119" s="25">
        <f t="shared" si="15"/>
        <v>26874.473941133208</v>
      </c>
      <c r="AG119" s="25">
        <f t="shared" si="16"/>
        <v>26775.951213860484</v>
      </c>
      <c r="AH119" s="25">
        <f t="shared" si="17"/>
        <v>26840.723941133212</v>
      </c>
      <c r="AI119" s="25">
        <f t="shared" si="18"/>
        <v>25714.555987308846</v>
      </c>
    </row>
    <row r="120" spans="1:35" ht="15.75" customHeight="1">
      <c r="A120" s="12" t="s">
        <v>90</v>
      </c>
      <c r="B120" s="12" t="s">
        <v>91</v>
      </c>
      <c r="C120" s="12" t="s">
        <v>63</v>
      </c>
      <c r="D120" s="12" t="s">
        <v>33</v>
      </c>
      <c r="E120" s="12" t="s">
        <v>24</v>
      </c>
      <c r="F120" s="13">
        <v>8931.6911088267825</v>
      </c>
      <c r="G120" s="14">
        <v>214843.56310471485</v>
      </c>
      <c r="H120" s="24" t="str">
        <f t="shared" si="11"/>
        <v>MGSP</v>
      </c>
      <c r="I120" s="24" t="str">
        <f t="shared" si="19"/>
        <v>MGMG</v>
      </c>
      <c r="J120" s="24" t="str">
        <f t="shared" si="19"/>
        <v>MGES</v>
      </c>
      <c r="K120" s="24" t="str">
        <f t="shared" si="19"/>
        <v>MGSC</v>
      </c>
      <c r="L120" s="24" t="str">
        <f t="shared" si="19"/>
        <v>MGRJ</v>
      </c>
      <c r="M120" s="24" t="str">
        <f t="shared" si="19"/>
        <v>MGPR</v>
      </c>
      <c r="N120" s="24" t="str">
        <f t="shared" si="19"/>
        <v>MGAM</v>
      </c>
      <c r="O120" s="24">
        <f>VLOOKUP(H120, KM!$A:$E, 5, 0)</f>
        <v>586</v>
      </c>
      <c r="P120" s="24">
        <f>VLOOKUP(I120, KM!$A:$E, 5, 0)</f>
        <v>0</v>
      </c>
      <c r="Q120" s="24">
        <f>VLOOKUP(J120, KM!$A:$E, 5, 0)</f>
        <v>524</v>
      </c>
      <c r="R120" s="24">
        <f>VLOOKUP(K120, KM!$A:$E, 5, 0)</f>
        <v>1301</v>
      </c>
      <c r="S120" s="24">
        <f>VLOOKUP(L120, KM!$A:$E, 5, 0)</f>
        <v>434</v>
      </c>
      <c r="T120" s="24">
        <f>VLOOKUP(M120, KM!$A:$E, 5, 0)</f>
        <v>1004</v>
      </c>
      <c r="U120" s="24">
        <f>VLOOKUP(N120, KM!$A:$E, 5, 0)</f>
        <v>3951</v>
      </c>
      <c r="V120" s="24">
        <f>VLOOKUP(H120, IMPOSTO!$A:$D, 4, 0)</f>
        <v>0.12</v>
      </c>
      <c r="W120" s="24">
        <f>VLOOKUP(I120, IMPOSTO!$A:$D, 4, 0)</f>
        <v>0.18</v>
      </c>
      <c r="X120" s="24">
        <f>VLOOKUP(J120, IMPOSTO!$A:$D, 4, 0)</f>
        <v>7.0000000000000007E-2</v>
      </c>
      <c r="Y120" s="24">
        <f>VLOOKUP(K120, IMPOSTO!$A:$D, 4, 0)</f>
        <v>0.12</v>
      </c>
      <c r="Z120" s="24">
        <f>VLOOKUP(L120, IMPOSTO!$A:$D, 4, 0)</f>
        <v>0.12</v>
      </c>
      <c r="AA120" s="24">
        <f>VLOOKUP(M120, IMPOSTO!$A:$D, 4, 0)</f>
        <v>0.12</v>
      </c>
      <c r="AB120" s="24">
        <f>VLOOKUP(N120, IMPOSTO!$A:$D, 4, 0)</f>
        <v>7.0000000000000007E-2</v>
      </c>
      <c r="AC120" s="25">
        <f t="shared" si="12"/>
        <v>244207.00352808507</v>
      </c>
      <c r="AD120" s="25">
        <f t="shared" si="13"/>
        <v>262004.34524965222</v>
      </c>
      <c r="AE120" s="25">
        <f t="shared" si="14"/>
        <v>231070.92806958588</v>
      </c>
      <c r="AF120" s="25">
        <f t="shared" si="15"/>
        <v>244288.25352808507</v>
      </c>
      <c r="AG120" s="25">
        <f t="shared" si="16"/>
        <v>244189.73080081231</v>
      </c>
      <c r="AH120" s="25">
        <f t="shared" si="17"/>
        <v>244254.50352808504</v>
      </c>
      <c r="AI120" s="25">
        <f t="shared" si="18"/>
        <v>231439.4226932418</v>
      </c>
    </row>
    <row r="121" spans="1:35" ht="15.75" customHeight="1">
      <c r="A121" s="12" t="s">
        <v>74</v>
      </c>
      <c r="B121" s="12" t="s">
        <v>75</v>
      </c>
      <c r="C121" s="12" t="s">
        <v>57</v>
      </c>
      <c r="D121" s="12" t="s">
        <v>33</v>
      </c>
      <c r="E121" s="12" t="s">
        <v>24</v>
      </c>
      <c r="F121" s="13">
        <v>5811.3061545579176</v>
      </c>
      <c r="G121" s="14">
        <v>27580.556763541568</v>
      </c>
      <c r="H121" s="24" t="str">
        <f t="shared" si="11"/>
        <v>MGSP</v>
      </c>
      <c r="I121" s="24" t="str">
        <f t="shared" si="19"/>
        <v>MGMG</v>
      </c>
      <c r="J121" s="24" t="str">
        <f t="shared" si="19"/>
        <v>MGES</v>
      </c>
      <c r="K121" s="24" t="str">
        <f t="shared" si="19"/>
        <v>MGSC</v>
      </c>
      <c r="L121" s="24" t="str">
        <f t="shared" si="19"/>
        <v>MGRJ</v>
      </c>
      <c r="M121" s="24" t="str">
        <f t="shared" si="19"/>
        <v>MGPR</v>
      </c>
      <c r="N121" s="24" t="str">
        <f t="shared" si="19"/>
        <v>MGAM</v>
      </c>
      <c r="O121" s="24">
        <f>VLOOKUP(H121, KM!$A:$E, 5, 0)</f>
        <v>586</v>
      </c>
      <c r="P121" s="24">
        <f>VLOOKUP(I121, KM!$A:$E, 5, 0)</f>
        <v>0</v>
      </c>
      <c r="Q121" s="24">
        <f>VLOOKUP(J121, KM!$A:$E, 5, 0)</f>
        <v>524</v>
      </c>
      <c r="R121" s="24">
        <f>VLOOKUP(K121, KM!$A:$E, 5, 0)</f>
        <v>1301</v>
      </c>
      <c r="S121" s="24">
        <f>VLOOKUP(L121, KM!$A:$E, 5, 0)</f>
        <v>434</v>
      </c>
      <c r="T121" s="24">
        <f>VLOOKUP(M121, KM!$A:$E, 5, 0)</f>
        <v>1004</v>
      </c>
      <c r="U121" s="24">
        <f>VLOOKUP(N121, KM!$A:$E, 5, 0)</f>
        <v>3951</v>
      </c>
      <c r="V121" s="24">
        <f>VLOOKUP(H121, IMPOSTO!$A:$D, 4, 0)</f>
        <v>0.12</v>
      </c>
      <c r="W121" s="24">
        <f>VLOOKUP(I121, IMPOSTO!$A:$D, 4, 0)</f>
        <v>0.18</v>
      </c>
      <c r="X121" s="24">
        <f>VLOOKUP(J121, IMPOSTO!$A:$D, 4, 0)</f>
        <v>7.0000000000000007E-2</v>
      </c>
      <c r="Y121" s="24">
        <f>VLOOKUP(K121, IMPOSTO!$A:$D, 4, 0)</f>
        <v>0.12</v>
      </c>
      <c r="Z121" s="24">
        <f>VLOOKUP(L121, IMPOSTO!$A:$D, 4, 0)</f>
        <v>0.12</v>
      </c>
      <c r="AA121" s="24">
        <f>VLOOKUP(M121, IMPOSTO!$A:$D, 4, 0)</f>
        <v>0.12</v>
      </c>
      <c r="AB121" s="24">
        <f>VLOOKUP(N121, IMPOSTO!$A:$D, 4, 0)</f>
        <v>7.0000000000000007E-2</v>
      </c>
      <c r="AC121" s="25">
        <f t="shared" si="12"/>
        <v>31408.132685842691</v>
      </c>
      <c r="AD121" s="25">
        <f t="shared" si="13"/>
        <v>33634.825321392156</v>
      </c>
      <c r="AE121" s="25">
        <f t="shared" si="14"/>
        <v>29712.856734990935</v>
      </c>
      <c r="AF121" s="25">
        <f t="shared" si="15"/>
        <v>31489.382685842691</v>
      </c>
      <c r="AG121" s="25">
        <f t="shared" si="16"/>
        <v>31390.859958569967</v>
      </c>
      <c r="AH121" s="25">
        <f t="shared" si="17"/>
        <v>31455.632685842691</v>
      </c>
      <c r="AI121" s="25">
        <f t="shared" si="18"/>
        <v>30081.351358646847</v>
      </c>
    </row>
    <row r="122" spans="1:35" ht="15.75" customHeight="1">
      <c r="A122" s="12" t="s">
        <v>74</v>
      </c>
      <c r="B122" s="12" t="s">
        <v>75</v>
      </c>
      <c r="C122" s="12" t="s">
        <v>57</v>
      </c>
      <c r="D122" s="12" t="s">
        <v>33</v>
      </c>
      <c r="E122" s="12" t="s">
        <v>24</v>
      </c>
      <c r="F122" s="13">
        <v>9958.7224535402747</v>
      </c>
      <c r="G122" s="14">
        <v>55074.813209386724</v>
      </c>
      <c r="H122" s="24" t="str">
        <f t="shared" si="11"/>
        <v>MGSP</v>
      </c>
      <c r="I122" s="24" t="str">
        <f t="shared" si="19"/>
        <v>MGMG</v>
      </c>
      <c r="J122" s="24" t="str">
        <f t="shared" si="19"/>
        <v>MGES</v>
      </c>
      <c r="K122" s="24" t="str">
        <f t="shared" si="19"/>
        <v>MGSC</v>
      </c>
      <c r="L122" s="24" t="str">
        <f t="shared" si="19"/>
        <v>MGRJ</v>
      </c>
      <c r="M122" s="24" t="str">
        <f t="shared" si="19"/>
        <v>MGPR</v>
      </c>
      <c r="N122" s="24" t="str">
        <f t="shared" si="19"/>
        <v>MGAM</v>
      </c>
      <c r="O122" s="24">
        <f>VLOOKUP(H122, KM!$A:$E, 5, 0)</f>
        <v>586</v>
      </c>
      <c r="P122" s="24">
        <f>VLOOKUP(I122, KM!$A:$E, 5, 0)</f>
        <v>0</v>
      </c>
      <c r="Q122" s="24">
        <f>VLOOKUP(J122, KM!$A:$E, 5, 0)</f>
        <v>524</v>
      </c>
      <c r="R122" s="24">
        <f>VLOOKUP(K122, KM!$A:$E, 5, 0)</f>
        <v>1301</v>
      </c>
      <c r="S122" s="24">
        <f>VLOOKUP(L122, KM!$A:$E, 5, 0)</f>
        <v>434</v>
      </c>
      <c r="T122" s="24">
        <f>VLOOKUP(M122, KM!$A:$E, 5, 0)</f>
        <v>1004</v>
      </c>
      <c r="U122" s="24">
        <f>VLOOKUP(N122, KM!$A:$E, 5, 0)</f>
        <v>3951</v>
      </c>
      <c r="V122" s="24">
        <f>VLOOKUP(H122, IMPOSTO!$A:$D, 4, 0)</f>
        <v>0.12</v>
      </c>
      <c r="W122" s="24">
        <f>VLOOKUP(I122, IMPOSTO!$A:$D, 4, 0)</f>
        <v>0.18</v>
      </c>
      <c r="X122" s="24">
        <f>VLOOKUP(J122, IMPOSTO!$A:$D, 4, 0)</f>
        <v>7.0000000000000007E-2</v>
      </c>
      <c r="Y122" s="24">
        <f>VLOOKUP(K122, IMPOSTO!$A:$D, 4, 0)</f>
        <v>0.12</v>
      </c>
      <c r="Z122" s="24">
        <f>VLOOKUP(L122, IMPOSTO!$A:$D, 4, 0)</f>
        <v>0.12</v>
      </c>
      <c r="AA122" s="24">
        <f>VLOOKUP(M122, IMPOSTO!$A:$D, 4, 0)</f>
        <v>0.12</v>
      </c>
      <c r="AB122" s="24">
        <f>VLOOKUP(N122, IMPOSTO!$A:$D, 4, 0)</f>
        <v>7.0000000000000007E-2</v>
      </c>
      <c r="AC122" s="25">
        <f t="shared" si="12"/>
        <v>62651.60591975764</v>
      </c>
      <c r="AD122" s="25">
        <f t="shared" si="13"/>
        <v>67164.406352910635</v>
      </c>
      <c r="AE122" s="25">
        <f t="shared" si="14"/>
        <v>59276.573343426593</v>
      </c>
      <c r="AF122" s="25">
        <f t="shared" si="15"/>
        <v>62732.85591975764</v>
      </c>
      <c r="AG122" s="25">
        <f t="shared" si="16"/>
        <v>62634.333192484919</v>
      </c>
      <c r="AH122" s="25">
        <f t="shared" si="17"/>
        <v>62699.10591975764</v>
      </c>
      <c r="AI122" s="25">
        <f t="shared" si="18"/>
        <v>59645.067967082505</v>
      </c>
    </row>
    <row r="123" spans="1:35" ht="15.75" customHeight="1">
      <c r="A123" s="12" t="s">
        <v>92</v>
      </c>
      <c r="B123" s="12" t="s">
        <v>93</v>
      </c>
      <c r="C123" s="12" t="s">
        <v>86</v>
      </c>
      <c r="D123" s="12" t="s">
        <v>33</v>
      </c>
      <c r="E123" s="12" t="s">
        <v>24</v>
      </c>
      <c r="F123" s="13">
        <v>322.06675387778591</v>
      </c>
      <c r="G123" s="14">
        <v>9763.5872720644256</v>
      </c>
      <c r="H123" s="24" t="str">
        <f t="shared" si="11"/>
        <v>MGSP</v>
      </c>
      <c r="I123" s="24" t="str">
        <f t="shared" si="19"/>
        <v>MGMG</v>
      </c>
      <c r="J123" s="24" t="str">
        <f t="shared" si="19"/>
        <v>MGES</v>
      </c>
      <c r="K123" s="24" t="str">
        <f t="shared" si="19"/>
        <v>MGSC</v>
      </c>
      <c r="L123" s="24" t="str">
        <f t="shared" si="19"/>
        <v>MGRJ</v>
      </c>
      <c r="M123" s="24" t="str">
        <f t="shared" si="19"/>
        <v>MGPR</v>
      </c>
      <c r="N123" s="24" t="str">
        <f t="shared" si="19"/>
        <v>MGAM</v>
      </c>
      <c r="O123" s="24">
        <f>VLOOKUP(H123, KM!$A:$E, 5, 0)</f>
        <v>586</v>
      </c>
      <c r="P123" s="24">
        <f>VLOOKUP(I123, KM!$A:$E, 5, 0)</f>
        <v>0</v>
      </c>
      <c r="Q123" s="24">
        <f>VLOOKUP(J123, KM!$A:$E, 5, 0)</f>
        <v>524</v>
      </c>
      <c r="R123" s="24">
        <f>VLOOKUP(K123, KM!$A:$E, 5, 0)</f>
        <v>1301</v>
      </c>
      <c r="S123" s="24">
        <f>VLOOKUP(L123, KM!$A:$E, 5, 0)</f>
        <v>434</v>
      </c>
      <c r="T123" s="24">
        <f>VLOOKUP(M123, KM!$A:$E, 5, 0)</f>
        <v>1004</v>
      </c>
      <c r="U123" s="24">
        <f>VLOOKUP(N123, KM!$A:$E, 5, 0)</f>
        <v>3951</v>
      </c>
      <c r="V123" s="24">
        <f>VLOOKUP(H123, IMPOSTO!$A:$D, 4, 0)</f>
        <v>0.12</v>
      </c>
      <c r="W123" s="24">
        <f>VLOOKUP(I123, IMPOSTO!$A:$D, 4, 0)</f>
        <v>0.18</v>
      </c>
      <c r="X123" s="24">
        <f>VLOOKUP(J123, IMPOSTO!$A:$D, 4, 0)</f>
        <v>7.0000000000000007E-2</v>
      </c>
      <c r="Y123" s="24">
        <f>VLOOKUP(K123, IMPOSTO!$A:$D, 4, 0)</f>
        <v>0.12</v>
      </c>
      <c r="Z123" s="24">
        <f>VLOOKUP(L123, IMPOSTO!$A:$D, 4, 0)</f>
        <v>0.12</v>
      </c>
      <c r="AA123" s="24">
        <f>VLOOKUP(M123, IMPOSTO!$A:$D, 4, 0)</f>
        <v>0.12</v>
      </c>
      <c r="AB123" s="24">
        <f>VLOOKUP(N123, IMPOSTO!$A:$D, 4, 0)</f>
        <v>7.0000000000000007E-2</v>
      </c>
      <c r="AC123" s="25">
        <f t="shared" si="12"/>
        <v>11161.576445527757</v>
      </c>
      <c r="AD123" s="25">
        <f t="shared" si="13"/>
        <v>11906.81374642003</v>
      </c>
      <c r="AE123" s="25">
        <f t="shared" si="14"/>
        <v>10554.825023725189</v>
      </c>
      <c r="AF123" s="25">
        <f t="shared" si="15"/>
        <v>11242.826445527757</v>
      </c>
      <c r="AG123" s="25">
        <f t="shared" si="16"/>
        <v>11144.303718255029</v>
      </c>
      <c r="AH123" s="25">
        <f t="shared" si="17"/>
        <v>11209.076445527757</v>
      </c>
      <c r="AI123" s="25">
        <f t="shared" si="18"/>
        <v>10923.319647381104</v>
      </c>
    </row>
    <row r="124" spans="1:35" ht="15.75" customHeight="1">
      <c r="A124" s="12" t="s">
        <v>92</v>
      </c>
      <c r="B124" s="12" t="s">
        <v>93</v>
      </c>
      <c r="C124" s="12" t="s">
        <v>86</v>
      </c>
      <c r="D124" s="12" t="s">
        <v>33</v>
      </c>
      <c r="E124" s="12" t="s">
        <v>24</v>
      </c>
      <c r="F124" s="13">
        <v>489.21532234600397</v>
      </c>
      <c r="G124" s="14">
        <v>14381.163866086265</v>
      </c>
      <c r="H124" s="24" t="str">
        <f t="shared" si="11"/>
        <v>MGSP</v>
      </c>
      <c r="I124" s="24" t="str">
        <f t="shared" si="19"/>
        <v>MGMG</v>
      </c>
      <c r="J124" s="24" t="str">
        <f t="shared" si="19"/>
        <v>MGES</v>
      </c>
      <c r="K124" s="24" t="str">
        <f t="shared" si="19"/>
        <v>MGSC</v>
      </c>
      <c r="L124" s="24" t="str">
        <f t="shared" si="19"/>
        <v>MGRJ</v>
      </c>
      <c r="M124" s="24" t="str">
        <f t="shared" si="19"/>
        <v>MGPR</v>
      </c>
      <c r="N124" s="24" t="str">
        <f t="shared" si="19"/>
        <v>MGAM</v>
      </c>
      <c r="O124" s="24">
        <f>VLOOKUP(H124, KM!$A:$E, 5, 0)</f>
        <v>586</v>
      </c>
      <c r="P124" s="24">
        <f>VLOOKUP(I124, KM!$A:$E, 5, 0)</f>
        <v>0</v>
      </c>
      <c r="Q124" s="24">
        <f>VLOOKUP(J124, KM!$A:$E, 5, 0)</f>
        <v>524</v>
      </c>
      <c r="R124" s="24">
        <f>VLOOKUP(K124, KM!$A:$E, 5, 0)</f>
        <v>1301</v>
      </c>
      <c r="S124" s="24">
        <f>VLOOKUP(L124, KM!$A:$E, 5, 0)</f>
        <v>434</v>
      </c>
      <c r="T124" s="24">
        <f>VLOOKUP(M124, KM!$A:$E, 5, 0)</f>
        <v>1004</v>
      </c>
      <c r="U124" s="24">
        <f>VLOOKUP(N124, KM!$A:$E, 5, 0)</f>
        <v>3951</v>
      </c>
      <c r="V124" s="24">
        <f>VLOOKUP(H124, IMPOSTO!$A:$D, 4, 0)</f>
        <v>0.12</v>
      </c>
      <c r="W124" s="24">
        <f>VLOOKUP(I124, IMPOSTO!$A:$D, 4, 0)</f>
        <v>0.18</v>
      </c>
      <c r="X124" s="24">
        <f>VLOOKUP(J124, IMPOSTO!$A:$D, 4, 0)</f>
        <v>7.0000000000000007E-2</v>
      </c>
      <c r="Y124" s="24">
        <f>VLOOKUP(K124, IMPOSTO!$A:$D, 4, 0)</f>
        <v>0.12</v>
      </c>
      <c r="Z124" s="24">
        <f>VLOOKUP(L124, IMPOSTO!$A:$D, 4, 0)</f>
        <v>0.12</v>
      </c>
      <c r="AA124" s="24">
        <f>VLOOKUP(M124, IMPOSTO!$A:$D, 4, 0)</f>
        <v>0.12</v>
      </c>
      <c r="AB124" s="24">
        <f>VLOOKUP(N124, IMPOSTO!$A:$D, 4, 0)</f>
        <v>7.0000000000000007E-2</v>
      </c>
      <c r="AC124" s="25">
        <f t="shared" si="12"/>
        <v>16408.822575098027</v>
      </c>
      <c r="AD124" s="25">
        <f t="shared" si="13"/>
        <v>17538.004714739345</v>
      </c>
      <c r="AE124" s="25">
        <f t="shared" si="14"/>
        <v>15519.961146329317</v>
      </c>
      <c r="AF124" s="25">
        <f t="shared" si="15"/>
        <v>16490.072575098027</v>
      </c>
      <c r="AG124" s="25">
        <f t="shared" si="16"/>
        <v>16391.549847825299</v>
      </c>
      <c r="AH124" s="25">
        <f t="shared" si="17"/>
        <v>16456.322575098027</v>
      </c>
      <c r="AI124" s="25">
        <f t="shared" si="18"/>
        <v>15888.455769985232</v>
      </c>
    </row>
    <row r="125" spans="1:35" ht="15.75" customHeight="1">
      <c r="A125" s="12" t="s">
        <v>79</v>
      </c>
      <c r="B125" s="12" t="s">
        <v>80</v>
      </c>
      <c r="C125" s="12" t="s">
        <v>81</v>
      </c>
      <c r="D125" s="12" t="s">
        <v>50</v>
      </c>
      <c r="E125" s="12" t="s">
        <v>24</v>
      </c>
      <c r="F125" s="13">
        <v>847.26963482193321</v>
      </c>
      <c r="G125" s="14">
        <v>13392.299741684566</v>
      </c>
      <c r="H125" s="24" t="str">
        <f t="shared" si="11"/>
        <v>MGSP</v>
      </c>
      <c r="I125" s="24" t="str">
        <f t="shared" si="19"/>
        <v>MGMG</v>
      </c>
      <c r="J125" s="24" t="str">
        <f t="shared" si="19"/>
        <v>MGES</v>
      </c>
      <c r="K125" s="24" t="str">
        <f t="shared" si="19"/>
        <v>MGSC</v>
      </c>
      <c r="L125" s="24" t="str">
        <f t="shared" si="19"/>
        <v>MGRJ</v>
      </c>
      <c r="M125" s="24" t="str">
        <f t="shared" si="19"/>
        <v>MGPR</v>
      </c>
      <c r="N125" s="24" t="str">
        <f t="shared" si="19"/>
        <v>MGAM</v>
      </c>
      <c r="O125" s="24">
        <f>VLOOKUP(H125, KM!$A:$E, 5, 0)</f>
        <v>586</v>
      </c>
      <c r="P125" s="24">
        <f>VLOOKUP(I125, KM!$A:$E, 5, 0)</f>
        <v>0</v>
      </c>
      <c r="Q125" s="24">
        <f>VLOOKUP(J125, KM!$A:$E, 5, 0)</f>
        <v>524</v>
      </c>
      <c r="R125" s="24">
        <f>VLOOKUP(K125, KM!$A:$E, 5, 0)</f>
        <v>1301</v>
      </c>
      <c r="S125" s="24">
        <f>VLOOKUP(L125, KM!$A:$E, 5, 0)</f>
        <v>434</v>
      </c>
      <c r="T125" s="24">
        <f>VLOOKUP(M125, KM!$A:$E, 5, 0)</f>
        <v>1004</v>
      </c>
      <c r="U125" s="24">
        <f>VLOOKUP(N125, KM!$A:$E, 5, 0)</f>
        <v>3951</v>
      </c>
      <c r="V125" s="24">
        <f>VLOOKUP(H125, IMPOSTO!$A:$D, 4, 0)</f>
        <v>0.12</v>
      </c>
      <c r="W125" s="24">
        <f>VLOOKUP(I125, IMPOSTO!$A:$D, 4, 0)</f>
        <v>0.18</v>
      </c>
      <c r="X125" s="24">
        <f>VLOOKUP(J125, IMPOSTO!$A:$D, 4, 0)</f>
        <v>7.0000000000000007E-2</v>
      </c>
      <c r="Y125" s="24">
        <f>VLOOKUP(K125, IMPOSTO!$A:$D, 4, 0)</f>
        <v>0.12</v>
      </c>
      <c r="Z125" s="24">
        <f>VLOOKUP(L125, IMPOSTO!$A:$D, 4, 0)</f>
        <v>0.12</v>
      </c>
      <c r="AA125" s="24">
        <f>VLOOKUP(M125, IMPOSTO!$A:$D, 4, 0)</f>
        <v>0.12</v>
      </c>
      <c r="AB125" s="24">
        <f>VLOOKUP(N125, IMPOSTO!$A:$D, 4, 0)</f>
        <v>7.0000000000000007E-2</v>
      </c>
      <c r="AC125" s="25">
        <f t="shared" si="12"/>
        <v>15285.113342823372</v>
      </c>
      <c r="AD125" s="25">
        <f t="shared" si="13"/>
        <v>16332.072855712884</v>
      </c>
      <c r="AE125" s="25">
        <f t="shared" si="14"/>
        <v>14456.666388908137</v>
      </c>
      <c r="AF125" s="25">
        <f t="shared" si="15"/>
        <v>15366.363342823372</v>
      </c>
      <c r="AG125" s="25">
        <f t="shared" si="16"/>
        <v>15267.840615550644</v>
      </c>
      <c r="AH125" s="25">
        <f t="shared" si="17"/>
        <v>15332.61334282337</v>
      </c>
      <c r="AI125" s="25">
        <f t="shared" si="18"/>
        <v>14825.161012564051</v>
      </c>
    </row>
    <row r="126" spans="1:35" ht="15.75" customHeight="1">
      <c r="A126" s="12" t="s">
        <v>52</v>
      </c>
      <c r="B126" s="12" t="s">
        <v>53</v>
      </c>
      <c r="C126" s="12" t="s">
        <v>54</v>
      </c>
      <c r="D126" s="12" t="s">
        <v>33</v>
      </c>
      <c r="E126" s="12" t="s">
        <v>24</v>
      </c>
      <c r="F126" s="13">
        <v>5840.718189788111</v>
      </c>
      <c r="G126" s="14">
        <v>78367.019266231</v>
      </c>
      <c r="H126" s="24" t="str">
        <f t="shared" si="11"/>
        <v>MGSP</v>
      </c>
      <c r="I126" s="24" t="str">
        <f t="shared" si="19"/>
        <v>MGMG</v>
      </c>
      <c r="J126" s="24" t="str">
        <f t="shared" si="19"/>
        <v>MGES</v>
      </c>
      <c r="K126" s="24" t="str">
        <f t="shared" si="19"/>
        <v>MGSC</v>
      </c>
      <c r="L126" s="24" t="str">
        <f t="shared" si="19"/>
        <v>MGRJ</v>
      </c>
      <c r="M126" s="24" t="str">
        <f t="shared" si="19"/>
        <v>MGPR</v>
      </c>
      <c r="N126" s="24" t="str">
        <f t="shared" si="19"/>
        <v>MGAM</v>
      </c>
      <c r="O126" s="24">
        <f>VLOOKUP(H126, KM!$A:$E, 5, 0)</f>
        <v>586</v>
      </c>
      <c r="P126" s="24">
        <f>VLOOKUP(I126, KM!$A:$E, 5, 0)</f>
        <v>0</v>
      </c>
      <c r="Q126" s="24">
        <f>VLOOKUP(J126, KM!$A:$E, 5, 0)</f>
        <v>524</v>
      </c>
      <c r="R126" s="24">
        <f>VLOOKUP(K126, KM!$A:$E, 5, 0)</f>
        <v>1301</v>
      </c>
      <c r="S126" s="24">
        <f>VLOOKUP(L126, KM!$A:$E, 5, 0)</f>
        <v>434</v>
      </c>
      <c r="T126" s="24">
        <f>VLOOKUP(M126, KM!$A:$E, 5, 0)</f>
        <v>1004</v>
      </c>
      <c r="U126" s="24">
        <f>VLOOKUP(N126, KM!$A:$E, 5, 0)</f>
        <v>3951</v>
      </c>
      <c r="V126" s="24">
        <f>VLOOKUP(H126, IMPOSTO!$A:$D, 4, 0)</f>
        <v>0.12</v>
      </c>
      <c r="W126" s="24">
        <f>VLOOKUP(I126, IMPOSTO!$A:$D, 4, 0)</f>
        <v>0.18</v>
      </c>
      <c r="X126" s="24">
        <f>VLOOKUP(J126, IMPOSTO!$A:$D, 4, 0)</f>
        <v>7.0000000000000007E-2</v>
      </c>
      <c r="Y126" s="24">
        <f>VLOOKUP(K126, IMPOSTO!$A:$D, 4, 0)</f>
        <v>0.12</v>
      </c>
      <c r="Z126" s="24">
        <f>VLOOKUP(L126, IMPOSTO!$A:$D, 4, 0)</f>
        <v>0.12</v>
      </c>
      <c r="AA126" s="24">
        <f>VLOOKUP(M126, IMPOSTO!$A:$D, 4, 0)</f>
        <v>0.12</v>
      </c>
      <c r="AB126" s="24">
        <f>VLOOKUP(N126, IMPOSTO!$A:$D, 4, 0)</f>
        <v>7.0000000000000007E-2</v>
      </c>
      <c r="AC126" s="25">
        <f t="shared" si="12"/>
        <v>89120.021893444326</v>
      </c>
      <c r="AD126" s="25">
        <f t="shared" si="13"/>
        <v>95569.535690525605</v>
      </c>
      <c r="AE126" s="25">
        <f t="shared" si="14"/>
        <v>84321.956200248387</v>
      </c>
      <c r="AF126" s="25">
        <f t="shared" si="15"/>
        <v>89201.271893444326</v>
      </c>
      <c r="AG126" s="25">
        <f t="shared" si="16"/>
        <v>89102.74916617159</v>
      </c>
      <c r="AH126" s="25">
        <f t="shared" si="17"/>
        <v>89167.521893444311</v>
      </c>
      <c r="AI126" s="25">
        <f t="shared" si="18"/>
        <v>84690.450823904306</v>
      </c>
    </row>
    <row r="127" spans="1:35" ht="15.75" customHeight="1">
      <c r="A127" s="12" t="s">
        <v>52</v>
      </c>
      <c r="B127" s="12" t="s">
        <v>53</v>
      </c>
      <c r="C127" s="12" t="s">
        <v>54</v>
      </c>
      <c r="D127" s="12" t="s">
        <v>33</v>
      </c>
      <c r="E127" s="12" t="s">
        <v>24</v>
      </c>
      <c r="F127" s="13">
        <v>269.94631469536114</v>
      </c>
      <c r="G127" s="14">
        <v>4018.1315621476024</v>
      </c>
      <c r="H127" s="24" t="str">
        <f t="shared" si="11"/>
        <v>MGSP</v>
      </c>
      <c r="I127" s="24" t="str">
        <f t="shared" si="19"/>
        <v>MGMG</v>
      </c>
      <c r="J127" s="24" t="str">
        <f t="shared" si="19"/>
        <v>MGES</v>
      </c>
      <c r="K127" s="24" t="str">
        <f t="shared" si="19"/>
        <v>MGSC</v>
      </c>
      <c r="L127" s="24" t="str">
        <f t="shared" si="19"/>
        <v>MGRJ</v>
      </c>
      <c r="M127" s="24" t="str">
        <f t="shared" si="19"/>
        <v>MGPR</v>
      </c>
      <c r="N127" s="24" t="str">
        <f t="shared" si="19"/>
        <v>MGAM</v>
      </c>
      <c r="O127" s="24">
        <f>VLOOKUP(H127, KM!$A:$E, 5, 0)</f>
        <v>586</v>
      </c>
      <c r="P127" s="24">
        <f>VLOOKUP(I127, KM!$A:$E, 5, 0)</f>
        <v>0</v>
      </c>
      <c r="Q127" s="24">
        <f>VLOOKUP(J127, KM!$A:$E, 5, 0)</f>
        <v>524</v>
      </c>
      <c r="R127" s="24">
        <f>VLOOKUP(K127, KM!$A:$E, 5, 0)</f>
        <v>1301</v>
      </c>
      <c r="S127" s="24">
        <f>VLOOKUP(L127, KM!$A:$E, 5, 0)</f>
        <v>434</v>
      </c>
      <c r="T127" s="24">
        <f>VLOOKUP(M127, KM!$A:$E, 5, 0)</f>
        <v>1004</v>
      </c>
      <c r="U127" s="24">
        <f>VLOOKUP(N127, KM!$A:$E, 5, 0)</f>
        <v>3951</v>
      </c>
      <c r="V127" s="24">
        <f>VLOOKUP(H127, IMPOSTO!$A:$D, 4, 0)</f>
        <v>0.12</v>
      </c>
      <c r="W127" s="24">
        <f>VLOOKUP(I127, IMPOSTO!$A:$D, 4, 0)</f>
        <v>0.18</v>
      </c>
      <c r="X127" s="24">
        <f>VLOOKUP(J127, IMPOSTO!$A:$D, 4, 0)</f>
        <v>7.0000000000000007E-2</v>
      </c>
      <c r="Y127" s="24">
        <f>VLOOKUP(K127, IMPOSTO!$A:$D, 4, 0)</f>
        <v>0.12</v>
      </c>
      <c r="Z127" s="24">
        <f>VLOOKUP(L127, IMPOSTO!$A:$D, 4, 0)</f>
        <v>0.12</v>
      </c>
      <c r="AA127" s="24">
        <f>VLOOKUP(M127, IMPOSTO!$A:$D, 4, 0)</f>
        <v>0.12</v>
      </c>
      <c r="AB127" s="24">
        <f>VLOOKUP(N127, IMPOSTO!$A:$D, 4, 0)</f>
        <v>7.0000000000000007E-2</v>
      </c>
      <c r="AC127" s="25">
        <f t="shared" si="12"/>
        <v>4632.6495024404567</v>
      </c>
      <c r="AD127" s="25">
        <f t="shared" si="13"/>
        <v>4900.1604416434175</v>
      </c>
      <c r="AE127" s="25">
        <f t="shared" si="14"/>
        <v>4376.915658223229</v>
      </c>
      <c r="AF127" s="25">
        <f t="shared" si="15"/>
        <v>4713.8995024404576</v>
      </c>
      <c r="AG127" s="25">
        <f t="shared" si="16"/>
        <v>4615.3767751677296</v>
      </c>
      <c r="AH127" s="25">
        <f t="shared" si="17"/>
        <v>4680.1495024404567</v>
      </c>
      <c r="AI127" s="25">
        <f t="shared" si="18"/>
        <v>4745.4102818791434</v>
      </c>
    </row>
    <row r="128" spans="1:35" ht="15.75" customHeight="1">
      <c r="A128" s="12" t="s">
        <v>58</v>
      </c>
      <c r="B128" s="12" t="s">
        <v>59</v>
      </c>
      <c r="C128" s="12" t="s">
        <v>60</v>
      </c>
      <c r="D128" s="12" t="s">
        <v>50</v>
      </c>
      <c r="E128" s="12" t="s">
        <v>24</v>
      </c>
      <c r="F128" s="13">
        <v>0.58333259176863173</v>
      </c>
      <c r="G128" s="14">
        <v>34.809825539488322</v>
      </c>
      <c r="H128" s="24" t="str">
        <f t="shared" si="11"/>
        <v>MGSP</v>
      </c>
      <c r="I128" s="24" t="str">
        <f t="shared" si="19"/>
        <v>MGMG</v>
      </c>
      <c r="J128" s="24" t="str">
        <f t="shared" si="19"/>
        <v>MGES</v>
      </c>
      <c r="K128" s="24" t="str">
        <f t="shared" si="19"/>
        <v>MGSC</v>
      </c>
      <c r="L128" s="24" t="str">
        <f t="shared" si="19"/>
        <v>MGRJ</v>
      </c>
      <c r="M128" s="24" t="str">
        <f t="shared" si="19"/>
        <v>MGPR</v>
      </c>
      <c r="N128" s="24" t="str">
        <f t="shared" si="19"/>
        <v>MGAM</v>
      </c>
      <c r="O128" s="24">
        <f>VLOOKUP(H128, KM!$A:$E, 5, 0)</f>
        <v>586</v>
      </c>
      <c r="P128" s="24">
        <f>VLOOKUP(I128, KM!$A:$E, 5, 0)</f>
        <v>0</v>
      </c>
      <c r="Q128" s="24">
        <f>VLOOKUP(J128, KM!$A:$E, 5, 0)</f>
        <v>524</v>
      </c>
      <c r="R128" s="24">
        <f>VLOOKUP(K128, KM!$A:$E, 5, 0)</f>
        <v>1301</v>
      </c>
      <c r="S128" s="24">
        <f>VLOOKUP(L128, KM!$A:$E, 5, 0)</f>
        <v>434</v>
      </c>
      <c r="T128" s="24">
        <f>VLOOKUP(M128, KM!$A:$E, 5, 0)</f>
        <v>1004</v>
      </c>
      <c r="U128" s="24">
        <f>VLOOKUP(N128, KM!$A:$E, 5, 0)</f>
        <v>3951</v>
      </c>
      <c r="V128" s="24">
        <f>VLOOKUP(H128, IMPOSTO!$A:$D, 4, 0)</f>
        <v>0.12</v>
      </c>
      <c r="W128" s="24">
        <f>VLOOKUP(I128, IMPOSTO!$A:$D, 4, 0)</f>
        <v>0.18</v>
      </c>
      <c r="X128" s="24">
        <f>VLOOKUP(J128, IMPOSTO!$A:$D, 4, 0)</f>
        <v>7.0000000000000007E-2</v>
      </c>
      <c r="Y128" s="24">
        <f>VLOOKUP(K128, IMPOSTO!$A:$D, 4, 0)</f>
        <v>0.12</v>
      </c>
      <c r="Z128" s="24">
        <f>VLOOKUP(L128, IMPOSTO!$A:$D, 4, 0)</f>
        <v>0.12</v>
      </c>
      <c r="AA128" s="24">
        <f>VLOOKUP(M128, IMPOSTO!$A:$D, 4, 0)</f>
        <v>0.12</v>
      </c>
      <c r="AB128" s="24">
        <f>VLOOKUP(N128, IMPOSTO!$A:$D, 4, 0)</f>
        <v>7.0000000000000007E-2</v>
      </c>
      <c r="AC128" s="25">
        <f t="shared" si="12"/>
        <v>106.14752902214582</v>
      </c>
      <c r="AD128" s="25">
        <f t="shared" si="13"/>
        <v>42.451006755473564</v>
      </c>
      <c r="AE128" s="25">
        <f t="shared" si="14"/>
        <v>93.774005956439055</v>
      </c>
      <c r="AF128" s="25">
        <f t="shared" si="15"/>
        <v>187.39752902214582</v>
      </c>
      <c r="AG128" s="25">
        <f t="shared" si="16"/>
        <v>88.874801749418552</v>
      </c>
      <c r="AH128" s="25">
        <f t="shared" si="17"/>
        <v>153.64752902214582</v>
      </c>
      <c r="AI128" s="25">
        <f t="shared" si="18"/>
        <v>462.2686296123531</v>
      </c>
    </row>
    <row r="129" spans="1:35" ht="15.75" customHeight="1">
      <c r="A129" s="12" t="s">
        <v>114</v>
      </c>
      <c r="B129" s="12" t="s">
        <v>115</v>
      </c>
      <c r="C129" s="12" t="s">
        <v>116</v>
      </c>
      <c r="D129" s="12" t="s">
        <v>33</v>
      </c>
      <c r="E129" s="12" t="s">
        <v>28</v>
      </c>
      <c r="F129" s="13">
        <v>4.9074074074074074</v>
      </c>
      <c r="G129" s="14">
        <v>182.15314814814818</v>
      </c>
      <c r="H129" s="24" t="str">
        <f t="shared" si="11"/>
        <v>PRSP</v>
      </c>
      <c r="I129" s="24" t="str">
        <f t="shared" si="19"/>
        <v>PRMG</v>
      </c>
      <c r="J129" s="24" t="str">
        <f t="shared" si="19"/>
        <v>PRES</v>
      </c>
      <c r="K129" s="24" t="str">
        <f t="shared" si="19"/>
        <v>PRSC</v>
      </c>
      <c r="L129" s="24" t="str">
        <f t="shared" si="19"/>
        <v>PRRJ</v>
      </c>
      <c r="M129" s="24" t="str">
        <f t="shared" si="19"/>
        <v>PRPR</v>
      </c>
      <c r="N129" s="24" t="str">
        <f t="shared" si="19"/>
        <v>PRAM</v>
      </c>
      <c r="O129" s="24">
        <f>VLOOKUP(H129, KM!$A:$E, 5, 0)</f>
        <v>408</v>
      </c>
      <c r="P129" s="24">
        <f>VLOOKUP(I129, KM!$A:$E, 5, 0)</f>
        <v>1004</v>
      </c>
      <c r="Q129" s="24">
        <f>VLOOKUP(J129, KM!$A:$E, 5, 0)</f>
        <v>1300</v>
      </c>
      <c r="R129" s="24">
        <f>VLOOKUP(K129, KM!$A:$E, 5, 0)</f>
        <v>300</v>
      </c>
      <c r="S129" s="24">
        <f>VLOOKUP(L129, KM!$A:$E, 5, 0)</f>
        <v>852</v>
      </c>
      <c r="T129" s="24">
        <f>VLOOKUP(M129, KM!$A:$E, 5, 0)</f>
        <v>0</v>
      </c>
      <c r="U129" s="24">
        <f>VLOOKUP(N129, KM!$A:$E, 5, 0)</f>
        <v>4036</v>
      </c>
      <c r="V129" s="24">
        <f>VLOOKUP(H129, IMPOSTO!$A:$D, 4, 0)</f>
        <v>0.12</v>
      </c>
      <c r="W129" s="24">
        <f>VLOOKUP(I129, IMPOSTO!$A:$D, 4, 0)</f>
        <v>0.12</v>
      </c>
      <c r="X129" s="24">
        <f>VLOOKUP(J129, IMPOSTO!$A:$D, 4, 0)</f>
        <v>7.0000000000000007E-2</v>
      </c>
      <c r="Y129" s="24">
        <f>VLOOKUP(K129, IMPOSTO!$A:$D, 4, 0)</f>
        <v>0.12</v>
      </c>
      <c r="Z129" s="24">
        <f>VLOOKUP(L129, IMPOSTO!$A:$D, 4, 0)</f>
        <v>0.12</v>
      </c>
      <c r="AA129" s="24">
        <f>VLOOKUP(M129, IMPOSTO!$A:$D, 4, 0)</f>
        <v>0.18</v>
      </c>
      <c r="AB129" s="24">
        <f>VLOOKUP(N129, IMPOSTO!$A:$D, 4, 0)</f>
        <v>7.0000000000000007E-2</v>
      </c>
      <c r="AC129" s="25">
        <f t="shared" si="12"/>
        <v>253.3558501683502</v>
      </c>
      <c r="AD129" s="25">
        <f t="shared" si="13"/>
        <v>321.08312289562292</v>
      </c>
      <c r="AE129" s="25">
        <f t="shared" si="14"/>
        <v>335.64854639585826</v>
      </c>
      <c r="AF129" s="25">
        <f t="shared" si="15"/>
        <v>241.08312289562292</v>
      </c>
      <c r="AG129" s="25">
        <f t="shared" si="16"/>
        <v>303.81039562289567</v>
      </c>
      <c r="AH129" s="25">
        <f t="shared" si="17"/>
        <v>222.13798554652215</v>
      </c>
      <c r="AI129" s="25">
        <f t="shared" si="18"/>
        <v>629.84209478295509</v>
      </c>
    </row>
    <row r="130" spans="1:35" ht="15.75" customHeight="1">
      <c r="A130" s="12" t="s">
        <v>117</v>
      </c>
      <c r="B130" s="12" t="s">
        <v>118</v>
      </c>
      <c r="C130" s="12" t="s">
        <v>119</v>
      </c>
      <c r="D130" s="12" t="s">
        <v>33</v>
      </c>
      <c r="E130" s="12" t="s">
        <v>28</v>
      </c>
      <c r="F130" s="13">
        <v>0</v>
      </c>
      <c r="G130" s="14">
        <v>0</v>
      </c>
      <c r="H130" s="24" t="str">
        <f t="shared" si="11"/>
        <v>PRSP</v>
      </c>
      <c r="I130" s="24" t="str">
        <f t="shared" si="19"/>
        <v>PRMG</v>
      </c>
      <c r="J130" s="24" t="str">
        <f t="shared" si="19"/>
        <v>PRES</v>
      </c>
      <c r="K130" s="24" t="str">
        <f t="shared" si="19"/>
        <v>PRSC</v>
      </c>
      <c r="L130" s="24" t="str">
        <f t="shared" si="19"/>
        <v>PRRJ</v>
      </c>
      <c r="M130" s="24" t="str">
        <f t="shared" si="19"/>
        <v>PRPR</v>
      </c>
      <c r="N130" s="24" t="str">
        <f t="shared" si="19"/>
        <v>PRAM</v>
      </c>
      <c r="O130" s="24">
        <f>VLOOKUP(H130, KM!$A:$E, 5, 0)</f>
        <v>408</v>
      </c>
      <c r="P130" s="24">
        <f>VLOOKUP(I130, KM!$A:$E, 5, 0)</f>
        <v>1004</v>
      </c>
      <c r="Q130" s="24">
        <f>VLOOKUP(J130, KM!$A:$E, 5, 0)</f>
        <v>1300</v>
      </c>
      <c r="R130" s="24">
        <f>VLOOKUP(K130, KM!$A:$E, 5, 0)</f>
        <v>300</v>
      </c>
      <c r="S130" s="24">
        <f>VLOOKUP(L130, KM!$A:$E, 5, 0)</f>
        <v>852</v>
      </c>
      <c r="T130" s="24">
        <f>VLOOKUP(M130, KM!$A:$E, 5, 0)</f>
        <v>0</v>
      </c>
      <c r="U130" s="24">
        <f>VLOOKUP(N130, KM!$A:$E, 5, 0)</f>
        <v>4036</v>
      </c>
      <c r="V130" s="24">
        <f>VLOOKUP(H130, IMPOSTO!$A:$D, 4, 0)</f>
        <v>0.12</v>
      </c>
      <c r="W130" s="24">
        <f>VLOOKUP(I130, IMPOSTO!$A:$D, 4, 0)</f>
        <v>0.12</v>
      </c>
      <c r="X130" s="24">
        <f>VLOOKUP(J130, IMPOSTO!$A:$D, 4, 0)</f>
        <v>7.0000000000000007E-2</v>
      </c>
      <c r="Y130" s="24">
        <f>VLOOKUP(K130, IMPOSTO!$A:$D, 4, 0)</f>
        <v>0.12</v>
      </c>
      <c r="Z130" s="24">
        <f>VLOOKUP(L130, IMPOSTO!$A:$D, 4, 0)</f>
        <v>0.12</v>
      </c>
      <c r="AA130" s="24">
        <f>VLOOKUP(M130, IMPOSTO!$A:$D, 4, 0)</f>
        <v>0.18</v>
      </c>
      <c r="AB130" s="24">
        <f>VLOOKUP(N130, IMPOSTO!$A:$D, 4, 0)</f>
        <v>7.0000000000000007E-2</v>
      </c>
      <c r="AC130" s="25">
        <f t="shared" si="12"/>
        <v>46.363636363636367</v>
      </c>
      <c r="AD130" s="25">
        <f t="shared" si="13"/>
        <v>114.09090909090909</v>
      </c>
      <c r="AE130" s="25">
        <f t="shared" si="14"/>
        <v>139.78494623655914</v>
      </c>
      <c r="AF130" s="25">
        <f t="shared" si="15"/>
        <v>34.090909090909093</v>
      </c>
      <c r="AG130" s="25">
        <f t="shared" si="16"/>
        <v>96.818181818181827</v>
      </c>
      <c r="AH130" s="25">
        <f t="shared" si="17"/>
        <v>0</v>
      </c>
      <c r="AI130" s="25">
        <f t="shared" si="18"/>
        <v>433.97849462365599</v>
      </c>
    </row>
    <row r="131" spans="1:35" ht="15.75" customHeight="1">
      <c r="A131" s="12" t="s">
        <v>120</v>
      </c>
      <c r="B131" s="12" t="s">
        <v>121</v>
      </c>
      <c r="C131" s="12" t="s">
        <v>122</v>
      </c>
      <c r="D131" s="12" t="s">
        <v>33</v>
      </c>
      <c r="E131" s="12" t="s">
        <v>28</v>
      </c>
      <c r="F131" s="13">
        <v>1729.0949188566492</v>
      </c>
      <c r="G131" s="14">
        <v>11584.991009906973</v>
      </c>
      <c r="H131" s="24" t="str">
        <f t="shared" si="11"/>
        <v>PRSP</v>
      </c>
      <c r="I131" s="24" t="str">
        <f t="shared" si="19"/>
        <v>PRMG</v>
      </c>
      <c r="J131" s="24" t="str">
        <f t="shared" si="19"/>
        <v>PRES</v>
      </c>
      <c r="K131" s="24" t="str">
        <f t="shared" si="19"/>
        <v>PRSC</v>
      </c>
      <c r="L131" s="24" t="str">
        <f t="shared" si="19"/>
        <v>PRRJ</v>
      </c>
      <c r="M131" s="24" t="str">
        <f t="shared" si="19"/>
        <v>PRPR</v>
      </c>
      <c r="N131" s="24" t="str">
        <f t="shared" si="19"/>
        <v>PRAM</v>
      </c>
      <c r="O131" s="24">
        <f>VLOOKUP(H131, KM!$A:$E, 5, 0)</f>
        <v>408</v>
      </c>
      <c r="P131" s="24">
        <f>VLOOKUP(I131, KM!$A:$E, 5, 0)</f>
        <v>1004</v>
      </c>
      <c r="Q131" s="24">
        <f>VLOOKUP(J131, KM!$A:$E, 5, 0)</f>
        <v>1300</v>
      </c>
      <c r="R131" s="24">
        <f>VLOOKUP(K131, KM!$A:$E, 5, 0)</f>
        <v>300</v>
      </c>
      <c r="S131" s="24">
        <f>VLOOKUP(L131, KM!$A:$E, 5, 0)</f>
        <v>852</v>
      </c>
      <c r="T131" s="24">
        <f>VLOOKUP(M131, KM!$A:$E, 5, 0)</f>
        <v>0</v>
      </c>
      <c r="U131" s="24">
        <f>VLOOKUP(N131, KM!$A:$E, 5, 0)</f>
        <v>4036</v>
      </c>
      <c r="V131" s="24">
        <f>VLOOKUP(H131, IMPOSTO!$A:$D, 4, 0)</f>
        <v>0.12</v>
      </c>
      <c r="W131" s="24">
        <f>VLOOKUP(I131, IMPOSTO!$A:$D, 4, 0)</f>
        <v>0.12</v>
      </c>
      <c r="X131" s="24">
        <f>VLOOKUP(J131, IMPOSTO!$A:$D, 4, 0)</f>
        <v>7.0000000000000007E-2</v>
      </c>
      <c r="Y131" s="24">
        <f>VLOOKUP(K131, IMPOSTO!$A:$D, 4, 0)</f>
        <v>0.12</v>
      </c>
      <c r="Z131" s="24">
        <f>VLOOKUP(L131, IMPOSTO!$A:$D, 4, 0)</f>
        <v>0.12</v>
      </c>
      <c r="AA131" s="24">
        <f>VLOOKUP(M131, IMPOSTO!$A:$D, 4, 0)</f>
        <v>0.18</v>
      </c>
      <c r="AB131" s="24">
        <f>VLOOKUP(N131, IMPOSTO!$A:$D, 4, 0)</f>
        <v>7.0000000000000007E-2</v>
      </c>
      <c r="AC131" s="25">
        <f t="shared" si="12"/>
        <v>13211.126147621559</v>
      </c>
      <c r="AD131" s="25">
        <f t="shared" si="13"/>
        <v>13278.853420348833</v>
      </c>
      <c r="AE131" s="25">
        <f t="shared" si="14"/>
        <v>12596.764526781692</v>
      </c>
      <c r="AF131" s="25">
        <f t="shared" si="15"/>
        <v>13198.853420348833</v>
      </c>
      <c r="AG131" s="25">
        <f t="shared" si="16"/>
        <v>13261.580693076106</v>
      </c>
      <c r="AH131" s="25">
        <f t="shared" si="17"/>
        <v>14128.037816959722</v>
      </c>
      <c r="AI131" s="25">
        <f t="shared" si="18"/>
        <v>12890.95807516879</v>
      </c>
    </row>
    <row r="132" spans="1:35" ht="15.75" customHeight="1">
      <c r="A132" s="12" t="s">
        <v>120</v>
      </c>
      <c r="B132" s="12" t="s">
        <v>123</v>
      </c>
      <c r="C132" s="12" t="s">
        <v>122</v>
      </c>
      <c r="D132" s="12" t="s">
        <v>33</v>
      </c>
      <c r="E132" s="12" t="s">
        <v>28</v>
      </c>
      <c r="F132" s="13">
        <v>11868.631577070635</v>
      </c>
      <c r="G132" s="14">
        <v>79520.198590156084</v>
      </c>
      <c r="H132" s="24" t="str">
        <f t="shared" si="11"/>
        <v>PRSP</v>
      </c>
      <c r="I132" s="24" t="str">
        <f t="shared" si="19"/>
        <v>PRMG</v>
      </c>
      <c r="J132" s="24" t="str">
        <f t="shared" si="19"/>
        <v>PRES</v>
      </c>
      <c r="K132" s="24" t="str">
        <f t="shared" si="19"/>
        <v>PRSC</v>
      </c>
      <c r="L132" s="24" t="str">
        <f t="shared" si="19"/>
        <v>PRRJ</v>
      </c>
      <c r="M132" s="24" t="str">
        <f t="shared" si="19"/>
        <v>PRPR</v>
      </c>
      <c r="N132" s="24" t="str">
        <f t="shared" si="19"/>
        <v>PRAM</v>
      </c>
      <c r="O132" s="24">
        <f>VLOOKUP(H132, KM!$A:$E, 5, 0)</f>
        <v>408</v>
      </c>
      <c r="P132" s="24">
        <f>VLOOKUP(I132, KM!$A:$E, 5, 0)</f>
        <v>1004</v>
      </c>
      <c r="Q132" s="24">
        <f>VLOOKUP(J132, KM!$A:$E, 5, 0)</f>
        <v>1300</v>
      </c>
      <c r="R132" s="24">
        <f>VLOOKUP(K132, KM!$A:$E, 5, 0)</f>
        <v>300</v>
      </c>
      <c r="S132" s="24">
        <f>VLOOKUP(L132, KM!$A:$E, 5, 0)</f>
        <v>852</v>
      </c>
      <c r="T132" s="24">
        <f>VLOOKUP(M132, KM!$A:$E, 5, 0)</f>
        <v>0</v>
      </c>
      <c r="U132" s="24">
        <f>VLOOKUP(N132, KM!$A:$E, 5, 0)</f>
        <v>4036</v>
      </c>
      <c r="V132" s="24">
        <f>VLOOKUP(H132, IMPOSTO!$A:$D, 4, 0)</f>
        <v>0.12</v>
      </c>
      <c r="W132" s="24">
        <f>VLOOKUP(I132, IMPOSTO!$A:$D, 4, 0)</f>
        <v>0.12</v>
      </c>
      <c r="X132" s="24">
        <f>VLOOKUP(J132, IMPOSTO!$A:$D, 4, 0)</f>
        <v>7.0000000000000007E-2</v>
      </c>
      <c r="Y132" s="24">
        <f>VLOOKUP(K132, IMPOSTO!$A:$D, 4, 0)</f>
        <v>0.12</v>
      </c>
      <c r="Z132" s="24">
        <f>VLOOKUP(L132, IMPOSTO!$A:$D, 4, 0)</f>
        <v>0.12</v>
      </c>
      <c r="AA132" s="24">
        <f>VLOOKUP(M132, IMPOSTO!$A:$D, 4, 0)</f>
        <v>0.18</v>
      </c>
      <c r="AB132" s="24">
        <f>VLOOKUP(N132, IMPOSTO!$A:$D, 4, 0)</f>
        <v>7.0000000000000007E-2</v>
      </c>
      <c r="AC132" s="25">
        <f t="shared" si="12"/>
        <v>90410.225670631917</v>
      </c>
      <c r="AD132" s="25">
        <f t="shared" si="13"/>
        <v>90477.952943359182</v>
      </c>
      <c r="AE132" s="25">
        <f t="shared" si="14"/>
        <v>85645.374828124826</v>
      </c>
      <c r="AF132" s="25">
        <f t="shared" si="15"/>
        <v>90397.952943359182</v>
      </c>
      <c r="AG132" s="25">
        <f t="shared" si="16"/>
        <v>90460.680216086461</v>
      </c>
      <c r="AH132" s="25">
        <f t="shared" si="17"/>
        <v>96975.851939214728</v>
      </c>
      <c r="AI132" s="25">
        <f t="shared" si="18"/>
        <v>85939.568376511932</v>
      </c>
    </row>
    <row r="133" spans="1:35" ht="15.75" customHeight="1">
      <c r="A133" s="12" t="s">
        <v>67</v>
      </c>
      <c r="B133" s="12" t="s">
        <v>68</v>
      </c>
      <c r="C133" s="12" t="s">
        <v>69</v>
      </c>
      <c r="D133" s="12" t="s">
        <v>33</v>
      </c>
      <c r="E133" s="12" t="s">
        <v>28</v>
      </c>
      <c r="F133" s="13">
        <v>37459.418274512092</v>
      </c>
      <c r="G133" s="14">
        <v>583067.1037084026</v>
      </c>
      <c r="H133" s="24" t="str">
        <f t="shared" ref="H133:H196" si="20">$E133 &amp; H$17</f>
        <v>PRSP</v>
      </c>
      <c r="I133" s="24" t="str">
        <f t="shared" si="19"/>
        <v>PRMG</v>
      </c>
      <c r="J133" s="24" t="str">
        <f t="shared" si="19"/>
        <v>PRES</v>
      </c>
      <c r="K133" s="24" t="str">
        <f t="shared" si="19"/>
        <v>PRSC</v>
      </c>
      <c r="L133" s="24" t="str">
        <f t="shared" si="19"/>
        <v>PRRJ</v>
      </c>
      <c r="M133" s="24" t="str">
        <f t="shared" si="19"/>
        <v>PRPR</v>
      </c>
      <c r="N133" s="24" t="str">
        <f t="shared" si="19"/>
        <v>PRAM</v>
      </c>
      <c r="O133" s="24">
        <f>VLOOKUP(H133, KM!$A:$E, 5, 0)</f>
        <v>408</v>
      </c>
      <c r="P133" s="24">
        <f>VLOOKUP(I133, KM!$A:$E, 5, 0)</f>
        <v>1004</v>
      </c>
      <c r="Q133" s="24">
        <f>VLOOKUP(J133, KM!$A:$E, 5, 0)</f>
        <v>1300</v>
      </c>
      <c r="R133" s="24">
        <f>VLOOKUP(K133, KM!$A:$E, 5, 0)</f>
        <v>300</v>
      </c>
      <c r="S133" s="24">
        <f>VLOOKUP(L133, KM!$A:$E, 5, 0)</f>
        <v>852</v>
      </c>
      <c r="T133" s="24">
        <f>VLOOKUP(M133, KM!$A:$E, 5, 0)</f>
        <v>0</v>
      </c>
      <c r="U133" s="24">
        <f>VLOOKUP(N133, KM!$A:$E, 5, 0)</f>
        <v>4036</v>
      </c>
      <c r="V133" s="24">
        <f>VLOOKUP(H133, IMPOSTO!$A:$D, 4, 0)</f>
        <v>0.12</v>
      </c>
      <c r="W133" s="24">
        <f>VLOOKUP(I133, IMPOSTO!$A:$D, 4, 0)</f>
        <v>0.12</v>
      </c>
      <c r="X133" s="24">
        <f>VLOOKUP(J133, IMPOSTO!$A:$D, 4, 0)</f>
        <v>7.0000000000000007E-2</v>
      </c>
      <c r="Y133" s="24">
        <f>VLOOKUP(K133, IMPOSTO!$A:$D, 4, 0)</f>
        <v>0.12</v>
      </c>
      <c r="Z133" s="24">
        <f>VLOOKUP(L133, IMPOSTO!$A:$D, 4, 0)</f>
        <v>0.12</v>
      </c>
      <c r="AA133" s="24">
        <f>VLOOKUP(M133, IMPOSTO!$A:$D, 4, 0)</f>
        <v>0.18</v>
      </c>
      <c r="AB133" s="24">
        <f>VLOOKUP(N133, IMPOSTO!$A:$D, 4, 0)</f>
        <v>7.0000000000000007E-2</v>
      </c>
      <c r="AC133" s="25">
        <f t="shared" si="12"/>
        <v>662622.61785045755</v>
      </c>
      <c r="AD133" s="25">
        <f t="shared" si="13"/>
        <v>662690.34512318484</v>
      </c>
      <c r="AE133" s="25">
        <f t="shared" si="14"/>
        <v>627093.65990150825</v>
      </c>
      <c r="AF133" s="25">
        <f t="shared" si="15"/>
        <v>662610.34512318473</v>
      </c>
      <c r="AG133" s="25">
        <f t="shared" si="16"/>
        <v>662673.07239591202</v>
      </c>
      <c r="AH133" s="25">
        <f t="shared" si="17"/>
        <v>711057.44354683242</v>
      </c>
      <c r="AI133" s="25">
        <f t="shared" si="18"/>
        <v>627387.85344989528</v>
      </c>
    </row>
    <row r="134" spans="1:35" ht="15.75" customHeight="1">
      <c r="A134" s="12" t="s">
        <v>117</v>
      </c>
      <c r="B134" s="12" t="s">
        <v>118</v>
      </c>
      <c r="C134" s="12" t="s">
        <v>119</v>
      </c>
      <c r="D134" s="12" t="s">
        <v>33</v>
      </c>
      <c r="E134" s="12" t="s">
        <v>28</v>
      </c>
      <c r="F134" s="13">
        <v>1860.4059529588549</v>
      </c>
      <c r="G134" s="14">
        <v>3461.572792763588</v>
      </c>
      <c r="H134" s="24" t="str">
        <f t="shared" si="20"/>
        <v>PRSP</v>
      </c>
      <c r="I134" s="24" t="str">
        <f t="shared" si="19"/>
        <v>PRMG</v>
      </c>
      <c r="J134" s="24" t="str">
        <f t="shared" si="19"/>
        <v>PRES</v>
      </c>
      <c r="K134" s="24" t="str">
        <f t="shared" si="19"/>
        <v>PRSC</v>
      </c>
      <c r="L134" s="24" t="str">
        <f t="shared" si="19"/>
        <v>PRRJ</v>
      </c>
      <c r="M134" s="24" t="str">
        <f t="shared" si="19"/>
        <v>PRPR</v>
      </c>
      <c r="N134" s="24" t="str">
        <f t="shared" si="19"/>
        <v>PRAM</v>
      </c>
      <c r="O134" s="24">
        <f>VLOOKUP(H134, KM!$A:$E, 5, 0)</f>
        <v>408</v>
      </c>
      <c r="P134" s="24">
        <f>VLOOKUP(I134, KM!$A:$E, 5, 0)</f>
        <v>1004</v>
      </c>
      <c r="Q134" s="24">
        <f>VLOOKUP(J134, KM!$A:$E, 5, 0)</f>
        <v>1300</v>
      </c>
      <c r="R134" s="24">
        <f>VLOOKUP(K134, KM!$A:$E, 5, 0)</f>
        <v>300</v>
      </c>
      <c r="S134" s="24">
        <f>VLOOKUP(L134, KM!$A:$E, 5, 0)</f>
        <v>852</v>
      </c>
      <c r="T134" s="24">
        <f>VLOOKUP(M134, KM!$A:$E, 5, 0)</f>
        <v>0</v>
      </c>
      <c r="U134" s="24">
        <f>VLOOKUP(N134, KM!$A:$E, 5, 0)</f>
        <v>4036</v>
      </c>
      <c r="V134" s="24">
        <f>VLOOKUP(H134, IMPOSTO!$A:$D, 4, 0)</f>
        <v>0.12</v>
      </c>
      <c r="W134" s="24">
        <f>VLOOKUP(I134, IMPOSTO!$A:$D, 4, 0)</f>
        <v>0.12</v>
      </c>
      <c r="X134" s="24">
        <f>VLOOKUP(J134, IMPOSTO!$A:$D, 4, 0)</f>
        <v>7.0000000000000007E-2</v>
      </c>
      <c r="Y134" s="24">
        <f>VLOOKUP(K134, IMPOSTO!$A:$D, 4, 0)</f>
        <v>0.12</v>
      </c>
      <c r="Z134" s="24">
        <f>VLOOKUP(L134, IMPOSTO!$A:$D, 4, 0)</f>
        <v>0.12</v>
      </c>
      <c r="AA134" s="24">
        <f>VLOOKUP(M134, IMPOSTO!$A:$D, 4, 0)</f>
        <v>0.18</v>
      </c>
      <c r="AB134" s="24">
        <f>VLOOKUP(N134, IMPOSTO!$A:$D, 4, 0)</f>
        <v>7.0000000000000007E-2</v>
      </c>
      <c r="AC134" s="25">
        <f t="shared" si="12"/>
        <v>3979.9690826858955</v>
      </c>
      <c r="AD134" s="25">
        <f t="shared" si="13"/>
        <v>4047.6963554131685</v>
      </c>
      <c r="AE134" s="25">
        <f t="shared" si="14"/>
        <v>3861.9062287780521</v>
      </c>
      <c r="AF134" s="25">
        <f t="shared" si="15"/>
        <v>3967.696355413168</v>
      </c>
      <c r="AG134" s="25">
        <f t="shared" si="16"/>
        <v>4030.4236281404405</v>
      </c>
      <c r="AH134" s="25">
        <f t="shared" si="17"/>
        <v>4221.4302350775461</v>
      </c>
      <c r="AI134" s="25">
        <f t="shared" si="18"/>
        <v>4156.0997771651482</v>
      </c>
    </row>
    <row r="135" spans="1:35" ht="15.75" customHeight="1">
      <c r="A135" s="12" t="s">
        <v>124</v>
      </c>
      <c r="B135" s="12" t="s">
        <v>125</v>
      </c>
      <c r="C135" s="12" t="s">
        <v>104</v>
      </c>
      <c r="D135" s="12" t="s">
        <v>33</v>
      </c>
      <c r="E135" s="12" t="s">
        <v>28</v>
      </c>
      <c r="F135" s="13">
        <v>130667.93190000008</v>
      </c>
      <c r="G135" s="14">
        <v>1228492.6333528745</v>
      </c>
      <c r="H135" s="24" t="str">
        <f t="shared" si="20"/>
        <v>PRSP</v>
      </c>
      <c r="I135" s="24" t="str">
        <f t="shared" si="19"/>
        <v>PRMG</v>
      </c>
      <c r="J135" s="24" t="str">
        <f t="shared" si="19"/>
        <v>PRES</v>
      </c>
      <c r="K135" s="24" t="str">
        <f t="shared" si="19"/>
        <v>PRSC</v>
      </c>
      <c r="L135" s="24" t="str">
        <f t="shared" si="19"/>
        <v>PRRJ</v>
      </c>
      <c r="M135" s="24" t="str">
        <f t="shared" si="19"/>
        <v>PRPR</v>
      </c>
      <c r="N135" s="24" t="str">
        <f t="shared" si="19"/>
        <v>PRAM</v>
      </c>
      <c r="O135" s="24">
        <f>VLOOKUP(H135, KM!$A:$E, 5, 0)</f>
        <v>408</v>
      </c>
      <c r="P135" s="24">
        <f>VLOOKUP(I135, KM!$A:$E, 5, 0)</f>
        <v>1004</v>
      </c>
      <c r="Q135" s="24">
        <f>VLOOKUP(J135, KM!$A:$E, 5, 0)</f>
        <v>1300</v>
      </c>
      <c r="R135" s="24">
        <f>VLOOKUP(K135, KM!$A:$E, 5, 0)</f>
        <v>300</v>
      </c>
      <c r="S135" s="24">
        <f>VLOOKUP(L135, KM!$A:$E, 5, 0)</f>
        <v>852</v>
      </c>
      <c r="T135" s="24">
        <f>VLOOKUP(M135, KM!$A:$E, 5, 0)</f>
        <v>0</v>
      </c>
      <c r="U135" s="24">
        <f>VLOOKUP(N135, KM!$A:$E, 5, 0)</f>
        <v>4036</v>
      </c>
      <c r="V135" s="24">
        <f>VLOOKUP(H135, IMPOSTO!$A:$D, 4, 0)</f>
        <v>0.12</v>
      </c>
      <c r="W135" s="24">
        <f>VLOOKUP(I135, IMPOSTO!$A:$D, 4, 0)</f>
        <v>0.12</v>
      </c>
      <c r="X135" s="24">
        <f>VLOOKUP(J135, IMPOSTO!$A:$D, 4, 0)</f>
        <v>7.0000000000000007E-2</v>
      </c>
      <c r="Y135" s="24">
        <f>VLOOKUP(K135, IMPOSTO!$A:$D, 4, 0)</f>
        <v>0.12</v>
      </c>
      <c r="Z135" s="24">
        <f>VLOOKUP(L135, IMPOSTO!$A:$D, 4, 0)</f>
        <v>0.12</v>
      </c>
      <c r="AA135" s="24">
        <f>VLOOKUP(M135, IMPOSTO!$A:$D, 4, 0)</f>
        <v>0.18</v>
      </c>
      <c r="AB135" s="24">
        <f>VLOOKUP(N135, IMPOSTO!$A:$D, 4, 0)</f>
        <v>7.0000000000000007E-2</v>
      </c>
      <c r="AC135" s="25">
        <f t="shared" si="12"/>
        <v>1396060.7197191757</v>
      </c>
      <c r="AD135" s="25">
        <f t="shared" si="13"/>
        <v>1396128.4469919028</v>
      </c>
      <c r="AE135" s="25">
        <f t="shared" si="14"/>
        <v>1321099.6057557792</v>
      </c>
      <c r="AF135" s="25">
        <f t="shared" si="15"/>
        <v>1396048.4469919028</v>
      </c>
      <c r="AG135" s="25">
        <f t="shared" si="16"/>
        <v>1396111.1742646301</v>
      </c>
      <c r="AH135" s="25">
        <f t="shared" si="17"/>
        <v>1498161.7479913102</v>
      </c>
      <c r="AI135" s="25">
        <f t="shared" si="18"/>
        <v>1321393.7993041663</v>
      </c>
    </row>
    <row r="136" spans="1:35" ht="15.75" customHeight="1">
      <c r="A136" s="12" t="s">
        <v>126</v>
      </c>
      <c r="B136" s="12" t="s">
        <v>127</v>
      </c>
      <c r="C136" s="12" t="s">
        <v>128</v>
      </c>
      <c r="D136" s="12" t="s">
        <v>33</v>
      </c>
      <c r="E136" s="12" t="s">
        <v>28</v>
      </c>
      <c r="F136" s="13">
        <v>1.1999999999999999E-3</v>
      </c>
      <c r="G136" s="14">
        <v>0.13464300000000001</v>
      </c>
      <c r="H136" s="24" t="str">
        <f t="shared" si="20"/>
        <v>PRSP</v>
      </c>
      <c r="I136" s="24" t="str">
        <f t="shared" si="19"/>
        <v>PRMG</v>
      </c>
      <c r="J136" s="24" t="str">
        <f t="shared" si="19"/>
        <v>PRES</v>
      </c>
      <c r="K136" s="24" t="str">
        <f t="shared" si="19"/>
        <v>PRSC</v>
      </c>
      <c r="L136" s="24" t="str">
        <f t="shared" si="19"/>
        <v>PRRJ</v>
      </c>
      <c r="M136" s="24" t="str">
        <f t="shared" si="19"/>
        <v>PRPR</v>
      </c>
      <c r="N136" s="24" t="str">
        <f t="shared" si="19"/>
        <v>PRAM</v>
      </c>
      <c r="O136" s="24">
        <f>VLOOKUP(H136, KM!$A:$E, 5, 0)</f>
        <v>408</v>
      </c>
      <c r="P136" s="24">
        <f>VLOOKUP(I136, KM!$A:$E, 5, 0)</f>
        <v>1004</v>
      </c>
      <c r="Q136" s="24">
        <f>VLOOKUP(J136, KM!$A:$E, 5, 0)</f>
        <v>1300</v>
      </c>
      <c r="R136" s="24">
        <f>VLOOKUP(K136, KM!$A:$E, 5, 0)</f>
        <v>300</v>
      </c>
      <c r="S136" s="24">
        <f>VLOOKUP(L136, KM!$A:$E, 5, 0)</f>
        <v>852</v>
      </c>
      <c r="T136" s="24">
        <f>VLOOKUP(M136, KM!$A:$E, 5, 0)</f>
        <v>0</v>
      </c>
      <c r="U136" s="24">
        <f>VLOOKUP(N136, KM!$A:$E, 5, 0)</f>
        <v>4036</v>
      </c>
      <c r="V136" s="24">
        <f>VLOOKUP(H136, IMPOSTO!$A:$D, 4, 0)</f>
        <v>0.12</v>
      </c>
      <c r="W136" s="24">
        <f>VLOOKUP(I136, IMPOSTO!$A:$D, 4, 0)</f>
        <v>0.12</v>
      </c>
      <c r="X136" s="24">
        <f>VLOOKUP(J136, IMPOSTO!$A:$D, 4, 0)</f>
        <v>7.0000000000000007E-2</v>
      </c>
      <c r="Y136" s="24">
        <f>VLOOKUP(K136, IMPOSTO!$A:$D, 4, 0)</f>
        <v>0.12</v>
      </c>
      <c r="Z136" s="24">
        <f>VLOOKUP(L136, IMPOSTO!$A:$D, 4, 0)</f>
        <v>0.12</v>
      </c>
      <c r="AA136" s="24">
        <f>VLOOKUP(M136, IMPOSTO!$A:$D, 4, 0)</f>
        <v>0.18</v>
      </c>
      <c r="AB136" s="24">
        <f>VLOOKUP(N136, IMPOSTO!$A:$D, 4, 0)</f>
        <v>7.0000000000000007E-2</v>
      </c>
      <c r="AC136" s="25">
        <f t="shared" si="12"/>
        <v>46.516639772727274</v>
      </c>
      <c r="AD136" s="25">
        <f t="shared" si="13"/>
        <v>114.24391250000001</v>
      </c>
      <c r="AE136" s="25">
        <f t="shared" si="14"/>
        <v>139.92972365591399</v>
      </c>
      <c r="AF136" s="25">
        <f t="shared" si="15"/>
        <v>34.2439125</v>
      </c>
      <c r="AG136" s="25">
        <f t="shared" si="16"/>
        <v>96.971185227272727</v>
      </c>
      <c r="AH136" s="25">
        <f t="shared" si="17"/>
        <v>0.16419878048780487</v>
      </c>
      <c r="AI136" s="25">
        <f t="shared" si="18"/>
        <v>434.12327204301079</v>
      </c>
    </row>
    <row r="137" spans="1:35" ht="15.75" customHeight="1">
      <c r="A137" s="12" t="s">
        <v>129</v>
      </c>
      <c r="B137" s="12" t="s">
        <v>130</v>
      </c>
      <c r="C137" s="12" t="s">
        <v>69</v>
      </c>
      <c r="D137" s="12" t="s">
        <v>33</v>
      </c>
      <c r="E137" s="12" t="s">
        <v>28</v>
      </c>
      <c r="F137" s="13">
        <v>3.013620071684588</v>
      </c>
      <c r="G137" s="14">
        <v>521.72318540350875</v>
      </c>
      <c r="H137" s="24" t="str">
        <f t="shared" si="20"/>
        <v>PRSP</v>
      </c>
      <c r="I137" s="24" t="str">
        <f t="shared" si="19"/>
        <v>PRMG</v>
      </c>
      <c r="J137" s="24" t="str">
        <f t="shared" si="19"/>
        <v>PRES</v>
      </c>
      <c r="K137" s="24" t="str">
        <f t="shared" si="19"/>
        <v>PRSC</v>
      </c>
      <c r="L137" s="24" t="str">
        <f t="shared" si="19"/>
        <v>PRRJ</v>
      </c>
      <c r="M137" s="24" t="str">
        <f t="shared" si="19"/>
        <v>PRPR</v>
      </c>
      <c r="N137" s="24" t="str">
        <f t="shared" si="19"/>
        <v>PRAM</v>
      </c>
      <c r="O137" s="24">
        <f>VLOOKUP(H137, KM!$A:$E, 5, 0)</f>
        <v>408</v>
      </c>
      <c r="P137" s="24">
        <f>VLOOKUP(I137, KM!$A:$E, 5, 0)</f>
        <v>1004</v>
      </c>
      <c r="Q137" s="24">
        <f>VLOOKUP(J137, KM!$A:$E, 5, 0)</f>
        <v>1300</v>
      </c>
      <c r="R137" s="24">
        <f>VLOOKUP(K137, KM!$A:$E, 5, 0)</f>
        <v>300</v>
      </c>
      <c r="S137" s="24">
        <f>VLOOKUP(L137, KM!$A:$E, 5, 0)</f>
        <v>852</v>
      </c>
      <c r="T137" s="24">
        <f>VLOOKUP(M137, KM!$A:$E, 5, 0)</f>
        <v>0</v>
      </c>
      <c r="U137" s="24">
        <f>VLOOKUP(N137, KM!$A:$E, 5, 0)</f>
        <v>4036</v>
      </c>
      <c r="V137" s="24">
        <f>VLOOKUP(H137, IMPOSTO!$A:$D, 4, 0)</f>
        <v>0.12</v>
      </c>
      <c r="W137" s="24">
        <f>VLOOKUP(I137, IMPOSTO!$A:$D, 4, 0)</f>
        <v>0.12</v>
      </c>
      <c r="X137" s="24">
        <f>VLOOKUP(J137, IMPOSTO!$A:$D, 4, 0)</f>
        <v>7.0000000000000007E-2</v>
      </c>
      <c r="Y137" s="24">
        <f>VLOOKUP(K137, IMPOSTO!$A:$D, 4, 0)</f>
        <v>0.12</v>
      </c>
      <c r="Z137" s="24">
        <f>VLOOKUP(L137, IMPOSTO!$A:$D, 4, 0)</f>
        <v>0.12</v>
      </c>
      <c r="AA137" s="24">
        <f>VLOOKUP(M137, IMPOSTO!$A:$D, 4, 0)</f>
        <v>0.18</v>
      </c>
      <c r="AB137" s="24">
        <f>VLOOKUP(N137, IMPOSTO!$A:$D, 4, 0)</f>
        <v>7.0000000000000007E-2</v>
      </c>
      <c r="AC137" s="25">
        <f t="shared" si="12"/>
        <v>639.23089250398721</v>
      </c>
      <c r="AD137" s="25">
        <f t="shared" si="13"/>
        <v>706.95816523125995</v>
      </c>
      <c r="AE137" s="25">
        <f t="shared" si="14"/>
        <v>700.77761871345035</v>
      </c>
      <c r="AF137" s="25">
        <f t="shared" si="15"/>
        <v>626.95816523125995</v>
      </c>
      <c r="AG137" s="25">
        <f t="shared" si="16"/>
        <v>689.6854379585327</v>
      </c>
      <c r="AH137" s="25">
        <f t="shared" si="17"/>
        <v>636.24778707744963</v>
      </c>
      <c r="AI137" s="25">
        <f t="shared" si="18"/>
        <v>994.97116710054718</v>
      </c>
    </row>
    <row r="138" spans="1:35" ht="15.75" customHeight="1">
      <c r="A138" s="12" t="s">
        <v>131</v>
      </c>
      <c r="B138" s="12" t="s">
        <v>132</v>
      </c>
      <c r="C138" s="12" t="s">
        <v>69</v>
      </c>
      <c r="D138" s="12" t="s">
        <v>33</v>
      </c>
      <c r="E138" s="12" t="s">
        <v>28</v>
      </c>
      <c r="F138" s="13">
        <v>111.52370213080823</v>
      </c>
      <c r="G138" s="14">
        <v>14323.314823004413</v>
      </c>
      <c r="H138" s="24" t="str">
        <f t="shared" si="20"/>
        <v>PRSP</v>
      </c>
      <c r="I138" s="24" t="str">
        <f t="shared" si="19"/>
        <v>PRMG</v>
      </c>
      <c r="J138" s="24" t="str">
        <f t="shared" si="19"/>
        <v>PRES</v>
      </c>
      <c r="K138" s="24" t="str">
        <f t="shared" si="19"/>
        <v>PRSC</v>
      </c>
      <c r="L138" s="24" t="str">
        <f t="shared" si="19"/>
        <v>PRRJ</v>
      </c>
      <c r="M138" s="24" t="str">
        <f t="shared" si="19"/>
        <v>PRPR</v>
      </c>
      <c r="N138" s="24" t="str">
        <f t="shared" si="19"/>
        <v>PRAM</v>
      </c>
      <c r="O138" s="24">
        <f>VLOOKUP(H138, KM!$A:$E, 5, 0)</f>
        <v>408</v>
      </c>
      <c r="P138" s="24">
        <f>VLOOKUP(I138, KM!$A:$E, 5, 0)</f>
        <v>1004</v>
      </c>
      <c r="Q138" s="24">
        <f>VLOOKUP(J138, KM!$A:$E, 5, 0)</f>
        <v>1300</v>
      </c>
      <c r="R138" s="24">
        <f>VLOOKUP(K138, KM!$A:$E, 5, 0)</f>
        <v>300</v>
      </c>
      <c r="S138" s="24">
        <f>VLOOKUP(L138, KM!$A:$E, 5, 0)</f>
        <v>852</v>
      </c>
      <c r="T138" s="24">
        <f>VLOOKUP(M138, KM!$A:$E, 5, 0)</f>
        <v>0</v>
      </c>
      <c r="U138" s="24">
        <f>VLOOKUP(N138, KM!$A:$E, 5, 0)</f>
        <v>4036</v>
      </c>
      <c r="V138" s="24">
        <f>VLOOKUP(H138, IMPOSTO!$A:$D, 4, 0)</f>
        <v>0.12</v>
      </c>
      <c r="W138" s="24">
        <f>VLOOKUP(I138, IMPOSTO!$A:$D, 4, 0)</f>
        <v>0.12</v>
      </c>
      <c r="X138" s="24">
        <f>VLOOKUP(J138, IMPOSTO!$A:$D, 4, 0)</f>
        <v>7.0000000000000007E-2</v>
      </c>
      <c r="Y138" s="24">
        <f>VLOOKUP(K138, IMPOSTO!$A:$D, 4, 0)</f>
        <v>0.12</v>
      </c>
      <c r="Z138" s="24">
        <f>VLOOKUP(L138, IMPOSTO!$A:$D, 4, 0)</f>
        <v>0.12</v>
      </c>
      <c r="AA138" s="24">
        <f>VLOOKUP(M138, IMPOSTO!$A:$D, 4, 0)</f>
        <v>0.18</v>
      </c>
      <c r="AB138" s="24">
        <f>VLOOKUP(N138, IMPOSTO!$A:$D, 4, 0)</f>
        <v>7.0000000000000007E-2</v>
      </c>
      <c r="AC138" s="25">
        <f t="shared" si="12"/>
        <v>16322.857753414106</v>
      </c>
      <c r="AD138" s="25">
        <f t="shared" si="13"/>
        <v>16390.58502614138</v>
      </c>
      <c r="AE138" s="25">
        <f t="shared" si="14"/>
        <v>15541.198734413349</v>
      </c>
      <c r="AF138" s="25">
        <f t="shared" si="15"/>
        <v>16310.58502614138</v>
      </c>
      <c r="AG138" s="25">
        <f t="shared" si="16"/>
        <v>16373.312298868652</v>
      </c>
      <c r="AH138" s="25">
        <f t="shared" si="17"/>
        <v>17467.457101224893</v>
      </c>
      <c r="AI138" s="25">
        <f t="shared" si="18"/>
        <v>15835.392282800445</v>
      </c>
    </row>
    <row r="139" spans="1:35" ht="15.75" customHeight="1">
      <c r="A139" s="12" t="s">
        <v>114</v>
      </c>
      <c r="B139" s="12" t="s">
        <v>115</v>
      </c>
      <c r="C139" s="12" t="s">
        <v>116</v>
      </c>
      <c r="D139" s="12" t="s">
        <v>33</v>
      </c>
      <c r="E139" s="12" t="s">
        <v>28</v>
      </c>
      <c r="F139" s="13">
        <v>48.092592592592581</v>
      </c>
      <c r="G139" s="14">
        <v>1888.7727777777779</v>
      </c>
      <c r="H139" s="24" t="str">
        <f t="shared" si="20"/>
        <v>PRSP</v>
      </c>
      <c r="I139" s="24" t="str">
        <f t="shared" si="19"/>
        <v>PRMG</v>
      </c>
      <c r="J139" s="24" t="str">
        <f t="shared" si="19"/>
        <v>PRES</v>
      </c>
      <c r="K139" s="24" t="str">
        <f t="shared" si="19"/>
        <v>PRSC</v>
      </c>
      <c r="L139" s="24" t="str">
        <f t="shared" si="19"/>
        <v>PRRJ</v>
      </c>
      <c r="M139" s="24" t="str">
        <f t="shared" si="19"/>
        <v>PRPR</v>
      </c>
      <c r="N139" s="24" t="str">
        <f t="shared" si="19"/>
        <v>PRAM</v>
      </c>
      <c r="O139" s="24">
        <f>VLOOKUP(H139, KM!$A:$E, 5, 0)</f>
        <v>408</v>
      </c>
      <c r="P139" s="24">
        <f>VLOOKUP(I139, KM!$A:$E, 5, 0)</f>
        <v>1004</v>
      </c>
      <c r="Q139" s="24">
        <f>VLOOKUP(J139, KM!$A:$E, 5, 0)</f>
        <v>1300</v>
      </c>
      <c r="R139" s="24">
        <f>VLOOKUP(K139, KM!$A:$E, 5, 0)</f>
        <v>300</v>
      </c>
      <c r="S139" s="24">
        <f>VLOOKUP(L139, KM!$A:$E, 5, 0)</f>
        <v>852</v>
      </c>
      <c r="T139" s="24">
        <f>VLOOKUP(M139, KM!$A:$E, 5, 0)</f>
        <v>0</v>
      </c>
      <c r="U139" s="24">
        <f>VLOOKUP(N139, KM!$A:$E, 5, 0)</f>
        <v>4036</v>
      </c>
      <c r="V139" s="24">
        <f>VLOOKUP(H139, IMPOSTO!$A:$D, 4, 0)</f>
        <v>0.12</v>
      </c>
      <c r="W139" s="24">
        <f>VLOOKUP(I139, IMPOSTO!$A:$D, 4, 0)</f>
        <v>0.12</v>
      </c>
      <c r="X139" s="24">
        <f>VLOOKUP(J139, IMPOSTO!$A:$D, 4, 0)</f>
        <v>7.0000000000000007E-2</v>
      </c>
      <c r="Y139" s="24">
        <f>VLOOKUP(K139, IMPOSTO!$A:$D, 4, 0)</f>
        <v>0.12</v>
      </c>
      <c r="Z139" s="24">
        <f>VLOOKUP(L139, IMPOSTO!$A:$D, 4, 0)</f>
        <v>0.12</v>
      </c>
      <c r="AA139" s="24">
        <f>VLOOKUP(M139, IMPOSTO!$A:$D, 4, 0)</f>
        <v>0.18</v>
      </c>
      <c r="AB139" s="24">
        <f>VLOOKUP(N139, IMPOSTO!$A:$D, 4, 0)</f>
        <v>7.0000000000000007E-2</v>
      </c>
      <c r="AC139" s="25">
        <f t="shared" si="12"/>
        <v>2192.6963383838383</v>
      </c>
      <c r="AD139" s="25">
        <f t="shared" si="13"/>
        <v>2260.4236111111113</v>
      </c>
      <c r="AE139" s="25">
        <f t="shared" si="14"/>
        <v>2170.723416965353</v>
      </c>
      <c r="AF139" s="25">
        <f t="shared" si="15"/>
        <v>2180.4236111111113</v>
      </c>
      <c r="AG139" s="25">
        <f t="shared" si="16"/>
        <v>2243.1508838383843</v>
      </c>
      <c r="AH139" s="25">
        <f t="shared" si="17"/>
        <v>2303.3814363143633</v>
      </c>
      <c r="AI139" s="25">
        <f t="shared" si="18"/>
        <v>2464.9169653524496</v>
      </c>
    </row>
    <row r="140" spans="1:35" ht="15.75" customHeight="1">
      <c r="A140" s="12" t="s">
        <v>133</v>
      </c>
      <c r="B140" s="12" t="s">
        <v>134</v>
      </c>
      <c r="C140" s="12" t="s">
        <v>135</v>
      </c>
      <c r="D140" s="12" t="s">
        <v>33</v>
      </c>
      <c r="E140" s="12" t="s">
        <v>28</v>
      </c>
      <c r="F140" s="13">
        <v>81.313725490196092</v>
      </c>
      <c r="G140" s="14">
        <v>3073.6588235294112</v>
      </c>
      <c r="H140" s="24" t="str">
        <f t="shared" si="20"/>
        <v>PRSP</v>
      </c>
      <c r="I140" s="24" t="str">
        <f t="shared" si="19"/>
        <v>PRMG</v>
      </c>
      <c r="J140" s="24" t="str">
        <f t="shared" si="19"/>
        <v>PRES</v>
      </c>
      <c r="K140" s="24" t="str">
        <f t="shared" si="19"/>
        <v>PRSC</v>
      </c>
      <c r="L140" s="24" t="str">
        <f t="shared" si="19"/>
        <v>PRRJ</v>
      </c>
      <c r="M140" s="24" t="str">
        <f t="shared" si="19"/>
        <v>PRPR</v>
      </c>
      <c r="N140" s="24" t="str">
        <f t="shared" si="19"/>
        <v>PRAM</v>
      </c>
      <c r="O140" s="24">
        <f>VLOOKUP(H140, KM!$A:$E, 5, 0)</f>
        <v>408</v>
      </c>
      <c r="P140" s="24">
        <f>VLOOKUP(I140, KM!$A:$E, 5, 0)</f>
        <v>1004</v>
      </c>
      <c r="Q140" s="24">
        <f>VLOOKUP(J140, KM!$A:$E, 5, 0)</f>
        <v>1300</v>
      </c>
      <c r="R140" s="24">
        <f>VLOOKUP(K140, KM!$A:$E, 5, 0)</f>
        <v>300</v>
      </c>
      <c r="S140" s="24">
        <f>VLOOKUP(L140, KM!$A:$E, 5, 0)</f>
        <v>852</v>
      </c>
      <c r="T140" s="24">
        <f>VLOOKUP(M140, KM!$A:$E, 5, 0)</f>
        <v>0</v>
      </c>
      <c r="U140" s="24">
        <f>VLOOKUP(N140, KM!$A:$E, 5, 0)</f>
        <v>4036</v>
      </c>
      <c r="V140" s="24">
        <f>VLOOKUP(H140, IMPOSTO!$A:$D, 4, 0)</f>
        <v>0.12</v>
      </c>
      <c r="W140" s="24">
        <f>VLOOKUP(I140, IMPOSTO!$A:$D, 4, 0)</f>
        <v>0.12</v>
      </c>
      <c r="X140" s="24">
        <f>VLOOKUP(J140, IMPOSTO!$A:$D, 4, 0)</f>
        <v>7.0000000000000007E-2</v>
      </c>
      <c r="Y140" s="24">
        <f>VLOOKUP(K140, IMPOSTO!$A:$D, 4, 0)</f>
        <v>0.12</v>
      </c>
      <c r="Z140" s="24">
        <f>VLOOKUP(L140, IMPOSTO!$A:$D, 4, 0)</f>
        <v>0.12</v>
      </c>
      <c r="AA140" s="24">
        <f>VLOOKUP(M140, IMPOSTO!$A:$D, 4, 0)</f>
        <v>0.18</v>
      </c>
      <c r="AB140" s="24">
        <f>VLOOKUP(N140, IMPOSTO!$A:$D, 4, 0)</f>
        <v>7.0000000000000007E-2</v>
      </c>
      <c r="AC140" s="25">
        <f t="shared" si="12"/>
        <v>3539.1577540106946</v>
      </c>
      <c r="AD140" s="25">
        <f t="shared" si="13"/>
        <v>3606.8850267379671</v>
      </c>
      <c r="AE140" s="25">
        <f t="shared" si="14"/>
        <v>3444.794433902593</v>
      </c>
      <c r="AF140" s="25">
        <f t="shared" si="15"/>
        <v>3526.8850267379671</v>
      </c>
      <c r="AG140" s="25">
        <f t="shared" si="16"/>
        <v>3589.6122994652396</v>
      </c>
      <c r="AH140" s="25">
        <f t="shared" si="17"/>
        <v>3748.3644189383058</v>
      </c>
      <c r="AI140" s="25">
        <f t="shared" si="18"/>
        <v>3738.9879822896896</v>
      </c>
    </row>
    <row r="141" spans="1:35" ht="15.75" customHeight="1">
      <c r="A141" s="12" t="s">
        <v>136</v>
      </c>
      <c r="B141" s="12" t="s">
        <v>137</v>
      </c>
      <c r="C141" s="12" t="s">
        <v>69</v>
      </c>
      <c r="D141" s="12" t="s">
        <v>33</v>
      </c>
      <c r="E141" s="12" t="s">
        <v>28</v>
      </c>
      <c r="F141" s="13">
        <v>89.521276595744666</v>
      </c>
      <c r="G141" s="14">
        <v>4183.1502127659569</v>
      </c>
      <c r="H141" s="24" t="str">
        <f t="shared" si="20"/>
        <v>PRSP</v>
      </c>
      <c r="I141" s="24" t="str">
        <f t="shared" si="19"/>
        <v>PRMG</v>
      </c>
      <c r="J141" s="24" t="str">
        <f t="shared" si="19"/>
        <v>PRES</v>
      </c>
      <c r="K141" s="24" t="str">
        <f t="shared" si="19"/>
        <v>PRSC</v>
      </c>
      <c r="L141" s="24" t="str">
        <f t="shared" si="19"/>
        <v>PRRJ</v>
      </c>
      <c r="M141" s="24" t="str">
        <f t="shared" si="19"/>
        <v>PRPR</v>
      </c>
      <c r="N141" s="24" t="str">
        <f t="shared" si="19"/>
        <v>PRAM</v>
      </c>
      <c r="O141" s="24">
        <f>VLOOKUP(H141, KM!$A:$E, 5, 0)</f>
        <v>408</v>
      </c>
      <c r="P141" s="24">
        <f>VLOOKUP(I141, KM!$A:$E, 5, 0)</f>
        <v>1004</v>
      </c>
      <c r="Q141" s="24">
        <f>VLOOKUP(J141, KM!$A:$E, 5, 0)</f>
        <v>1300</v>
      </c>
      <c r="R141" s="24">
        <f>VLOOKUP(K141, KM!$A:$E, 5, 0)</f>
        <v>300</v>
      </c>
      <c r="S141" s="24">
        <f>VLOOKUP(L141, KM!$A:$E, 5, 0)</f>
        <v>852</v>
      </c>
      <c r="T141" s="24">
        <f>VLOOKUP(M141, KM!$A:$E, 5, 0)</f>
        <v>0</v>
      </c>
      <c r="U141" s="24">
        <f>VLOOKUP(N141, KM!$A:$E, 5, 0)</f>
        <v>4036</v>
      </c>
      <c r="V141" s="24">
        <f>VLOOKUP(H141, IMPOSTO!$A:$D, 4, 0)</f>
        <v>0.12</v>
      </c>
      <c r="W141" s="24">
        <f>VLOOKUP(I141, IMPOSTO!$A:$D, 4, 0)</f>
        <v>0.12</v>
      </c>
      <c r="X141" s="24">
        <f>VLOOKUP(J141, IMPOSTO!$A:$D, 4, 0)</f>
        <v>7.0000000000000007E-2</v>
      </c>
      <c r="Y141" s="24">
        <f>VLOOKUP(K141, IMPOSTO!$A:$D, 4, 0)</f>
        <v>0.12</v>
      </c>
      <c r="Z141" s="24">
        <f>VLOOKUP(L141, IMPOSTO!$A:$D, 4, 0)</f>
        <v>0.12</v>
      </c>
      <c r="AA141" s="24">
        <f>VLOOKUP(M141, IMPOSTO!$A:$D, 4, 0)</f>
        <v>0.18</v>
      </c>
      <c r="AB141" s="24">
        <f>VLOOKUP(N141, IMPOSTO!$A:$D, 4, 0)</f>
        <v>7.0000000000000007E-2</v>
      </c>
      <c r="AC141" s="25">
        <f t="shared" si="12"/>
        <v>4799.9434235976787</v>
      </c>
      <c r="AD141" s="25">
        <f t="shared" si="13"/>
        <v>4867.6706963249508</v>
      </c>
      <c r="AE141" s="25">
        <f t="shared" si="14"/>
        <v>4637.7959277053305</v>
      </c>
      <c r="AF141" s="25">
        <f t="shared" si="15"/>
        <v>4787.6706963249508</v>
      </c>
      <c r="AG141" s="25">
        <f t="shared" si="16"/>
        <v>4850.3979690522237</v>
      </c>
      <c r="AH141" s="25">
        <f t="shared" si="17"/>
        <v>5101.4026984950688</v>
      </c>
      <c r="AI141" s="25">
        <f t="shared" si="18"/>
        <v>4931.9894760924271</v>
      </c>
    </row>
    <row r="142" spans="1:35" ht="15.75" customHeight="1">
      <c r="A142" s="12" t="s">
        <v>138</v>
      </c>
      <c r="B142" s="12" t="s">
        <v>139</v>
      </c>
      <c r="C142" s="12" t="s">
        <v>140</v>
      </c>
      <c r="D142" s="12" t="s">
        <v>33</v>
      </c>
      <c r="E142" s="12" t="s">
        <v>28</v>
      </c>
      <c r="F142" s="13">
        <v>2276.8875000000003</v>
      </c>
      <c r="G142" s="14">
        <v>123905.9793982265</v>
      </c>
      <c r="H142" s="24" t="str">
        <f t="shared" si="20"/>
        <v>PRSP</v>
      </c>
      <c r="I142" s="24" t="str">
        <f t="shared" si="19"/>
        <v>PRMG</v>
      </c>
      <c r="J142" s="24" t="str">
        <f t="shared" si="19"/>
        <v>PRES</v>
      </c>
      <c r="K142" s="24" t="str">
        <f t="shared" si="19"/>
        <v>PRSC</v>
      </c>
      <c r="L142" s="24" t="str">
        <f t="shared" si="19"/>
        <v>PRRJ</v>
      </c>
      <c r="M142" s="24" t="str">
        <f t="shared" si="19"/>
        <v>PRPR</v>
      </c>
      <c r="N142" s="24" t="str">
        <f t="shared" si="19"/>
        <v>PRAM</v>
      </c>
      <c r="O142" s="24">
        <f>VLOOKUP(H142, KM!$A:$E, 5, 0)</f>
        <v>408</v>
      </c>
      <c r="P142" s="24">
        <f>VLOOKUP(I142, KM!$A:$E, 5, 0)</f>
        <v>1004</v>
      </c>
      <c r="Q142" s="24">
        <f>VLOOKUP(J142, KM!$A:$E, 5, 0)</f>
        <v>1300</v>
      </c>
      <c r="R142" s="24">
        <f>VLOOKUP(K142, KM!$A:$E, 5, 0)</f>
        <v>300</v>
      </c>
      <c r="S142" s="24">
        <f>VLOOKUP(L142, KM!$A:$E, 5, 0)</f>
        <v>852</v>
      </c>
      <c r="T142" s="24">
        <f>VLOOKUP(M142, KM!$A:$E, 5, 0)</f>
        <v>0</v>
      </c>
      <c r="U142" s="24">
        <f>VLOOKUP(N142, KM!$A:$E, 5, 0)</f>
        <v>4036</v>
      </c>
      <c r="V142" s="24">
        <f>VLOOKUP(H142, IMPOSTO!$A:$D, 4, 0)</f>
        <v>0.12</v>
      </c>
      <c r="W142" s="24">
        <f>VLOOKUP(I142, IMPOSTO!$A:$D, 4, 0)</f>
        <v>0.12</v>
      </c>
      <c r="X142" s="24">
        <f>VLOOKUP(J142, IMPOSTO!$A:$D, 4, 0)</f>
        <v>7.0000000000000007E-2</v>
      </c>
      <c r="Y142" s="24">
        <f>VLOOKUP(K142, IMPOSTO!$A:$D, 4, 0)</f>
        <v>0.12</v>
      </c>
      <c r="Z142" s="24">
        <f>VLOOKUP(L142, IMPOSTO!$A:$D, 4, 0)</f>
        <v>0.12</v>
      </c>
      <c r="AA142" s="24">
        <f>VLOOKUP(M142, IMPOSTO!$A:$D, 4, 0)</f>
        <v>0.18</v>
      </c>
      <c r="AB142" s="24">
        <f>VLOOKUP(N142, IMPOSTO!$A:$D, 4, 0)</f>
        <v>7.0000000000000007E-2</v>
      </c>
      <c r="AC142" s="25">
        <f t="shared" si="12"/>
        <v>140848.61295253012</v>
      </c>
      <c r="AD142" s="25">
        <f t="shared" si="13"/>
        <v>140916.34022525739</v>
      </c>
      <c r="AE142" s="25">
        <f t="shared" si="14"/>
        <v>133372.02085830807</v>
      </c>
      <c r="AF142" s="25">
        <f t="shared" si="15"/>
        <v>140836.34022525739</v>
      </c>
      <c r="AG142" s="25">
        <f t="shared" si="16"/>
        <v>140899.06749798465</v>
      </c>
      <c r="AH142" s="25">
        <f t="shared" si="17"/>
        <v>151104.85292466645</v>
      </c>
      <c r="AI142" s="25">
        <f t="shared" si="18"/>
        <v>133666.21440669516</v>
      </c>
    </row>
    <row r="143" spans="1:35" ht="15.75" customHeight="1">
      <c r="A143" s="12" t="s">
        <v>141</v>
      </c>
      <c r="B143" s="12" t="s">
        <v>142</v>
      </c>
      <c r="C143" s="12" t="s">
        <v>143</v>
      </c>
      <c r="D143" s="12" t="s">
        <v>33</v>
      </c>
      <c r="E143" s="12" t="s">
        <v>28</v>
      </c>
      <c r="F143" s="13">
        <v>1.1999999999999999E-3</v>
      </c>
      <c r="G143" s="14">
        <v>0.12129899999999996</v>
      </c>
      <c r="H143" s="24" t="str">
        <f t="shared" si="20"/>
        <v>PRSP</v>
      </c>
      <c r="I143" s="24" t="str">
        <f t="shared" si="19"/>
        <v>PRMG</v>
      </c>
      <c r="J143" s="24" t="str">
        <f t="shared" si="19"/>
        <v>PRES</v>
      </c>
      <c r="K143" s="24" t="str">
        <f t="shared" si="19"/>
        <v>PRSC</v>
      </c>
      <c r="L143" s="24" t="str">
        <f t="shared" si="19"/>
        <v>PRRJ</v>
      </c>
      <c r="M143" s="24" t="str">
        <f t="shared" si="19"/>
        <v>PRPR</v>
      </c>
      <c r="N143" s="24" t="str">
        <f t="shared" si="19"/>
        <v>PRAM</v>
      </c>
      <c r="O143" s="24">
        <f>VLOOKUP(H143, KM!$A:$E, 5, 0)</f>
        <v>408</v>
      </c>
      <c r="P143" s="24">
        <f>VLOOKUP(I143, KM!$A:$E, 5, 0)</f>
        <v>1004</v>
      </c>
      <c r="Q143" s="24">
        <f>VLOOKUP(J143, KM!$A:$E, 5, 0)</f>
        <v>1300</v>
      </c>
      <c r="R143" s="24">
        <f>VLOOKUP(K143, KM!$A:$E, 5, 0)</f>
        <v>300</v>
      </c>
      <c r="S143" s="24">
        <f>VLOOKUP(L143, KM!$A:$E, 5, 0)</f>
        <v>852</v>
      </c>
      <c r="T143" s="24">
        <f>VLOOKUP(M143, KM!$A:$E, 5, 0)</f>
        <v>0</v>
      </c>
      <c r="U143" s="24">
        <f>VLOOKUP(N143, KM!$A:$E, 5, 0)</f>
        <v>4036</v>
      </c>
      <c r="V143" s="24">
        <f>VLOOKUP(H143, IMPOSTO!$A:$D, 4, 0)</f>
        <v>0.12</v>
      </c>
      <c r="W143" s="24">
        <f>VLOOKUP(I143, IMPOSTO!$A:$D, 4, 0)</f>
        <v>0.12</v>
      </c>
      <c r="X143" s="24">
        <f>VLOOKUP(J143, IMPOSTO!$A:$D, 4, 0)</f>
        <v>7.0000000000000007E-2</v>
      </c>
      <c r="Y143" s="24">
        <f>VLOOKUP(K143, IMPOSTO!$A:$D, 4, 0)</f>
        <v>0.12</v>
      </c>
      <c r="Z143" s="24">
        <f>VLOOKUP(L143, IMPOSTO!$A:$D, 4, 0)</f>
        <v>0.12</v>
      </c>
      <c r="AA143" s="24">
        <f>VLOOKUP(M143, IMPOSTO!$A:$D, 4, 0)</f>
        <v>0.18</v>
      </c>
      <c r="AB143" s="24">
        <f>VLOOKUP(N143, IMPOSTO!$A:$D, 4, 0)</f>
        <v>7.0000000000000007E-2</v>
      </c>
      <c r="AC143" s="25">
        <f t="shared" si="12"/>
        <v>46.501476136363642</v>
      </c>
      <c r="AD143" s="25">
        <f t="shared" si="13"/>
        <v>114.22874886363637</v>
      </c>
      <c r="AE143" s="25">
        <f t="shared" si="14"/>
        <v>139.9153752688172</v>
      </c>
      <c r="AF143" s="25">
        <f t="shared" si="15"/>
        <v>34.228748863636362</v>
      </c>
      <c r="AG143" s="25">
        <f t="shared" si="16"/>
        <v>96.956021590909089</v>
      </c>
      <c r="AH143" s="25">
        <f t="shared" si="17"/>
        <v>0.1479256097560975</v>
      </c>
      <c r="AI143" s="25">
        <f t="shared" si="18"/>
        <v>434.10892365591405</v>
      </c>
    </row>
    <row r="144" spans="1:35" ht="15.75" customHeight="1">
      <c r="A144" s="12" t="s">
        <v>67</v>
      </c>
      <c r="B144" s="12" t="s">
        <v>68</v>
      </c>
      <c r="C144" s="12" t="s">
        <v>69</v>
      </c>
      <c r="D144" s="12" t="s">
        <v>33</v>
      </c>
      <c r="E144" s="12" t="s">
        <v>28</v>
      </c>
      <c r="F144" s="13">
        <v>165.54985979093337</v>
      </c>
      <c r="G144" s="14">
        <v>2576.8333229378995</v>
      </c>
      <c r="H144" s="24" t="str">
        <f t="shared" si="20"/>
        <v>PRSP</v>
      </c>
      <c r="I144" s="24" t="str">
        <f t="shared" si="19"/>
        <v>PRMG</v>
      </c>
      <c r="J144" s="24" t="str">
        <f t="shared" si="19"/>
        <v>PRES</v>
      </c>
      <c r="K144" s="24" t="str">
        <f t="shared" si="19"/>
        <v>PRSC</v>
      </c>
      <c r="L144" s="24" t="str">
        <f t="shared" si="19"/>
        <v>PRRJ</v>
      </c>
      <c r="M144" s="24" t="str">
        <f t="shared" si="19"/>
        <v>PRPR</v>
      </c>
      <c r="N144" s="24" t="str">
        <f t="shared" si="19"/>
        <v>PRAM</v>
      </c>
      <c r="O144" s="24">
        <f>VLOOKUP(H144, KM!$A:$E, 5, 0)</f>
        <v>408</v>
      </c>
      <c r="P144" s="24">
        <f>VLOOKUP(I144, KM!$A:$E, 5, 0)</f>
        <v>1004</v>
      </c>
      <c r="Q144" s="24">
        <f>VLOOKUP(J144, KM!$A:$E, 5, 0)</f>
        <v>1300</v>
      </c>
      <c r="R144" s="24">
        <f>VLOOKUP(K144, KM!$A:$E, 5, 0)</f>
        <v>300</v>
      </c>
      <c r="S144" s="24">
        <f>VLOOKUP(L144, KM!$A:$E, 5, 0)</f>
        <v>852</v>
      </c>
      <c r="T144" s="24">
        <f>VLOOKUP(M144, KM!$A:$E, 5, 0)</f>
        <v>0</v>
      </c>
      <c r="U144" s="24">
        <f>VLOOKUP(N144, KM!$A:$E, 5, 0)</f>
        <v>4036</v>
      </c>
      <c r="V144" s="24">
        <f>VLOOKUP(H144, IMPOSTO!$A:$D, 4, 0)</f>
        <v>0.12</v>
      </c>
      <c r="W144" s="24">
        <f>VLOOKUP(I144, IMPOSTO!$A:$D, 4, 0)</f>
        <v>0.12</v>
      </c>
      <c r="X144" s="24">
        <f>VLOOKUP(J144, IMPOSTO!$A:$D, 4, 0)</f>
        <v>7.0000000000000007E-2</v>
      </c>
      <c r="Y144" s="24">
        <f>VLOOKUP(K144, IMPOSTO!$A:$D, 4, 0)</f>
        <v>0.12</v>
      </c>
      <c r="Z144" s="24">
        <f>VLOOKUP(L144, IMPOSTO!$A:$D, 4, 0)</f>
        <v>0.12</v>
      </c>
      <c r="AA144" s="24">
        <f>VLOOKUP(M144, IMPOSTO!$A:$D, 4, 0)</f>
        <v>0.18</v>
      </c>
      <c r="AB144" s="24">
        <f>VLOOKUP(N144, IMPOSTO!$A:$D, 4, 0)</f>
        <v>7.0000000000000007E-2</v>
      </c>
      <c r="AC144" s="25">
        <f t="shared" si="12"/>
        <v>2974.5833215203406</v>
      </c>
      <c r="AD144" s="25">
        <f t="shared" si="13"/>
        <v>3042.3105942476132</v>
      </c>
      <c r="AE144" s="25">
        <f t="shared" si="14"/>
        <v>2910.5734655246233</v>
      </c>
      <c r="AF144" s="25">
        <f t="shared" si="15"/>
        <v>2962.3105942476132</v>
      </c>
      <c r="AG144" s="25">
        <f t="shared" si="16"/>
        <v>3025.0378669748857</v>
      </c>
      <c r="AH144" s="25">
        <f t="shared" si="17"/>
        <v>3142.4796621193896</v>
      </c>
      <c r="AI144" s="25">
        <f t="shared" si="18"/>
        <v>3204.7670139117199</v>
      </c>
    </row>
    <row r="145" spans="1:35" ht="15.75" customHeight="1">
      <c r="A145" s="12" t="s">
        <v>144</v>
      </c>
      <c r="B145" s="12" t="s">
        <v>145</v>
      </c>
      <c r="C145" s="12" t="s">
        <v>57</v>
      </c>
      <c r="D145" s="12" t="s">
        <v>33</v>
      </c>
      <c r="E145" s="12" t="s">
        <v>28</v>
      </c>
      <c r="F145" s="13">
        <v>759.31371751412519</v>
      </c>
      <c r="G145" s="14">
        <v>5921.7515794904593</v>
      </c>
      <c r="H145" s="24" t="str">
        <f t="shared" si="20"/>
        <v>PRSP</v>
      </c>
      <c r="I145" s="24" t="str">
        <f t="shared" si="19"/>
        <v>PRMG</v>
      </c>
      <c r="J145" s="24" t="str">
        <f t="shared" si="19"/>
        <v>PRES</v>
      </c>
      <c r="K145" s="24" t="str">
        <f t="shared" si="19"/>
        <v>PRSC</v>
      </c>
      <c r="L145" s="24" t="str">
        <f t="shared" si="19"/>
        <v>PRRJ</v>
      </c>
      <c r="M145" s="24" t="str">
        <f t="shared" si="19"/>
        <v>PRPR</v>
      </c>
      <c r="N145" s="24" t="str">
        <f t="shared" si="19"/>
        <v>PRAM</v>
      </c>
      <c r="O145" s="24">
        <f>VLOOKUP(H145, KM!$A:$E, 5, 0)</f>
        <v>408</v>
      </c>
      <c r="P145" s="24">
        <f>VLOOKUP(I145, KM!$A:$E, 5, 0)</f>
        <v>1004</v>
      </c>
      <c r="Q145" s="24">
        <f>VLOOKUP(J145, KM!$A:$E, 5, 0)</f>
        <v>1300</v>
      </c>
      <c r="R145" s="24">
        <f>VLOOKUP(K145, KM!$A:$E, 5, 0)</f>
        <v>300</v>
      </c>
      <c r="S145" s="24">
        <f>VLOOKUP(L145, KM!$A:$E, 5, 0)</f>
        <v>852</v>
      </c>
      <c r="T145" s="24">
        <f>VLOOKUP(M145, KM!$A:$E, 5, 0)</f>
        <v>0</v>
      </c>
      <c r="U145" s="24">
        <f>VLOOKUP(N145, KM!$A:$E, 5, 0)</f>
        <v>4036</v>
      </c>
      <c r="V145" s="24">
        <f>VLOOKUP(H145, IMPOSTO!$A:$D, 4, 0)</f>
        <v>0.12</v>
      </c>
      <c r="W145" s="24">
        <f>VLOOKUP(I145, IMPOSTO!$A:$D, 4, 0)</f>
        <v>0.12</v>
      </c>
      <c r="X145" s="24">
        <f>VLOOKUP(J145, IMPOSTO!$A:$D, 4, 0)</f>
        <v>7.0000000000000007E-2</v>
      </c>
      <c r="Y145" s="24">
        <f>VLOOKUP(K145, IMPOSTO!$A:$D, 4, 0)</f>
        <v>0.12</v>
      </c>
      <c r="Z145" s="24">
        <f>VLOOKUP(L145, IMPOSTO!$A:$D, 4, 0)</f>
        <v>0.12</v>
      </c>
      <c r="AA145" s="24">
        <f>VLOOKUP(M145, IMPOSTO!$A:$D, 4, 0)</f>
        <v>0.18</v>
      </c>
      <c r="AB145" s="24">
        <f>VLOOKUP(N145, IMPOSTO!$A:$D, 4, 0)</f>
        <v>7.0000000000000007E-2</v>
      </c>
      <c r="AC145" s="25">
        <f t="shared" si="12"/>
        <v>6775.6267948755221</v>
      </c>
      <c r="AD145" s="25">
        <f t="shared" si="13"/>
        <v>6843.3540676027942</v>
      </c>
      <c r="AE145" s="25">
        <f t="shared" si="14"/>
        <v>6507.259762892967</v>
      </c>
      <c r="AF145" s="25">
        <f t="shared" si="15"/>
        <v>6763.3540676027951</v>
      </c>
      <c r="AG145" s="25">
        <f t="shared" si="16"/>
        <v>6826.0813403300672</v>
      </c>
      <c r="AH145" s="25">
        <f t="shared" si="17"/>
        <v>7221.6482676712913</v>
      </c>
      <c r="AI145" s="25">
        <f t="shared" si="18"/>
        <v>6801.4533112800646</v>
      </c>
    </row>
    <row r="146" spans="1:35" ht="15.75" customHeight="1">
      <c r="A146" s="12" t="s">
        <v>129</v>
      </c>
      <c r="B146" s="12" t="s">
        <v>130</v>
      </c>
      <c r="C146" s="12" t="s">
        <v>69</v>
      </c>
      <c r="D146" s="12" t="s">
        <v>33</v>
      </c>
      <c r="E146" s="12" t="s">
        <v>28</v>
      </c>
      <c r="F146" s="13">
        <v>42896.78424086023</v>
      </c>
      <c r="G146" s="14">
        <v>9109087.9541079905</v>
      </c>
      <c r="H146" s="24" t="str">
        <f t="shared" si="20"/>
        <v>PRSP</v>
      </c>
      <c r="I146" s="24" t="str">
        <f t="shared" si="19"/>
        <v>PRMG</v>
      </c>
      <c r="J146" s="24" t="str">
        <f t="shared" si="19"/>
        <v>PRES</v>
      </c>
      <c r="K146" s="24" t="str">
        <f t="shared" si="19"/>
        <v>PRSC</v>
      </c>
      <c r="L146" s="24" t="str">
        <f t="shared" si="19"/>
        <v>PRRJ</v>
      </c>
      <c r="M146" s="24" t="str">
        <f t="shared" si="19"/>
        <v>PRPR</v>
      </c>
      <c r="N146" s="24" t="str">
        <f t="shared" si="19"/>
        <v>PRAM</v>
      </c>
      <c r="O146" s="24">
        <f>VLOOKUP(H146, KM!$A:$E, 5, 0)</f>
        <v>408</v>
      </c>
      <c r="P146" s="24">
        <f>VLOOKUP(I146, KM!$A:$E, 5, 0)</f>
        <v>1004</v>
      </c>
      <c r="Q146" s="24">
        <f>VLOOKUP(J146, KM!$A:$E, 5, 0)</f>
        <v>1300</v>
      </c>
      <c r="R146" s="24">
        <f>VLOOKUP(K146, KM!$A:$E, 5, 0)</f>
        <v>300</v>
      </c>
      <c r="S146" s="24">
        <f>VLOOKUP(L146, KM!$A:$E, 5, 0)</f>
        <v>852</v>
      </c>
      <c r="T146" s="24">
        <f>VLOOKUP(M146, KM!$A:$E, 5, 0)</f>
        <v>0</v>
      </c>
      <c r="U146" s="24">
        <f>VLOOKUP(N146, KM!$A:$E, 5, 0)</f>
        <v>4036</v>
      </c>
      <c r="V146" s="24">
        <f>VLOOKUP(H146, IMPOSTO!$A:$D, 4, 0)</f>
        <v>0.12</v>
      </c>
      <c r="W146" s="24">
        <f>VLOOKUP(I146, IMPOSTO!$A:$D, 4, 0)</f>
        <v>0.12</v>
      </c>
      <c r="X146" s="24">
        <f>VLOOKUP(J146, IMPOSTO!$A:$D, 4, 0)</f>
        <v>7.0000000000000007E-2</v>
      </c>
      <c r="Y146" s="24">
        <f>VLOOKUP(K146, IMPOSTO!$A:$D, 4, 0)</f>
        <v>0.12</v>
      </c>
      <c r="Z146" s="24">
        <f>VLOOKUP(L146, IMPOSTO!$A:$D, 4, 0)</f>
        <v>0.12</v>
      </c>
      <c r="AA146" s="24">
        <f>VLOOKUP(M146, IMPOSTO!$A:$D, 4, 0)</f>
        <v>0.18</v>
      </c>
      <c r="AB146" s="24">
        <f>VLOOKUP(N146, IMPOSTO!$A:$D, 4, 0)</f>
        <v>7.0000000000000007E-2</v>
      </c>
      <c r="AC146" s="25">
        <f t="shared" si="12"/>
        <v>10351282.675122717</v>
      </c>
      <c r="AD146" s="25">
        <f t="shared" si="13"/>
        <v>10351350.402395444</v>
      </c>
      <c r="AE146" s="25">
        <f t="shared" si="14"/>
        <v>9794858.0151698831</v>
      </c>
      <c r="AF146" s="25">
        <f t="shared" si="15"/>
        <v>10351270.402395444</v>
      </c>
      <c r="AG146" s="25">
        <f t="shared" si="16"/>
        <v>10351333.129668171</v>
      </c>
      <c r="AH146" s="25">
        <f t="shared" si="17"/>
        <v>11108643.846473157</v>
      </c>
      <c r="AI146" s="25">
        <f t="shared" si="18"/>
        <v>9795152.2087182701</v>
      </c>
    </row>
    <row r="147" spans="1:35" ht="15.75" customHeight="1">
      <c r="A147" s="12" t="s">
        <v>146</v>
      </c>
      <c r="B147" s="12" t="s">
        <v>147</v>
      </c>
      <c r="C147" s="12" t="s">
        <v>57</v>
      </c>
      <c r="D147" s="12" t="s">
        <v>33</v>
      </c>
      <c r="E147" s="12" t="s">
        <v>28</v>
      </c>
      <c r="F147" s="13">
        <v>20393.839200000002</v>
      </c>
      <c r="G147" s="14">
        <v>2324168.9473568848</v>
      </c>
      <c r="H147" s="24" t="str">
        <f t="shared" si="20"/>
        <v>PRSP</v>
      </c>
      <c r="I147" s="24" t="str">
        <f t="shared" si="19"/>
        <v>PRMG</v>
      </c>
      <c r="J147" s="24" t="str">
        <f t="shared" si="19"/>
        <v>PRES</v>
      </c>
      <c r="K147" s="24" t="str">
        <f t="shared" si="19"/>
        <v>PRSC</v>
      </c>
      <c r="L147" s="24" t="str">
        <f t="shared" si="19"/>
        <v>PRRJ</v>
      </c>
      <c r="M147" s="24" t="str">
        <f t="shared" si="19"/>
        <v>PRPR</v>
      </c>
      <c r="N147" s="24" t="str">
        <f t="shared" si="19"/>
        <v>PRAM</v>
      </c>
      <c r="O147" s="24">
        <f>VLOOKUP(H147, KM!$A:$E, 5, 0)</f>
        <v>408</v>
      </c>
      <c r="P147" s="24">
        <f>VLOOKUP(I147, KM!$A:$E, 5, 0)</f>
        <v>1004</v>
      </c>
      <c r="Q147" s="24">
        <f>VLOOKUP(J147, KM!$A:$E, 5, 0)</f>
        <v>1300</v>
      </c>
      <c r="R147" s="24">
        <f>VLOOKUP(K147, KM!$A:$E, 5, 0)</f>
        <v>300</v>
      </c>
      <c r="S147" s="24">
        <f>VLOOKUP(L147, KM!$A:$E, 5, 0)</f>
        <v>852</v>
      </c>
      <c r="T147" s="24">
        <f>VLOOKUP(M147, KM!$A:$E, 5, 0)</f>
        <v>0</v>
      </c>
      <c r="U147" s="24">
        <f>VLOOKUP(N147, KM!$A:$E, 5, 0)</f>
        <v>4036</v>
      </c>
      <c r="V147" s="24">
        <f>VLOOKUP(H147, IMPOSTO!$A:$D, 4, 0)</f>
        <v>0.12</v>
      </c>
      <c r="W147" s="24">
        <f>VLOOKUP(I147, IMPOSTO!$A:$D, 4, 0)</f>
        <v>0.12</v>
      </c>
      <c r="X147" s="24">
        <f>VLOOKUP(J147, IMPOSTO!$A:$D, 4, 0)</f>
        <v>7.0000000000000007E-2</v>
      </c>
      <c r="Y147" s="24">
        <f>VLOOKUP(K147, IMPOSTO!$A:$D, 4, 0)</f>
        <v>0.12</v>
      </c>
      <c r="Z147" s="24">
        <f>VLOOKUP(L147, IMPOSTO!$A:$D, 4, 0)</f>
        <v>0.12</v>
      </c>
      <c r="AA147" s="24">
        <f>VLOOKUP(M147, IMPOSTO!$A:$D, 4, 0)</f>
        <v>0.18</v>
      </c>
      <c r="AB147" s="24">
        <f>VLOOKUP(N147, IMPOSTO!$A:$D, 4, 0)</f>
        <v>7.0000000000000007E-2</v>
      </c>
      <c r="AC147" s="25">
        <f t="shared" ref="AC147:AC210" si="21">($G147 + O147 * $AE$5) / (1 - V147)</f>
        <v>2641147.4401782779</v>
      </c>
      <c r="AD147" s="25">
        <f t="shared" ref="AD147:AD210" si="22">($G147 + P147 * $AE$5) / (1 - W147)</f>
        <v>2641215.1674510054</v>
      </c>
      <c r="AE147" s="25">
        <f t="shared" ref="AE147:AE210" si="23">($G147 + Q147 * $AE$5) / (1 - X147)</f>
        <v>2499246.1799536399</v>
      </c>
      <c r="AF147" s="25">
        <f t="shared" ref="AF147:AF210" si="24">($G147 + R147 * $AE$5) / (1 - Y147)</f>
        <v>2641135.1674510054</v>
      </c>
      <c r="AG147" s="25">
        <f t="shared" ref="AG147:AG210" si="25">($G147 + S147 * $AE$5) / (1 - Z147)</f>
        <v>2641197.894723733</v>
      </c>
      <c r="AH147" s="25">
        <f t="shared" ref="AH147:AH210" si="26">($G147 + T147 * $AE$5) / (1 - AA147)</f>
        <v>2834352.3748254692</v>
      </c>
      <c r="AI147" s="25">
        <f t="shared" ref="AI147:AI210" si="27">($G147 + U147 * $AE$5) / (1 - AB147)</f>
        <v>2499540.3735020268</v>
      </c>
    </row>
    <row r="148" spans="1:35" ht="15.75" customHeight="1">
      <c r="A148" s="12" t="s">
        <v>148</v>
      </c>
      <c r="B148" s="12" t="s">
        <v>149</v>
      </c>
      <c r="C148" s="12" t="s">
        <v>57</v>
      </c>
      <c r="D148" s="12" t="s">
        <v>33</v>
      </c>
      <c r="E148" s="12" t="s">
        <v>28</v>
      </c>
      <c r="F148" s="13">
        <v>75</v>
      </c>
      <c r="G148" s="14">
        <v>8078.4</v>
      </c>
      <c r="H148" s="24" t="str">
        <f t="shared" si="20"/>
        <v>PRSP</v>
      </c>
      <c r="I148" s="24" t="str">
        <f t="shared" si="19"/>
        <v>PRMG</v>
      </c>
      <c r="J148" s="24" t="str">
        <f t="shared" si="19"/>
        <v>PRES</v>
      </c>
      <c r="K148" s="24" t="str">
        <f t="shared" si="19"/>
        <v>PRSC</v>
      </c>
      <c r="L148" s="24" t="str">
        <f t="shared" si="19"/>
        <v>PRRJ</v>
      </c>
      <c r="M148" s="24" t="str">
        <f t="shared" si="19"/>
        <v>PRPR</v>
      </c>
      <c r="N148" s="24" t="str">
        <f t="shared" si="19"/>
        <v>PRAM</v>
      </c>
      <c r="O148" s="24">
        <f>VLOOKUP(H148, KM!$A:$E, 5, 0)</f>
        <v>408</v>
      </c>
      <c r="P148" s="24">
        <f>VLOOKUP(I148, KM!$A:$E, 5, 0)</f>
        <v>1004</v>
      </c>
      <c r="Q148" s="24">
        <f>VLOOKUP(J148, KM!$A:$E, 5, 0)</f>
        <v>1300</v>
      </c>
      <c r="R148" s="24">
        <f>VLOOKUP(K148, KM!$A:$E, 5, 0)</f>
        <v>300</v>
      </c>
      <c r="S148" s="24">
        <f>VLOOKUP(L148, KM!$A:$E, 5, 0)</f>
        <v>852</v>
      </c>
      <c r="T148" s="24">
        <f>VLOOKUP(M148, KM!$A:$E, 5, 0)</f>
        <v>0</v>
      </c>
      <c r="U148" s="24">
        <f>VLOOKUP(N148, KM!$A:$E, 5, 0)</f>
        <v>4036</v>
      </c>
      <c r="V148" s="24">
        <f>VLOOKUP(H148, IMPOSTO!$A:$D, 4, 0)</f>
        <v>0.12</v>
      </c>
      <c r="W148" s="24">
        <f>VLOOKUP(I148, IMPOSTO!$A:$D, 4, 0)</f>
        <v>0.12</v>
      </c>
      <c r="X148" s="24">
        <f>VLOOKUP(J148, IMPOSTO!$A:$D, 4, 0)</f>
        <v>7.0000000000000007E-2</v>
      </c>
      <c r="Y148" s="24">
        <f>VLOOKUP(K148, IMPOSTO!$A:$D, 4, 0)</f>
        <v>0.12</v>
      </c>
      <c r="Z148" s="24">
        <f>VLOOKUP(L148, IMPOSTO!$A:$D, 4, 0)</f>
        <v>0.12</v>
      </c>
      <c r="AA148" s="24">
        <f>VLOOKUP(M148, IMPOSTO!$A:$D, 4, 0)</f>
        <v>0.18</v>
      </c>
      <c r="AB148" s="24">
        <f>VLOOKUP(N148, IMPOSTO!$A:$D, 4, 0)</f>
        <v>7.0000000000000007E-2</v>
      </c>
      <c r="AC148" s="25">
        <f t="shared" si="21"/>
        <v>9226.363636363636</v>
      </c>
      <c r="AD148" s="25">
        <f t="shared" si="22"/>
        <v>9294.0909090909081</v>
      </c>
      <c r="AE148" s="25">
        <f t="shared" si="23"/>
        <v>8826.2365591397847</v>
      </c>
      <c r="AF148" s="25">
        <f t="shared" si="24"/>
        <v>9214.0909090909081</v>
      </c>
      <c r="AG148" s="25">
        <f t="shared" si="25"/>
        <v>9276.818181818182</v>
      </c>
      <c r="AH148" s="25">
        <f t="shared" si="26"/>
        <v>9851.7073170731692</v>
      </c>
      <c r="AI148" s="25">
        <f t="shared" si="27"/>
        <v>9120.4301075268831</v>
      </c>
    </row>
    <row r="149" spans="1:35" ht="15.75" customHeight="1">
      <c r="A149" s="12" t="s">
        <v>146</v>
      </c>
      <c r="B149" s="12" t="s">
        <v>147</v>
      </c>
      <c r="C149" s="12" t="s">
        <v>57</v>
      </c>
      <c r="D149" s="12" t="s">
        <v>33</v>
      </c>
      <c r="E149" s="12" t="s">
        <v>28</v>
      </c>
      <c r="F149" s="13">
        <v>8.1608000000000001</v>
      </c>
      <c r="G149" s="14">
        <v>930.03959478066656</v>
      </c>
      <c r="H149" s="24" t="str">
        <f t="shared" si="20"/>
        <v>PRSP</v>
      </c>
      <c r="I149" s="24" t="str">
        <f t="shared" si="19"/>
        <v>PRMG</v>
      </c>
      <c r="J149" s="24" t="str">
        <f t="shared" si="19"/>
        <v>PRES</v>
      </c>
      <c r="K149" s="24" t="str">
        <f t="shared" si="19"/>
        <v>PRSC</v>
      </c>
      <c r="L149" s="24" t="str">
        <f t="shared" si="19"/>
        <v>PRRJ</v>
      </c>
      <c r="M149" s="24" t="str">
        <f t="shared" si="19"/>
        <v>PRPR</v>
      </c>
      <c r="N149" s="24" t="str">
        <f t="shared" si="19"/>
        <v>PRAM</v>
      </c>
      <c r="O149" s="24">
        <f>VLOOKUP(H149, KM!$A:$E, 5, 0)</f>
        <v>408</v>
      </c>
      <c r="P149" s="24">
        <f>VLOOKUP(I149, KM!$A:$E, 5, 0)</f>
        <v>1004</v>
      </c>
      <c r="Q149" s="24">
        <f>VLOOKUP(J149, KM!$A:$E, 5, 0)</f>
        <v>1300</v>
      </c>
      <c r="R149" s="24">
        <f>VLOOKUP(K149, KM!$A:$E, 5, 0)</f>
        <v>300</v>
      </c>
      <c r="S149" s="24">
        <f>VLOOKUP(L149, KM!$A:$E, 5, 0)</f>
        <v>852</v>
      </c>
      <c r="T149" s="24">
        <f>VLOOKUP(M149, KM!$A:$E, 5, 0)</f>
        <v>0</v>
      </c>
      <c r="U149" s="24">
        <f>VLOOKUP(N149, KM!$A:$E, 5, 0)</f>
        <v>4036</v>
      </c>
      <c r="V149" s="24">
        <f>VLOOKUP(H149, IMPOSTO!$A:$D, 4, 0)</f>
        <v>0.12</v>
      </c>
      <c r="W149" s="24">
        <f>VLOOKUP(I149, IMPOSTO!$A:$D, 4, 0)</f>
        <v>0.12</v>
      </c>
      <c r="X149" s="24">
        <f>VLOOKUP(J149, IMPOSTO!$A:$D, 4, 0)</f>
        <v>7.0000000000000007E-2</v>
      </c>
      <c r="Y149" s="24">
        <f>VLOOKUP(K149, IMPOSTO!$A:$D, 4, 0)</f>
        <v>0.12</v>
      </c>
      <c r="Z149" s="24">
        <f>VLOOKUP(L149, IMPOSTO!$A:$D, 4, 0)</f>
        <v>0.12</v>
      </c>
      <c r="AA149" s="24">
        <f>VLOOKUP(M149, IMPOSTO!$A:$D, 4, 0)</f>
        <v>0.18</v>
      </c>
      <c r="AB149" s="24">
        <f>VLOOKUP(N149, IMPOSTO!$A:$D, 4, 0)</f>
        <v>7.0000000000000007E-2</v>
      </c>
      <c r="AC149" s="25">
        <f t="shared" si="21"/>
        <v>1103.2268122507573</v>
      </c>
      <c r="AD149" s="25">
        <f t="shared" si="22"/>
        <v>1170.9540849780301</v>
      </c>
      <c r="AE149" s="25">
        <f t="shared" si="23"/>
        <v>1139.8275212695339</v>
      </c>
      <c r="AF149" s="25">
        <f t="shared" si="24"/>
        <v>1090.9540849780301</v>
      </c>
      <c r="AG149" s="25">
        <f t="shared" si="25"/>
        <v>1153.6813577053028</v>
      </c>
      <c r="AH149" s="25">
        <f t="shared" si="26"/>
        <v>1134.1946277813006</v>
      </c>
      <c r="AI149" s="25">
        <f t="shared" si="27"/>
        <v>1434.0210696566307</v>
      </c>
    </row>
    <row r="150" spans="1:35" ht="15.75" customHeight="1">
      <c r="A150" s="12" t="s">
        <v>124</v>
      </c>
      <c r="B150" s="12" t="s">
        <v>125</v>
      </c>
      <c r="C150" s="12" t="s">
        <v>104</v>
      </c>
      <c r="D150" s="12" t="s">
        <v>33</v>
      </c>
      <c r="E150" s="12" t="s">
        <v>28</v>
      </c>
      <c r="F150" s="13">
        <v>13.068100000000005</v>
      </c>
      <c r="G150" s="14">
        <v>122.86154949023651</v>
      </c>
      <c r="H150" s="24" t="str">
        <f t="shared" si="20"/>
        <v>PRSP</v>
      </c>
      <c r="I150" s="24" t="str">
        <f t="shared" si="19"/>
        <v>PRMG</v>
      </c>
      <c r="J150" s="24" t="str">
        <f t="shared" si="19"/>
        <v>PRES</v>
      </c>
      <c r="K150" s="24" t="str">
        <f t="shared" si="19"/>
        <v>PRSC</v>
      </c>
      <c r="L150" s="24" t="str">
        <f t="shared" si="19"/>
        <v>PRRJ</v>
      </c>
      <c r="M150" s="24" t="str">
        <f t="shared" si="19"/>
        <v>PRPR</v>
      </c>
      <c r="N150" s="24" t="str">
        <f t="shared" si="19"/>
        <v>PRAM</v>
      </c>
      <c r="O150" s="24">
        <f>VLOOKUP(H150, KM!$A:$E, 5, 0)</f>
        <v>408</v>
      </c>
      <c r="P150" s="24">
        <f>VLOOKUP(I150, KM!$A:$E, 5, 0)</f>
        <v>1004</v>
      </c>
      <c r="Q150" s="24">
        <f>VLOOKUP(J150, KM!$A:$E, 5, 0)</f>
        <v>1300</v>
      </c>
      <c r="R150" s="24">
        <f>VLOOKUP(K150, KM!$A:$E, 5, 0)</f>
        <v>300</v>
      </c>
      <c r="S150" s="24">
        <f>VLOOKUP(L150, KM!$A:$E, 5, 0)</f>
        <v>852</v>
      </c>
      <c r="T150" s="24">
        <f>VLOOKUP(M150, KM!$A:$E, 5, 0)</f>
        <v>0</v>
      </c>
      <c r="U150" s="24">
        <f>VLOOKUP(N150, KM!$A:$E, 5, 0)</f>
        <v>4036</v>
      </c>
      <c r="V150" s="24">
        <f>VLOOKUP(H150, IMPOSTO!$A:$D, 4, 0)</f>
        <v>0.12</v>
      </c>
      <c r="W150" s="24">
        <f>VLOOKUP(I150, IMPOSTO!$A:$D, 4, 0)</f>
        <v>0.12</v>
      </c>
      <c r="X150" s="24">
        <f>VLOOKUP(J150, IMPOSTO!$A:$D, 4, 0)</f>
        <v>7.0000000000000007E-2</v>
      </c>
      <c r="Y150" s="24">
        <f>VLOOKUP(K150, IMPOSTO!$A:$D, 4, 0)</f>
        <v>0.12</v>
      </c>
      <c r="Z150" s="24">
        <f>VLOOKUP(L150, IMPOSTO!$A:$D, 4, 0)</f>
        <v>0.12</v>
      </c>
      <c r="AA150" s="24">
        <f>VLOOKUP(M150, IMPOSTO!$A:$D, 4, 0)</f>
        <v>0.18</v>
      </c>
      <c r="AB150" s="24">
        <f>VLOOKUP(N150, IMPOSTO!$A:$D, 4, 0)</f>
        <v>7.0000000000000007E-2</v>
      </c>
      <c r="AC150" s="25">
        <f t="shared" si="21"/>
        <v>185.97903351163242</v>
      </c>
      <c r="AD150" s="25">
        <f t="shared" si="22"/>
        <v>253.70630623890514</v>
      </c>
      <c r="AE150" s="25">
        <f t="shared" si="23"/>
        <v>271.89413923681349</v>
      </c>
      <c r="AF150" s="25">
        <f t="shared" si="24"/>
        <v>173.70630623890511</v>
      </c>
      <c r="AG150" s="25">
        <f t="shared" si="25"/>
        <v>236.43357896617786</v>
      </c>
      <c r="AH150" s="25">
        <f t="shared" si="26"/>
        <v>149.83115791492256</v>
      </c>
      <c r="AI150" s="25">
        <f t="shared" si="27"/>
        <v>566.08768762391026</v>
      </c>
    </row>
    <row r="151" spans="1:35" ht="15.75" customHeight="1">
      <c r="A151" s="12" t="s">
        <v>150</v>
      </c>
      <c r="B151" s="12" t="s">
        <v>151</v>
      </c>
      <c r="C151" s="12" t="s">
        <v>69</v>
      </c>
      <c r="D151" s="12" t="s">
        <v>33</v>
      </c>
      <c r="E151" s="12" t="s">
        <v>28</v>
      </c>
      <c r="F151" s="13">
        <v>4102.4699999999993</v>
      </c>
      <c r="G151" s="14">
        <v>59928.865480357126</v>
      </c>
      <c r="H151" s="24" t="str">
        <f t="shared" si="20"/>
        <v>PRSP</v>
      </c>
      <c r="I151" s="24" t="str">
        <f t="shared" si="19"/>
        <v>PRMG</v>
      </c>
      <c r="J151" s="24" t="str">
        <f t="shared" si="19"/>
        <v>PRES</v>
      </c>
      <c r="K151" s="24" t="str">
        <f t="shared" si="19"/>
        <v>PRSC</v>
      </c>
      <c r="L151" s="24" t="str">
        <f t="shared" si="19"/>
        <v>PRRJ</v>
      </c>
      <c r="M151" s="24" t="str">
        <f t="shared" si="19"/>
        <v>PRPR</v>
      </c>
      <c r="N151" s="24" t="str">
        <f t="shared" si="19"/>
        <v>PRAM</v>
      </c>
      <c r="O151" s="24">
        <f>VLOOKUP(H151, KM!$A:$E, 5, 0)</f>
        <v>408</v>
      </c>
      <c r="P151" s="24">
        <f>VLOOKUP(I151, KM!$A:$E, 5, 0)</f>
        <v>1004</v>
      </c>
      <c r="Q151" s="24">
        <f>VLOOKUP(J151, KM!$A:$E, 5, 0)</f>
        <v>1300</v>
      </c>
      <c r="R151" s="24">
        <f>VLOOKUP(K151, KM!$A:$E, 5, 0)</f>
        <v>300</v>
      </c>
      <c r="S151" s="24">
        <f>VLOOKUP(L151, KM!$A:$E, 5, 0)</f>
        <v>852</v>
      </c>
      <c r="T151" s="24">
        <f>VLOOKUP(M151, KM!$A:$E, 5, 0)</f>
        <v>0</v>
      </c>
      <c r="U151" s="24">
        <f>VLOOKUP(N151, KM!$A:$E, 5, 0)</f>
        <v>4036</v>
      </c>
      <c r="V151" s="24">
        <f>VLOOKUP(H151, IMPOSTO!$A:$D, 4, 0)</f>
        <v>0.12</v>
      </c>
      <c r="W151" s="24">
        <f>VLOOKUP(I151, IMPOSTO!$A:$D, 4, 0)</f>
        <v>0.12</v>
      </c>
      <c r="X151" s="24">
        <f>VLOOKUP(J151, IMPOSTO!$A:$D, 4, 0)</f>
        <v>7.0000000000000007E-2</v>
      </c>
      <c r="Y151" s="24">
        <f>VLOOKUP(K151, IMPOSTO!$A:$D, 4, 0)</f>
        <v>0.12</v>
      </c>
      <c r="Z151" s="24">
        <f>VLOOKUP(L151, IMPOSTO!$A:$D, 4, 0)</f>
        <v>0.12</v>
      </c>
      <c r="AA151" s="24">
        <f>VLOOKUP(M151, IMPOSTO!$A:$D, 4, 0)</f>
        <v>0.18</v>
      </c>
      <c r="AB151" s="24">
        <f>VLOOKUP(N151, IMPOSTO!$A:$D, 4, 0)</f>
        <v>7.0000000000000007E-2</v>
      </c>
      <c r="AC151" s="25">
        <f t="shared" si="21"/>
        <v>68147.347136769458</v>
      </c>
      <c r="AD151" s="25">
        <f t="shared" si="22"/>
        <v>68215.074409496738</v>
      </c>
      <c r="AE151" s="25">
        <f t="shared" si="23"/>
        <v>64579.425247695835</v>
      </c>
      <c r="AF151" s="25">
        <f t="shared" si="24"/>
        <v>68135.074409496738</v>
      </c>
      <c r="AG151" s="25">
        <f t="shared" si="25"/>
        <v>68197.801682224002</v>
      </c>
      <c r="AH151" s="25">
        <f t="shared" si="26"/>
        <v>73083.982293118446</v>
      </c>
      <c r="AI151" s="25">
        <f t="shared" si="27"/>
        <v>64873.618796082934</v>
      </c>
    </row>
    <row r="152" spans="1:35" ht="15.75" customHeight="1">
      <c r="A152" s="12" t="s">
        <v>117</v>
      </c>
      <c r="B152" s="12" t="s">
        <v>118</v>
      </c>
      <c r="C152" s="12" t="s">
        <v>119</v>
      </c>
      <c r="D152" s="12" t="s">
        <v>33</v>
      </c>
      <c r="E152" s="12" t="s">
        <v>28</v>
      </c>
      <c r="F152" s="13">
        <v>172009.30927684065</v>
      </c>
      <c r="G152" s="14">
        <v>320049.90316645033</v>
      </c>
      <c r="H152" s="24" t="str">
        <f t="shared" si="20"/>
        <v>PRSP</v>
      </c>
      <c r="I152" s="24" t="str">
        <f t="shared" si="19"/>
        <v>PRMG</v>
      </c>
      <c r="J152" s="24" t="str">
        <f t="shared" si="19"/>
        <v>PRES</v>
      </c>
      <c r="K152" s="24" t="str">
        <f t="shared" si="19"/>
        <v>PRSC</v>
      </c>
      <c r="L152" s="24" t="str">
        <f t="shared" si="19"/>
        <v>PRRJ</v>
      </c>
      <c r="M152" s="24" t="str">
        <f t="shared" si="19"/>
        <v>PRPR</v>
      </c>
      <c r="N152" s="24" t="str">
        <f t="shared" si="19"/>
        <v>PRAM</v>
      </c>
      <c r="O152" s="24">
        <f>VLOOKUP(H152, KM!$A:$E, 5, 0)</f>
        <v>408</v>
      </c>
      <c r="P152" s="24">
        <f>VLOOKUP(I152, KM!$A:$E, 5, 0)</f>
        <v>1004</v>
      </c>
      <c r="Q152" s="24">
        <f>VLOOKUP(J152, KM!$A:$E, 5, 0)</f>
        <v>1300</v>
      </c>
      <c r="R152" s="24">
        <f>VLOOKUP(K152, KM!$A:$E, 5, 0)</f>
        <v>300</v>
      </c>
      <c r="S152" s="24">
        <f>VLOOKUP(L152, KM!$A:$E, 5, 0)</f>
        <v>852</v>
      </c>
      <c r="T152" s="24">
        <f>VLOOKUP(M152, KM!$A:$E, 5, 0)</f>
        <v>0</v>
      </c>
      <c r="U152" s="24">
        <f>VLOOKUP(N152, KM!$A:$E, 5, 0)</f>
        <v>4036</v>
      </c>
      <c r="V152" s="24">
        <f>VLOOKUP(H152, IMPOSTO!$A:$D, 4, 0)</f>
        <v>0.12</v>
      </c>
      <c r="W152" s="24">
        <f>VLOOKUP(I152, IMPOSTO!$A:$D, 4, 0)</f>
        <v>0.12</v>
      </c>
      <c r="X152" s="24">
        <f>VLOOKUP(J152, IMPOSTO!$A:$D, 4, 0)</f>
        <v>7.0000000000000007E-2</v>
      </c>
      <c r="Y152" s="24">
        <f>VLOOKUP(K152, IMPOSTO!$A:$D, 4, 0)</f>
        <v>0.12</v>
      </c>
      <c r="Z152" s="24">
        <f>VLOOKUP(L152, IMPOSTO!$A:$D, 4, 0)</f>
        <v>0.12</v>
      </c>
      <c r="AA152" s="24">
        <f>VLOOKUP(M152, IMPOSTO!$A:$D, 4, 0)</f>
        <v>0.18</v>
      </c>
      <c r="AB152" s="24">
        <f>VLOOKUP(N152, IMPOSTO!$A:$D, 4, 0)</f>
        <v>7.0000000000000007E-2</v>
      </c>
      <c r="AC152" s="25">
        <f t="shared" si="21"/>
        <v>363739.43541642081</v>
      </c>
      <c r="AD152" s="25">
        <f t="shared" si="22"/>
        <v>363807.1626891481</v>
      </c>
      <c r="AE152" s="25">
        <f t="shared" si="23"/>
        <v>344279.46577037673</v>
      </c>
      <c r="AF152" s="25">
        <f t="shared" si="24"/>
        <v>363727.1626891481</v>
      </c>
      <c r="AG152" s="25">
        <f t="shared" si="25"/>
        <v>363789.88996187539</v>
      </c>
      <c r="AH152" s="25">
        <f t="shared" si="26"/>
        <v>390304.75995908573</v>
      </c>
      <c r="AI152" s="25">
        <f t="shared" si="27"/>
        <v>344573.65931876376</v>
      </c>
    </row>
    <row r="153" spans="1:35" ht="15.75" customHeight="1">
      <c r="A153" s="12" t="s">
        <v>67</v>
      </c>
      <c r="B153" s="12" t="s">
        <v>68</v>
      </c>
      <c r="C153" s="12" t="s">
        <v>69</v>
      </c>
      <c r="D153" s="12" t="s">
        <v>33</v>
      </c>
      <c r="E153" s="12" t="s">
        <v>28</v>
      </c>
      <c r="F153" s="13">
        <v>0</v>
      </c>
      <c r="G153" s="14">
        <v>0</v>
      </c>
      <c r="H153" s="24" t="str">
        <f t="shared" si="20"/>
        <v>PRSP</v>
      </c>
      <c r="I153" s="24" t="str">
        <f t="shared" si="19"/>
        <v>PRMG</v>
      </c>
      <c r="J153" s="24" t="str">
        <f t="shared" ref="I153:N216" si="28">$E153 &amp; J$17</f>
        <v>PRES</v>
      </c>
      <c r="K153" s="24" t="str">
        <f t="shared" si="28"/>
        <v>PRSC</v>
      </c>
      <c r="L153" s="24" t="str">
        <f t="shared" si="28"/>
        <v>PRRJ</v>
      </c>
      <c r="M153" s="24" t="str">
        <f t="shared" si="28"/>
        <v>PRPR</v>
      </c>
      <c r="N153" s="24" t="str">
        <f t="shared" si="28"/>
        <v>PRAM</v>
      </c>
      <c r="O153" s="24">
        <f>VLOOKUP(H153, KM!$A:$E, 5, 0)</f>
        <v>408</v>
      </c>
      <c r="P153" s="24">
        <f>VLOOKUP(I153, KM!$A:$E, 5, 0)</f>
        <v>1004</v>
      </c>
      <c r="Q153" s="24">
        <f>VLOOKUP(J153, KM!$A:$E, 5, 0)</f>
        <v>1300</v>
      </c>
      <c r="R153" s="24">
        <f>VLOOKUP(K153, KM!$A:$E, 5, 0)</f>
        <v>300</v>
      </c>
      <c r="S153" s="24">
        <f>VLOOKUP(L153, KM!$A:$E, 5, 0)</f>
        <v>852</v>
      </c>
      <c r="T153" s="24">
        <f>VLOOKUP(M153, KM!$A:$E, 5, 0)</f>
        <v>0</v>
      </c>
      <c r="U153" s="24">
        <f>VLOOKUP(N153, KM!$A:$E, 5, 0)</f>
        <v>4036</v>
      </c>
      <c r="V153" s="24">
        <f>VLOOKUP(H153, IMPOSTO!$A:$D, 4, 0)</f>
        <v>0.12</v>
      </c>
      <c r="W153" s="24">
        <f>VLOOKUP(I153, IMPOSTO!$A:$D, 4, 0)</f>
        <v>0.12</v>
      </c>
      <c r="X153" s="24">
        <f>VLOOKUP(J153, IMPOSTO!$A:$D, 4, 0)</f>
        <v>7.0000000000000007E-2</v>
      </c>
      <c r="Y153" s="24">
        <f>VLOOKUP(K153, IMPOSTO!$A:$D, 4, 0)</f>
        <v>0.12</v>
      </c>
      <c r="Z153" s="24">
        <f>VLOOKUP(L153, IMPOSTO!$A:$D, 4, 0)</f>
        <v>0.12</v>
      </c>
      <c r="AA153" s="24">
        <f>VLOOKUP(M153, IMPOSTO!$A:$D, 4, 0)</f>
        <v>0.18</v>
      </c>
      <c r="AB153" s="24">
        <f>VLOOKUP(N153, IMPOSTO!$A:$D, 4, 0)</f>
        <v>7.0000000000000007E-2</v>
      </c>
      <c r="AC153" s="25">
        <f t="shared" si="21"/>
        <v>46.363636363636367</v>
      </c>
      <c r="AD153" s="25">
        <f t="shared" si="22"/>
        <v>114.09090909090909</v>
      </c>
      <c r="AE153" s="25">
        <f t="shared" si="23"/>
        <v>139.78494623655914</v>
      </c>
      <c r="AF153" s="25">
        <f t="shared" si="24"/>
        <v>34.090909090909093</v>
      </c>
      <c r="AG153" s="25">
        <f t="shared" si="25"/>
        <v>96.818181818181827</v>
      </c>
      <c r="AH153" s="25">
        <f t="shared" si="26"/>
        <v>0</v>
      </c>
      <c r="AI153" s="25">
        <f t="shared" si="27"/>
        <v>433.97849462365599</v>
      </c>
    </row>
    <row r="154" spans="1:35" ht="15.75" customHeight="1">
      <c r="A154" s="12" t="s">
        <v>129</v>
      </c>
      <c r="B154" s="12" t="s">
        <v>130</v>
      </c>
      <c r="C154" s="12" t="s">
        <v>69</v>
      </c>
      <c r="D154" s="12" t="s">
        <v>33</v>
      </c>
      <c r="E154" s="12" t="s">
        <v>28</v>
      </c>
      <c r="F154" s="13">
        <v>7531.0365591397858</v>
      </c>
      <c r="G154" s="14">
        <v>1303786.2403233685</v>
      </c>
      <c r="H154" s="24" t="str">
        <f t="shared" si="20"/>
        <v>PRSP</v>
      </c>
      <c r="I154" s="24" t="str">
        <f t="shared" si="28"/>
        <v>PRMG</v>
      </c>
      <c r="J154" s="24" t="str">
        <f t="shared" si="28"/>
        <v>PRES</v>
      </c>
      <c r="K154" s="24" t="str">
        <f t="shared" si="28"/>
        <v>PRSC</v>
      </c>
      <c r="L154" s="24" t="str">
        <f t="shared" si="28"/>
        <v>PRRJ</v>
      </c>
      <c r="M154" s="24" t="str">
        <f t="shared" si="28"/>
        <v>PRPR</v>
      </c>
      <c r="N154" s="24" t="str">
        <f t="shared" si="28"/>
        <v>PRAM</v>
      </c>
      <c r="O154" s="24">
        <f>VLOOKUP(H154, KM!$A:$E, 5, 0)</f>
        <v>408</v>
      </c>
      <c r="P154" s="24">
        <f>VLOOKUP(I154, KM!$A:$E, 5, 0)</f>
        <v>1004</v>
      </c>
      <c r="Q154" s="24">
        <f>VLOOKUP(J154, KM!$A:$E, 5, 0)</f>
        <v>1300</v>
      </c>
      <c r="R154" s="24">
        <f>VLOOKUP(K154, KM!$A:$E, 5, 0)</f>
        <v>300</v>
      </c>
      <c r="S154" s="24">
        <f>VLOOKUP(L154, KM!$A:$E, 5, 0)</f>
        <v>852</v>
      </c>
      <c r="T154" s="24">
        <f>VLOOKUP(M154, KM!$A:$E, 5, 0)</f>
        <v>0</v>
      </c>
      <c r="U154" s="24">
        <f>VLOOKUP(N154, KM!$A:$E, 5, 0)</f>
        <v>4036</v>
      </c>
      <c r="V154" s="24">
        <f>VLOOKUP(H154, IMPOSTO!$A:$D, 4, 0)</f>
        <v>0.12</v>
      </c>
      <c r="W154" s="24">
        <f>VLOOKUP(I154, IMPOSTO!$A:$D, 4, 0)</f>
        <v>0.12</v>
      </c>
      <c r="X154" s="24">
        <f>VLOOKUP(J154, IMPOSTO!$A:$D, 4, 0)</f>
        <v>7.0000000000000007E-2</v>
      </c>
      <c r="Y154" s="24">
        <f>VLOOKUP(K154, IMPOSTO!$A:$D, 4, 0)</f>
        <v>0.12</v>
      </c>
      <c r="Z154" s="24">
        <f>VLOOKUP(L154, IMPOSTO!$A:$D, 4, 0)</f>
        <v>0.12</v>
      </c>
      <c r="AA154" s="24">
        <f>VLOOKUP(M154, IMPOSTO!$A:$D, 4, 0)</f>
        <v>0.18</v>
      </c>
      <c r="AB154" s="24">
        <f>VLOOKUP(N154, IMPOSTO!$A:$D, 4, 0)</f>
        <v>7.0000000000000007E-2</v>
      </c>
      <c r="AC154" s="25">
        <f t="shared" si="21"/>
        <v>1481621.6367311005</v>
      </c>
      <c r="AD154" s="25">
        <f t="shared" si="22"/>
        <v>1481689.3640038278</v>
      </c>
      <c r="AE154" s="25">
        <f t="shared" si="23"/>
        <v>1402060.4734659877</v>
      </c>
      <c r="AF154" s="25">
        <f t="shared" si="24"/>
        <v>1481609.3640038278</v>
      </c>
      <c r="AG154" s="25">
        <f t="shared" si="25"/>
        <v>1481672.0912765551</v>
      </c>
      <c r="AH154" s="25">
        <f t="shared" si="26"/>
        <v>1589983.2199065469</v>
      </c>
      <c r="AI154" s="25">
        <f t="shared" si="27"/>
        <v>1402354.6670143749</v>
      </c>
    </row>
    <row r="155" spans="1:35" ht="15.75" customHeight="1">
      <c r="A155" s="12" t="s">
        <v>152</v>
      </c>
      <c r="B155" s="12" t="s">
        <v>153</v>
      </c>
      <c r="C155" s="12" t="s">
        <v>69</v>
      </c>
      <c r="D155" s="12" t="s">
        <v>33</v>
      </c>
      <c r="E155" s="12" t="s">
        <v>28</v>
      </c>
      <c r="F155" s="13">
        <v>9606.0000000000018</v>
      </c>
      <c r="G155" s="14">
        <v>3782100.0692778355</v>
      </c>
      <c r="H155" s="24" t="str">
        <f t="shared" si="20"/>
        <v>PRSP</v>
      </c>
      <c r="I155" s="24" t="str">
        <f t="shared" si="28"/>
        <v>PRMG</v>
      </c>
      <c r="J155" s="24" t="str">
        <f t="shared" si="28"/>
        <v>PRES</v>
      </c>
      <c r="K155" s="24" t="str">
        <f t="shared" si="28"/>
        <v>PRSC</v>
      </c>
      <c r="L155" s="24" t="str">
        <f t="shared" si="28"/>
        <v>PRRJ</v>
      </c>
      <c r="M155" s="24" t="str">
        <f t="shared" si="28"/>
        <v>PRPR</v>
      </c>
      <c r="N155" s="24" t="str">
        <f t="shared" si="28"/>
        <v>PRAM</v>
      </c>
      <c r="O155" s="24">
        <f>VLOOKUP(H155, KM!$A:$E, 5, 0)</f>
        <v>408</v>
      </c>
      <c r="P155" s="24">
        <f>VLOOKUP(I155, KM!$A:$E, 5, 0)</f>
        <v>1004</v>
      </c>
      <c r="Q155" s="24">
        <f>VLOOKUP(J155, KM!$A:$E, 5, 0)</f>
        <v>1300</v>
      </c>
      <c r="R155" s="24">
        <f>VLOOKUP(K155, KM!$A:$E, 5, 0)</f>
        <v>300</v>
      </c>
      <c r="S155" s="24">
        <f>VLOOKUP(L155, KM!$A:$E, 5, 0)</f>
        <v>852</v>
      </c>
      <c r="T155" s="24">
        <f>VLOOKUP(M155, KM!$A:$E, 5, 0)</f>
        <v>0</v>
      </c>
      <c r="U155" s="24">
        <f>VLOOKUP(N155, KM!$A:$E, 5, 0)</f>
        <v>4036</v>
      </c>
      <c r="V155" s="24">
        <f>VLOOKUP(H155, IMPOSTO!$A:$D, 4, 0)</f>
        <v>0.12</v>
      </c>
      <c r="W155" s="24">
        <f>VLOOKUP(I155, IMPOSTO!$A:$D, 4, 0)</f>
        <v>0.12</v>
      </c>
      <c r="X155" s="24">
        <f>VLOOKUP(J155, IMPOSTO!$A:$D, 4, 0)</f>
        <v>7.0000000000000007E-2</v>
      </c>
      <c r="Y155" s="24">
        <f>VLOOKUP(K155, IMPOSTO!$A:$D, 4, 0)</f>
        <v>0.12</v>
      </c>
      <c r="Z155" s="24">
        <f>VLOOKUP(L155, IMPOSTO!$A:$D, 4, 0)</f>
        <v>0.12</v>
      </c>
      <c r="AA155" s="24">
        <f>VLOOKUP(M155, IMPOSTO!$A:$D, 4, 0)</f>
        <v>0.18</v>
      </c>
      <c r="AB155" s="24">
        <f>VLOOKUP(N155, IMPOSTO!$A:$D, 4, 0)</f>
        <v>7.0000000000000007E-2</v>
      </c>
      <c r="AC155" s="25">
        <f t="shared" si="21"/>
        <v>4297887.3514520852</v>
      </c>
      <c r="AD155" s="25">
        <f t="shared" si="22"/>
        <v>4297955.0787248127</v>
      </c>
      <c r="AE155" s="25">
        <f t="shared" si="23"/>
        <v>4066914.0529869203</v>
      </c>
      <c r="AF155" s="25">
        <f t="shared" si="24"/>
        <v>4297875.0787248127</v>
      </c>
      <c r="AG155" s="25">
        <f t="shared" si="25"/>
        <v>4297937.8059975402</v>
      </c>
      <c r="AH155" s="25">
        <f t="shared" si="26"/>
        <v>4612317.1576558966</v>
      </c>
      <c r="AI155" s="25">
        <f t="shared" si="27"/>
        <v>4067208.2465353073</v>
      </c>
    </row>
    <row r="156" spans="1:35" ht="15.75" customHeight="1">
      <c r="A156" s="12" t="s">
        <v>131</v>
      </c>
      <c r="B156" s="12" t="s">
        <v>132</v>
      </c>
      <c r="C156" s="12" t="s">
        <v>69</v>
      </c>
      <c r="D156" s="12" t="s">
        <v>33</v>
      </c>
      <c r="E156" s="12" t="s">
        <v>28</v>
      </c>
      <c r="F156" s="13">
        <v>13488.927777236053</v>
      </c>
      <c r="G156" s="14">
        <v>1732422.3952994847</v>
      </c>
      <c r="H156" s="24" t="str">
        <f t="shared" si="20"/>
        <v>PRSP</v>
      </c>
      <c r="I156" s="24" t="str">
        <f t="shared" si="28"/>
        <v>PRMG</v>
      </c>
      <c r="J156" s="24" t="str">
        <f t="shared" si="28"/>
        <v>PRES</v>
      </c>
      <c r="K156" s="24" t="str">
        <f t="shared" si="28"/>
        <v>PRSC</v>
      </c>
      <c r="L156" s="24" t="str">
        <f t="shared" si="28"/>
        <v>PRRJ</v>
      </c>
      <c r="M156" s="24" t="str">
        <f t="shared" si="28"/>
        <v>PRPR</v>
      </c>
      <c r="N156" s="24" t="str">
        <f t="shared" si="28"/>
        <v>PRAM</v>
      </c>
      <c r="O156" s="24">
        <f>VLOOKUP(H156, KM!$A:$E, 5, 0)</f>
        <v>408</v>
      </c>
      <c r="P156" s="24">
        <f>VLOOKUP(I156, KM!$A:$E, 5, 0)</f>
        <v>1004</v>
      </c>
      <c r="Q156" s="24">
        <f>VLOOKUP(J156, KM!$A:$E, 5, 0)</f>
        <v>1300</v>
      </c>
      <c r="R156" s="24">
        <f>VLOOKUP(K156, KM!$A:$E, 5, 0)</f>
        <v>300</v>
      </c>
      <c r="S156" s="24">
        <f>VLOOKUP(L156, KM!$A:$E, 5, 0)</f>
        <v>852</v>
      </c>
      <c r="T156" s="24">
        <f>VLOOKUP(M156, KM!$A:$E, 5, 0)</f>
        <v>0</v>
      </c>
      <c r="U156" s="24">
        <f>VLOOKUP(N156, KM!$A:$E, 5, 0)</f>
        <v>4036</v>
      </c>
      <c r="V156" s="24">
        <f>VLOOKUP(H156, IMPOSTO!$A:$D, 4, 0)</f>
        <v>0.12</v>
      </c>
      <c r="W156" s="24">
        <f>VLOOKUP(I156, IMPOSTO!$A:$D, 4, 0)</f>
        <v>0.12</v>
      </c>
      <c r="X156" s="24">
        <f>VLOOKUP(J156, IMPOSTO!$A:$D, 4, 0)</f>
        <v>7.0000000000000007E-2</v>
      </c>
      <c r="Y156" s="24">
        <f>VLOOKUP(K156, IMPOSTO!$A:$D, 4, 0)</f>
        <v>0.12</v>
      </c>
      <c r="Z156" s="24">
        <f>VLOOKUP(L156, IMPOSTO!$A:$D, 4, 0)</f>
        <v>0.12</v>
      </c>
      <c r="AA156" s="24">
        <f>VLOOKUP(M156, IMPOSTO!$A:$D, 4, 0)</f>
        <v>0.18</v>
      </c>
      <c r="AB156" s="24">
        <f>VLOOKUP(N156, IMPOSTO!$A:$D, 4, 0)</f>
        <v>7.0000000000000007E-2</v>
      </c>
      <c r="AC156" s="25">
        <f t="shared" si="21"/>
        <v>1968708.1764766872</v>
      </c>
      <c r="AD156" s="25">
        <f t="shared" si="22"/>
        <v>1968775.9037494143</v>
      </c>
      <c r="AE156" s="25">
        <f t="shared" si="23"/>
        <v>1862959.5648381556</v>
      </c>
      <c r="AF156" s="25">
        <f t="shared" si="24"/>
        <v>1968695.9037494145</v>
      </c>
      <c r="AG156" s="25">
        <f t="shared" si="25"/>
        <v>1968758.6310221418</v>
      </c>
      <c r="AH156" s="25">
        <f t="shared" si="26"/>
        <v>2112710.2381701032</v>
      </c>
      <c r="AI156" s="25">
        <f t="shared" si="27"/>
        <v>1863253.758386543</v>
      </c>
    </row>
    <row r="157" spans="1:35" ht="15.75" customHeight="1">
      <c r="A157" s="12" t="s">
        <v>141</v>
      </c>
      <c r="B157" s="12" t="s">
        <v>142</v>
      </c>
      <c r="C157" s="12" t="s">
        <v>143</v>
      </c>
      <c r="D157" s="12" t="s">
        <v>33</v>
      </c>
      <c r="E157" s="12" t="s">
        <v>28</v>
      </c>
      <c r="F157" s="13">
        <v>3.9988000000000001</v>
      </c>
      <c r="G157" s="14">
        <v>404.20870099999996</v>
      </c>
      <c r="H157" s="24" t="str">
        <f t="shared" si="20"/>
        <v>PRSP</v>
      </c>
      <c r="I157" s="24" t="str">
        <f t="shared" si="28"/>
        <v>PRMG</v>
      </c>
      <c r="J157" s="24" t="str">
        <f t="shared" si="28"/>
        <v>PRES</v>
      </c>
      <c r="K157" s="24" t="str">
        <f t="shared" si="28"/>
        <v>PRSC</v>
      </c>
      <c r="L157" s="24" t="str">
        <f t="shared" si="28"/>
        <v>PRRJ</v>
      </c>
      <c r="M157" s="24" t="str">
        <f t="shared" si="28"/>
        <v>PRPR</v>
      </c>
      <c r="N157" s="24" t="str">
        <f t="shared" si="28"/>
        <v>PRAM</v>
      </c>
      <c r="O157" s="24">
        <f>VLOOKUP(H157, KM!$A:$E, 5, 0)</f>
        <v>408</v>
      </c>
      <c r="P157" s="24">
        <f>VLOOKUP(I157, KM!$A:$E, 5, 0)</f>
        <v>1004</v>
      </c>
      <c r="Q157" s="24">
        <f>VLOOKUP(J157, KM!$A:$E, 5, 0)</f>
        <v>1300</v>
      </c>
      <c r="R157" s="24">
        <f>VLOOKUP(K157, KM!$A:$E, 5, 0)</f>
        <v>300</v>
      </c>
      <c r="S157" s="24">
        <f>VLOOKUP(L157, KM!$A:$E, 5, 0)</f>
        <v>852</v>
      </c>
      <c r="T157" s="24">
        <f>VLOOKUP(M157, KM!$A:$E, 5, 0)</f>
        <v>0</v>
      </c>
      <c r="U157" s="24">
        <f>VLOOKUP(N157, KM!$A:$E, 5, 0)</f>
        <v>4036</v>
      </c>
      <c r="V157" s="24">
        <f>VLOOKUP(H157, IMPOSTO!$A:$D, 4, 0)</f>
        <v>0.12</v>
      </c>
      <c r="W157" s="24">
        <f>VLOOKUP(I157, IMPOSTO!$A:$D, 4, 0)</f>
        <v>0.12</v>
      </c>
      <c r="X157" s="24">
        <f>VLOOKUP(J157, IMPOSTO!$A:$D, 4, 0)</f>
        <v>7.0000000000000007E-2</v>
      </c>
      <c r="Y157" s="24">
        <f>VLOOKUP(K157, IMPOSTO!$A:$D, 4, 0)</f>
        <v>0.12</v>
      </c>
      <c r="Z157" s="24">
        <f>VLOOKUP(L157, IMPOSTO!$A:$D, 4, 0)</f>
        <v>0.12</v>
      </c>
      <c r="AA157" s="24">
        <f>VLOOKUP(M157, IMPOSTO!$A:$D, 4, 0)</f>
        <v>0.18</v>
      </c>
      <c r="AB157" s="24">
        <f>VLOOKUP(N157, IMPOSTO!$A:$D, 4, 0)</f>
        <v>7.0000000000000007E-2</v>
      </c>
      <c r="AC157" s="25">
        <f t="shared" si="21"/>
        <v>505.69170568181818</v>
      </c>
      <c r="AD157" s="25">
        <f t="shared" si="22"/>
        <v>573.41897840909087</v>
      </c>
      <c r="AE157" s="25">
        <f t="shared" si="23"/>
        <v>574.41795806451614</v>
      </c>
      <c r="AF157" s="25">
        <f t="shared" si="24"/>
        <v>493.41897840909087</v>
      </c>
      <c r="AG157" s="25">
        <f t="shared" si="25"/>
        <v>556.14625113636362</v>
      </c>
      <c r="AH157" s="25">
        <f t="shared" si="26"/>
        <v>492.93744024390236</v>
      </c>
      <c r="AI157" s="25">
        <f t="shared" si="27"/>
        <v>868.61150645161285</v>
      </c>
    </row>
    <row r="158" spans="1:35" ht="15.75" customHeight="1">
      <c r="A158" s="12" t="s">
        <v>129</v>
      </c>
      <c r="B158" s="12" t="s">
        <v>130</v>
      </c>
      <c r="C158" s="12" t="s">
        <v>69</v>
      </c>
      <c r="D158" s="12" t="s">
        <v>33</v>
      </c>
      <c r="E158" s="12" t="s">
        <v>28</v>
      </c>
      <c r="F158" s="13">
        <v>17.16557992831541</v>
      </c>
      <c r="G158" s="14">
        <v>3645.0932189307687</v>
      </c>
      <c r="H158" s="24" t="str">
        <f t="shared" si="20"/>
        <v>PRSP</v>
      </c>
      <c r="I158" s="24" t="str">
        <f t="shared" si="28"/>
        <v>PRMG</v>
      </c>
      <c r="J158" s="24" t="str">
        <f t="shared" si="28"/>
        <v>PRES</v>
      </c>
      <c r="K158" s="24" t="str">
        <f t="shared" si="28"/>
        <v>PRSC</v>
      </c>
      <c r="L158" s="24" t="str">
        <f t="shared" si="28"/>
        <v>PRRJ</v>
      </c>
      <c r="M158" s="24" t="str">
        <f t="shared" si="28"/>
        <v>PRPR</v>
      </c>
      <c r="N158" s="24" t="str">
        <f t="shared" si="28"/>
        <v>PRAM</v>
      </c>
      <c r="O158" s="24">
        <f>VLOOKUP(H158, KM!$A:$E, 5, 0)</f>
        <v>408</v>
      </c>
      <c r="P158" s="24">
        <f>VLOOKUP(I158, KM!$A:$E, 5, 0)</f>
        <v>1004</v>
      </c>
      <c r="Q158" s="24">
        <f>VLOOKUP(J158, KM!$A:$E, 5, 0)</f>
        <v>1300</v>
      </c>
      <c r="R158" s="24">
        <f>VLOOKUP(K158, KM!$A:$E, 5, 0)</f>
        <v>300</v>
      </c>
      <c r="S158" s="24">
        <f>VLOOKUP(L158, KM!$A:$E, 5, 0)</f>
        <v>852</v>
      </c>
      <c r="T158" s="24">
        <f>VLOOKUP(M158, KM!$A:$E, 5, 0)</f>
        <v>0</v>
      </c>
      <c r="U158" s="24">
        <f>VLOOKUP(N158, KM!$A:$E, 5, 0)</f>
        <v>4036</v>
      </c>
      <c r="V158" s="24">
        <f>VLOOKUP(H158, IMPOSTO!$A:$D, 4, 0)</f>
        <v>0.12</v>
      </c>
      <c r="W158" s="24">
        <f>VLOOKUP(I158, IMPOSTO!$A:$D, 4, 0)</f>
        <v>0.12</v>
      </c>
      <c r="X158" s="24">
        <f>VLOOKUP(J158, IMPOSTO!$A:$D, 4, 0)</f>
        <v>7.0000000000000007E-2</v>
      </c>
      <c r="Y158" s="24">
        <f>VLOOKUP(K158, IMPOSTO!$A:$D, 4, 0)</f>
        <v>0.12</v>
      </c>
      <c r="Z158" s="24">
        <f>VLOOKUP(L158, IMPOSTO!$A:$D, 4, 0)</f>
        <v>0.12</v>
      </c>
      <c r="AA158" s="24">
        <f>VLOOKUP(M158, IMPOSTO!$A:$D, 4, 0)</f>
        <v>0.18</v>
      </c>
      <c r="AB158" s="24">
        <f>VLOOKUP(N158, IMPOSTO!$A:$D, 4, 0)</f>
        <v>7.0000000000000007E-2</v>
      </c>
      <c r="AC158" s="25">
        <f t="shared" si="21"/>
        <v>4188.5150215122376</v>
      </c>
      <c r="AD158" s="25">
        <f t="shared" si="22"/>
        <v>4256.2422942395096</v>
      </c>
      <c r="AE158" s="25">
        <f t="shared" si="23"/>
        <v>4059.2400203556654</v>
      </c>
      <c r="AF158" s="25">
        <f t="shared" si="24"/>
        <v>4176.2422942395096</v>
      </c>
      <c r="AG158" s="25">
        <f t="shared" si="25"/>
        <v>4238.9695669667826</v>
      </c>
      <c r="AH158" s="25">
        <f t="shared" si="26"/>
        <v>4445.2356328424003</v>
      </c>
      <c r="AI158" s="25">
        <f t="shared" si="27"/>
        <v>4353.433568742762</v>
      </c>
    </row>
    <row r="159" spans="1:35" ht="15.75" customHeight="1">
      <c r="A159" s="12" t="s">
        <v>154</v>
      </c>
      <c r="B159" s="12" t="s">
        <v>155</v>
      </c>
      <c r="C159" s="12" t="s">
        <v>81</v>
      </c>
      <c r="D159" s="12" t="s">
        <v>50</v>
      </c>
      <c r="E159" s="12" t="s">
        <v>28</v>
      </c>
      <c r="F159" s="13">
        <v>595</v>
      </c>
      <c r="G159" s="14">
        <v>34791.792000000001</v>
      </c>
      <c r="H159" s="24" t="str">
        <f t="shared" si="20"/>
        <v>PRSP</v>
      </c>
      <c r="I159" s="24" t="str">
        <f t="shared" si="28"/>
        <v>PRMG</v>
      </c>
      <c r="J159" s="24" t="str">
        <f t="shared" si="28"/>
        <v>PRES</v>
      </c>
      <c r="K159" s="24" t="str">
        <f t="shared" si="28"/>
        <v>PRSC</v>
      </c>
      <c r="L159" s="24" t="str">
        <f t="shared" si="28"/>
        <v>PRRJ</v>
      </c>
      <c r="M159" s="24" t="str">
        <f t="shared" si="28"/>
        <v>PRPR</v>
      </c>
      <c r="N159" s="24" t="str">
        <f t="shared" si="28"/>
        <v>PRAM</v>
      </c>
      <c r="O159" s="24">
        <f>VLOOKUP(H159, KM!$A:$E, 5, 0)</f>
        <v>408</v>
      </c>
      <c r="P159" s="24">
        <f>VLOOKUP(I159, KM!$A:$E, 5, 0)</f>
        <v>1004</v>
      </c>
      <c r="Q159" s="24">
        <f>VLOOKUP(J159, KM!$A:$E, 5, 0)</f>
        <v>1300</v>
      </c>
      <c r="R159" s="24">
        <f>VLOOKUP(K159, KM!$A:$E, 5, 0)</f>
        <v>300</v>
      </c>
      <c r="S159" s="24">
        <f>VLOOKUP(L159, KM!$A:$E, 5, 0)</f>
        <v>852</v>
      </c>
      <c r="T159" s="24">
        <f>VLOOKUP(M159, KM!$A:$E, 5, 0)</f>
        <v>0</v>
      </c>
      <c r="U159" s="24">
        <f>VLOOKUP(N159, KM!$A:$E, 5, 0)</f>
        <v>4036</v>
      </c>
      <c r="V159" s="24">
        <f>VLOOKUP(H159, IMPOSTO!$A:$D, 4, 0)</f>
        <v>0.12</v>
      </c>
      <c r="W159" s="24">
        <f>VLOOKUP(I159, IMPOSTO!$A:$D, 4, 0)</f>
        <v>0.12</v>
      </c>
      <c r="X159" s="24">
        <f>VLOOKUP(J159, IMPOSTO!$A:$D, 4, 0)</f>
        <v>7.0000000000000007E-2</v>
      </c>
      <c r="Y159" s="24">
        <f>VLOOKUP(K159, IMPOSTO!$A:$D, 4, 0)</f>
        <v>0.12</v>
      </c>
      <c r="Z159" s="24">
        <f>VLOOKUP(L159, IMPOSTO!$A:$D, 4, 0)</f>
        <v>0.12</v>
      </c>
      <c r="AA159" s="24">
        <f>VLOOKUP(M159, IMPOSTO!$A:$D, 4, 0)</f>
        <v>0.18</v>
      </c>
      <c r="AB159" s="24">
        <f>VLOOKUP(N159, IMPOSTO!$A:$D, 4, 0)</f>
        <v>7.0000000000000007E-2</v>
      </c>
      <c r="AC159" s="25">
        <f t="shared" si="21"/>
        <v>39582.490909090913</v>
      </c>
      <c r="AD159" s="25">
        <f t="shared" si="22"/>
        <v>39650.218181818185</v>
      </c>
      <c r="AE159" s="25">
        <f t="shared" si="23"/>
        <v>37550.313978494625</v>
      </c>
      <c r="AF159" s="25">
        <f t="shared" si="24"/>
        <v>39570.218181818185</v>
      </c>
      <c r="AG159" s="25">
        <f t="shared" si="25"/>
        <v>39632.94545454545</v>
      </c>
      <c r="AH159" s="25">
        <f t="shared" si="26"/>
        <v>42429.014634146341</v>
      </c>
      <c r="AI159" s="25">
        <f t="shared" si="27"/>
        <v>37844.507526881724</v>
      </c>
    </row>
    <row r="160" spans="1:35" ht="15.75" customHeight="1">
      <c r="A160" s="12" t="s">
        <v>126</v>
      </c>
      <c r="B160" s="12" t="s">
        <v>127</v>
      </c>
      <c r="C160" s="12" t="s">
        <v>128</v>
      </c>
      <c r="D160" s="12" t="s">
        <v>33</v>
      </c>
      <c r="E160" s="12" t="s">
        <v>28</v>
      </c>
      <c r="F160" s="13">
        <v>3.9988000000000001</v>
      </c>
      <c r="G160" s="14">
        <v>448.67535700000008</v>
      </c>
      <c r="H160" s="24" t="str">
        <f t="shared" si="20"/>
        <v>PRSP</v>
      </c>
      <c r="I160" s="24" t="str">
        <f t="shared" si="28"/>
        <v>PRMG</v>
      </c>
      <c r="J160" s="24" t="str">
        <f t="shared" si="28"/>
        <v>PRES</v>
      </c>
      <c r="K160" s="24" t="str">
        <f t="shared" si="28"/>
        <v>PRSC</v>
      </c>
      <c r="L160" s="24" t="str">
        <f t="shared" si="28"/>
        <v>PRRJ</v>
      </c>
      <c r="M160" s="24" t="str">
        <f t="shared" si="28"/>
        <v>PRPR</v>
      </c>
      <c r="N160" s="24" t="str">
        <f t="shared" si="28"/>
        <v>PRAM</v>
      </c>
      <c r="O160" s="24">
        <f>VLOOKUP(H160, KM!$A:$E, 5, 0)</f>
        <v>408</v>
      </c>
      <c r="P160" s="24">
        <f>VLOOKUP(I160, KM!$A:$E, 5, 0)</f>
        <v>1004</v>
      </c>
      <c r="Q160" s="24">
        <f>VLOOKUP(J160, KM!$A:$E, 5, 0)</f>
        <v>1300</v>
      </c>
      <c r="R160" s="24">
        <f>VLOOKUP(K160, KM!$A:$E, 5, 0)</f>
        <v>300</v>
      </c>
      <c r="S160" s="24">
        <f>VLOOKUP(L160, KM!$A:$E, 5, 0)</f>
        <v>852</v>
      </c>
      <c r="T160" s="24">
        <f>VLOOKUP(M160, KM!$A:$E, 5, 0)</f>
        <v>0</v>
      </c>
      <c r="U160" s="24">
        <f>VLOOKUP(N160, KM!$A:$E, 5, 0)</f>
        <v>4036</v>
      </c>
      <c r="V160" s="24">
        <f>VLOOKUP(H160, IMPOSTO!$A:$D, 4, 0)</f>
        <v>0.12</v>
      </c>
      <c r="W160" s="24">
        <f>VLOOKUP(I160, IMPOSTO!$A:$D, 4, 0)</f>
        <v>0.12</v>
      </c>
      <c r="X160" s="24">
        <f>VLOOKUP(J160, IMPOSTO!$A:$D, 4, 0)</f>
        <v>7.0000000000000007E-2</v>
      </c>
      <c r="Y160" s="24">
        <f>VLOOKUP(K160, IMPOSTO!$A:$D, 4, 0)</f>
        <v>0.12</v>
      </c>
      <c r="Z160" s="24">
        <f>VLOOKUP(L160, IMPOSTO!$A:$D, 4, 0)</f>
        <v>0.12</v>
      </c>
      <c r="AA160" s="24">
        <f>VLOOKUP(M160, IMPOSTO!$A:$D, 4, 0)</f>
        <v>0.18</v>
      </c>
      <c r="AB160" s="24">
        <f>VLOOKUP(N160, IMPOSTO!$A:$D, 4, 0)</f>
        <v>7.0000000000000007E-2</v>
      </c>
      <c r="AC160" s="25">
        <f t="shared" si="21"/>
        <v>556.22199659090916</v>
      </c>
      <c r="AD160" s="25">
        <f t="shared" si="22"/>
        <v>623.9492693181819</v>
      </c>
      <c r="AE160" s="25">
        <f t="shared" si="23"/>
        <v>622.23156666666682</v>
      </c>
      <c r="AF160" s="25">
        <f t="shared" si="24"/>
        <v>543.9492693181819</v>
      </c>
      <c r="AG160" s="25">
        <f t="shared" si="25"/>
        <v>606.67654204545465</v>
      </c>
      <c r="AH160" s="25">
        <f t="shared" si="26"/>
        <v>547.16506951219515</v>
      </c>
      <c r="AI160" s="25">
        <f t="shared" si="27"/>
        <v>916.42511505376365</v>
      </c>
    </row>
    <row r="161" spans="1:35" ht="15.75" customHeight="1">
      <c r="A161" s="12" t="s">
        <v>144</v>
      </c>
      <c r="B161" s="12" t="s">
        <v>145</v>
      </c>
      <c r="C161" s="12" t="s">
        <v>57</v>
      </c>
      <c r="D161" s="12" t="s">
        <v>33</v>
      </c>
      <c r="E161" s="12" t="s">
        <v>28</v>
      </c>
      <c r="F161" s="13">
        <v>0.91227118644067795</v>
      </c>
      <c r="G161" s="14">
        <v>7.1146394627438472</v>
      </c>
      <c r="H161" s="24" t="str">
        <f t="shared" si="20"/>
        <v>PRSP</v>
      </c>
      <c r="I161" s="24" t="str">
        <f t="shared" si="28"/>
        <v>PRMG</v>
      </c>
      <c r="J161" s="24" t="str">
        <f t="shared" si="28"/>
        <v>PRES</v>
      </c>
      <c r="K161" s="24" t="str">
        <f t="shared" si="28"/>
        <v>PRSC</v>
      </c>
      <c r="L161" s="24" t="str">
        <f t="shared" si="28"/>
        <v>PRRJ</v>
      </c>
      <c r="M161" s="24" t="str">
        <f t="shared" si="28"/>
        <v>PRPR</v>
      </c>
      <c r="N161" s="24" t="str">
        <f t="shared" si="28"/>
        <v>PRAM</v>
      </c>
      <c r="O161" s="24">
        <f>VLOOKUP(H161, KM!$A:$E, 5, 0)</f>
        <v>408</v>
      </c>
      <c r="P161" s="24">
        <f>VLOOKUP(I161, KM!$A:$E, 5, 0)</f>
        <v>1004</v>
      </c>
      <c r="Q161" s="24">
        <f>VLOOKUP(J161, KM!$A:$E, 5, 0)</f>
        <v>1300</v>
      </c>
      <c r="R161" s="24">
        <f>VLOOKUP(K161, KM!$A:$E, 5, 0)</f>
        <v>300</v>
      </c>
      <c r="S161" s="24">
        <f>VLOOKUP(L161, KM!$A:$E, 5, 0)</f>
        <v>852</v>
      </c>
      <c r="T161" s="24">
        <f>VLOOKUP(M161, KM!$A:$E, 5, 0)</f>
        <v>0</v>
      </c>
      <c r="U161" s="24">
        <f>VLOOKUP(N161, KM!$A:$E, 5, 0)</f>
        <v>4036</v>
      </c>
      <c r="V161" s="24">
        <f>VLOOKUP(H161, IMPOSTO!$A:$D, 4, 0)</f>
        <v>0.12</v>
      </c>
      <c r="W161" s="24">
        <f>VLOOKUP(I161, IMPOSTO!$A:$D, 4, 0)</f>
        <v>0.12</v>
      </c>
      <c r="X161" s="24">
        <f>VLOOKUP(J161, IMPOSTO!$A:$D, 4, 0)</f>
        <v>7.0000000000000007E-2</v>
      </c>
      <c r="Y161" s="24">
        <f>VLOOKUP(K161, IMPOSTO!$A:$D, 4, 0)</f>
        <v>0.12</v>
      </c>
      <c r="Z161" s="24">
        <f>VLOOKUP(L161, IMPOSTO!$A:$D, 4, 0)</f>
        <v>0.12</v>
      </c>
      <c r="AA161" s="24">
        <f>VLOOKUP(M161, IMPOSTO!$A:$D, 4, 0)</f>
        <v>0.18</v>
      </c>
      <c r="AB161" s="24">
        <f>VLOOKUP(N161, IMPOSTO!$A:$D, 4, 0)</f>
        <v>7.0000000000000007E-2</v>
      </c>
      <c r="AC161" s="25">
        <f t="shared" si="21"/>
        <v>54.44845393493619</v>
      </c>
      <c r="AD161" s="25">
        <f t="shared" si="22"/>
        <v>122.17572666220893</v>
      </c>
      <c r="AE161" s="25">
        <f t="shared" si="23"/>
        <v>147.43509619649876</v>
      </c>
      <c r="AF161" s="25">
        <f t="shared" si="24"/>
        <v>42.175726662208916</v>
      </c>
      <c r="AG161" s="25">
        <f t="shared" si="25"/>
        <v>104.90299938948165</v>
      </c>
      <c r="AH161" s="25">
        <f t="shared" si="26"/>
        <v>8.6763895887120075</v>
      </c>
      <c r="AI161" s="25">
        <f t="shared" si="27"/>
        <v>441.62864458359559</v>
      </c>
    </row>
    <row r="162" spans="1:35" ht="15.75" customHeight="1">
      <c r="A162" s="12" t="s">
        <v>156</v>
      </c>
      <c r="B162" s="12" t="s">
        <v>157</v>
      </c>
      <c r="C162" s="12" t="s">
        <v>69</v>
      </c>
      <c r="D162" s="12" t="s">
        <v>33</v>
      </c>
      <c r="E162" s="12" t="s">
        <v>28</v>
      </c>
      <c r="F162" s="13">
        <v>3977.9999999999991</v>
      </c>
      <c r="G162" s="14">
        <v>823350.52095097443</v>
      </c>
      <c r="H162" s="24" t="str">
        <f t="shared" si="20"/>
        <v>PRSP</v>
      </c>
      <c r="I162" s="24" t="str">
        <f t="shared" si="28"/>
        <v>PRMG</v>
      </c>
      <c r="J162" s="24" t="str">
        <f t="shared" si="28"/>
        <v>PRES</v>
      </c>
      <c r="K162" s="24" t="str">
        <f t="shared" si="28"/>
        <v>PRSC</v>
      </c>
      <c r="L162" s="24" t="str">
        <f t="shared" si="28"/>
        <v>PRRJ</v>
      </c>
      <c r="M162" s="24" t="str">
        <f t="shared" si="28"/>
        <v>PRPR</v>
      </c>
      <c r="N162" s="24" t="str">
        <f t="shared" si="28"/>
        <v>PRAM</v>
      </c>
      <c r="O162" s="24">
        <f>VLOOKUP(H162, KM!$A:$E, 5, 0)</f>
        <v>408</v>
      </c>
      <c r="P162" s="24">
        <f>VLOOKUP(I162, KM!$A:$E, 5, 0)</f>
        <v>1004</v>
      </c>
      <c r="Q162" s="24">
        <f>VLOOKUP(J162, KM!$A:$E, 5, 0)</f>
        <v>1300</v>
      </c>
      <c r="R162" s="24">
        <f>VLOOKUP(K162, KM!$A:$E, 5, 0)</f>
        <v>300</v>
      </c>
      <c r="S162" s="24">
        <f>VLOOKUP(L162, KM!$A:$E, 5, 0)</f>
        <v>852</v>
      </c>
      <c r="T162" s="24">
        <f>VLOOKUP(M162, KM!$A:$E, 5, 0)</f>
        <v>0</v>
      </c>
      <c r="U162" s="24">
        <f>VLOOKUP(N162, KM!$A:$E, 5, 0)</f>
        <v>4036</v>
      </c>
      <c r="V162" s="24">
        <f>VLOOKUP(H162, IMPOSTO!$A:$D, 4, 0)</f>
        <v>0.12</v>
      </c>
      <c r="W162" s="24">
        <f>VLOOKUP(I162, IMPOSTO!$A:$D, 4, 0)</f>
        <v>0.12</v>
      </c>
      <c r="X162" s="24">
        <f>VLOOKUP(J162, IMPOSTO!$A:$D, 4, 0)</f>
        <v>7.0000000000000007E-2</v>
      </c>
      <c r="Y162" s="24">
        <f>VLOOKUP(K162, IMPOSTO!$A:$D, 4, 0)</f>
        <v>0.12</v>
      </c>
      <c r="Z162" s="24">
        <f>VLOOKUP(L162, IMPOSTO!$A:$D, 4, 0)</f>
        <v>0.12</v>
      </c>
      <c r="AA162" s="24">
        <f>VLOOKUP(M162, IMPOSTO!$A:$D, 4, 0)</f>
        <v>0.18</v>
      </c>
      <c r="AB162" s="24">
        <f>VLOOKUP(N162, IMPOSTO!$A:$D, 4, 0)</f>
        <v>7.0000000000000007E-2</v>
      </c>
      <c r="AC162" s="25">
        <f t="shared" si="21"/>
        <v>935671.9556261074</v>
      </c>
      <c r="AD162" s="25">
        <f t="shared" si="22"/>
        <v>935739.68289883458</v>
      </c>
      <c r="AE162" s="25">
        <f t="shared" si="23"/>
        <v>885462.92575373605</v>
      </c>
      <c r="AF162" s="25">
        <f t="shared" si="24"/>
        <v>935659.68289883458</v>
      </c>
      <c r="AG162" s="25">
        <f t="shared" si="25"/>
        <v>935722.41017156176</v>
      </c>
      <c r="AH162" s="25">
        <f t="shared" si="26"/>
        <v>1004086.0011597249</v>
      </c>
      <c r="AI162" s="25">
        <f t="shared" si="27"/>
        <v>885757.11930212309</v>
      </c>
    </row>
    <row r="163" spans="1:35" ht="15.75" customHeight="1">
      <c r="A163" s="12" t="s">
        <v>138</v>
      </c>
      <c r="B163" s="12" t="s">
        <v>139</v>
      </c>
      <c r="C163" s="12" t="s">
        <v>140</v>
      </c>
      <c r="D163" s="12" t="s">
        <v>33</v>
      </c>
      <c r="E163" s="12" t="s">
        <v>28</v>
      </c>
      <c r="F163" s="13">
        <v>1.9424999999999999</v>
      </c>
      <c r="G163" s="14">
        <v>105.70894037630538</v>
      </c>
      <c r="H163" s="24" t="str">
        <f t="shared" si="20"/>
        <v>PRSP</v>
      </c>
      <c r="I163" s="24" t="str">
        <f t="shared" si="28"/>
        <v>PRMG</v>
      </c>
      <c r="J163" s="24" t="str">
        <f t="shared" si="28"/>
        <v>PRES</v>
      </c>
      <c r="K163" s="24" t="str">
        <f t="shared" si="28"/>
        <v>PRSC</v>
      </c>
      <c r="L163" s="24" t="str">
        <f t="shared" si="28"/>
        <v>PRRJ</v>
      </c>
      <c r="M163" s="24" t="str">
        <f t="shared" si="28"/>
        <v>PRPR</v>
      </c>
      <c r="N163" s="24" t="str">
        <f t="shared" si="28"/>
        <v>PRAM</v>
      </c>
      <c r="O163" s="24">
        <f>VLOOKUP(H163, KM!$A:$E, 5, 0)</f>
        <v>408</v>
      </c>
      <c r="P163" s="24">
        <f>VLOOKUP(I163, KM!$A:$E, 5, 0)</f>
        <v>1004</v>
      </c>
      <c r="Q163" s="24">
        <f>VLOOKUP(J163, KM!$A:$E, 5, 0)</f>
        <v>1300</v>
      </c>
      <c r="R163" s="24">
        <f>VLOOKUP(K163, KM!$A:$E, 5, 0)</f>
        <v>300</v>
      </c>
      <c r="S163" s="24">
        <f>VLOOKUP(L163, KM!$A:$E, 5, 0)</f>
        <v>852</v>
      </c>
      <c r="T163" s="24">
        <f>VLOOKUP(M163, KM!$A:$E, 5, 0)</f>
        <v>0</v>
      </c>
      <c r="U163" s="24">
        <f>VLOOKUP(N163, KM!$A:$E, 5, 0)</f>
        <v>4036</v>
      </c>
      <c r="V163" s="24">
        <f>VLOOKUP(H163, IMPOSTO!$A:$D, 4, 0)</f>
        <v>0.12</v>
      </c>
      <c r="W163" s="24">
        <f>VLOOKUP(I163, IMPOSTO!$A:$D, 4, 0)</f>
        <v>0.12</v>
      </c>
      <c r="X163" s="24">
        <f>VLOOKUP(J163, IMPOSTO!$A:$D, 4, 0)</f>
        <v>7.0000000000000007E-2</v>
      </c>
      <c r="Y163" s="24">
        <f>VLOOKUP(K163, IMPOSTO!$A:$D, 4, 0)</f>
        <v>0.12</v>
      </c>
      <c r="Z163" s="24">
        <f>VLOOKUP(L163, IMPOSTO!$A:$D, 4, 0)</f>
        <v>0.12</v>
      </c>
      <c r="AA163" s="24">
        <f>VLOOKUP(M163, IMPOSTO!$A:$D, 4, 0)</f>
        <v>0.18</v>
      </c>
      <c r="AB163" s="24">
        <f>VLOOKUP(N163, IMPOSTO!$A:$D, 4, 0)</f>
        <v>7.0000000000000007E-2</v>
      </c>
      <c r="AC163" s="25">
        <f t="shared" si="21"/>
        <v>166.48743224580159</v>
      </c>
      <c r="AD163" s="25">
        <f t="shared" si="22"/>
        <v>234.2147049730743</v>
      </c>
      <c r="AE163" s="25">
        <f t="shared" si="23"/>
        <v>253.45047352290902</v>
      </c>
      <c r="AF163" s="25">
        <f t="shared" si="24"/>
        <v>154.2147049730743</v>
      </c>
      <c r="AG163" s="25">
        <f t="shared" si="25"/>
        <v>216.94197770034705</v>
      </c>
      <c r="AH163" s="25">
        <f t="shared" si="26"/>
        <v>128.91334192232361</v>
      </c>
      <c r="AI163" s="25">
        <f t="shared" si="27"/>
        <v>547.64402191000579</v>
      </c>
    </row>
    <row r="164" spans="1:35" ht="15.75" customHeight="1">
      <c r="A164" s="12" t="s">
        <v>138</v>
      </c>
      <c r="B164" s="12" t="s">
        <v>139</v>
      </c>
      <c r="C164" s="12" t="s">
        <v>140</v>
      </c>
      <c r="D164" s="12" t="s">
        <v>33</v>
      </c>
      <c r="E164" s="12" t="s">
        <v>28</v>
      </c>
      <c r="F164" s="13">
        <v>495.89249999999998</v>
      </c>
      <c r="G164" s="14">
        <v>26985.982350351103</v>
      </c>
      <c r="H164" s="24" t="str">
        <f t="shared" si="20"/>
        <v>PRSP</v>
      </c>
      <c r="I164" s="24" t="str">
        <f t="shared" si="28"/>
        <v>PRMG</v>
      </c>
      <c r="J164" s="24" t="str">
        <f t="shared" si="28"/>
        <v>PRES</v>
      </c>
      <c r="K164" s="24" t="str">
        <f t="shared" si="28"/>
        <v>PRSC</v>
      </c>
      <c r="L164" s="24" t="str">
        <f t="shared" si="28"/>
        <v>PRRJ</v>
      </c>
      <c r="M164" s="24" t="str">
        <f t="shared" si="28"/>
        <v>PRPR</v>
      </c>
      <c r="N164" s="24" t="str">
        <f t="shared" si="28"/>
        <v>PRAM</v>
      </c>
      <c r="O164" s="24">
        <f>VLOOKUP(H164, KM!$A:$E, 5, 0)</f>
        <v>408</v>
      </c>
      <c r="P164" s="24">
        <f>VLOOKUP(I164, KM!$A:$E, 5, 0)</f>
        <v>1004</v>
      </c>
      <c r="Q164" s="24">
        <f>VLOOKUP(J164, KM!$A:$E, 5, 0)</f>
        <v>1300</v>
      </c>
      <c r="R164" s="24">
        <f>VLOOKUP(K164, KM!$A:$E, 5, 0)</f>
        <v>300</v>
      </c>
      <c r="S164" s="24">
        <f>VLOOKUP(L164, KM!$A:$E, 5, 0)</f>
        <v>852</v>
      </c>
      <c r="T164" s="24">
        <f>VLOOKUP(M164, KM!$A:$E, 5, 0)</f>
        <v>0</v>
      </c>
      <c r="U164" s="24">
        <f>VLOOKUP(N164, KM!$A:$E, 5, 0)</f>
        <v>4036</v>
      </c>
      <c r="V164" s="24">
        <f>VLOOKUP(H164, IMPOSTO!$A:$D, 4, 0)</f>
        <v>0.12</v>
      </c>
      <c r="W164" s="24">
        <f>VLOOKUP(I164, IMPOSTO!$A:$D, 4, 0)</f>
        <v>0.12</v>
      </c>
      <c r="X164" s="24">
        <f>VLOOKUP(J164, IMPOSTO!$A:$D, 4, 0)</f>
        <v>7.0000000000000007E-2</v>
      </c>
      <c r="Y164" s="24">
        <f>VLOOKUP(K164, IMPOSTO!$A:$D, 4, 0)</f>
        <v>0.12</v>
      </c>
      <c r="Z164" s="24">
        <f>VLOOKUP(L164, IMPOSTO!$A:$D, 4, 0)</f>
        <v>0.12</v>
      </c>
      <c r="AA164" s="24">
        <f>VLOOKUP(M164, IMPOSTO!$A:$D, 4, 0)</f>
        <v>0.18</v>
      </c>
      <c r="AB164" s="24">
        <f>VLOOKUP(N164, IMPOSTO!$A:$D, 4, 0)</f>
        <v>7.0000000000000007E-2</v>
      </c>
      <c r="AC164" s="25">
        <f t="shared" si="21"/>
        <v>30712.252670853526</v>
      </c>
      <c r="AD164" s="25">
        <f t="shared" si="22"/>
        <v>30779.979943580802</v>
      </c>
      <c r="AE164" s="25">
        <f t="shared" si="23"/>
        <v>29156.970269194735</v>
      </c>
      <c r="AF164" s="25">
        <f t="shared" si="24"/>
        <v>30699.979943580798</v>
      </c>
      <c r="AG164" s="25">
        <f t="shared" si="25"/>
        <v>30762.707216308074</v>
      </c>
      <c r="AH164" s="25">
        <f t="shared" si="26"/>
        <v>32909.734573598907</v>
      </c>
      <c r="AI164" s="25">
        <f t="shared" si="27"/>
        <v>29451.163817581833</v>
      </c>
    </row>
    <row r="165" spans="1:35" ht="15.75" customHeight="1">
      <c r="A165" s="12" t="s">
        <v>158</v>
      </c>
      <c r="B165" s="12" t="s">
        <v>159</v>
      </c>
      <c r="C165" s="12" t="s">
        <v>160</v>
      </c>
      <c r="D165" s="12" t="s">
        <v>33</v>
      </c>
      <c r="E165" s="12" t="s">
        <v>27</v>
      </c>
      <c r="F165" s="13">
        <v>1637.9999999999995</v>
      </c>
      <c r="G165" s="14">
        <v>96697.841374141164</v>
      </c>
      <c r="H165" s="24" t="str">
        <f t="shared" si="20"/>
        <v>RJSP</v>
      </c>
      <c r="I165" s="24" t="str">
        <f t="shared" si="28"/>
        <v>RJMG</v>
      </c>
      <c r="J165" s="24" t="str">
        <f t="shared" si="28"/>
        <v>RJES</v>
      </c>
      <c r="K165" s="24" t="str">
        <f t="shared" si="28"/>
        <v>RJSC</v>
      </c>
      <c r="L165" s="24" t="str">
        <f t="shared" si="28"/>
        <v>RJRJ</v>
      </c>
      <c r="M165" s="24" t="str">
        <f t="shared" si="28"/>
        <v>RJPR</v>
      </c>
      <c r="N165" s="24" t="str">
        <f t="shared" si="28"/>
        <v>RJAM</v>
      </c>
      <c r="O165" s="24">
        <f>VLOOKUP(H165, KM!$A:$E, 5, 0)</f>
        <v>429</v>
      </c>
      <c r="P165" s="24">
        <f>VLOOKUP(I165, KM!$A:$E, 5, 0)</f>
        <v>434</v>
      </c>
      <c r="Q165" s="24">
        <f>VLOOKUP(J165, KM!$A:$E, 5, 0)</f>
        <v>521</v>
      </c>
      <c r="R165" s="24">
        <f>VLOOKUP(K165, KM!$A:$E, 5, 0)</f>
        <v>1144</v>
      </c>
      <c r="S165" s="24">
        <f>VLOOKUP(L165, KM!$A:$E, 5, 0)</f>
        <v>0</v>
      </c>
      <c r="T165" s="24">
        <f>VLOOKUP(M165, KM!$A:$E, 5, 0)</f>
        <v>852</v>
      </c>
      <c r="U165" s="24">
        <f>VLOOKUP(N165, KM!$A:$E, 5, 0)</f>
        <v>4374</v>
      </c>
      <c r="V165" s="24">
        <f>VLOOKUP(H165, IMPOSTO!$A:$D, 4, 0)</f>
        <v>0.12</v>
      </c>
      <c r="W165" s="24">
        <f>VLOOKUP(I165, IMPOSTO!$A:$D, 4, 0)</f>
        <v>0.12</v>
      </c>
      <c r="X165" s="24">
        <f>VLOOKUP(J165, IMPOSTO!$A:$D, 4, 0)</f>
        <v>7.0000000000000007E-2</v>
      </c>
      <c r="Y165" s="24">
        <f>VLOOKUP(K165, IMPOSTO!$A:$D, 4, 0)</f>
        <v>0.12</v>
      </c>
      <c r="Z165" s="24">
        <f>VLOOKUP(L165, IMPOSTO!$A:$D, 4, 0)</f>
        <v>0.18</v>
      </c>
      <c r="AA165" s="24">
        <f>VLOOKUP(M165, IMPOSTO!$A:$D, 4, 0)</f>
        <v>0.12</v>
      </c>
      <c r="AB165" s="24">
        <f>VLOOKUP(N165, IMPOSTO!$A:$D, 4, 0)</f>
        <v>7.0000000000000007E-2</v>
      </c>
      <c r="AC165" s="25">
        <f t="shared" si="21"/>
        <v>109932.66065243313</v>
      </c>
      <c r="AD165" s="25">
        <f t="shared" si="22"/>
        <v>109933.22883425132</v>
      </c>
      <c r="AE165" s="25">
        <f t="shared" si="23"/>
        <v>104032.19502595825</v>
      </c>
      <c r="AF165" s="25">
        <f t="shared" si="24"/>
        <v>110013.91065243313</v>
      </c>
      <c r="AG165" s="25">
        <f t="shared" si="25"/>
        <v>117924.19679773312</v>
      </c>
      <c r="AH165" s="25">
        <f t="shared" si="26"/>
        <v>109980.72883425132</v>
      </c>
      <c r="AI165" s="25">
        <f t="shared" si="27"/>
        <v>104446.49610122707</v>
      </c>
    </row>
    <row r="166" spans="1:35" ht="15.75" customHeight="1">
      <c r="A166" s="12" t="s">
        <v>161</v>
      </c>
      <c r="B166" s="12" t="s">
        <v>162</v>
      </c>
      <c r="C166" s="12" t="s">
        <v>163</v>
      </c>
      <c r="D166" s="12" t="s">
        <v>33</v>
      </c>
      <c r="E166" s="12" t="s">
        <v>27</v>
      </c>
      <c r="F166" s="13">
        <v>33.285714285714285</v>
      </c>
      <c r="G166" s="14">
        <v>925.60914285714296</v>
      </c>
      <c r="H166" s="24" t="str">
        <f t="shared" si="20"/>
        <v>RJSP</v>
      </c>
      <c r="I166" s="24" t="str">
        <f t="shared" si="28"/>
        <v>RJMG</v>
      </c>
      <c r="J166" s="24" t="str">
        <f t="shared" si="28"/>
        <v>RJES</v>
      </c>
      <c r="K166" s="24" t="str">
        <f t="shared" si="28"/>
        <v>RJSC</v>
      </c>
      <c r="L166" s="24" t="str">
        <f t="shared" si="28"/>
        <v>RJRJ</v>
      </c>
      <c r="M166" s="24" t="str">
        <f t="shared" si="28"/>
        <v>RJPR</v>
      </c>
      <c r="N166" s="24" t="str">
        <f t="shared" si="28"/>
        <v>RJAM</v>
      </c>
      <c r="O166" s="24">
        <f>VLOOKUP(H166, KM!$A:$E, 5, 0)</f>
        <v>429</v>
      </c>
      <c r="P166" s="24">
        <f>VLOOKUP(I166, KM!$A:$E, 5, 0)</f>
        <v>434</v>
      </c>
      <c r="Q166" s="24">
        <f>VLOOKUP(J166, KM!$A:$E, 5, 0)</f>
        <v>521</v>
      </c>
      <c r="R166" s="24">
        <f>VLOOKUP(K166, KM!$A:$E, 5, 0)</f>
        <v>1144</v>
      </c>
      <c r="S166" s="24">
        <f>VLOOKUP(L166, KM!$A:$E, 5, 0)</f>
        <v>0</v>
      </c>
      <c r="T166" s="24">
        <f>VLOOKUP(M166, KM!$A:$E, 5, 0)</f>
        <v>852</v>
      </c>
      <c r="U166" s="24">
        <f>VLOOKUP(N166, KM!$A:$E, 5, 0)</f>
        <v>4374</v>
      </c>
      <c r="V166" s="24">
        <f>VLOOKUP(H166, IMPOSTO!$A:$D, 4, 0)</f>
        <v>0.12</v>
      </c>
      <c r="W166" s="24">
        <f>VLOOKUP(I166, IMPOSTO!$A:$D, 4, 0)</f>
        <v>0.12</v>
      </c>
      <c r="X166" s="24">
        <f>VLOOKUP(J166, IMPOSTO!$A:$D, 4, 0)</f>
        <v>7.0000000000000007E-2</v>
      </c>
      <c r="Y166" s="24">
        <f>VLOOKUP(K166, IMPOSTO!$A:$D, 4, 0)</f>
        <v>0.12</v>
      </c>
      <c r="Z166" s="24">
        <f>VLOOKUP(L166, IMPOSTO!$A:$D, 4, 0)</f>
        <v>0.18</v>
      </c>
      <c r="AA166" s="24">
        <f>VLOOKUP(M166, IMPOSTO!$A:$D, 4, 0)</f>
        <v>0.12</v>
      </c>
      <c r="AB166" s="24">
        <f>VLOOKUP(N166, IMPOSTO!$A:$D, 4, 0)</f>
        <v>7.0000000000000007E-2</v>
      </c>
      <c r="AC166" s="25">
        <f t="shared" si="21"/>
        <v>1100.5785714285714</v>
      </c>
      <c r="AD166" s="25">
        <f t="shared" si="22"/>
        <v>1101.1467532467534</v>
      </c>
      <c r="AE166" s="25">
        <f t="shared" si="23"/>
        <v>1051.3001536098313</v>
      </c>
      <c r="AF166" s="25">
        <f t="shared" si="24"/>
        <v>1181.8285714285714</v>
      </c>
      <c r="AG166" s="25">
        <f t="shared" si="25"/>
        <v>1128.7916376306621</v>
      </c>
      <c r="AH166" s="25">
        <f t="shared" si="26"/>
        <v>1148.6467532467534</v>
      </c>
      <c r="AI166" s="25">
        <f t="shared" si="27"/>
        <v>1465.6012288786485</v>
      </c>
    </row>
    <row r="167" spans="1:35" ht="15.75" customHeight="1">
      <c r="A167" s="12" t="s">
        <v>161</v>
      </c>
      <c r="B167" s="12" t="s">
        <v>162</v>
      </c>
      <c r="C167" s="12" t="s">
        <v>163</v>
      </c>
      <c r="D167" s="12" t="s">
        <v>33</v>
      </c>
      <c r="E167" s="12" t="s">
        <v>27</v>
      </c>
      <c r="F167" s="13">
        <v>33.285714285714285</v>
      </c>
      <c r="G167" s="14">
        <v>925.28960000000006</v>
      </c>
      <c r="H167" s="24" t="str">
        <f t="shared" si="20"/>
        <v>RJSP</v>
      </c>
      <c r="I167" s="24" t="str">
        <f t="shared" si="28"/>
        <v>RJMG</v>
      </c>
      <c r="J167" s="24" t="str">
        <f t="shared" si="28"/>
        <v>RJES</v>
      </c>
      <c r="K167" s="24" t="str">
        <f t="shared" si="28"/>
        <v>RJSC</v>
      </c>
      <c r="L167" s="24" t="str">
        <f t="shared" si="28"/>
        <v>RJRJ</v>
      </c>
      <c r="M167" s="24" t="str">
        <f t="shared" si="28"/>
        <v>RJPR</v>
      </c>
      <c r="N167" s="24" t="str">
        <f t="shared" si="28"/>
        <v>RJAM</v>
      </c>
      <c r="O167" s="24">
        <f>VLOOKUP(H167, KM!$A:$E, 5, 0)</f>
        <v>429</v>
      </c>
      <c r="P167" s="24">
        <f>VLOOKUP(I167, KM!$A:$E, 5, 0)</f>
        <v>434</v>
      </c>
      <c r="Q167" s="24">
        <f>VLOOKUP(J167, KM!$A:$E, 5, 0)</f>
        <v>521</v>
      </c>
      <c r="R167" s="24">
        <f>VLOOKUP(K167, KM!$A:$E, 5, 0)</f>
        <v>1144</v>
      </c>
      <c r="S167" s="24">
        <f>VLOOKUP(L167, KM!$A:$E, 5, 0)</f>
        <v>0</v>
      </c>
      <c r="T167" s="24">
        <f>VLOOKUP(M167, KM!$A:$E, 5, 0)</f>
        <v>852</v>
      </c>
      <c r="U167" s="24">
        <f>VLOOKUP(N167, KM!$A:$E, 5, 0)</f>
        <v>4374</v>
      </c>
      <c r="V167" s="24">
        <f>VLOOKUP(H167, IMPOSTO!$A:$D, 4, 0)</f>
        <v>0.12</v>
      </c>
      <c r="W167" s="24">
        <f>VLOOKUP(I167, IMPOSTO!$A:$D, 4, 0)</f>
        <v>0.12</v>
      </c>
      <c r="X167" s="24">
        <f>VLOOKUP(J167, IMPOSTO!$A:$D, 4, 0)</f>
        <v>7.0000000000000007E-2</v>
      </c>
      <c r="Y167" s="24">
        <f>VLOOKUP(K167, IMPOSTO!$A:$D, 4, 0)</f>
        <v>0.12</v>
      </c>
      <c r="Z167" s="24">
        <f>VLOOKUP(L167, IMPOSTO!$A:$D, 4, 0)</f>
        <v>0.18</v>
      </c>
      <c r="AA167" s="24">
        <f>VLOOKUP(M167, IMPOSTO!$A:$D, 4, 0)</f>
        <v>0.12</v>
      </c>
      <c r="AB167" s="24">
        <f>VLOOKUP(N167, IMPOSTO!$A:$D, 4, 0)</f>
        <v>7.0000000000000007E-2</v>
      </c>
      <c r="AC167" s="25">
        <f t="shared" si="21"/>
        <v>1100.2154545454546</v>
      </c>
      <c r="AD167" s="25">
        <f t="shared" si="22"/>
        <v>1100.7836363636363</v>
      </c>
      <c r="AE167" s="25">
        <f t="shared" si="23"/>
        <v>1050.9565591397852</v>
      </c>
      <c r="AF167" s="25">
        <f t="shared" si="24"/>
        <v>1181.4654545454548</v>
      </c>
      <c r="AG167" s="25">
        <f t="shared" si="25"/>
        <v>1128.4019512195123</v>
      </c>
      <c r="AH167" s="25">
        <f t="shared" si="26"/>
        <v>1148.2836363636366</v>
      </c>
      <c r="AI167" s="25">
        <f t="shared" si="27"/>
        <v>1465.2576344086024</v>
      </c>
    </row>
    <row r="168" spans="1:35" ht="15.75" customHeight="1">
      <c r="A168" s="12" t="s">
        <v>164</v>
      </c>
      <c r="B168" s="12" t="s">
        <v>165</v>
      </c>
      <c r="C168" s="12" t="s">
        <v>166</v>
      </c>
      <c r="D168" s="12" t="s">
        <v>50</v>
      </c>
      <c r="E168" s="12" t="s">
        <v>27</v>
      </c>
      <c r="F168" s="13">
        <v>84</v>
      </c>
      <c r="G168" s="14">
        <v>97033.480975609767</v>
      </c>
      <c r="H168" s="24" t="str">
        <f t="shared" si="20"/>
        <v>RJSP</v>
      </c>
      <c r="I168" s="24" t="str">
        <f t="shared" si="28"/>
        <v>RJMG</v>
      </c>
      <c r="J168" s="24" t="str">
        <f t="shared" si="28"/>
        <v>RJES</v>
      </c>
      <c r="K168" s="24" t="str">
        <f t="shared" si="28"/>
        <v>RJSC</v>
      </c>
      <c r="L168" s="24" t="str">
        <f t="shared" si="28"/>
        <v>RJRJ</v>
      </c>
      <c r="M168" s="24" t="str">
        <f t="shared" si="28"/>
        <v>RJPR</v>
      </c>
      <c r="N168" s="24" t="str">
        <f t="shared" si="28"/>
        <v>RJAM</v>
      </c>
      <c r="O168" s="24">
        <f>VLOOKUP(H168, KM!$A:$E, 5, 0)</f>
        <v>429</v>
      </c>
      <c r="P168" s="24">
        <f>VLOOKUP(I168, KM!$A:$E, 5, 0)</f>
        <v>434</v>
      </c>
      <c r="Q168" s="24">
        <f>VLOOKUP(J168, KM!$A:$E, 5, 0)</f>
        <v>521</v>
      </c>
      <c r="R168" s="24">
        <f>VLOOKUP(K168, KM!$A:$E, 5, 0)</f>
        <v>1144</v>
      </c>
      <c r="S168" s="24">
        <f>VLOOKUP(L168, KM!$A:$E, 5, 0)</f>
        <v>0</v>
      </c>
      <c r="T168" s="24">
        <f>VLOOKUP(M168, KM!$A:$E, 5, 0)</f>
        <v>852</v>
      </c>
      <c r="U168" s="24">
        <f>VLOOKUP(N168, KM!$A:$E, 5, 0)</f>
        <v>4374</v>
      </c>
      <c r="V168" s="24">
        <f>VLOOKUP(H168, IMPOSTO!$A:$D, 4, 0)</f>
        <v>0.12</v>
      </c>
      <c r="W168" s="24">
        <f>VLOOKUP(I168, IMPOSTO!$A:$D, 4, 0)</f>
        <v>0.12</v>
      </c>
      <c r="X168" s="24">
        <f>VLOOKUP(J168, IMPOSTO!$A:$D, 4, 0)</f>
        <v>7.0000000000000007E-2</v>
      </c>
      <c r="Y168" s="24">
        <f>VLOOKUP(K168, IMPOSTO!$A:$D, 4, 0)</f>
        <v>0.12</v>
      </c>
      <c r="Z168" s="24">
        <f>VLOOKUP(L168, IMPOSTO!$A:$D, 4, 0)</f>
        <v>0.18</v>
      </c>
      <c r="AA168" s="24">
        <f>VLOOKUP(M168, IMPOSTO!$A:$D, 4, 0)</f>
        <v>0.12</v>
      </c>
      <c r="AB168" s="24">
        <f>VLOOKUP(N168, IMPOSTO!$A:$D, 4, 0)</f>
        <v>7.0000000000000007E-2</v>
      </c>
      <c r="AC168" s="25">
        <f t="shared" si="21"/>
        <v>110314.06929046563</v>
      </c>
      <c r="AD168" s="25">
        <f t="shared" si="22"/>
        <v>110314.63747228382</v>
      </c>
      <c r="AE168" s="25">
        <f t="shared" si="23"/>
        <v>104393.09782323633</v>
      </c>
      <c r="AF168" s="25">
        <f t="shared" si="24"/>
        <v>110395.31929046563</v>
      </c>
      <c r="AG168" s="25">
        <f t="shared" si="25"/>
        <v>118333.51338488996</v>
      </c>
      <c r="AH168" s="25">
        <f t="shared" si="26"/>
        <v>110362.13747228382</v>
      </c>
      <c r="AI168" s="25">
        <f t="shared" si="27"/>
        <v>104807.39889850513</v>
      </c>
    </row>
    <row r="169" spans="1:35" ht="15.75" customHeight="1">
      <c r="A169" s="12" t="s">
        <v>79</v>
      </c>
      <c r="B169" s="12" t="s">
        <v>80</v>
      </c>
      <c r="C169" s="12" t="s">
        <v>81</v>
      </c>
      <c r="D169" s="12" t="s">
        <v>50</v>
      </c>
      <c r="E169" s="12" t="s">
        <v>27</v>
      </c>
      <c r="F169" s="13">
        <v>0.1133295647258338</v>
      </c>
      <c r="G169" s="14">
        <v>2.0943303561334088</v>
      </c>
      <c r="H169" s="24" t="str">
        <f t="shared" si="20"/>
        <v>RJSP</v>
      </c>
      <c r="I169" s="24" t="str">
        <f t="shared" si="28"/>
        <v>RJMG</v>
      </c>
      <c r="J169" s="24" t="str">
        <f t="shared" si="28"/>
        <v>RJES</v>
      </c>
      <c r="K169" s="24" t="str">
        <f t="shared" si="28"/>
        <v>RJSC</v>
      </c>
      <c r="L169" s="24" t="str">
        <f t="shared" si="28"/>
        <v>RJRJ</v>
      </c>
      <c r="M169" s="24" t="str">
        <f t="shared" si="28"/>
        <v>RJPR</v>
      </c>
      <c r="N169" s="24" t="str">
        <f t="shared" si="28"/>
        <v>RJAM</v>
      </c>
      <c r="O169" s="24">
        <f>VLOOKUP(H169, KM!$A:$E, 5, 0)</f>
        <v>429</v>
      </c>
      <c r="P169" s="24">
        <f>VLOOKUP(I169, KM!$A:$E, 5, 0)</f>
        <v>434</v>
      </c>
      <c r="Q169" s="24">
        <f>VLOOKUP(J169, KM!$A:$E, 5, 0)</f>
        <v>521</v>
      </c>
      <c r="R169" s="24">
        <f>VLOOKUP(K169, KM!$A:$E, 5, 0)</f>
        <v>1144</v>
      </c>
      <c r="S169" s="24">
        <f>VLOOKUP(L169, KM!$A:$E, 5, 0)</f>
        <v>0</v>
      </c>
      <c r="T169" s="24">
        <f>VLOOKUP(M169, KM!$A:$E, 5, 0)</f>
        <v>852</v>
      </c>
      <c r="U169" s="24">
        <f>VLOOKUP(N169, KM!$A:$E, 5, 0)</f>
        <v>4374</v>
      </c>
      <c r="V169" s="24">
        <f>VLOOKUP(H169, IMPOSTO!$A:$D, 4, 0)</f>
        <v>0.12</v>
      </c>
      <c r="W169" s="24">
        <f>VLOOKUP(I169, IMPOSTO!$A:$D, 4, 0)</f>
        <v>0.12</v>
      </c>
      <c r="X169" s="24">
        <f>VLOOKUP(J169, IMPOSTO!$A:$D, 4, 0)</f>
        <v>7.0000000000000007E-2</v>
      </c>
      <c r="Y169" s="24">
        <f>VLOOKUP(K169, IMPOSTO!$A:$D, 4, 0)</f>
        <v>0.12</v>
      </c>
      <c r="Z169" s="24">
        <f>VLOOKUP(L169, IMPOSTO!$A:$D, 4, 0)</f>
        <v>0.18</v>
      </c>
      <c r="AA169" s="24">
        <f>VLOOKUP(M169, IMPOSTO!$A:$D, 4, 0)</f>
        <v>0.12</v>
      </c>
      <c r="AB169" s="24">
        <f>VLOOKUP(N169, IMPOSTO!$A:$D, 4, 0)</f>
        <v>7.0000000000000007E-2</v>
      </c>
      <c r="AC169" s="25">
        <f t="shared" si="21"/>
        <v>51.129920859242517</v>
      </c>
      <c r="AD169" s="25">
        <f t="shared" si="22"/>
        <v>51.698102677424338</v>
      </c>
      <c r="AE169" s="25">
        <f t="shared" si="23"/>
        <v>58.273473501218724</v>
      </c>
      <c r="AF169" s="25">
        <f t="shared" si="24"/>
        <v>132.37992085924253</v>
      </c>
      <c r="AG169" s="25">
        <f t="shared" si="25"/>
        <v>2.5540614099187908</v>
      </c>
      <c r="AH169" s="25">
        <f t="shared" si="26"/>
        <v>99.19810267742433</v>
      </c>
      <c r="AI169" s="25">
        <f t="shared" si="27"/>
        <v>472.57454877003602</v>
      </c>
    </row>
    <row r="170" spans="1:35" ht="15.75" customHeight="1">
      <c r="A170" s="12" t="s">
        <v>79</v>
      </c>
      <c r="B170" s="12" t="s">
        <v>80</v>
      </c>
      <c r="C170" s="12" t="s">
        <v>81</v>
      </c>
      <c r="D170" s="12" t="s">
        <v>50</v>
      </c>
      <c r="E170" s="12" t="s">
        <v>27</v>
      </c>
      <c r="F170" s="13">
        <v>1.4570944036178635</v>
      </c>
      <c r="G170" s="14">
        <v>26.092084250989259</v>
      </c>
      <c r="H170" s="24" t="str">
        <f t="shared" si="20"/>
        <v>RJSP</v>
      </c>
      <c r="I170" s="24" t="str">
        <f t="shared" si="28"/>
        <v>RJMG</v>
      </c>
      <c r="J170" s="24" t="str">
        <f t="shared" si="28"/>
        <v>RJES</v>
      </c>
      <c r="K170" s="24" t="str">
        <f t="shared" si="28"/>
        <v>RJSC</v>
      </c>
      <c r="L170" s="24" t="str">
        <f t="shared" si="28"/>
        <v>RJRJ</v>
      </c>
      <c r="M170" s="24" t="str">
        <f t="shared" si="28"/>
        <v>RJPR</v>
      </c>
      <c r="N170" s="24" t="str">
        <f t="shared" si="28"/>
        <v>RJAM</v>
      </c>
      <c r="O170" s="24">
        <f>VLOOKUP(H170, KM!$A:$E, 5, 0)</f>
        <v>429</v>
      </c>
      <c r="P170" s="24">
        <f>VLOOKUP(I170, KM!$A:$E, 5, 0)</f>
        <v>434</v>
      </c>
      <c r="Q170" s="24">
        <f>VLOOKUP(J170, KM!$A:$E, 5, 0)</f>
        <v>521</v>
      </c>
      <c r="R170" s="24">
        <f>VLOOKUP(K170, KM!$A:$E, 5, 0)</f>
        <v>1144</v>
      </c>
      <c r="S170" s="24">
        <f>VLOOKUP(L170, KM!$A:$E, 5, 0)</f>
        <v>0</v>
      </c>
      <c r="T170" s="24">
        <f>VLOOKUP(M170, KM!$A:$E, 5, 0)</f>
        <v>852</v>
      </c>
      <c r="U170" s="24">
        <f>VLOOKUP(N170, KM!$A:$E, 5, 0)</f>
        <v>4374</v>
      </c>
      <c r="V170" s="24">
        <f>VLOOKUP(H170, IMPOSTO!$A:$D, 4, 0)</f>
        <v>0.12</v>
      </c>
      <c r="W170" s="24">
        <f>VLOOKUP(I170, IMPOSTO!$A:$D, 4, 0)</f>
        <v>0.12</v>
      </c>
      <c r="X170" s="24">
        <f>VLOOKUP(J170, IMPOSTO!$A:$D, 4, 0)</f>
        <v>7.0000000000000007E-2</v>
      </c>
      <c r="Y170" s="24">
        <f>VLOOKUP(K170, IMPOSTO!$A:$D, 4, 0)</f>
        <v>0.12</v>
      </c>
      <c r="Z170" s="24">
        <f>VLOOKUP(L170, IMPOSTO!$A:$D, 4, 0)</f>
        <v>0.18</v>
      </c>
      <c r="AA170" s="24">
        <f>VLOOKUP(M170, IMPOSTO!$A:$D, 4, 0)</f>
        <v>0.12</v>
      </c>
      <c r="AB170" s="24">
        <f>VLOOKUP(N170, IMPOSTO!$A:$D, 4, 0)</f>
        <v>7.0000000000000007E-2</v>
      </c>
      <c r="AC170" s="25">
        <f t="shared" si="21"/>
        <v>78.40009573976053</v>
      </c>
      <c r="AD170" s="25">
        <f t="shared" si="22"/>
        <v>78.968277557942343</v>
      </c>
      <c r="AE170" s="25">
        <f t="shared" si="23"/>
        <v>84.0775099473003</v>
      </c>
      <c r="AF170" s="25">
        <f t="shared" si="24"/>
        <v>159.6500957397605</v>
      </c>
      <c r="AG170" s="25">
        <f t="shared" si="25"/>
        <v>31.819614940230803</v>
      </c>
      <c r="AH170" s="25">
        <f t="shared" si="26"/>
        <v>126.46827755794234</v>
      </c>
      <c r="AI170" s="25">
        <f t="shared" si="27"/>
        <v>498.37858521611759</v>
      </c>
    </row>
    <row r="171" spans="1:35" ht="15.75" customHeight="1">
      <c r="A171" s="12" t="s">
        <v>167</v>
      </c>
      <c r="B171" s="12" t="s">
        <v>168</v>
      </c>
      <c r="C171" s="12" t="s">
        <v>169</v>
      </c>
      <c r="D171" s="12" t="s">
        <v>33</v>
      </c>
      <c r="E171" s="12" t="s">
        <v>27</v>
      </c>
      <c r="F171" s="13">
        <v>2.6747999999999985</v>
      </c>
      <c r="G171" s="14">
        <v>48.082891057764463</v>
      </c>
      <c r="H171" s="24" t="str">
        <f t="shared" si="20"/>
        <v>RJSP</v>
      </c>
      <c r="I171" s="24" t="str">
        <f t="shared" si="28"/>
        <v>RJMG</v>
      </c>
      <c r="J171" s="24" t="str">
        <f t="shared" si="28"/>
        <v>RJES</v>
      </c>
      <c r="K171" s="24" t="str">
        <f t="shared" si="28"/>
        <v>RJSC</v>
      </c>
      <c r="L171" s="24" t="str">
        <f t="shared" si="28"/>
        <v>RJRJ</v>
      </c>
      <c r="M171" s="24" t="str">
        <f t="shared" si="28"/>
        <v>RJPR</v>
      </c>
      <c r="N171" s="24" t="str">
        <f t="shared" si="28"/>
        <v>RJAM</v>
      </c>
      <c r="O171" s="24">
        <f>VLOOKUP(H171, KM!$A:$E, 5, 0)</f>
        <v>429</v>
      </c>
      <c r="P171" s="24">
        <f>VLOOKUP(I171, KM!$A:$E, 5, 0)</f>
        <v>434</v>
      </c>
      <c r="Q171" s="24">
        <f>VLOOKUP(J171, KM!$A:$E, 5, 0)</f>
        <v>521</v>
      </c>
      <c r="R171" s="24">
        <f>VLOOKUP(K171, KM!$A:$E, 5, 0)</f>
        <v>1144</v>
      </c>
      <c r="S171" s="24">
        <f>VLOOKUP(L171, KM!$A:$E, 5, 0)</f>
        <v>0</v>
      </c>
      <c r="T171" s="24">
        <f>VLOOKUP(M171, KM!$A:$E, 5, 0)</f>
        <v>852</v>
      </c>
      <c r="U171" s="24">
        <f>VLOOKUP(N171, KM!$A:$E, 5, 0)</f>
        <v>4374</v>
      </c>
      <c r="V171" s="24">
        <f>VLOOKUP(H171, IMPOSTO!$A:$D, 4, 0)</f>
        <v>0.12</v>
      </c>
      <c r="W171" s="24">
        <f>VLOOKUP(I171, IMPOSTO!$A:$D, 4, 0)</f>
        <v>0.12</v>
      </c>
      <c r="X171" s="24">
        <f>VLOOKUP(J171, IMPOSTO!$A:$D, 4, 0)</f>
        <v>7.0000000000000007E-2</v>
      </c>
      <c r="Y171" s="24">
        <f>VLOOKUP(K171, IMPOSTO!$A:$D, 4, 0)</f>
        <v>0.12</v>
      </c>
      <c r="Z171" s="24">
        <f>VLOOKUP(L171, IMPOSTO!$A:$D, 4, 0)</f>
        <v>0.18</v>
      </c>
      <c r="AA171" s="24">
        <f>VLOOKUP(M171, IMPOSTO!$A:$D, 4, 0)</f>
        <v>0.12</v>
      </c>
      <c r="AB171" s="24">
        <f>VLOOKUP(N171, IMPOSTO!$A:$D, 4, 0)</f>
        <v>7.0000000000000007E-2</v>
      </c>
      <c r="AC171" s="25">
        <f t="shared" si="21"/>
        <v>103.38964892927781</v>
      </c>
      <c r="AD171" s="25">
        <f t="shared" si="22"/>
        <v>103.95783074745964</v>
      </c>
      <c r="AE171" s="25">
        <f t="shared" si="23"/>
        <v>107.72353877178975</v>
      </c>
      <c r="AF171" s="25">
        <f t="shared" si="24"/>
        <v>184.63964892927783</v>
      </c>
      <c r="AG171" s="25">
        <f t="shared" si="25"/>
        <v>58.637672021663974</v>
      </c>
      <c r="AH171" s="25">
        <f t="shared" si="26"/>
        <v>151.45783074745961</v>
      </c>
      <c r="AI171" s="25">
        <f t="shared" si="27"/>
        <v>522.02461404060705</v>
      </c>
    </row>
    <row r="172" spans="1:35" ht="15.75" customHeight="1">
      <c r="A172" s="12" t="s">
        <v>170</v>
      </c>
      <c r="B172" s="12" t="s">
        <v>171</v>
      </c>
      <c r="C172" s="12" t="s">
        <v>163</v>
      </c>
      <c r="D172" s="12" t="s">
        <v>33</v>
      </c>
      <c r="E172" s="12" t="s">
        <v>27</v>
      </c>
      <c r="F172" s="13">
        <v>1.69439036513095</v>
      </c>
      <c r="G172" s="14">
        <v>24.833522146052374</v>
      </c>
      <c r="H172" s="24" t="str">
        <f t="shared" si="20"/>
        <v>RJSP</v>
      </c>
      <c r="I172" s="24" t="str">
        <f t="shared" si="28"/>
        <v>RJMG</v>
      </c>
      <c r="J172" s="24" t="str">
        <f t="shared" si="28"/>
        <v>RJES</v>
      </c>
      <c r="K172" s="24" t="str">
        <f t="shared" si="28"/>
        <v>RJSC</v>
      </c>
      <c r="L172" s="24" t="str">
        <f t="shared" si="28"/>
        <v>RJRJ</v>
      </c>
      <c r="M172" s="24" t="str">
        <f t="shared" si="28"/>
        <v>RJPR</v>
      </c>
      <c r="N172" s="24" t="str">
        <f t="shared" si="28"/>
        <v>RJAM</v>
      </c>
      <c r="O172" s="24">
        <f>VLOOKUP(H172, KM!$A:$E, 5, 0)</f>
        <v>429</v>
      </c>
      <c r="P172" s="24">
        <f>VLOOKUP(I172, KM!$A:$E, 5, 0)</f>
        <v>434</v>
      </c>
      <c r="Q172" s="24">
        <f>VLOOKUP(J172, KM!$A:$E, 5, 0)</f>
        <v>521</v>
      </c>
      <c r="R172" s="24">
        <f>VLOOKUP(K172, KM!$A:$E, 5, 0)</f>
        <v>1144</v>
      </c>
      <c r="S172" s="24">
        <f>VLOOKUP(L172, KM!$A:$E, 5, 0)</f>
        <v>0</v>
      </c>
      <c r="T172" s="24">
        <f>VLOOKUP(M172, KM!$A:$E, 5, 0)</f>
        <v>852</v>
      </c>
      <c r="U172" s="24">
        <f>VLOOKUP(N172, KM!$A:$E, 5, 0)</f>
        <v>4374</v>
      </c>
      <c r="V172" s="24">
        <f>VLOOKUP(H172, IMPOSTO!$A:$D, 4, 0)</f>
        <v>0.12</v>
      </c>
      <c r="W172" s="24">
        <f>VLOOKUP(I172, IMPOSTO!$A:$D, 4, 0)</f>
        <v>0.12</v>
      </c>
      <c r="X172" s="24">
        <f>VLOOKUP(J172, IMPOSTO!$A:$D, 4, 0)</f>
        <v>7.0000000000000007E-2</v>
      </c>
      <c r="Y172" s="24">
        <f>VLOOKUP(K172, IMPOSTO!$A:$D, 4, 0)</f>
        <v>0.12</v>
      </c>
      <c r="Z172" s="24">
        <f>VLOOKUP(L172, IMPOSTO!$A:$D, 4, 0)</f>
        <v>0.18</v>
      </c>
      <c r="AA172" s="24">
        <f>VLOOKUP(M172, IMPOSTO!$A:$D, 4, 0)</f>
        <v>0.12</v>
      </c>
      <c r="AB172" s="24">
        <f>VLOOKUP(N172, IMPOSTO!$A:$D, 4, 0)</f>
        <v>7.0000000000000007E-2</v>
      </c>
      <c r="AC172" s="25">
        <f t="shared" si="21"/>
        <v>76.969911529604971</v>
      </c>
      <c r="AD172" s="25">
        <f t="shared" si="22"/>
        <v>77.538093347786798</v>
      </c>
      <c r="AE172" s="25">
        <f t="shared" si="23"/>
        <v>82.72421736134666</v>
      </c>
      <c r="AF172" s="25">
        <f t="shared" si="24"/>
        <v>158.21991152960499</v>
      </c>
      <c r="AG172" s="25">
        <f t="shared" si="25"/>
        <v>30.284783104941916</v>
      </c>
      <c r="AH172" s="25">
        <f t="shared" si="26"/>
        <v>125.0380933477868</v>
      </c>
      <c r="AI172" s="25">
        <f t="shared" si="27"/>
        <v>497.0252926301639</v>
      </c>
    </row>
    <row r="173" spans="1:35" ht="15.75" customHeight="1">
      <c r="A173" s="12" t="s">
        <v>170</v>
      </c>
      <c r="B173" s="12" t="s">
        <v>171</v>
      </c>
      <c r="C173" s="12" t="s">
        <v>163</v>
      </c>
      <c r="D173" s="12" t="s">
        <v>33</v>
      </c>
      <c r="E173" s="12" t="s">
        <v>27</v>
      </c>
      <c r="F173" s="13">
        <v>0.30427432613267058</v>
      </c>
      <c r="G173" s="14">
        <v>4.4436938528006102</v>
      </c>
      <c r="H173" s="24" t="str">
        <f t="shared" si="20"/>
        <v>RJSP</v>
      </c>
      <c r="I173" s="24" t="str">
        <f t="shared" si="28"/>
        <v>RJMG</v>
      </c>
      <c r="J173" s="24" t="str">
        <f t="shared" si="28"/>
        <v>RJES</v>
      </c>
      <c r="K173" s="24" t="str">
        <f t="shared" si="28"/>
        <v>RJSC</v>
      </c>
      <c r="L173" s="24" t="str">
        <f t="shared" si="28"/>
        <v>RJRJ</v>
      </c>
      <c r="M173" s="24" t="str">
        <f t="shared" si="28"/>
        <v>RJPR</v>
      </c>
      <c r="N173" s="24" t="str">
        <f t="shared" si="28"/>
        <v>RJAM</v>
      </c>
      <c r="O173" s="24">
        <f>VLOOKUP(H173, KM!$A:$E, 5, 0)</f>
        <v>429</v>
      </c>
      <c r="P173" s="24">
        <f>VLOOKUP(I173, KM!$A:$E, 5, 0)</f>
        <v>434</v>
      </c>
      <c r="Q173" s="24">
        <f>VLOOKUP(J173, KM!$A:$E, 5, 0)</f>
        <v>521</v>
      </c>
      <c r="R173" s="24">
        <f>VLOOKUP(K173, KM!$A:$E, 5, 0)</f>
        <v>1144</v>
      </c>
      <c r="S173" s="24">
        <f>VLOOKUP(L173, KM!$A:$E, 5, 0)</f>
        <v>0</v>
      </c>
      <c r="T173" s="24">
        <f>VLOOKUP(M173, KM!$A:$E, 5, 0)</f>
        <v>852</v>
      </c>
      <c r="U173" s="24">
        <f>VLOOKUP(N173, KM!$A:$E, 5, 0)</f>
        <v>4374</v>
      </c>
      <c r="V173" s="24">
        <f>VLOOKUP(H173, IMPOSTO!$A:$D, 4, 0)</f>
        <v>0.12</v>
      </c>
      <c r="W173" s="24">
        <f>VLOOKUP(I173, IMPOSTO!$A:$D, 4, 0)</f>
        <v>0.12</v>
      </c>
      <c r="X173" s="24">
        <f>VLOOKUP(J173, IMPOSTO!$A:$D, 4, 0)</f>
        <v>7.0000000000000007E-2</v>
      </c>
      <c r="Y173" s="24">
        <f>VLOOKUP(K173, IMPOSTO!$A:$D, 4, 0)</f>
        <v>0.12</v>
      </c>
      <c r="Z173" s="24">
        <f>VLOOKUP(L173, IMPOSTO!$A:$D, 4, 0)</f>
        <v>0.18</v>
      </c>
      <c r="AA173" s="24">
        <f>VLOOKUP(M173, IMPOSTO!$A:$D, 4, 0)</f>
        <v>0.12</v>
      </c>
      <c r="AB173" s="24">
        <f>VLOOKUP(N173, IMPOSTO!$A:$D, 4, 0)</f>
        <v>7.0000000000000007E-2</v>
      </c>
      <c r="AC173" s="25">
        <f t="shared" si="21"/>
        <v>53.799652105455245</v>
      </c>
      <c r="AD173" s="25">
        <f t="shared" si="22"/>
        <v>54.367833923637058</v>
      </c>
      <c r="AE173" s="25">
        <f t="shared" si="23"/>
        <v>60.799670809463031</v>
      </c>
      <c r="AF173" s="25">
        <f t="shared" si="24"/>
        <v>135.04965210545524</v>
      </c>
      <c r="AG173" s="25">
        <f t="shared" si="25"/>
        <v>5.4191388448787929</v>
      </c>
      <c r="AH173" s="25">
        <f t="shared" si="26"/>
        <v>101.86783392363705</v>
      </c>
      <c r="AI173" s="25">
        <f t="shared" si="27"/>
        <v>475.10074607828028</v>
      </c>
    </row>
    <row r="174" spans="1:35" ht="15.75" customHeight="1">
      <c r="A174" s="12" t="s">
        <v>172</v>
      </c>
      <c r="B174" s="12" t="s">
        <v>173</v>
      </c>
      <c r="C174" s="12" t="s">
        <v>111</v>
      </c>
      <c r="D174" s="12" t="s">
        <v>33</v>
      </c>
      <c r="E174" s="12" t="s">
        <v>27</v>
      </c>
      <c r="F174" s="13">
        <v>0.10988321579689704</v>
      </c>
      <c r="G174" s="14">
        <v>6.2100931091678415</v>
      </c>
      <c r="H174" s="24" t="str">
        <f t="shared" si="20"/>
        <v>RJSP</v>
      </c>
      <c r="I174" s="24" t="str">
        <f t="shared" si="28"/>
        <v>RJMG</v>
      </c>
      <c r="J174" s="24" t="str">
        <f t="shared" si="28"/>
        <v>RJES</v>
      </c>
      <c r="K174" s="24" t="str">
        <f t="shared" si="28"/>
        <v>RJSC</v>
      </c>
      <c r="L174" s="24" t="str">
        <f t="shared" si="28"/>
        <v>RJRJ</v>
      </c>
      <c r="M174" s="24" t="str">
        <f t="shared" si="28"/>
        <v>RJPR</v>
      </c>
      <c r="N174" s="24" t="str">
        <f t="shared" si="28"/>
        <v>RJAM</v>
      </c>
      <c r="O174" s="24">
        <f>VLOOKUP(H174, KM!$A:$E, 5, 0)</f>
        <v>429</v>
      </c>
      <c r="P174" s="24">
        <f>VLOOKUP(I174, KM!$A:$E, 5, 0)</f>
        <v>434</v>
      </c>
      <c r="Q174" s="24">
        <f>VLOOKUP(J174, KM!$A:$E, 5, 0)</f>
        <v>521</v>
      </c>
      <c r="R174" s="24">
        <f>VLOOKUP(K174, KM!$A:$E, 5, 0)</f>
        <v>1144</v>
      </c>
      <c r="S174" s="24">
        <f>VLOOKUP(L174, KM!$A:$E, 5, 0)</f>
        <v>0</v>
      </c>
      <c r="T174" s="24">
        <f>VLOOKUP(M174, KM!$A:$E, 5, 0)</f>
        <v>852</v>
      </c>
      <c r="U174" s="24">
        <f>VLOOKUP(N174, KM!$A:$E, 5, 0)</f>
        <v>4374</v>
      </c>
      <c r="V174" s="24">
        <f>VLOOKUP(H174, IMPOSTO!$A:$D, 4, 0)</f>
        <v>0.12</v>
      </c>
      <c r="W174" s="24">
        <f>VLOOKUP(I174, IMPOSTO!$A:$D, 4, 0)</f>
        <v>0.12</v>
      </c>
      <c r="X174" s="24">
        <f>VLOOKUP(J174, IMPOSTO!$A:$D, 4, 0)</f>
        <v>7.0000000000000007E-2</v>
      </c>
      <c r="Y174" s="24">
        <f>VLOOKUP(K174, IMPOSTO!$A:$D, 4, 0)</f>
        <v>0.12</v>
      </c>
      <c r="Z174" s="24">
        <f>VLOOKUP(L174, IMPOSTO!$A:$D, 4, 0)</f>
        <v>0.18</v>
      </c>
      <c r="AA174" s="24">
        <f>VLOOKUP(M174, IMPOSTO!$A:$D, 4, 0)</f>
        <v>0.12</v>
      </c>
      <c r="AB174" s="24">
        <f>VLOOKUP(N174, IMPOSTO!$A:$D, 4, 0)</f>
        <v>7.0000000000000007E-2</v>
      </c>
      <c r="AC174" s="25">
        <f t="shared" si="21"/>
        <v>55.806923987690737</v>
      </c>
      <c r="AD174" s="25">
        <f t="shared" si="22"/>
        <v>56.375105805872558</v>
      </c>
      <c r="AE174" s="25">
        <f t="shared" si="23"/>
        <v>62.699024848567582</v>
      </c>
      <c r="AF174" s="25">
        <f t="shared" si="24"/>
        <v>137.05692398769074</v>
      </c>
      <c r="AG174" s="25">
        <f t="shared" si="25"/>
        <v>7.5732842794729764</v>
      </c>
      <c r="AH174" s="25">
        <f t="shared" si="26"/>
        <v>103.87510580587255</v>
      </c>
      <c r="AI174" s="25">
        <f t="shared" si="27"/>
        <v>477.00010011738482</v>
      </c>
    </row>
    <row r="175" spans="1:35" ht="15.75" customHeight="1">
      <c r="A175" s="12" t="s">
        <v>172</v>
      </c>
      <c r="B175" s="12" t="s">
        <v>173</v>
      </c>
      <c r="C175" s="12" t="s">
        <v>111</v>
      </c>
      <c r="D175" s="12" t="s">
        <v>33</v>
      </c>
      <c r="E175" s="12" t="s">
        <v>27</v>
      </c>
      <c r="F175" s="13">
        <v>4.5130606488011281E-2</v>
      </c>
      <c r="G175" s="14">
        <v>3.1458328496473911</v>
      </c>
      <c r="H175" s="24" t="str">
        <f t="shared" si="20"/>
        <v>RJSP</v>
      </c>
      <c r="I175" s="24" t="str">
        <f t="shared" si="28"/>
        <v>RJMG</v>
      </c>
      <c r="J175" s="24" t="str">
        <f t="shared" si="28"/>
        <v>RJES</v>
      </c>
      <c r="K175" s="24" t="str">
        <f t="shared" si="28"/>
        <v>RJSC</v>
      </c>
      <c r="L175" s="24" t="str">
        <f t="shared" si="28"/>
        <v>RJRJ</v>
      </c>
      <c r="M175" s="24" t="str">
        <f t="shared" si="28"/>
        <v>RJPR</v>
      </c>
      <c r="N175" s="24" t="str">
        <f t="shared" si="28"/>
        <v>RJAM</v>
      </c>
      <c r="O175" s="24">
        <f>VLOOKUP(H175, KM!$A:$E, 5, 0)</f>
        <v>429</v>
      </c>
      <c r="P175" s="24">
        <f>VLOOKUP(I175, KM!$A:$E, 5, 0)</f>
        <v>434</v>
      </c>
      <c r="Q175" s="24">
        <f>VLOOKUP(J175, KM!$A:$E, 5, 0)</f>
        <v>521</v>
      </c>
      <c r="R175" s="24">
        <f>VLOOKUP(K175, KM!$A:$E, 5, 0)</f>
        <v>1144</v>
      </c>
      <c r="S175" s="24">
        <f>VLOOKUP(L175, KM!$A:$E, 5, 0)</f>
        <v>0</v>
      </c>
      <c r="T175" s="24">
        <f>VLOOKUP(M175, KM!$A:$E, 5, 0)</f>
        <v>852</v>
      </c>
      <c r="U175" s="24">
        <f>VLOOKUP(N175, KM!$A:$E, 5, 0)</f>
        <v>4374</v>
      </c>
      <c r="V175" s="24">
        <f>VLOOKUP(H175, IMPOSTO!$A:$D, 4, 0)</f>
        <v>0.12</v>
      </c>
      <c r="W175" s="24">
        <f>VLOOKUP(I175, IMPOSTO!$A:$D, 4, 0)</f>
        <v>0.12</v>
      </c>
      <c r="X175" s="24">
        <f>VLOOKUP(J175, IMPOSTO!$A:$D, 4, 0)</f>
        <v>7.0000000000000007E-2</v>
      </c>
      <c r="Y175" s="24">
        <f>VLOOKUP(K175, IMPOSTO!$A:$D, 4, 0)</f>
        <v>0.12</v>
      </c>
      <c r="Z175" s="24">
        <f>VLOOKUP(L175, IMPOSTO!$A:$D, 4, 0)</f>
        <v>0.18</v>
      </c>
      <c r="AA175" s="24">
        <f>VLOOKUP(M175, IMPOSTO!$A:$D, 4, 0)</f>
        <v>0.12</v>
      </c>
      <c r="AB175" s="24">
        <f>VLOOKUP(N175, IMPOSTO!$A:$D, 4, 0)</f>
        <v>7.0000000000000007E-2</v>
      </c>
      <c r="AC175" s="25">
        <f t="shared" si="21"/>
        <v>52.324810056417498</v>
      </c>
      <c r="AD175" s="25">
        <f t="shared" si="22"/>
        <v>52.892991874599318</v>
      </c>
      <c r="AE175" s="25">
        <f t="shared" si="23"/>
        <v>59.404121343706876</v>
      </c>
      <c r="AF175" s="25">
        <f t="shared" si="24"/>
        <v>133.5748100564175</v>
      </c>
      <c r="AG175" s="25">
        <f t="shared" si="25"/>
        <v>3.8363815239602328</v>
      </c>
      <c r="AH175" s="25">
        <f t="shared" si="26"/>
        <v>100.39299187459932</v>
      </c>
      <c r="AI175" s="25">
        <f t="shared" si="27"/>
        <v>473.70519661252411</v>
      </c>
    </row>
    <row r="176" spans="1:35" ht="15.75" customHeight="1">
      <c r="A176" s="12" t="s">
        <v>42</v>
      </c>
      <c r="B176" s="12" t="s">
        <v>43</v>
      </c>
      <c r="C176" s="12" t="s">
        <v>32</v>
      </c>
      <c r="D176" s="12" t="s">
        <v>33</v>
      </c>
      <c r="E176" s="12" t="s">
        <v>27</v>
      </c>
      <c r="F176" s="13">
        <v>1304.8151493449782</v>
      </c>
      <c r="G176" s="14">
        <v>94729.579842445397</v>
      </c>
      <c r="H176" s="24" t="str">
        <f t="shared" si="20"/>
        <v>RJSP</v>
      </c>
      <c r="I176" s="24" t="str">
        <f t="shared" si="28"/>
        <v>RJMG</v>
      </c>
      <c r="J176" s="24" t="str">
        <f t="shared" si="28"/>
        <v>RJES</v>
      </c>
      <c r="K176" s="24" t="str">
        <f t="shared" si="28"/>
        <v>RJSC</v>
      </c>
      <c r="L176" s="24" t="str">
        <f t="shared" si="28"/>
        <v>RJRJ</v>
      </c>
      <c r="M176" s="24" t="str">
        <f t="shared" si="28"/>
        <v>RJPR</v>
      </c>
      <c r="N176" s="24" t="str">
        <f t="shared" si="28"/>
        <v>RJAM</v>
      </c>
      <c r="O176" s="24">
        <f>VLOOKUP(H176, KM!$A:$E, 5, 0)</f>
        <v>429</v>
      </c>
      <c r="P176" s="24">
        <f>VLOOKUP(I176, KM!$A:$E, 5, 0)</f>
        <v>434</v>
      </c>
      <c r="Q176" s="24">
        <f>VLOOKUP(J176, KM!$A:$E, 5, 0)</f>
        <v>521</v>
      </c>
      <c r="R176" s="24">
        <f>VLOOKUP(K176, KM!$A:$E, 5, 0)</f>
        <v>1144</v>
      </c>
      <c r="S176" s="24">
        <f>VLOOKUP(L176, KM!$A:$E, 5, 0)</f>
        <v>0</v>
      </c>
      <c r="T176" s="24">
        <f>VLOOKUP(M176, KM!$A:$E, 5, 0)</f>
        <v>852</v>
      </c>
      <c r="U176" s="24">
        <f>VLOOKUP(N176, KM!$A:$E, 5, 0)</f>
        <v>4374</v>
      </c>
      <c r="V176" s="24">
        <f>VLOOKUP(H176, IMPOSTO!$A:$D, 4, 0)</f>
        <v>0.12</v>
      </c>
      <c r="W176" s="24">
        <f>VLOOKUP(I176, IMPOSTO!$A:$D, 4, 0)</f>
        <v>0.12</v>
      </c>
      <c r="X176" s="24">
        <f>VLOOKUP(J176, IMPOSTO!$A:$D, 4, 0)</f>
        <v>7.0000000000000007E-2</v>
      </c>
      <c r="Y176" s="24">
        <f>VLOOKUP(K176, IMPOSTO!$A:$D, 4, 0)</f>
        <v>0.12</v>
      </c>
      <c r="Z176" s="24">
        <f>VLOOKUP(L176, IMPOSTO!$A:$D, 4, 0)</f>
        <v>0.18</v>
      </c>
      <c r="AA176" s="24">
        <f>VLOOKUP(M176, IMPOSTO!$A:$D, 4, 0)</f>
        <v>0.12</v>
      </c>
      <c r="AB176" s="24">
        <f>VLOOKUP(N176, IMPOSTO!$A:$D, 4, 0)</f>
        <v>7.0000000000000007E-2</v>
      </c>
      <c r="AC176" s="25">
        <f t="shared" si="21"/>
        <v>107695.99982096067</v>
      </c>
      <c r="AD176" s="25">
        <f t="shared" si="22"/>
        <v>107696.56800277885</v>
      </c>
      <c r="AE176" s="25">
        <f t="shared" si="23"/>
        <v>101915.78477682303</v>
      </c>
      <c r="AF176" s="25">
        <f t="shared" si="24"/>
        <v>107777.24982096067</v>
      </c>
      <c r="AG176" s="25">
        <f t="shared" si="25"/>
        <v>115523.87785664071</v>
      </c>
      <c r="AH176" s="25">
        <f t="shared" si="26"/>
        <v>107744.06800277886</v>
      </c>
      <c r="AI176" s="25">
        <f t="shared" si="27"/>
        <v>102330.08585209183</v>
      </c>
    </row>
    <row r="177" spans="1:35" ht="15.75" customHeight="1">
      <c r="A177" s="12" t="s">
        <v>174</v>
      </c>
      <c r="B177" s="12" t="s">
        <v>175</v>
      </c>
      <c r="C177" s="12" t="s">
        <v>176</v>
      </c>
      <c r="D177" s="12" t="s">
        <v>33</v>
      </c>
      <c r="E177" s="12" t="s">
        <v>27</v>
      </c>
      <c r="F177" s="13">
        <v>4245.0263999999979</v>
      </c>
      <c r="G177" s="14">
        <v>188859.63136628567</v>
      </c>
      <c r="H177" s="24" t="str">
        <f t="shared" si="20"/>
        <v>RJSP</v>
      </c>
      <c r="I177" s="24" t="str">
        <f t="shared" si="28"/>
        <v>RJMG</v>
      </c>
      <c r="J177" s="24" t="str">
        <f t="shared" si="28"/>
        <v>RJES</v>
      </c>
      <c r="K177" s="24" t="str">
        <f t="shared" si="28"/>
        <v>RJSC</v>
      </c>
      <c r="L177" s="24" t="str">
        <f t="shared" si="28"/>
        <v>RJRJ</v>
      </c>
      <c r="M177" s="24" t="str">
        <f t="shared" si="28"/>
        <v>RJPR</v>
      </c>
      <c r="N177" s="24" t="str">
        <f t="shared" si="28"/>
        <v>RJAM</v>
      </c>
      <c r="O177" s="24">
        <f>VLOOKUP(H177, KM!$A:$E, 5, 0)</f>
        <v>429</v>
      </c>
      <c r="P177" s="24">
        <f>VLOOKUP(I177, KM!$A:$E, 5, 0)</f>
        <v>434</v>
      </c>
      <c r="Q177" s="24">
        <f>VLOOKUP(J177, KM!$A:$E, 5, 0)</f>
        <v>521</v>
      </c>
      <c r="R177" s="24">
        <f>VLOOKUP(K177, KM!$A:$E, 5, 0)</f>
        <v>1144</v>
      </c>
      <c r="S177" s="24">
        <f>VLOOKUP(L177, KM!$A:$E, 5, 0)</f>
        <v>0</v>
      </c>
      <c r="T177" s="24">
        <f>VLOOKUP(M177, KM!$A:$E, 5, 0)</f>
        <v>852</v>
      </c>
      <c r="U177" s="24">
        <f>VLOOKUP(N177, KM!$A:$E, 5, 0)</f>
        <v>4374</v>
      </c>
      <c r="V177" s="24">
        <f>VLOOKUP(H177, IMPOSTO!$A:$D, 4, 0)</f>
        <v>0.12</v>
      </c>
      <c r="W177" s="24">
        <f>VLOOKUP(I177, IMPOSTO!$A:$D, 4, 0)</f>
        <v>0.12</v>
      </c>
      <c r="X177" s="24">
        <f>VLOOKUP(J177, IMPOSTO!$A:$D, 4, 0)</f>
        <v>7.0000000000000007E-2</v>
      </c>
      <c r="Y177" s="24">
        <f>VLOOKUP(K177, IMPOSTO!$A:$D, 4, 0)</f>
        <v>0.12</v>
      </c>
      <c r="Z177" s="24">
        <f>VLOOKUP(L177, IMPOSTO!$A:$D, 4, 0)</f>
        <v>0.18</v>
      </c>
      <c r="AA177" s="24">
        <f>VLOOKUP(M177, IMPOSTO!$A:$D, 4, 0)</f>
        <v>0.12</v>
      </c>
      <c r="AB177" s="24">
        <f>VLOOKUP(N177, IMPOSTO!$A:$D, 4, 0)</f>
        <v>7.0000000000000007E-2</v>
      </c>
      <c r="AC177" s="25">
        <f t="shared" si="21"/>
        <v>214661.96746168824</v>
      </c>
      <c r="AD177" s="25">
        <f t="shared" si="22"/>
        <v>214662.53564350645</v>
      </c>
      <c r="AE177" s="25">
        <f t="shared" si="23"/>
        <v>203130.89394224266</v>
      </c>
      <c r="AF177" s="25">
        <f t="shared" si="24"/>
        <v>214743.21746168824</v>
      </c>
      <c r="AG177" s="25">
        <f t="shared" si="25"/>
        <v>230316.62361742154</v>
      </c>
      <c r="AH177" s="25">
        <f t="shared" si="26"/>
        <v>214710.03564350645</v>
      </c>
      <c r="AI177" s="25">
        <f t="shared" si="27"/>
        <v>203545.19501751149</v>
      </c>
    </row>
    <row r="178" spans="1:35" ht="15.75" customHeight="1">
      <c r="A178" s="12" t="s">
        <v>177</v>
      </c>
      <c r="B178" s="12" t="s">
        <v>178</v>
      </c>
      <c r="C178" s="12" t="s">
        <v>128</v>
      </c>
      <c r="D178" s="12" t="s">
        <v>33</v>
      </c>
      <c r="E178" s="12" t="s">
        <v>27</v>
      </c>
      <c r="F178" s="13">
        <v>8810.0865248771497</v>
      </c>
      <c r="G178" s="14">
        <v>656432.84025885467</v>
      </c>
      <c r="H178" s="24" t="str">
        <f t="shared" si="20"/>
        <v>RJSP</v>
      </c>
      <c r="I178" s="24" t="str">
        <f t="shared" si="28"/>
        <v>RJMG</v>
      </c>
      <c r="J178" s="24" t="str">
        <f t="shared" si="28"/>
        <v>RJES</v>
      </c>
      <c r="K178" s="24" t="str">
        <f t="shared" si="28"/>
        <v>RJSC</v>
      </c>
      <c r="L178" s="24" t="str">
        <f t="shared" si="28"/>
        <v>RJRJ</v>
      </c>
      <c r="M178" s="24" t="str">
        <f t="shared" si="28"/>
        <v>RJPR</v>
      </c>
      <c r="N178" s="24" t="str">
        <f t="shared" si="28"/>
        <v>RJAM</v>
      </c>
      <c r="O178" s="24">
        <f>VLOOKUP(H178, KM!$A:$E, 5, 0)</f>
        <v>429</v>
      </c>
      <c r="P178" s="24">
        <f>VLOOKUP(I178, KM!$A:$E, 5, 0)</f>
        <v>434</v>
      </c>
      <c r="Q178" s="24">
        <f>VLOOKUP(J178, KM!$A:$E, 5, 0)</f>
        <v>521</v>
      </c>
      <c r="R178" s="24">
        <f>VLOOKUP(K178, KM!$A:$E, 5, 0)</f>
        <v>1144</v>
      </c>
      <c r="S178" s="24">
        <f>VLOOKUP(L178, KM!$A:$E, 5, 0)</f>
        <v>0</v>
      </c>
      <c r="T178" s="24">
        <f>VLOOKUP(M178, KM!$A:$E, 5, 0)</f>
        <v>852</v>
      </c>
      <c r="U178" s="24">
        <f>VLOOKUP(N178, KM!$A:$E, 5, 0)</f>
        <v>4374</v>
      </c>
      <c r="V178" s="24">
        <f>VLOOKUP(H178, IMPOSTO!$A:$D, 4, 0)</f>
        <v>0.12</v>
      </c>
      <c r="W178" s="24">
        <f>VLOOKUP(I178, IMPOSTO!$A:$D, 4, 0)</f>
        <v>0.12</v>
      </c>
      <c r="X178" s="24">
        <f>VLOOKUP(J178, IMPOSTO!$A:$D, 4, 0)</f>
        <v>7.0000000000000007E-2</v>
      </c>
      <c r="Y178" s="24">
        <f>VLOOKUP(K178, IMPOSTO!$A:$D, 4, 0)</f>
        <v>0.12</v>
      </c>
      <c r="Z178" s="24">
        <f>VLOOKUP(L178, IMPOSTO!$A:$D, 4, 0)</f>
        <v>0.18</v>
      </c>
      <c r="AA178" s="24">
        <f>VLOOKUP(M178, IMPOSTO!$A:$D, 4, 0)</f>
        <v>0.12</v>
      </c>
      <c r="AB178" s="24">
        <f>VLOOKUP(N178, IMPOSTO!$A:$D, 4, 0)</f>
        <v>7.0000000000000007E-2</v>
      </c>
      <c r="AC178" s="25">
        <f t="shared" si="21"/>
        <v>745995.15938506217</v>
      </c>
      <c r="AD178" s="25">
        <f t="shared" si="22"/>
        <v>745995.72756688029</v>
      </c>
      <c r="AE178" s="25">
        <f t="shared" si="23"/>
        <v>705897.78522457497</v>
      </c>
      <c r="AF178" s="25">
        <f t="shared" si="24"/>
        <v>746076.40938506217</v>
      </c>
      <c r="AG178" s="25">
        <f t="shared" si="25"/>
        <v>800527.85397421301</v>
      </c>
      <c r="AH178" s="25">
        <f t="shared" si="26"/>
        <v>746043.22756688029</v>
      </c>
      <c r="AI178" s="25">
        <f t="shared" si="27"/>
        <v>706312.08629984385</v>
      </c>
    </row>
    <row r="179" spans="1:35" ht="15.75" customHeight="1">
      <c r="A179" s="12" t="s">
        <v>179</v>
      </c>
      <c r="B179" s="12" t="s">
        <v>180</v>
      </c>
      <c r="C179" s="12" t="s">
        <v>181</v>
      </c>
      <c r="D179" s="12" t="s">
        <v>33</v>
      </c>
      <c r="E179" s="12" t="s">
        <v>27</v>
      </c>
      <c r="F179" s="13">
        <v>165.06736842105263</v>
      </c>
      <c r="G179" s="14">
        <v>1442.8939551578951</v>
      </c>
      <c r="H179" s="24" t="str">
        <f t="shared" si="20"/>
        <v>RJSP</v>
      </c>
      <c r="I179" s="24" t="str">
        <f t="shared" si="28"/>
        <v>RJMG</v>
      </c>
      <c r="J179" s="24" t="str">
        <f t="shared" si="28"/>
        <v>RJES</v>
      </c>
      <c r="K179" s="24" t="str">
        <f t="shared" si="28"/>
        <v>RJSC</v>
      </c>
      <c r="L179" s="24" t="str">
        <f t="shared" si="28"/>
        <v>RJRJ</v>
      </c>
      <c r="M179" s="24" t="str">
        <f t="shared" si="28"/>
        <v>RJPR</v>
      </c>
      <c r="N179" s="24" t="str">
        <f t="shared" si="28"/>
        <v>RJAM</v>
      </c>
      <c r="O179" s="24">
        <f>VLOOKUP(H179, KM!$A:$E, 5, 0)</f>
        <v>429</v>
      </c>
      <c r="P179" s="24">
        <f>VLOOKUP(I179, KM!$A:$E, 5, 0)</f>
        <v>434</v>
      </c>
      <c r="Q179" s="24">
        <f>VLOOKUP(J179, KM!$A:$E, 5, 0)</f>
        <v>521</v>
      </c>
      <c r="R179" s="24">
        <f>VLOOKUP(K179, KM!$A:$E, 5, 0)</f>
        <v>1144</v>
      </c>
      <c r="S179" s="24">
        <f>VLOOKUP(L179, KM!$A:$E, 5, 0)</f>
        <v>0</v>
      </c>
      <c r="T179" s="24">
        <f>VLOOKUP(M179, KM!$A:$E, 5, 0)</f>
        <v>852</v>
      </c>
      <c r="U179" s="24">
        <f>VLOOKUP(N179, KM!$A:$E, 5, 0)</f>
        <v>4374</v>
      </c>
      <c r="V179" s="24">
        <f>VLOOKUP(H179, IMPOSTO!$A:$D, 4, 0)</f>
        <v>0.12</v>
      </c>
      <c r="W179" s="24">
        <f>VLOOKUP(I179, IMPOSTO!$A:$D, 4, 0)</f>
        <v>0.12</v>
      </c>
      <c r="X179" s="24">
        <f>VLOOKUP(J179, IMPOSTO!$A:$D, 4, 0)</f>
        <v>7.0000000000000007E-2</v>
      </c>
      <c r="Y179" s="24">
        <f>VLOOKUP(K179, IMPOSTO!$A:$D, 4, 0)</f>
        <v>0.12</v>
      </c>
      <c r="Z179" s="24">
        <f>VLOOKUP(L179, IMPOSTO!$A:$D, 4, 0)</f>
        <v>0.18</v>
      </c>
      <c r="AA179" s="24">
        <f>VLOOKUP(M179, IMPOSTO!$A:$D, 4, 0)</f>
        <v>0.12</v>
      </c>
      <c r="AB179" s="24">
        <f>VLOOKUP(N179, IMPOSTO!$A:$D, 4, 0)</f>
        <v>7.0000000000000007E-2</v>
      </c>
      <c r="AC179" s="25">
        <f t="shared" si="21"/>
        <v>1688.4022217703355</v>
      </c>
      <c r="AD179" s="25">
        <f t="shared" si="22"/>
        <v>1688.9704035885172</v>
      </c>
      <c r="AE179" s="25">
        <f t="shared" si="23"/>
        <v>1607.5203818902098</v>
      </c>
      <c r="AF179" s="25">
        <f t="shared" si="24"/>
        <v>1769.6522217703355</v>
      </c>
      <c r="AG179" s="25">
        <f t="shared" si="25"/>
        <v>1759.6267745827988</v>
      </c>
      <c r="AH179" s="25">
        <f t="shared" si="26"/>
        <v>1736.4704035885172</v>
      </c>
      <c r="AI179" s="25">
        <f t="shared" si="27"/>
        <v>2021.8214571590272</v>
      </c>
    </row>
    <row r="180" spans="1:35" ht="15.75" customHeight="1">
      <c r="A180" s="12" t="s">
        <v>179</v>
      </c>
      <c r="B180" s="12" t="s">
        <v>180</v>
      </c>
      <c r="C180" s="12" t="s">
        <v>181</v>
      </c>
      <c r="D180" s="12" t="s">
        <v>33</v>
      </c>
      <c r="E180" s="12" t="s">
        <v>27</v>
      </c>
      <c r="F180" s="13">
        <v>4.7162105263157894</v>
      </c>
      <c r="G180" s="14">
        <v>42.000212842105256</v>
      </c>
      <c r="H180" s="24" t="str">
        <f t="shared" si="20"/>
        <v>RJSP</v>
      </c>
      <c r="I180" s="24" t="str">
        <f t="shared" si="28"/>
        <v>RJMG</v>
      </c>
      <c r="J180" s="24" t="str">
        <f t="shared" si="28"/>
        <v>RJES</v>
      </c>
      <c r="K180" s="24" t="str">
        <f t="shared" si="28"/>
        <v>RJSC</v>
      </c>
      <c r="L180" s="24" t="str">
        <f t="shared" si="28"/>
        <v>RJRJ</v>
      </c>
      <c r="M180" s="24" t="str">
        <f t="shared" si="28"/>
        <v>RJPR</v>
      </c>
      <c r="N180" s="24" t="str">
        <f t="shared" si="28"/>
        <v>RJAM</v>
      </c>
      <c r="O180" s="24">
        <f>VLOOKUP(H180, KM!$A:$E, 5, 0)</f>
        <v>429</v>
      </c>
      <c r="P180" s="24">
        <f>VLOOKUP(I180, KM!$A:$E, 5, 0)</f>
        <v>434</v>
      </c>
      <c r="Q180" s="24">
        <f>VLOOKUP(J180, KM!$A:$E, 5, 0)</f>
        <v>521</v>
      </c>
      <c r="R180" s="24">
        <f>VLOOKUP(K180, KM!$A:$E, 5, 0)</f>
        <v>1144</v>
      </c>
      <c r="S180" s="24">
        <f>VLOOKUP(L180, KM!$A:$E, 5, 0)</f>
        <v>0</v>
      </c>
      <c r="T180" s="24">
        <f>VLOOKUP(M180, KM!$A:$E, 5, 0)</f>
        <v>852</v>
      </c>
      <c r="U180" s="24">
        <f>VLOOKUP(N180, KM!$A:$E, 5, 0)</f>
        <v>4374</v>
      </c>
      <c r="V180" s="24">
        <f>VLOOKUP(H180, IMPOSTO!$A:$D, 4, 0)</f>
        <v>0.12</v>
      </c>
      <c r="W180" s="24">
        <f>VLOOKUP(I180, IMPOSTO!$A:$D, 4, 0)</f>
        <v>0.12</v>
      </c>
      <c r="X180" s="24">
        <f>VLOOKUP(J180, IMPOSTO!$A:$D, 4, 0)</f>
        <v>7.0000000000000007E-2</v>
      </c>
      <c r="Y180" s="24">
        <f>VLOOKUP(K180, IMPOSTO!$A:$D, 4, 0)</f>
        <v>0.12</v>
      </c>
      <c r="Z180" s="24">
        <f>VLOOKUP(L180, IMPOSTO!$A:$D, 4, 0)</f>
        <v>0.18</v>
      </c>
      <c r="AA180" s="24">
        <f>VLOOKUP(M180, IMPOSTO!$A:$D, 4, 0)</f>
        <v>0.12</v>
      </c>
      <c r="AB180" s="24">
        <f>VLOOKUP(N180, IMPOSTO!$A:$D, 4, 0)</f>
        <v>7.0000000000000007E-2</v>
      </c>
      <c r="AC180" s="25">
        <f t="shared" si="21"/>
        <v>96.477514593301436</v>
      </c>
      <c r="AD180" s="25">
        <f t="shared" si="22"/>
        <v>97.045696411483249</v>
      </c>
      <c r="AE180" s="25">
        <f t="shared" si="23"/>
        <v>101.18302456140351</v>
      </c>
      <c r="AF180" s="25">
        <f t="shared" si="24"/>
        <v>177.72751459330141</v>
      </c>
      <c r="AG180" s="25">
        <f t="shared" si="25"/>
        <v>51.21977175866494</v>
      </c>
      <c r="AH180" s="25">
        <f t="shared" si="26"/>
        <v>144.54569641148325</v>
      </c>
      <c r="AI180" s="25">
        <f t="shared" si="27"/>
        <v>515.48409983022077</v>
      </c>
    </row>
    <row r="181" spans="1:35" ht="15.75" customHeight="1">
      <c r="A181" s="12" t="s">
        <v>182</v>
      </c>
      <c r="B181" s="12" t="s">
        <v>183</v>
      </c>
      <c r="C181" s="12" t="s">
        <v>160</v>
      </c>
      <c r="D181" s="12" t="s">
        <v>33</v>
      </c>
      <c r="E181" s="12" t="s">
        <v>27</v>
      </c>
      <c r="F181" s="13">
        <v>262.48795158687466</v>
      </c>
      <c r="G181" s="14">
        <v>1414.2325855597633</v>
      </c>
      <c r="H181" s="24" t="str">
        <f t="shared" si="20"/>
        <v>RJSP</v>
      </c>
      <c r="I181" s="24" t="str">
        <f t="shared" si="28"/>
        <v>RJMG</v>
      </c>
      <c r="J181" s="24" t="str">
        <f t="shared" si="28"/>
        <v>RJES</v>
      </c>
      <c r="K181" s="24" t="str">
        <f t="shared" si="28"/>
        <v>RJSC</v>
      </c>
      <c r="L181" s="24" t="str">
        <f t="shared" si="28"/>
        <v>RJRJ</v>
      </c>
      <c r="M181" s="24" t="str">
        <f t="shared" si="28"/>
        <v>RJPR</v>
      </c>
      <c r="N181" s="24" t="str">
        <f t="shared" si="28"/>
        <v>RJAM</v>
      </c>
      <c r="O181" s="24">
        <f>VLOOKUP(H181, KM!$A:$E, 5, 0)</f>
        <v>429</v>
      </c>
      <c r="P181" s="24">
        <f>VLOOKUP(I181, KM!$A:$E, 5, 0)</f>
        <v>434</v>
      </c>
      <c r="Q181" s="24">
        <f>VLOOKUP(J181, KM!$A:$E, 5, 0)</f>
        <v>521</v>
      </c>
      <c r="R181" s="24">
        <f>VLOOKUP(K181, KM!$A:$E, 5, 0)</f>
        <v>1144</v>
      </c>
      <c r="S181" s="24">
        <f>VLOOKUP(L181, KM!$A:$E, 5, 0)</f>
        <v>0</v>
      </c>
      <c r="T181" s="24">
        <f>VLOOKUP(M181, KM!$A:$E, 5, 0)</f>
        <v>852</v>
      </c>
      <c r="U181" s="24">
        <f>VLOOKUP(N181, KM!$A:$E, 5, 0)</f>
        <v>4374</v>
      </c>
      <c r="V181" s="24">
        <f>VLOOKUP(H181, IMPOSTO!$A:$D, 4, 0)</f>
        <v>0.12</v>
      </c>
      <c r="W181" s="24">
        <f>VLOOKUP(I181, IMPOSTO!$A:$D, 4, 0)</f>
        <v>0.12</v>
      </c>
      <c r="X181" s="24">
        <f>VLOOKUP(J181, IMPOSTO!$A:$D, 4, 0)</f>
        <v>7.0000000000000007E-2</v>
      </c>
      <c r="Y181" s="24">
        <f>VLOOKUP(K181, IMPOSTO!$A:$D, 4, 0)</f>
        <v>0.12</v>
      </c>
      <c r="Z181" s="24">
        <f>VLOOKUP(L181, IMPOSTO!$A:$D, 4, 0)</f>
        <v>0.18</v>
      </c>
      <c r="AA181" s="24">
        <f>VLOOKUP(M181, IMPOSTO!$A:$D, 4, 0)</f>
        <v>0.12</v>
      </c>
      <c r="AB181" s="24">
        <f>VLOOKUP(N181, IMPOSTO!$A:$D, 4, 0)</f>
        <v>7.0000000000000007E-2</v>
      </c>
      <c r="AC181" s="25">
        <f t="shared" si="21"/>
        <v>1655.8324835906401</v>
      </c>
      <c r="AD181" s="25">
        <f t="shared" si="22"/>
        <v>1656.4006654088221</v>
      </c>
      <c r="AE181" s="25">
        <f t="shared" si="23"/>
        <v>1576.7017049029712</v>
      </c>
      <c r="AF181" s="25">
        <f t="shared" si="24"/>
        <v>1737.0824835906401</v>
      </c>
      <c r="AG181" s="25">
        <f t="shared" si="25"/>
        <v>1724.6738848289795</v>
      </c>
      <c r="AH181" s="25">
        <f t="shared" si="26"/>
        <v>1703.9006654088219</v>
      </c>
      <c r="AI181" s="25">
        <f t="shared" si="27"/>
        <v>1991.0027801717888</v>
      </c>
    </row>
    <row r="182" spans="1:35" ht="15.75" customHeight="1">
      <c r="A182" s="12" t="s">
        <v>182</v>
      </c>
      <c r="B182" s="12" t="s">
        <v>183</v>
      </c>
      <c r="C182" s="12" t="s">
        <v>160</v>
      </c>
      <c r="D182" s="12" t="s">
        <v>33</v>
      </c>
      <c r="E182" s="12" t="s">
        <v>27</v>
      </c>
      <c r="F182" s="13">
        <v>240.61395562130173</v>
      </c>
      <c r="G182" s="14">
        <v>1333.6137860290478</v>
      </c>
      <c r="H182" s="24" t="str">
        <f t="shared" si="20"/>
        <v>RJSP</v>
      </c>
      <c r="I182" s="24" t="str">
        <f t="shared" si="28"/>
        <v>RJMG</v>
      </c>
      <c r="J182" s="24" t="str">
        <f t="shared" si="28"/>
        <v>RJES</v>
      </c>
      <c r="K182" s="24" t="str">
        <f t="shared" si="28"/>
        <v>RJSC</v>
      </c>
      <c r="L182" s="24" t="str">
        <f t="shared" si="28"/>
        <v>RJRJ</v>
      </c>
      <c r="M182" s="24" t="str">
        <f t="shared" si="28"/>
        <v>RJPR</v>
      </c>
      <c r="N182" s="24" t="str">
        <f t="shared" si="28"/>
        <v>RJAM</v>
      </c>
      <c r="O182" s="24">
        <f>VLOOKUP(H182, KM!$A:$E, 5, 0)</f>
        <v>429</v>
      </c>
      <c r="P182" s="24">
        <f>VLOOKUP(I182, KM!$A:$E, 5, 0)</f>
        <v>434</v>
      </c>
      <c r="Q182" s="24">
        <f>VLOOKUP(J182, KM!$A:$E, 5, 0)</f>
        <v>521</v>
      </c>
      <c r="R182" s="24">
        <f>VLOOKUP(K182, KM!$A:$E, 5, 0)</f>
        <v>1144</v>
      </c>
      <c r="S182" s="24">
        <f>VLOOKUP(L182, KM!$A:$E, 5, 0)</f>
        <v>0</v>
      </c>
      <c r="T182" s="24">
        <f>VLOOKUP(M182, KM!$A:$E, 5, 0)</f>
        <v>852</v>
      </c>
      <c r="U182" s="24">
        <f>VLOOKUP(N182, KM!$A:$E, 5, 0)</f>
        <v>4374</v>
      </c>
      <c r="V182" s="24">
        <f>VLOOKUP(H182, IMPOSTO!$A:$D, 4, 0)</f>
        <v>0.12</v>
      </c>
      <c r="W182" s="24">
        <f>VLOOKUP(I182, IMPOSTO!$A:$D, 4, 0)</f>
        <v>0.12</v>
      </c>
      <c r="X182" s="24">
        <f>VLOOKUP(J182, IMPOSTO!$A:$D, 4, 0)</f>
        <v>7.0000000000000007E-2</v>
      </c>
      <c r="Y182" s="24">
        <f>VLOOKUP(K182, IMPOSTO!$A:$D, 4, 0)</f>
        <v>0.12</v>
      </c>
      <c r="Z182" s="24">
        <f>VLOOKUP(L182, IMPOSTO!$A:$D, 4, 0)</f>
        <v>0.18</v>
      </c>
      <c r="AA182" s="24">
        <f>VLOOKUP(M182, IMPOSTO!$A:$D, 4, 0)</f>
        <v>0.12</v>
      </c>
      <c r="AB182" s="24">
        <f>VLOOKUP(N182, IMPOSTO!$A:$D, 4, 0)</f>
        <v>7.0000000000000007E-2</v>
      </c>
      <c r="AC182" s="25">
        <f t="shared" si="21"/>
        <v>1564.2202113966453</v>
      </c>
      <c r="AD182" s="25">
        <f t="shared" si="22"/>
        <v>1564.7883932148272</v>
      </c>
      <c r="AE182" s="25">
        <f t="shared" si="23"/>
        <v>1490.0148236871482</v>
      </c>
      <c r="AF182" s="25">
        <f t="shared" si="24"/>
        <v>1645.4702113966453</v>
      </c>
      <c r="AG182" s="25">
        <f t="shared" si="25"/>
        <v>1626.3582756451801</v>
      </c>
      <c r="AH182" s="25">
        <f t="shared" si="26"/>
        <v>1612.288393214827</v>
      </c>
      <c r="AI182" s="25">
        <f t="shared" si="27"/>
        <v>1904.3158989559656</v>
      </c>
    </row>
    <row r="183" spans="1:35" ht="15.75" customHeight="1">
      <c r="A183" s="12" t="s">
        <v>184</v>
      </c>
      <c r="B183" s="12" t="s">
        <v>185</v>
      </c>
      <c r="C183" s="12" t="s">
        <v>181</v>
      </c>
      <c r="D183" s="12" t="s">
        <v>33</v>
      </c>
      <c r="E183" s="12" t="s">
        <v>27</v>
      </c>
      <c r="F183" s="13">
        <v>823.93739999999991</v>
      </c>
      <c r="G183" s="14">
        <v>14856.144981724059</v>
      </c>
      <c r="H183" s="24" t="str">
        <f t="shared" si="20"/>
        <v>RJSP</v>
      </c>
      <c r="I183" s="24" t="str">
        <f t="shared" si="28"/>
        <v>RJMG</v>
      </c>
      <c r="J183" s="24" t="str">
        <f t="shared" si="28"/>
        <v>RJES</v>
      </c>
      <c r="K183" s="24" t="str">
        <f t="shared" si="28"/>
        <v>RJSC</v>
      </c>
      <c r="L183" s="24" t="str">
        <f t="shared" si="28"/>
        <v>RJRJ</v>
      </c>
      <c r="M183" s="24" t="str">
        <f t="shared" si="28"/>
        <v>RJPR</v>
      </c>
      <c r="N183" s="24" t="str">
        <f t="shared" si="28"/>
        <v>RJAM</v>
      </c>
      <c r="O183" s="24">
        <f>VLOOKUP(H183, KM!$A:$E, 5, 0)</f>
        <v>429</v>
      </c>
      <c r="P183" s="24">
        <f>VLOOKUP(I183, KM!$A:$E, 5, 0)</f>
        <v>434</v>
      </c>
      <c r="Q183" s="24">
        <f>VLOOKUP(J183, KM!$A:$E, 5, 0)</f>
        <v>521</v>
      </c>
      <c r="R183" s="24">
        <f>VLOOKUP(K183, KM!$A:$E, 5, 0)</f>
        <v>1144</v>
      </c>
      <c r="S183" s="24">
        <f>VLOOKUP(L183, KM!$A:$E, 5, 0)</f>
        <v>0</v>
      </c>
      <c r="T183" s="24">
        <f>VLOOKUP(M183, KM!$A:$E, 5, 0)</f>
        <v>852</v>
      </c>
      <c r="U183" s="24">
        <f>VLOOKUP(N183, KM!$A:$E, 5, 0)</f>
        <v>4374</v>
      </c>
      <c r="V183" s="24">
        <f>VLOOKUP(H183, IMPOSTO!$A:$D, 4, 0)</f>
        <v>0.12</v>
      </c>
      <c r="W183" s="24">
        <f>VLOOKUP(I183, IMPOSTO!$A:$D, 4, 0)</f>
        <v>0.12</v>
      </c>
      <c r="X183" s="24">
        <f>VLOOKUP(J183, IMPOSTO!$A:$D, 4, 0)</f>
        <v>7.0000000000000007E-2</v>
      </c>
      <c r="Y183" s="24">
        <f>VLOOKUP(K183, IMPOSTO!$A:$D, 4, 0)</f>
        <v>0.12</v>
      </c>
      <c r="Z183" s="24">
        <f>VLOOKUP(L183, IMPOSTO!$A:$D, 4, 0)</f>
        <v>0.18</v>
      </c>
      <c r="AA183" s="24">
        <f>VLOOKUP(M183, IMPOSTO!$A:$D, 4, 0)</f>
        <v>0.12</v>
      </c>
      <c r="AB183" s="24">
        <f>VLOOKUP(N183, IMPOSTO!$A:$D, 4, 0)</f>
        <v>7.0000000000000007E-2</v>
      </c>
      <c r="AC183" s="25">
        <f t="shared" si="21"/>
        <v>16930.732933777341</v>
      </c>
      <c r="AD183" s="25">
        <f t="shared" si="22"/>
        <v>16931.301115595521</v>
      </c>
      <c r="AE183" s="25">
        <f t="shared" si="23"/>
        <v>16030.370948090387</v>
      </c>
      <c r="AF183" s="25">
        <f t="shared" si="24"/>
        <v>17011.982933777341</v>
      </c>
      <c r="AG183" s="25">
        <f t="shared" si="25"/>
        <v>18117.249977712265</v>
      </c>
      <c r="AH183" s="25">
        <f t="shared" si="26"/>
        <v>16978.801115595521</v>
      </c>
      <c r="AI183" s="25">
        <f t="shared" si="27"/>
        <v>16444.672023359202</v>
      </c>
    </row>
    <row r="184" spans="1:35" ht="15.75" customHeight="1">
      <c r="A184" s="12" t="s">
        <v>186</v>
      </c>
      <c r="B184" s="12" t="s">
        <v>187</v>
      </c>
      <c r="C184" s="12" t="s">
        <v>181</v>
      </c>
      <c r="D184" s="12" t="s">
        <v>33</v>
      </c>
      <c r="E184" s="12" t="s">
        <v>27</v>
      </c>
      <c r="F184" s="13">
        <v>17.27621561135371</v>
      </c>
      <c r="G184" s="14">
        <v>709.36141300218344</v>
      </c>
      <c r="H184" s="24" t="str">
        <f t="shared" si="20"/>
        <v>RJSP</v>
      </c>
      <c r="I184" s="24" t="str">
        <f t="shared" si="28"/>
        <v>RJMG</v>
      </c>
      <c r="J184" s="24" t="str">
        <f t="shared" si="28"/>
        <v>RJES</v>
      </c>
      <c r="K184" s="24" t="str">
        <f t="shared" si="28"/>
        <v>RJSC</v>
      </c>
      <c r="L184" s="24" t="str">
        <f t="shared" si="28"/>
        <v>RJRJ</v>
      </c>
      <c r="M184" s="24" t="str">
        <f t="shared" si="28"/>
        <v>RJPR</v>
      </c>
      <c r="N184" s="24" t="str">
        <f t="shared" si="28"/>
        <v>RJAM</v>
      </c>
      <c r="O184" s="24">
        <f>VLOOKUP(H184, KM!$A:$E, 5, 0)</f>
        <v>429</v>
      </c>
      <c r="P184" s="24">
        <f>VLOOKUP(I184, KM!$A:$E, 5, 0)</f>
        <v>434</v>
      </c>
      <c r="Q184" s="24">
        <f>VLOOKUP(J184, KM!$A:$E, 5, 0)</f>
        <v>521</v>
      </c>
      <c r="R184" s="24">
        <f>VLOOKUP(K184, KM!$A:$E, 5, 0)</f>
        <v>1144</v>
      </c>
      <c r="S184" s="24">
        <f>VLOOKUP(L184, KM!$A:$E, 5, 0)</f>
        <v>0</v>
      </c>
      <c r="T184" s="24">
        <f>VLOOKUP(M184, KM!$A:$E, 5, 0)</f>
        <v>852</v>
      </c>
      <c r="U184" s="24">
        <f>VLOOKUP(N184, KM!$A:$E, 5, 0)</f>
        <v>4374</v>
      </c>
      <c r="V184" s="24">
        <f>VLOOKUP(H184, IMPOSTO!$A:$D, 4, 0)</f>
        <v>0.12</v>
      </c>
      <c r="W184" s="24">
        <f>VLOOKUP(I184, IMPOSTO!$A:$D, 4, 0)</f>
        <v>0.12</v>
      </c>
      <c r="X184" s="24">
        <f>VLOOKUP(J184, IMPOSTO!$A:$D, 4, 0)</f>
        <v>7.0000000000000007E-2</v>
      </c>
      <c r="Y184" s="24">
        <f>VLOOKUP(K184, IMPOSTO!$A:$D, 4, 0)</f>
        <v>0.12</v>
      </c>
      <c r="Z184" s="24">
        <f>VLOOKUP(L184, IMPOSTO!$A:$D, 4, 0)</f>
        <v>0.18</v>
      </c>
      <c r="AA184" s="24">
        <f>VLOOKUP(M184, IMPOSTO!$A:$D, 4, 0)</f>
        <v>0.12</v>
      </c>
      <c r="AB184" s="24">
        <f>VLOOKUP(N184, IMPOSTO!$A:$D, 4, 0)</f>
        <v>7.0000000000000007E-2</v>
      </c>
      <c r="AC184" s="25">
        <f t="shared" si="21"/>
        <v>854.84251477520843</v>
      </c>
      <c r="AD184" s="25">
        <f t="shared" si="22"/>
        <v>855.4106965933903</v>
      </c>
      <c r="AE184" s="25">
        <f t="shared" si="23"/>
        <v>818.77571290557364</v>
      </c>
      <c r="AF184" s="25">
        <f t="shared" si="24"/>
        <v>936.09251477520843</v>
      </c>
      <c r="AG184" s="25">
        <f t="shared" si="25"/>
        <v>865.0748939051017</v>
      </c>
      <c r="AH184" s="25">
        <f t="shared" si="26"/>
        <v>902.9106965933903</v>
      </c>
      <c r="AI184" s="25">
        <f t="shared" si="27"/>
        <v>1233.0767881743909</v>
      </c>
    </row>
    <row r="185" spans="1:35" ht="15.75" customHeight="1">
      <c r="A185" s="12" t="s">
        <v>186</v>
      </c>
      <c r="B185" s="12" t="s">
        <v>187</v>
      </c>
      <c r="C185" s="12" t="s">
        <v>181</v>
      </c>
      <c r="D185" s="12" t="s">
        <v>33</v>
      </c>
      <c r="E185" s="12" t="s">
        <v>27</v>
      </c>
      <c r="F185" s="13">
        <v>43.190539028384279</v>
      </c>
      <c r="G185" s="14">
        <v>1851.9872785829693</v>
      </c>
      <c r="H185" s="24" t="str">
        <f t="shared" si="20"/>
        <v>RJSP</v>
      </c>
      <c r="I185" s="24" t="str">
        <f t="shared" si="28"/>
        <v>RJMG</v>
      </c>
      <c r="J185" s="24" t="str">
        <f t="shared" si="28"/>
        <v>RJES</v>
      </c>
      <c r="K185" s="24" t="str">
        <f t="shared" si="28"/>
        <v>RJSC</v>
      </c>
      <c r="L185" s="24" t="str">
        <f t="shared" si="28"/>
        <v>RJRJ</v>
      </c>
      <c r="M185" s="24" t="str">
        <f t="shared" si="28"/>
        <v>RJPR</v>
      </c>
      <c r="N185" s="24" t="str">
        <f t="shared" si="28"/>
        <v>RJAM</v>
      </c>
      <c r="O185" s="24">
        <f>VLOOKUP(H185, KM!$A:$E, 5, 0)</f>
        <v>429</v>
      </c>
      <c r="P185" s="24">
        <f>VLOOKUP(I185, KM!$A:$E, 5, 0)</f>
        <v>434</v>
      </c>
      <c r="Q185" s="24">
        <f>VLOOKUP(J185, KM!$A:$E, 5, 0)</f>
        <v>521</v>
      </c>
      <c r="R185" s="24">
        <f>VLOOKUP(K185, KM!$A:$E, 5, 0)</f>
        <v>1144</v>
      </c>
      <c r="S185" s="24">
        <f>VLOOKUP(L185, KM!$A:$E, 5, 0)</f>
        <v>0</v>
      </c>
      <c r="T185" s="24">
        <f>VLOOKUP(M185, KM!$A:$E, 5, 0)</f>
        <v>852</v>
      </c>
      <c r="U185" s="24">
        <f>VLOOKUP(N185, KM!$A:$E, 5, 0)</f>
        <v>4374</v>
      </c>
      <c r="V185" s="24">
        <f>VLOOKUP(H185, IMPOSTO!$A:$D, 4, 0)</f>
        <v>0.12</v>
      </c>
      <c r="W185" s="24">
        <f>VLOOKUP(I185, IMPOSTO!$A:$D, 4, 0)</f>
        <v>0.12</v>
      </c>
      <c r="X185" s="24">
        <f>VLOOKUP(J185, IMPOSTO!$A:$D, 4, 0)</f>
        <v>7.0000000000000007E-2</v>
      </c>
      <c r="Y185" s="24">
        <f>VLOOKUP(K185, IMPOSTO!$A:$D, 4, 0)</f>
        <v>0.12</v>
      </c>
      <c r="Z185" s="24">
        <f>VLOOKUP(L185, IMPOSTO!$A:$D, 4, 0)</f>
        <v>0.18</v>
      </c>
      <c r="AA185" s="24">
        <f>VLOOKUP(M185, IMPOSTO!$A:$D, 4, 0)</f>
        <v>0.12</v>
      </c>
      <c r="AB185" s="24">
        <f>VLOOKUP(N185, IMPOSTO!$A:$D, 4, 0)</f>
        <v>7.0000000000000007E-2</v>
      </c>
      <c r="AC185" s="25">
        <f t="shared" si="21"/>
        <v>2153.2809983897378</v>
      </c>
      <c r="AD185" s="25">
        <f t="shared" si="22"/>
        <v>2153.8491802079197</v>
      </c>
      <c r="AE185" s="25">
        <f t="shared" si="23"/>
        <v>2047.405675895666</v>
      </c>
      <c r="AF185" s="25">
        <f t="shared" si="24"/>
        <v>2234.5309983897378</v>
      </c>
      <c r="AG185" s="25">
        <f t="shared" si="25"/>
        <v>2258.5210714426453</v>
      </c>
      <c r="AH185" s="25">
        <f t="shared" si="26"/>
        <v>2201.3491802079197</v>
      </c>
      <c r="AI185" s="25">
        <f t="shared" si="27"/>
        <v>2461.7067511644836</v>
      </c>
    </row>
    <row r="186" spans="1:35" ht="15.75" customHeight="1">
      <c r="A186" s="12" t="s">
        <v>188</v>
      </c>
      <c r="B186" s="12" t="s">
        <v>189</v>
      </c>
      <c r="C186" s="12" t="s">
        <v>163</v>
      </c>
      <c r="D186" s="12" t="s">
        <v>33</v>
      </c>
      <c r="E186" s="12" t="s">
        <v>27</v>
      </c>
      <c r="F186" s="13">
        <v>27</v>
      </c>
      <c r="G186" s="14">
        <v>600.00750000000005</v>
      </c>
      <c r="H186" s="24" t="str">
        <f t="shared" si="20"/>
        <v>RJSP</v>
      </c>
      <c r="I186" s="24" t="str">
        <f t="shared" si="28"/>
        <v>RJMG</v>
      </c>
      <c r="J186" s="24" t="str">
        <f t="shared" si="28"/>
        <v>RJES</v>
      </c>
      <c r="K186" s="24" t="str">
        <f t="shared" si="28"/>
        <v>RJSC</v>
      </c>
      <c r="L186" s="24" t="str">
        <f t="shared" si="28"/>
        <v>RJRJ</v>
      </c>
      <c r="M186" s="24" t="str">
        <f t="shared" si="28"/>
        <v>RJPR</v>
      </c>
      <c r="N186" s="24" t="str">
        <f t="shared" si="28"/>
        <v>RJAM</v>
      </c>
      <c r="O186" s="24">
        <f>VLOOKUP(H186, KM!$A:$E, 5, 0)</f>
        <v>429</v>
      </c>
      <c r="P186" s="24">
        <f>VLOOKUP(I186, KM!$A:$E, 5, 0)</f>
        <v>434</v>
      </c>
      <c r="Q186" s="24">
        <f>VLOOKUP(J186, KM!$A:$E, 5, 0)</f>
        <v>521</v>
      </c>
      <c r="R186" s="24">
        <f>VLOOKUP(K186, KM!$A:$E, 5, 0)</f>
        <v>1144</v>
      </c>
      <c r="S186" s="24">
        <f>VLOOKUP(L186, KM!$A:$E, 5, 0)</f>
        <v>0</v>
      </c>
      <c r="T186" s="24">
        <f>VLOOKUP(M186, KM!$A:$E, 5, 0)</f>
        <v>852</v>
      </c>
      <c r="U186" s="24">
        <f>VLOOKUP(N186, KM!$A:$E, 5, 0)</f>
        <v>4374</v>
      </c>
      <c r="V186" s="24">
        <f>VLOOKUP(H186, IMPOSTO!$A:$D, 4, 0)</f>
        <v>0.12</v>
      </c>
      <c r="W186" s="24">
        <f>VLOOKUP(I186, IMPOSTO!$A:$D, 4, 0)</f>
        <v>0.12</v>
      </c>
      <c r="X186" s="24">
        <f>VLOOKUP(J186, IMPOSTO!$A:$D, 4, 0)</f>
        <v>7.0000000000000007E-2</v>
      </c>
      <c r="Y186" s="24">
        <f>VLOOKUP(K186, IMPOSTO!$A:$D, 4, 0)</f>
        <v>0.12</v>
      </c>
      <c r="Z186" s="24">
        <f>VLOOKUP(L186, IMPOSTO!$A:$D, 4, 0)</f>
        <v>0.18</v>
      </c>
      <c r="AA186" s="24">
        <f>VLOOKUP(M186, IMPOSTO!$A:$D, 4, 0)</f>
        <v>0.12</v>
      </c>
      <c r="AB186" s="24">
        <f>VLOOKUP(N186, IMPOSTO!$A:$D, 4, 0)</f>
        <v>7.0000000000000007E-2</v>
      </c>
      <c r="AC186" s="25">
        <f t="shared" si="21"/>
        <v>730.57670454545462</v>
      </c>
      <c r="AD186" s="25">
        <f t="shared" si="22"/>
        <v>731.14488636363637</v>
      </c>
      <c r="AE186" s="25">
        <f t="shared" si="23"/>
        <v>701.19086021505393</v>
      </c>
      <c r="AF186" s="25">
        <f t="shared" si="24"/>
        <v>811.82670454545462</v>
      </c>
      <c r="AG186" s="25">
        <f t="shared" si="25"/>
        <v>731.71646341463418</v>
      </c>
      <c r="AH186" s="25">
        <f t="shared" si="26"/>
        <v>778.64488636363649</v>
      </c>
      <c r="AI186" s="25">
        <f t="shared" si="27"/>
        <v>1115.491935483871</v>
      </c>
    </row>
    <row r="187" spans="1:35" ht="15.75" customHeight="1">
      <c r="A187" s="12" t="s">
        <v>190</v>
      </c>
      <c r="B187" s="12" t="s">
        <v>191</v>
      </c>
      <c r="C187" s="12" t="s">
        <v>192</v>
      </c>
      <c r="D187" s="12" t="s">
        <v>50</v>
      </c>
      <c r="E187" s="12" t="s">
        <v>27</v>
      </c>
      <c r="F187" s="13">
        <v>34.72063692307691</v>
      </c>
      <c r="G187" s="14">
        <v>199.26230449230766</v>
      </c>
      <c r="H187" s="24" t="str">
        <f t="shared" si="20"/>
        <v>RJSP</v>
      </c>
      <c r="I187" s="24" t="str">
        <f t="shared" si="28"/>
        <v>RJMG</v>
      </c>
      <c r="J187" s="24" t="str">
        <f t="shared" si="28"/>
        <v>RJES</v>
      </c>
      <c r="K187" s="24" t="str">
        <f t="shared" si="28"/>
        <v>RJSC</v>
      </c>
      <c r="L187" s="24" t="str">
        <f t="shared" si="28"/>
        <v>RJRJ</v>
      </c>
      <c r="M187" s="24" t="str">
        <f t="shared" si="28"/>
        <v>RJPR</v>
      </c>
      <c r="N187" s="24" t="str">
        <f t="shared" si="28"/>
        <v>RJAM</v>
      </c>
      <c r="O187" s="24">
        <f>VLOOKUP(H187, KM!$A:$E, 5, 0)</f>
        <v>429</v>
      </c>
      <c r="P187" s="24">
        <f>VLOOKUP(I187, KM!$A:$E, 5, 0)</f>
        <v>434</v>
      </c>
      <c r="Q187" s="24">
        <f>VLOOKUP(J187, KM!$A:$E, 5, 0)</f>
        <v>521</v>
      </c>
      <c r="R187" s="24">
        <f>VLOOKUP(K187, KM!$A:$E, 5, 0)</f>
        <v>1144</v>
      </c>
      <c r="S187" s="24">
        <f>VLOOKUP(L187, KM!$A:$E, 5, 0)</f>
        <v>0</v>
      </c>
      <c r="T187" s="24">
        <f>VLOOKUP(M187, KM!$A:$E, 5, 0)</f>
        <v>852</v>
      </c>
      <c r="U187" s="24">
        <f>VLOOKUP(N187, KM!$A:$E, 5, 0)</f>
        <v>4374</v>
      </c>
      <c r="V187" s="24">
        <f>VLOOKUP(H187, IMPOSTO!$A:$D, 4, 0)</f>
        <v>0.12</v>
      </c>
      <c r="W187" s="24">
        <f>VLOOKUP(I187, IMPOSTO!$A:$D, 4, 0)</f>
        <v>0.12</v>
      </c>
      <c r="X187" s="24">
        <f>VLOOKUP(J187, IMPOSTO!$A:$D, 4, 0)</f>
        <v>7.0000000000000007E-2</v>
      </c>
      <c r="Y187" s="24">
        <f>VLOOKUP(K187, IMPOSTO!$A:$D, 4, 0)</f>
        <v>0.12</v>
      </c>
      <c r="Z187" s="24">
        <f>VLOOKUP(L187, IMPOSTO!$A:$D, 4, 0)</f>
        <v>0.18</v>
      </c>
      <c r="AA187" s="24">
        <f>VLOOKUP(M187, IMPOSTO!$A:$D, 4, 0)</f>
        <v>0.12</v>
      </c>
      <c r="AB187" s="24">
        <f>VLOOKUP(N187, IMPOSTO!$A:$D, 4, 0)</f>
        <v>7.0000000000000007E-2</v>
      </c>
      <c r="AC187" s="25">
        <f t="shared" si="21"/>
        <v>275.18443692307687</v>
      </c>
      <c r="AD187" s="25">
        <f t="shared" si="22"/>
        <v>275.75261874125869</v>
      </c>
      <c r="AE187" s="25">
        <f t="shared" si="23"/>
        <v>270.28204784119106</v>
      </c>
      <c r="AF187" s="25">
        <f t="shared" si="24"/>
        <v>356.43443692307687</v>
      </c>
      <c r="AG187" s="25">
        <f t="shared" si="25"/>
        <v>243.00281035647274</v>
      </c>
      <c r="AH187" s="25">
        <f t="shared" si="26"/>
        <v>323.25261874125874</v>
      </c>
      <c r="AI187" s="25">
        <f t="shared" si="27"/>
        <v>684.58312311000839</v>
      </c>
    </row>
    <row r="188" spans="1:35" ht="15.75" customHeight="1">
      <c r="A188" s="12" t="s">
        <v>193</v>
      </c>
      <c r="B188" s="12" t="s">
        <v>194</v>
      </c>
      <c r="C188" s="12" t="s">
        <v>176</v>
      </c>
      <c r="D188" s="12" t="s">
        <v>33</v>
      </c>
      <c r="E188" s="12" t="s">
        <v>27</v>
      </c>
      <c r="F188" s="13">
        <v>6163.0751</v>
      </c>
      <c r="G188" s="14">
        <v>156996.21104049997</v>
      </c>
      <c r="H188" s="24" t="str">
        <f t="shared" si="20"/>
        <v>RJSP</v>
      </c>
      <c r="I188" s="24" t="str">
        <f t="shared" si="28"/>
        <v>RJMG</v>
      </c>
      <c r="J188" s="24" t="str">
        <f t="shared" si="28"/>
        <v>RJES</v>
      </c>
      <c r="K188" s="24" t="str">
        <f t="shared" si="28"/>
        <v>RJSC</v>
      </c>
      <c r="L188" s="24" t="str">
        <f t="shared" si="28"/>
        <v>RJRJ</v>
      </c>
      <c r="M188" s="24" t="str">
        <f t="shared" si="28"/>
        <v>RJPR</v>
      </c>
      <c r="N188" s="24" t="str">
        <f t="shared" si="28"/>
        <v>RJAM</v>
      </c>
      <c r="O188" s="24">
        <f>VLOOKUP(H188, KM!$A:$E, 5, 0)</f>
        <v>429</v>
      </c>
      <c r="P188" s="24">
        <f>VLOOKUP(I188, KM!$A:$E, 5, 0)</f>
        <v>434</v>
      </c>
      <c r="Q188" s="24">
        <f>VLOOKUP(J188, KM!$A:$E, 5, 0)</f>
        <v>521</v>
      </c>
      <c r="R188" s="24">
        <f>VLOOKUP(K188, KM!$A:$E, 5, 0)</f>
        <v>1144</v>
      </c>
      <c r="S188" s="24">
        <f>VLOOKUP(L188, KM!$A:$E, 5, 0)</f>
        <v>0</v>
      </c>
      <c r="T188" s="24">
        <f>VLOOKUP(M188, KM!$A:$E, 5, 0)</f>
        <v>852</v>
      </c>
      <c r="U188" s="24">
        <f>VLOOKUP(N188, KM!$A:$E, 5, 0)</f>
        <v>4374</v>
      </c>
      <c r="V188" s="24">
        <f>VLOOKUP(H188, IMPOSTO!$A:$D, 4, 0)</f>
        <v>0.12</v>
      </c>
      <c r="W188" s="24">
        <f>VLOOKUP(I188, IMPOSTO!$A:$D, 4, 0)</f>
        <v>0.12</v>
      </c>
      <c r="X188" s="24">
        <f>VLOOKUP(J188, IMPOSTO!$A:$D, 4, 0)</f>
        <v>7.0000000000000007E-2</v>
      </c>
      <c r="Y188" s="24">
        <f>VLOOKUP(K188, IMPOSTO!$A:$D, 4, 0)</f>
        <v>0.12</v>
      </c>
      <c r="Z188" s="24">
        <f>VLOOKUP(L188, IMPOSTO!$A:$D, 4, 0)</f>
        <v>0.18</v>
      </c>
      <c r="AA188" s="24">
        <f>VLOOKUP(M188, IMPOSTO!$A:$D, 4, 0)</f>
        <v>0.12</v>
      </c>
      <c r="AB188" s="24">
        <f>VLOOKUP(N188, IMPOSTO!$A:$D, 4, 0)</f>
        <v>7.0000000000000007E-2</v>
      </c>
      <c r="AC188" s="25">
        <f t="shared" si="21"/>
        <v>178453.53527329542</v>
      </c>
      <c r="AD188" s="25">
        <f t="shared" si="22"/>
        <v>178454.1034551136</v>
      </c>
      <c r="AE188" s="25">
        <f t="shared" si="23"/>
        <v>168869.15165645161</v>
      </c>
      <c r="AF188" s="25">
        <f t="shared" si="24"/>
        <v>178534.78527329542</v>
      </c>
      <c r="AG188" s="25">
        <f t="shared" si="25"/>
        <v>191458.79395182923</v>
      </c>
      <c r="AH188" s="25">
        <f t="shared" si="26"/>
        <v>178501.60345511363</v>
      </c>
      <c r="AI188" s="25">
        <f t="shared" si="27"/>
        <v>169283.4527317204</v>
      </c>
    </row>
    <row r="189" spans="1:35" ht="15.75" customHeight="1">
      <c r="A189" s="12" t="s">
        <v>195</v>
      </c>
      <c r="B189" s="12" t="s">
        <v>196</v>
      </c>
      <c r="C189" s="12" t="s">
        <v>98</v>
      </c>
      <c r="D189" s="12" t="s">
        <v>33</v>
      </c>
      <c r="E189" s="12" t="s">
        <v>27</v>
      </c>
      <c r="F189" s="13">
        <v>2988.4799999999991</v>
      </c>
      <c r="G189" s="14">
        <v>17919.25711163077</v>
      </c>
      <c r="H189" s="24" t="str">
        <f t="shared" si="20"/>
        <v>RJSP</v>
      </c>
      <c r="I189" s="24" t="str">
        <f t="shared" si="28"/>
        <v>RJMG</v>
      </c>
      <c r="J189" s="24" t="str">
        <f t="shared" si="28"/>
        <v>RJES</v>
      </c>
      <c r="K189" s="24" t="str">
        <f t="shared" si="28"/>
        <v>RJSC</v>
      </c>
      <c r="L189" s="24" t="str">
        <f t="shared" si="28"/>
        <v>RJRJ</v>
      </c>
      <c r="M189" s="24" t="str">
        <f t="shared" si="28"/>
        <v>RJPR</v>
      </c>
      <c r="N189" s="24" t="str">
        <f t="shared" si="28"/>
        <v>RJAM</v>
      </c>
      <c r="O189" s="24">
        <f>VLOOKUP(H189, KM!$A:$E, 5, 0)</f>
        <v>429</v>
      </c>
      <c r="P189" s="24">
        <f>VLOOKUP(I189, KM!$A:$E, 5, 0)</f>
        <v>434</v>
      </c>
      <c r="Q189" s="24">
        <f>VLOOKUP(J189, KM!$A:$E, 5, 0)</f>
        <v>521</v>
      </c>
      <c r="R189" s="24">
        <f>VLOOKUP(K189, KM!$A:$E, 5, 0)</f>
        <v>1144</v>
      </c>
      <c r="S189" s="24">
        <f>VLOOKUP(L189, KM!$A:$E, 5, 0)</f>
        <v>0</v>
      </c>
      <c r="T189" s="24">
        <f>VLOOKUP(M189, KM!$A:$E, 5, 0)</f>
        <v>852</v>
      </c>
      <c r="U189" s="24">
        <f>VLOOKUP(N189, KM!$A:$E, 5, 0)</f>
        <v>4374</v>
      </c>
      <c r="V189" s="24">
        <f>VLOOKUP(H189, IMPOSTO!$A:$D, 4, 0)</f>
        <v>0.12</v>
      </c>
      <c r="W189" s="24">
        <f>VLOOKUP(I189, IMPOSTO!$A:$D, 4, 0)</f>
        <v>0.12</v>
      </c>
      <c r="X189" s="24">
        <f>VLOOKUP(J189, IMPOSTO!$A:$D, 4, 0)</f>
        <v>7.0000000000000007E-2</v>
      </c>
      <c r="Y189" s="24">
        <f>VLOOKUP(K189, IMPOSTO!$A:$D, 4, 0)</f>
        <v>0.12</v>
      </c>
      <c r="Z189" s="24">
        <f>VLOOKUP(L189, IMPOSTO!$A:$D, 4, 0)</f>
        <v>0.18</v>
      </c>
      <c r="AA189" s="24">
        <f>VLOOKUP(M189, IMPOSTO!$A:$D, 4, 0)</f>
        <v>0.12</v>
      </c>
      <c r="AB189" s="24">
        <f>VLOOKUP(N189, IMPOSTO!$A:$D, 4, 0)</f>
        <v>7.0000000000000007E-2</v>
      </c>
      <c r="AC189" s="25">
        <f t="shared" si="21"/>
        <v>20411.542172307694</v>
      </c>
      <c r="AD189" s="25">
        <f t="shared" si="22"/>
        <v>20412.110354125878</v>
      </c>
      <c r="AE189" s="25">
        <f t="shared" si="23"/>
        <v>19324.039904979323</v>
      </c>
      <c r="AF189" s="25">
        <f t="shared" si="24"/>
        <v>20492.792172307694</v>
      </c>
      <c r="AG189" s="25">
        <f t="shared" si="25"/>
        <v>21852.752575159473</v>
      </c>
      <c r="AH189" s="25">
        <f t="shared" si="26"/>
        <v>20459.610354125874</v>
      </c>
      <c r="AI189" s="25">
        <f t="shared" si="27"/>
        <v>19738.340980248144</v>
      </c>
    </row>
    <row r="190" spans="1:35" ht="15.75" customHeight="1">
      <c r="A190" s="12" t="s">
        <v>197</v>
      </c>
      <c r="B190" s="12" t="s">
        <v>198</v>
      </c>
      <c r="C190" s="12" t="s">
        <v>181</v>
      </c>
      <c r="D190" s="12" t="s">
        <v>33</v>
      </c>
      <c r="E190" s="12" t="s">
        <v>27</v>
      </c>
      <c r="F190" s="13">
        <v>11.439747774480711</v>
      </c>
      <c r="G190" s="14">
        <v>225.52318762611276</v>
      </c>
      <c r="H190" s="24" t="str">
        <f t="shared" si="20"/>
        <v>RJSP</v>
      </c>
      <c r="I190" s="24" t="str">
        <f t="shared" si="28"/>
        <v>RJMG</v>
      </c>
      <c r="J190" s="24" t="str">
        <f t="shared" si="28"/>
        <v>RJES</v>
      </c>
      <c r="K190" s="24" t="str">
        <f t="shared" si="28"/>
        <v>RJSC</v>
      </c>
      <c r="L190" s="24" t="str">
        <f t="shared" si="28"/>
        <v>RJRJ</v>
      </c>
      <c r="M190" s="24" t="str">
        <f t="shared" si="28"/>
        <v>RJPR</v>
      </c>
      <c r="N190" s="24" t="str">
        <f t="shared" si="28"/>
        <v>RJAM</v>
      </c>
      <c r="O190" s="24">
        <f>VLOOKUP(H190, KM!$A:$E, 5, 0)</f>
        <v>429</v>
      </c>
      <c r="P190" s="24">
        <f>VLOOKUP(I190, KM!$A:$E, 5, 0)</f>
        <v>434</v>
      </c>
      <c r="Q190" s="24">
        <f>VLOOKUP(J190, KM!$A:$E, 5, 0)</f>
        <v>521</v>
      </c>
      <c r="R190" s="24">
        <f>VLOOKUP(K190, KM!$A:$E, 5, 0)</f>
        <v>1144</v>
      </c>
      <c r="S190" s="24">
        <f>VLOOKUP(L190, KM!$A:$E, 5, 0)</f>
        <v>0</v>
      </c>
      <c r="T190" s="24">
        <f>VLOOKUP(M190, KM!$A:$E, 5, 0)</f>
        <v>852</v>
      </c>
      <c r="U190" s="24">
        <f>VLOOKUP(N190, KM!$A:$E, 5, 0)</f>
        <v>4374</v>
      </c>
      <c r="V190" s="24">
        <f>VLOOKUP(H190, IMPOSTO!$A:$D, 4, 0)</f>
        <v>0.12</v>
      </c>
      <c r="W190" s="24">
        <f>VLOOKUP(I190, IMPOSTO!$A:$D, 4, 0)</f>
        <v>0.12</v>
      </c>
      <c r="X190" s="24">
        <f>VLOOKUP(J190, IMPOSTO!$A:$D, 4, 0)</f>
        <v>7.0000000000000007E-2</v>
      </c>
      <c r="Y190" s="24">
        <f>VLOOKUP(K190, IMPOSTO!$A:$D, 4, 0)</f>
        <v>0.12</v>
      </c>
      <c r="Z190" s="24">
        <f>VLOOKUP(L190, IMPOSTO!$A:$D, 4, 0)</f>
        <v>0.18</v>
      </c>
      <c r="AA190" s="24">
        <f>VLOOKUP(M190, IMPOSTO!$A:$D, 4, 0)</f>
        <v>0.12</v>
      </c>
      <c r="AB190" s="24">
        <f>VLOOKUP(N190, IMPOSTO!$A:$D, 4, 0)</f>
        <v>7.0000000000000007E-2</v>
      </c>
      <c r="AC190" s="25">
        <f t="shared" si="21"/>
        <v>305.02634957512811</v>
      </c>
      <c r="AD190" s="25">
        <f t="shared" si="22"/>
        <v>305.59453139330992</v>
      </c>
      <c r="AE190" s="25">
        <f t="shared" si="23"/>
        <v>298.51955658721806</v>
      </c>
      <c r="AF190" s="25">
        <f t="shared" si="24"/>
        <v>386.27634957512811</v>
      </c>
      <c r="AG190" s="25">
        <f t="shared" si="25"/>
        <v>275.02827759282042</v>
      </c>
      <c r="AH190" s="25">
        <f t="shared" si="26"/>
        <v>353.09453139330992</v>
      </c>
      <c r="AI190" s="25">
        <f t="shared" si="27"/>
        <v>712.82063185603533</v>
      </c>
    </row>
    <row r="191" spans="1:35" ht="15.75" customHeight="1">
      <c r="A191" s="12" t="s">
        <v>199</v>
      </c>
      <c r="B191" s="12" t="s">
        <v>200</v>
      </c>
      <c r="C191" s="12" t="s">
        <v>181</v>
      </c>
      <c r="D191" s="12" t="s">
        <v>33</v>
      </c>
      <c r="E191" s="12" t="s">
        <v>27</v>
      </c>
      <c r="F191" s="13">
        <v>9.8042076502732236</v>
      </c>
      <c r="G191" s="14">
        <v>114.16019387978142</v>
      </c>
      <c r="H191" s="24" t="str">
        <f t="shared" si="20"/>
        <v>RJSP</v>
      </c>
      <c r="I191" s="24" t="str">
        <f t="shared" si="28"/>
        <v>RJMG</v>
      </c>
      <c r="J191" s="24" t="str">
        <f t="shared" si="28"/>
        <v>RJES</v>
      </c>
      <c r="K191" s="24" t="str">
        <f t="shared" si="28"/>
        <v>RJSC</v>
      </c>
      <c r="L191" s="24" t="str">
        <f t="shared" si="28"/>
        <v>RJRJ</v>
      </c>
      <c r="M191" s="24" t="str">
        <f t="shared" si="28"/>
        <v>RJPR</v>
      </c>
      <c r="N191" s="24" t="str">
        <f t="shared" si="28"/>
        <v>RJAM</v>
      </c>
      <c r="O191" s="24">
        <f>VLOOKUP(H191, KM!$A:$E, 5, 0)</f>
        <v>429</v>
      </c>
      <c r="P191" s="24">
        <f>VLOOKUP(I191, KM!$A:$E, 5, 0)</f>
        <v>434</v>
      </c>
      <c r="Q191" s="24">
        <f>VLOOKUP(J191, KM!$A:$E, 5, 0)</f>
        <v>521</v>
      </c>
      <c r="R191" s="24">
        <f>VLOOKUP(K191, KM!$A:$E, 5, 0)</f>
        <v>1144</v>
      </c>
      <c r="S191" s="24">
        <f>VLOOKUP(L191, KM!$A:$E, 5, 0)</f>
        <v>0</v>
      </c>
      <c r="T191" s="24">
        <f>VLOOKUP(M191, KM!$A:$E, 5, 0)</f>
        <v>852</v>
      </c>
      <c r="U191" s="24">
        <f>VLOOKUP(N191, KM!$A:$E, 5, 0)</f>
        <v>4374</v>
      </c>
      <c r="V191" s="24">
        <f>VLOOKUP(H191, IMPOSTO!$A:$D, 4, 0)</f>
        <v>0.12</v>
      </c>
      <c r="W191" s="24">
        <f>VLOOKUP(I191, IMPOSTO!$A:$D, 4, 0)</f>
        <v>0.12</v>
      </c>
      <c r="X191" s="24">
        <f>VLOOKUP(J191, IMPOSTO!$A:$D, 4, 0)</f>
        <v>7.0000000000000007E-2</v>
      </c>
      <c r="Y191" s="24">
        <f>VLOOKUP(K191, IMPOSTO!$A:$D, 4, 0)</f>
        <v>0.12</v>
      </c>
      <c r="Z191" s="24">
        <f>VLOOKUP(L191, IMPOSTO!$A:$D, 4, 0)</f>
        <v>0.18</v>
      </c>
      <c r="AA191" s="24">
        <f>VLOOKUP(M191, IMPOSTO!$A:$D, 4, 0)</f>
        <v>0.12</v>
      </c>
      <c r="AB191" s="24">
        <f>VLOOKUP(N191, IMPOSTO!$A:$D, 4, 0)</f>
        <v>7.0000000000000007E-2</v>
      </c>
      <c r="AC191" s="25">
        <f t="shared" si="21"/>
        <v>178.47749304520616</v>
      </c>
      <c r="AD191" s="25">
        <f t="shared" si="22"/>
        <v>179.04567486338797</v>
      </c>
      <c r="AE191" s="25">
        <f t="shared" si="23"/>
        <v>178.77440202127033</v>
      </c>
      <c r="AF191" s="25">
        <f t="shared" si="24"/>
        <v>259.72749304520619</v>
      </c>
      <c r="AG191" s="25">
        <f t="shared" si="25"/>
        <v>139.21974863387976</v>
      </c>
      <c r="AH191" s="25">
        <f t="shared" si="26"/>
        <v>226.545674863388</v>
      </c>
      <c r="AI191" s="25">
        <f t="shared" si="27"/>
        <v>593.07547729008763</v>
      </c>
    </row>
    <row r="192" spans="1:35" ht="15.75" customHeight="1">
      <c r="A192" s="12" t="s">
        <v>199</v>
      </c>
      <c r="B192" s="12" t="s">
        <v>200</v>
      </c>
      <c r="C192" s="12" t="s">
        <v>181</v>
      </c>
      <c r="D192" s="12" t="s">
        <v>33</v>
      </c>
      <c r="E192" s="12" t="s">
        <v>27</v>
      </c>
      <c r="F192" s="13">
        <v>63.727349726775955</v>
      </c>
      <c r="G192" s="14">
        <v>771.4342747540984</v>
      </c>
      <c r="H192" s="24" t="str">
        <f t="shared" si="20"/>
        <v>RJSP</v>
      </c>
      <c r="I192" s="24" t="str">
        <f t="shared" si="28"/>
        <v>RJMG</v>
      </c>
      <c r="J192" s="24" t="str">
        <f t="shared" si="28"/>
        <v>RJES</v>
      </c>
      <c r="K192" s="24" t="str">
        <f t="shared" si="28"/>
        <v>RJSC</v>
      </c>
      <c r="L192" s="24" t="str">
        <f t="shared" si="28"/>
        <v>RJRJ</v>
      </c>
      <c r="M192" s="24" t="str">
        <f t="shared" si="28"/>
        <v>RJPR</v>
      </c>
      <c r="N192" s="24" t="str">
        <f t="shared" si="28"/>
        <v>RJAM</v>
      </c>
      <c r="O192" s="24">
        <f>VLOOKUP(H192, KM!$A:$E, 5, 0)</f>
        <v>429</v>
      </c>
      <c r="P192" s="24">
        <f>VLOOKUP(I192, KM!$A:$E, 5, 0)</f>
        <v>434</v>
      </c>
      <c r="Q192" s="24">
        <f>VLOOKUP(J192, KM!$A:$E, 5, 0)</f>
        <v>521</v>
      </c>
      <c r="R192" s="24">
        <f>VLOOKUP(K192, KM!$A:$E, 5, 0)</f>
        <v>1144</v>
      </c>
      <c r="S192" s="24">
        <f>VLOOKUP(L192, KM!$A:$E, 5, 0)</f>
        <v>0</v>
      </c>
      <c r="T192" s="24">
        <f>VLOOKUP(M192, KM!$A:$E, 5, 0)</f>
        <v>852</v>
      </c>
      <c r="U192" s="24">
        <f>VLOOKUP(N192, KM!$A:$E, 5, 0)</f>
        <v>4374</v>
      </c>
      <c r="V192" s="24">
        <f>VLOOKUP(H192, IMPOSTO!$A:$D, 4, 0)</f>
        <v>0.12</v>
      </c>
      <c r="W192" s="24">
        <f>VLOOKUP(I192, IMPOSTO!$A:$D, 4, 0)</f>
        <v>0.12</v>
      </c>
      <c r="X192" s="24">
        <f>VLOOKUP(J192, IMPOSTO!$A:$D, 4, 0)</f>
        <v>7.0000000000000007E-2</v>
      </c>
      <c r="Y192" s="24">
        <f>VLOOKUP(K192, IMPOSTO!$A:$D, 4, 0)</f>
        <v>0.12</v>
      </c>
      <c r="Z192" s="24">
        <f>VLOOKUP(L192, IMPOSTO!$A:$D, 4, 0)</f>
        <v>0.18</v>
      </c>
      <c r="AA192" s="24">
        <f>VLOOKUP(M192, IMPOSTO!$A:$D, 4, 0)</f>
        <v>0.12</v>
      </c>
      <c r="AB192" s="24">
        <f>VLOOKUP(N192, IMPOSTO!$A:$D, 4, 0)</f>
        <v>7.0000000000000007E-2</v>
      </c>
      <c r="AC192" s="25">
        <f t="shared" si="21"/>
        <v>925.37985767511179</v>
      </c>
      <c r="AD192" s="25">
        <f t="shared" si="22"/>
        <v>925.94803949329355</v>
      </c>
      <c r="AE192" s="25">
        <f t="shared" si="23"/>
        <v>885.52072554204142</v>
      </c>
      <c r="AF192" s="25">
        <f t="shared" si="24"/>
        <v>1006.6298576751118</v>
      </c>
      <c r="AG192" s="25">
        <f t="shared" si="25"/>
        <v>940.77350579768085</v>
      </c>
      <c r="AH192" s="25">
        <f t="shared" si="26"/>
        <v>973.44803949329366</v>
      </c>
      <c r="AI192" s="25">
        <f t="shared" si="27"/>
        <v>1299.8218008108586</v>
      </c>
    </row>
    <row r="193" spans="1:35" ht="15.75" customHeight="1">
      <c r="A193" s="12" t="s">
        <v>201</v>
      </c>
      <c r="B193" s="12" t="s">
        <v>202</v>
      </c>
      <c r="C193" s="12" t="s">
        <v>192</v>
      </c>
      <c r="D193" s="12" t="s">
        <v>33</v>
      </c>
      <c r="E193" s="12" t="s">
        <v>27</v>
      </c>
      <c r="F193" s="13">
        <v>1823</v>
      </c>
      <c r="G193" s="14">
        <v>13806.005784392601</v>
      </c>
      <c r="H193" s="24" t="str">
        <f t="shared" si="20"/>
        <v>RJSP</v>
      </c>
      <c r="I193" s="24" t="str">
        <f t="shared" si="28"/>
        <v>RJMG</v>
      </c>
      <c r="J193" s="24" t="str">
        <f t="shared" si="28"/>
        <v>RJES</v>
      </c>
      <c r="K193" s="24" t="str">
        <f t="shared" si="28"/>
        <v>RJSC</v>
      </c>
      <c r="L193" s="24" t="str">
        <f t="shared" si="28"/>
        <v>RJRJ</v>
      </c>
      <c r="M193" s="24" t="str">
        <f t="shared" si="28"/>
        <v>RJPR</v>
      </c>
      <c r="N193" s="24" t="str">
        <f t="shared" si="28"/>
        <v>RJAM</v>
      </c>
      <c r="O193" s="24">
        <f>VLOOKUP(H193, KM!$A:$E, 5, 0)</f>
        <v>429</v>
      </c>
      <c r="P193" s="24">
        <f>VLOOKUP(I193, KM!$A:$E, 5, 0)</f>
        <v>434</v>
      </c>
      <c r="Q193" s="24">
        <f>VLOOKUP(J193, KM!$A:$E, 5, 0)</f>
        <v>521</v>
      </c>
      <c r="R193" s="24">
        <f>VLOOKUP(K193, KM!$A:$E, 5, 0)</f>
        <v>1144</v>
      </c>
      <c r="S193" s="24">
        <f>VLOOKUP(L193, KM!$A:$E, 5, 0)</f>
        <v>0</v>
      </c>
      <c r="T193" s="24">
        <f>VLOOKUP(M193, KM!$A:$E, 5, 0)</f>
        <v>852</v>
      </c>
      <c r="U193" s="24">
        <f>VLOOKUP(N193, KM!$A:$E, 5, 0)</f>
        <v>4374</v>
      </c>
      <c r="V193" s="24">
        <f>VLOOKUP(H193, IMPOSTO!$A:$D, 4, 0)</f>
        <v>0.12</v>
      </c>
      <c r="W193" s="24">
        <f>VLOOKUP(I193, IMPOSTO!$A:$D, 4, 0)</f>
        <v>0.12</v>
      </c>
      <c r="X193" s="24">
        <f>VLOOKUP(J193, IMPOSTO!$A:$D, 4, 0)</f>
        <v>7.0000000000000007E-2</v>
      </c>
      <c r="Y193" s="24">
        <f>VLOOKUP(K193, IMPOSTO!$A:$D, 4, 0)</f>
        <v>0.12</v>
      </c>
      <c r="Z193" s="24">
        <f>VLOOKUP(L193, IMPOSTO!$A:$D, 4, 0)</f>
        <v>0.18</v>
      </c>
      <c r="AA193" s="24">
        <f>VLOOKUP(M193, IMPOSTO!$A:$D, 4, 0)</f>
        <v>0.12</v>
      </c>
      <c r="AB193" s="24">
        <f>VLOOKUP(N193, IMPOSTO!$A:$D, 4, 0)</f>
        <v>7.0000000000000007E-2</v>
      </c>
      <c r="AC193" s="25">
        <f t="shared" si="21"/>
        <v>15737.392936809772</v>
      </c>
      <c r="AD193" s="25">
        <f t="shared" si="22"/>
        <v>15737.961118627954</v>
      </c>
      <c r="AE193" s="25">
        <f t="shared" si="23"/>
        <v>14901.189015475917</v>
      </c>
      <c r="AF193" s="25">
        <f t="shared" si="24"/>
        <v>15818.642936809772</v>
      </c>
      <c r="AG193" s="25">
        <f t="shared" si="25"/>
        <v>16836.592419990975</v>
      </c>
      <c r="AH193" s="25">
        <f t="shared" si="26"/>
        <v>15785.461118627956</v>
      </c>
      <c r="AI193" s="25">
        <f t="shared" si="27"/>
        <v>15315.490090744732</v>
      </c>
    </row>
    <row r="194" spans="1:35" ht="15.75" customHeight="1">
      <c r="A194" s="12" t="s">
        <v>203</v>
      </c>
      <c r="B194" s="12" t="s">
        <v>204</v>
      </c>
      <c r="C194" s="12" t="s">
        <v>205</v>
      </c>
      <c r="D194" s="12" t="s">
        <v>50</v>
      </c>
      <c r="E194" s="12" t="s">
        <v>27</v>
      </c>
      <c r="F194" s="13">
        <v>4.166666666666667</v>
      </c>
      <c r="G194" s="14">
        <v>488.00000000000006</v>
      </c>
      <c r="H194" s="24" t="str">
        <f t="shared" si="20"/>
        <v>RJSP</v>
      </c>
      <c r="I194" s="24" t="str">
        <f t="shared" si="28"/>
        <v>RJMG</v>
      </c>
      <c r="J194" s="24" t="str">
        <f t="shared" si="28"/>
        <v>RJES</v>
      </c>
      <c r="K194" s="24" t="str">
        <f t="shared" si="28"/>
        <v>RJSC</v>
      </c>
      <c r="L194" s="24" t="str">
        <f t="shared" si="28"/>
        <v>RJRJ</v>
      </c>
      <c r="M194" s="24" t="str">
        <f t="shared" si="28"/>
        <v>RJPR</v>
      </c>
      <c r="N194" s="24" t="str">
        <f t="shared" si="28"/>
        <v>RJAM</v>
      </c>
      <c r="O194" s="24">
        <f>VLOOKUP(H194, KM!$A:$E, 5, 0)</f>
        <v>429</v>
      </c>
      <c r="P194" s="24">
        <f>VLOOKUP(I194, KM!$A:$E, 5, 0)</f>
        <v>434</v>
      </c>
      <c r="Q194" s="24">
        <f>VLOOKUP(J194, KM!$A:$E, 5, 0)</f>
        <v>521</v>
      </c>
      <c r="R194" s="24">
        <f>VLOOKUP(K194, KM!$A:$E, 5, 0)</f>
        <v>1144</v>
      </c>
      <c r="S194" s="24">
        <f>VLOOKUP(L194, KM!$A:$E, 5, 0)</f>
        <v>0</v>
      </c>
      <c r="T194" s="24">
        <f>VLOOKUP(M194, KM!$A:$E, 5, 0)</f>
        <v>852</v>
      </c>
      <c r="U194" s="24">
        <f>VLOOKUP(N194, KM!$A:$E, 5, 0)</f>
        <v>4374</v>
      </c>
      <c r="V194" s="24">
        <f>VLOOKUP(H194, IMPOSTO!$A:$D, 4, 0)</f>
        <v>0.12</v>
      </c>
      <c r="W194" s="24">
        <f>VLOOKUP(I194, IMPOSTO!$A:$D, 4, 0)</f>
        <v>0.12</v>
      </c>
      <c r="X194" s="24">
        <f>VLOOKUP(J194, IMPOSTO!$A:$D, 4, 0)</f>
        <v>7.0000000000000007E-2</v>
      </c>
      <c r="Y194" s="24">
        <f>VLOOKUP(K194, IMPOSTO!$A:$D, 4, 0)</f>
        <v>0.12</v>
      </c>
      <c r="Z194" s="24">
        <f>VLOOKUP(L194, IMPOSTO!$A:$D, 4, 0)</f>
        <v>0.18</v>
      </c>
      <c r="AA194" s="24">
        <f>VLOOKUP(M194, IMPOSTO!$A:$D, 4, 0)</f>
        <v>0.12</v>
      </c>
      <c r="AB194" s="24">
        <f>VLOOKUP(N194, IMPOSTO!$A:$D, 4, 0)</f>
        <v>7.0000000000000007E-2</v>
      </c>
      <c r="AC194" s="25">
        <f t="shared" si="21"/>
        <v>603.29545454545462</v>
      </c>
      <c r="AD194" s="25">
        <f t="shared" si="22"/>
        <v>603.86363636363649</v>
      </c>
      <c r="AE194" s="25">
        <f t="shared" si="23"/>
        <v>580.75268817204312</v>
      </c>
      <c r="AF194" s="25">
        <f t="shared" si="24"/>
        <v>684.54545454545462</v>
      </c>
      <c r="AG194" s="25">
        <f t="shared" si="25"/>
        <v>595.1219512195122</v>
      </c>
      <c r="AH194" s="25">
        <f t="shared" si="26"/>
        <v>651.36363636363637</v>
      </c>
      <c r="AI194" s="25">
        <f t="shared" si="27"/>
        <v>995.05376344086039</v>
      </c>
    </row>
    <row r="195" spans="1:35" ht="15.75" customHeight="1">
      <c r="A195" s="12" t="s">
        <v>206</v>
      </c>
      <c r="B195" s="12" t="s">
        <v>207</v>
      </c>
      <c r="C195" s="12" t="s">
        <v>122</v>
      </c>
      <c r="D195" s="12" t="s">
        <v>33</v>
      </c>
      <c r="E195" s="12" t="s">
        <v>27</v>
      </c>
      <c r="F195" s="13">
        <v>1</v>
      </c>
      <c r="G195" s="14">
        <v>127.35</v>
      </c>
      <c r="H195" s="24" t="str">
        <f t="shared" si="20"/>
        <v>RJSP</v>
      </c>
      <c r="I195" s="24" t="str">
        <f t="shared" si="28"/>
        <v>RJMG</v>
      </c>
      <c r="J195" s="24" t="str">
        <f t="shared" si="28"/>
        <v>RJES</v>
      </c>
      <c r="K195" s="24" t="str">
        <f t="shared" si="28"/>
        <v>RJSC</v>
      </c>
      <c r="L195" s="24" t="str">
        <f t="shared" si="28"/>
        <v>RJRJ</v>
      </c>
      <c r="M195" s="24" t="str">
        <f t="shared" ref="I195:N258" si="29">$E195 &amp; M$17</f>
        <v>RJPR</v>
      </c>
      <c r="N195" s="24" t="str">
        <f t="shared" si="29"/>
        <v>RJAM</v>
      </c>
      <c r="O195" s="24">
        <f>VLOOKUP(H195, KM!$A:$E, 5, 0)</f>
        <v>429</v>
      </c>
      <c r="P195" s="24">
        <f>VLOOKUP(I195, KM!$A:$E, 5, 0)</f>
        <v>434</v>
      </c>
      <c r="Q195" s="24">
        <f>VLOOKUP(J195, KM!$A:$E, 5, 0)</f>
        <v>521</v>
      </c>
      <c r="R195" s="24">
        <f>VLOOKUP(K195, KM!$A:$E, 5, 0)</f>
        <v>1144</v>
      </c>
      <c r="S195" s="24">
        <f>VLOOKUP(L195, KM!$A:$E, 5, 0)</f>
        <v>0</v>
      </c>
      <c r="T195" s="24">
        <f>VLOOKUP(M195, KM!$A:$E, 5, 0)</f>
        <v>852</v>
      </c>
      <c r="U195" s="24">
        <f>VLOOKUP(N195, KM!$A:$E, 5, 0)</f>
        <v>4374</v>
      </c>
      <c r="V195" s="24">
        <f>VLOOKUP(H195, IMPOSTO!$A:$D, 4, 0)</f>
        <v>0.12</v>
      </c>
      <c r="W195" s="24">
        <f>VLOOKUP(I195, IMPOSTO!$A:$D, 4, 0)</f>
        <v>0.12</v>
      </c>
      <c r="X195" s="24">
        <f>VLOOKUP(J195, IMPOSTO!$A:$D, 4, 0)</f>
        <v>7.0000000000000007E-2</v>
      </c>
      <c r="Y195" s="24">
        <f>VLOOKUP(K195, IMPOSTO!$A:$D, 4, 0)</f>
        <v>0.12</v>
      </c>
      <c r="Z195" s="24">
        <f>VLOOKUP(L195, IMPOSTO!$A:$D, 4, 0)</f>
        <v>0.18</v>
      </c>
      <c r="AA195" s="24">
        <f>VLOOKUP(M195, IMPOSTO!$A:$D, 4, 0)</f>
        <v>0.12</v>
      </c>
      <c r="AB195" s="24">
        <f>VLOOKUP(N195, IMPOSTO!$A:$D, 4, 0)</f>
        <v>7.0000000000000007E-2</v>
      </c>
      <c r="AC195" s="25">
        <f t="shared" si="21"/>
        <v>193.46590909090909</v>
      </c>
      <c r="AD195" s="25">
        <f t="shared" si="22"/>
        <v>194.03409090909091</v>
      </c>
      <c r="AE195" s="25">
        <f t="shared" si="23"/>
        <v>192.95698924731184</v>
      </c>
      <c r="AF195" s="25">
        <f t="shared" si="24"/>
        <v>274.71590909090907</v>
      </c>
      <c r="AG195" s="25">
        <f t="shared" si="25"/>
        <v>155.30487804878047</v>
      </c>
      <c r="AH195" s="25">
        <f t="shared" si="26"/>
        <v>241.53409090909093</v>
      </c>
      <c r="AI195" s="25">
        <f t="shared" si="27"/>
        <v>607.25806451612902</v>
      </c>
    </row>
    <row r="196" spans="1:35" ht="15.75" customHeight="1">
      <c r="A196" s="12" t="s">
        <v>30</v>
      </c>
      <c r="B196" s="12" t="s">
        <v>31</v>
      </c>
      <c r="C196" s="12" t="s">
        <v>32</v>
      </c>
      <c r="D196" s="12" t="s">
        <v>33</v>
      </c>
      <c r="E196" s="12" t="s">
        <v>27</v>
      </c>
      <c r="F196" s="13">
        <v>467.60649226027397</v>
      </c>
      <c r="G196" s="14">
        <v>14780.101905551404</v>
      </c>
      <c r="H196" s="24" t="str">
        <f t="shared" si="20"/>
        <v>RJSP</v>
      </c>
      <c r="I196" s="24" t="str">
        <f t="shared" si="29"/>
        <v>RJMG</v>
      </c>
      <c r="J196" s="24" t="str">
        <f t="shared" si="29"/>
        <v>RJES</v>
      </c>
      <c r="K196" s="24" t="str">
        <f t="shared" si="29"/>
        <v>RJSC</v>
      </c>
      <c r="L196" s="24" t="str">
        <f t="shared" si="29"/>
        <v>RJRJ</v>
      </c>
      <c r="M196" s="24" t="str">
        <f t="shared" si="29"/>
        <v>RJPR</v>
      </c>
      <c r="N196" s="24" t="str">
        <f t="shared" si="29"/>
        <v>RJAM</v>
      </c>
      <c r="O196" s="24">
        <f>VLOOKUP(H196, KM!$A:$E, 5, 0)</f>
        <v>429</v>
      </c>
      <c r="P196" s="24">
        <f>VLOOKUP(I196, KM!$A:$E, 5, 0)</f>
        <v>434</v>
      </c>
      <c r="Q196" s="24">
        <f>VLOOKUP(J196, KM!$A:$E, 5, 0)</f>
        <v>521</v>
      </c>
      <c r="R196" s="24">
        <f>VLOOKUP(K196, KM!$A:$E, 5, 0)</f>
        <v>1144</v>
      </c>
      <c r="S196" s="24">
        <f>VLOOKUP(L196, KM!$A:$E, 5, 0)</f>
        <v>0</v>
      </c>
      <c r="T196" s="24">
        <f>VLOOKUP(M196, KM!$A:$E, 5, 0)</f>
        <v>852</v>
      </c>
      <c r="U196" s="24">
        <f>VLOOKUP(N196, KM!$A:$E, 5, 0)</f>
        <v>4374</v>
      </c>
      <c r="V196" s="24">
        <f>VLOOKUP(H196, IMPOSTO!$A:$D, 4, 0)</f>
        <v>0.12</v>
      </c>
      <c r="W196" s="24">
        <f>VLOOKUP(I196, IMPOSTO!$A:$D, 4, 0)</f>
        <v>0.12</v>
      </c>
      <c r="X196" s="24">
        <f>VLOOKUP(J196, IMPOSTO!$A:$D, 4, 0)</f>
        <v>7.0000000000000007E-2</v>
      </c>
      <c r="Y196" s="24">
        <f>VLOOKUP(K196, IMPOSTO!$A:$D, 4, 0)</f>
        <v>0.12</v>
      </c>
      <c r="Z196" s="24">
        <f>VLOOKUP(L196, IMPOSTO!$A:$D, 4, 0)</f>
        <v>0.18</v>
      </c>
      <c r="AA196" s="24">
        <f>VLOOKUP(M196, IMPOSTO!$A:$D, 4, 0)</f>
        <v>0.12</v>
      </c>
      <c r="AB196" s="24">
        <f>VLOOKUP(N196, IMPOSTO!$A:$D, 4, 0)</f>
        <v>7.0000000000000007E-2</v>
      </c>
      <c r="AC196" s="25">
        <f t="shared" si="21"/>
        <v>16844.320347217505</v>
      </c>
      <c r="AD196" s="25">
        <f t="shared" si="22"/>
        <v>16844.888529035685</v>
      </c>
      <c r="AE196" s="25">
        <f t="shared" si="23"/>
        <v>15948.60419951764</v>
      </c>
      <c r="AF196" s="25">
        <f t="shared" si="24"/>
        <v>16925.570347217505</v>
      </c>
      <c r="AG196" s="25">
        <f t="shared" si="25"/>
        <v>18024.514518965127</v>
      </c>
      <c r="AH196" s="25">
        <f t="shared" si="26"/>
        <v>16892.388529035688</v>
      </c>
      <c r="AI196" s="25">
        <f t="shared" si="27"/>
        <v>16362.905274786457</v>
      </c>
    </row>
    <row r="197" spans="1:35" ht="15.75" customHeight="1">
      <c r="A197" s="12" t="s">
        <v>208</v>
      </c>
      <c r="B197" s="12" t="s">
        <v>209</v>
      </c>
      <c r="C197" s="12" t="s">
        <v>210</v>
      </c>
      <c r="D197" s="12" t="s">
        <v>33</v>
      </c>
      <c r="E197" s="12" t="s">
        <v>27</v>
      </c>
      <c r="F197" s="13">
        <v>36180.495999999999</v>
      </c>
      <c r="G197" s="14">
        <v>1214552.3737801141</v>
      </c>
      <c r="H197" s="24" t="str">
        <f t="shared" ref="H197:H260" si="30">$E197 &amp; H$17</f>
        <v>RJSP</v>
      </c>
      <c r="I197" s="24" t="str">
        <f t="shared" si="29"/>
        <v>RJMG</v>
      </c>
      <c r="J197" s="24" t="str">
        <f t="shared" si="29"/>
        <v>RJES</v>
      </c>
      <c r="K197" s="24" t="str">
        <f t="shared" si="29"/>
        <v>RJSC</v>
      </c>
      <c r="L197" s="24" t="str">
        <f t="shared" si="29"/>
        <v>RJRJ</v>
      </c>
      <c r="M197" s="24" t="str">
        <f t="shared" si="29"/>
        <v>RJPR</v>
      </c>
      <c r="N197" s="24" t="str">
        <f t="shared" si="29"/>
        <v>RJAM</v>
      </c>
      <c r="O197" s="24">
        <f>VLOOKUP(H197, KM!$A:$E, 5, 0)</f>
        <v>429</v>
      </c>
      <c r="P197" s="24">
        <f>VLOOKUP(I197, KM!$A:$E, 5, 0)</f>
        <v>434</v>
      </c>
      <c r="Q197" s="24">
        <f>VLOOKUP(J197, KM!$A:$E, 5, 0)</f>
        <v>521</v>
      </c>
      <c r="R197" s="24">
        <f>VLOOKUP(K197, KM!$A:$E, 5, 0)</f>
        <v>1144</v>
      </c>
      <c r="S197" s="24">
        <f>VLOOKUP(L197, KM!$A:$E, 5, 0)</f>
        <v>0</v>
      </c>
      <c r="T197" s="24">
        <f>VLOOKUP(M197, KM!$A:$E, 5, 0)</f>
        <v>852</v>
      </c>
      <c r="U197" s="24">
        <f>VLOOKUP(N197, KM!$A:$E, 5, 0)</f>
        <v>4374</v>
      </c>
      <c r="V197" s="24">
        <f>VLOOKUP(H197, IMPOSTO!$A:$D, 4, 0)</f>
        <v>0.12</v>
      </c>
      <c r="W197" s="24">
        <f>VLOOKUP(I197, IMPOSTO!$A:$D, 4, 0)</f>
        <v>0.12</v>
      </c>
      <c r="X197" s="24">
        <f>VLOOKUP(J197, IMPOSTO!$A:$D, 4, 0)</f>
        <v>7.0000000000000007E-2</v>
      </c>
      <c r="Y197" s="24">
        <f>VLOOKUP(K197, IMPOSTO!$A:$D, 4, 0)</f>
        <v>0.12</v>
      </c>
      <c r="Z197" s="24">
        <f>VLOOKUP(L197, IMPOSTO!$A:$D, 4, 0)</f>
        <v>0.18</v>
      </c>
      <c r="AA197" s="24">
        <f>VLOOKUP(M197, IMPOSTO!$A:$D, 4, 0)</f>
        <v>0.12</v>
      </c>
      <c r="AB197" s="24">
        <f>VLOOKUP(N197, IMPOSTO!$A:$D, 4, 0)</f>
        <v>7.0000000000000007E-2</v>
      </c>
      <c r="AC197" s="25">
        <f t="shared" si="21"/>
        <v>1380221.9020228568</v>
      </c>
      <c r="AD197" s="25">
        <f t="shared" si="22"/>
        <v>1380222.4702046751</v>
      </c>
      <c r="AE197" s="25">
        <f t="shared" si="23"/>
        <v>1306026.315892596</v>
      </c>
      <c r="AF197" s="25">
        <f t="shared" si="24"/>
        <v>1380303.1520228568</v>
      </c>
      <c r="AG197" s="25">
        <f t="shared" si="25"/>
        <v>1481161.4314391634</v>
      </c>
      <c r="AH197" s="25">
        <f t="shared" si="26"/>
        <v>1380269.9702046751</v>
      </c>
      <c r="AI197" s="25">
        <f t="shared" si="27"/>
        <v>1306440.6169678646</v>
      </c>
    </row>
    <row r="198" spans="1:35" ht="15.75" customHeight="1">
      <c r="A198" s="12" t="s">
        <v>211</v>
      </c>
      <c r="B198" s="12" t="s">
        <v>212</v>
      </c>
      <c r="C198" s="12" t="s">
        <v>192</v>
      </c>
      <c r="D198" s="12" t="s">
        <v>33</v>
      </c>
      <c r="E198" s="12" t="s">
        <v>27</v>
      </c>
      <c r="F198" s="13">
        <v>63.899082568807344</v>
      </c>
      <c r="G198" s="14">
        <v>4753.6627064220183</v>
      </c>
      <c r="H198" s="24" t="str">
        <f t="shared" si="30"/>
        <v>RJSP</v>
      </c>
      <c r="I198" s="24" t="str">
        <f t="shared" si="29"/>
        <v>RJMG</v>
      </c>
      <c r="J198" s="24" t="str">
        <f t="shared" si="29"/>
        <v>RJES</v>
      </c>
      <c r="K198" s="24" t="str">
        <f t="shared" si="29"/>
        <v>RJSC</v>
      </c>
      <c r="L198" s="24" t="str">
        <f t="shared" si="29"/>
        <v>RJRJ</v>
      </c>
      <c r="M198" s="24" t="str">
        <f t="shared" si="29"/>
        <v>RJPR</v>
      </c>
      <c r="N198" s="24" t="str">
        <f t="shared" si="29"/>
        <v>RJAM</v>
      </c>
      <c r="O198" s="24">
        <f>VLOOKUP(H198, KM!$A:$E, 5, 0)</f>
        <v>429</v>
      </c>
      <c r="P198" s="24">
        <f>VLOOKUP(I198, KM!$A:$E, 5, 0)</f>
        <v>434</v>
      </c>
      <c r="Q198" s="24">
        <f>VLOOKUP(J198, KM!$A:$E, 5, 0)</f>
        <v>521</v>
      </c>
      <c r="R198" s="24">
        <f>VLOOKUP(K198, KM!$A:$E, 5, 0)</f>
        <v>1144</v>
      </c>
      <c r="S198" s="24">
        <f>VLOOKUP(L198, KM!$A:$E, 5, 0)</f>
        <v>0</v>
      </c>
      <c r="T198" s="24">
        <f>VLOOKUP(M198, KM!$A:$E, 5, 0)</f>
        <v>852</v>
      </c>
      <c r="U198" s="24">
        <f>VLOOKUP(N198, KM!$A:$E, 5, 0)</f>
        <v>4374</v>
      </c>
      <c r="V198" s="24">
        <f>VLOOKUP(H198, IMPOSTO!$A:$D, 4, 0)</f>
        <v>0.12</v>
      </c>
      <c r="W198" s="24">
        <f>VLOOKUP(I198, IMPOSTO!$A:$D, 4, 0)</f>
        <v>0.12</v>
      </c>
      <c r="X198" s="24">
        <f>VLOOKUP(J198, IMPOSTO!$A:$D, 4, 0)</f>
        <v>7.0000000000000007E-2</v>
      </c>
      <c r="Y198" s="24">
        <f>VLOOKUP(K198, IMPOSTO!$A:$D, 4, 0)</f>
        <v>0.12</v>
      </c>
      <c r="Z198" s="24">
        <f>VLOOKUP(L198, IMPOSTO!$A:$D, 4, 0)</f>
        <v>0.18</v>
      </c>
      <c r="AA198" s="24">
        <f>VLOOKUP(M198, IMPOSTO!$A:$D, 4, 0)</f>
        <v>0.12</v>
      </c>
      <c r="AB198" s="24">
        <f>VLOOKUP(N198, IMPOSTO!$A:$D, 4, 0)</f>
        <v>7.0000000000000007E-2</v>
      </c>
      <c r="AC198" s="25">
        <f t="shared" si="21"/>
        <v>5450.6394391159292</v>
      </c>
      <c r="AD198" s="25">
        <f t="shared" si="22"/>
        <v>5451.2076209341112</v>
      </c>
      <c r="AE198" s="25">
        <f t="shared" si="23"/>
        <v>5167.4867810989454</v>
      </c>
      <c r="AF198" s="25">
        <f t="shared" si="24"/>
        <v>5531.8894391159292</v>
      </c>
      <c r="AG198" s="25">
        <f t="shared" si="25"/>
        <v>5797.1496419780706</v>
      </c>
      <c r="AH198" s="25">
        <f t="shared" si="26"/>
        <v>5498.7076209341112</v>
      </c>
      <c r="AI198" s="25">
        <f t="shared" si="27"/>
        <v>5581.7878563677614</v>
      </c>
    </row>
    <row r="199" spans="1:35" ht="15.75" customHeight="1">
      <c r="A199" s="12" t="s">
        <v>213</v>
      </c>
      <c r="B199" s="12" t="s">
        <v>214</v>
      </c>
      <c r="C199" s="12" t="s">
        <v>192</v>
      </c>
      <c r="D199" s="12" t="s">
        <v>33</v>
      </c>
      <c r="E199" s="12" t="s">
        <v>27</v>
      </c>
      <c r="F199" s="13">
        <v>104.01120000000002</v>
      </c>
      <c r="G199" s="14">
        <v>1241.3548747951806</v>
      </c>
      <c r="H199" s="24" t="str">
        <f t="shared" si="30"/>
        <v>RJSP</v>
      </c>
      <c r="I199" s="24" t="str">
        <f t="shared" si="29"/>
        <v>RJMG</v>
      </c>
      <c r="J199" s="24" t="str">
        <f t="shared" si="29"/>
        <v>RJES</v>
      </c>
      <c r="K199" s="24" t="str">
        <f t="shared" si="29"/>
        <v>RJSC</v>
      </c>
      <c r="L199" s="24" t="str">
        <f t="shared" si="29"/>
        <v>RJRJ</v>
      </c>
      <c r="M199" s="24" t="str">
        <f t="shared" si="29"/>
        <v>RJPR</v>
      </c>
      <c r="N199" s="24" t="str">
        <f t="shared" si="29"/>
        <v>RJAM</v>
      </c>
      <c r="O199" s="24">
        <f>VLOOKUP(H199, KM!$A:$E, 5, 0)</f>
        <v>429</v>
      </c>
      <c r="P199" s="24">
        <f>VLOOKUP(I199, KM!$A:$E, 5, 0)</f>
        <v>434</v>
      </c>
      <c r="Q199" s="24">
        <f>VLOOKUP(J199, KM!$A:$E, 5, 0)</f>
        <v>521</v>
      </c>
      <c r="R199" s="24">
        <f>VLOOKUP(K199, KM!$A:$E, 5, 0)</f>
        <v>1144</v>
      </c>
      <c r="S199" s="24">
        <f>VLOOKUP(L199, KM!$A:$E, 5, 0)</f>
        <v>0</v>
      </c>
      <c r="T199" s="24">
        <f>VLOOKUP(M199, KM!$A:$E, 5, 0)</f>
        <v>852</v>
      </c>
      <c r="U199" s="24">
        <f>VLOOKUP(N199, KM!$A:$E, 5, 0)</f>
        <v>4374</v>
      </c>
      <c r="V199" s="24">
        <f>VLOOKUP(H199, IMPOSTO!$A:$D, 4, 0)</f>
        <v>0.12</v>
      </c>
      <c r="W199" s="24">
        <f>VLOOKUP(I199, IMPOSTO!$A:$D, 4, 0)</f>
        <v>0.12</v>
      </c>
      <c r="X199" s="24">
        <f>VLOOKUP(J199, IMPOSTO!$A:$D, 4, 0)</f>
        <v>7.0000000000000007E-2</v>
      </c>
      <c r="Y199" s="24">
        <f>VLOOKUP(K199, IMPOSTO!$A:$D, 4, 0)</f>
        <v>0.12</v>
      </c>
      <c r="Z199" s="24">
        <f>VLOOKUP(L199, IMPOSTO!$A:$D, 4, 0)</f>
        <v>0.18</v>
      </c>
      <c r="AA199" s="24">
        <f>VLOOKUP(M199, IMPOSTO!$A:$D, 4, 0)</f>
        <v>0.12</v>
      </c>
      <c r="AB199" s="24">
        <f>VLOOKUP(N199, IMPOSTO!$A:$D, 4, 0)</f>
        <v>7.0000000000000007E-2</v>
      </c>
      <c r="AC199" s="25">
        <f t="shared" si="21"/>
        <v>1459.3805395399781</v>
      </c>
      <c r="AD199" s="25">
        <f t="shared" si="22"/>
        <v>1459.9487213581599</v>
      </c>
      <c r="AE199" s="25">
        <f t="shared" si="23"/>
        <v>1390.8116933281513</v>
      </c>
      <c r="AF199" s="25">
        <f t="shared" si="24"/>
        <v>1540.6305395399781</v>
      </c>
      <c r="AG199" s="25">
        <f t="shared" si="25"/>
        <v>1513.8474082868056</v>
      </c>
      <c r="AH199" s="25">
        <f t="shared" si="26"/>
        <v>1507.4487213581599</v>
      </c>
      <c r="AI199" s="25">
        <f t="shared" si="27"/>
        <v>1805.1127685969686</v>
      </c>
    </row>
    <row r="200" spans="1:35" ht="15.75" customHeight="1">
      <c r="A200" s="12" t="s">
        <v>215</v>
      </c>
      <c r="B200" s="12" t="s">
        <v>216</v>
      </c>
      <c r="C200" s="12" t="s">
        <v>217</v>
      </c>
      <c r="D200" s="12" t="s">
        <v>33</v>
      </c>
      <c r="E200" s="12" t="s">
        <v>27</v>
      </c>
      <c r="F200" s="13">
        <v>33</v>
      </c>
      <c r="G200" s="14">
        <v>2592.987222222222</v>
      </c>
      <c r="H200" s="24" t="str">
        <f t="shared" si="30"/>
        <v>RJSP</v>
      </c>
      <c r="I200" s="24" t="str">
        <f t="shared" si="29"/>
        <v>RJMG</v>
      </c>
      <c r="J200" s="24" t="str">
        <f t="shared" si="29"/>
        <v>RJES</v>
      </c>
      <c r="K200" s="24" t="str">
        <f t="shared" si="29"/>
        <v>RJSC</v>
      </c>
      <c r="L200" s="24" t="str">
        <f t="shared" si="29"/>
        <v>RJRJ</v>
      </c>
      <c r="M200" s="24" t="str">
        <f t="shared" si="29"/>
        <v>RJPR</v>
      </c>
      <c r="N200" s="24" t="str">
        <f t="shared" si="29"/>
        <v>RJAM</v>
      </c>
      <c r="O200" s="24">
        <f>VLOOKUP(H200, KM!$A:$E, 5, 0)</f>
        <v>429</v>
      </c>
      <c r="P200" s="24">
        <f>VLOOKUP(I200, KM!$A:$E, 5, 0)</f>
        <v>434</v>
      </c>
      <c r="Q200" s="24">
        <f>VLOOKUP(J200, KM!$A:$E, 5, 0)</f>
        <v>521</v>
      </c>
      <c r="R200" s="24">
        <f>VLOOKUP(K200, KM!$A:$E, 5, 0)</f>
        <v>1144</v>
      </c>
      <c r="S200" s="24">
        <f>VLOOKUP(L200, KM!$A:$E, 5, 0)</f>
        <v>0</v>
      </c>
      <c r="T200" s="24">
        <f>VLOOKUP(M200, KM!$A:$E, 5, 0)</f>
        <v>852</v>
      </c>
      <c r="U200" s="24">
        <f>VLOOKUP(N200, KM!$A:$E, 5, 0)</f>
        <v>4374</v>
      </c>
      <c r="V200" s="24">
        <f>VLOOKUP(H200, IMPOSTO!$A:$D, 4, 0)</f>
        <v>0.12</v>
      </c>
      <c r="W200" s="24">
        <f>VLOOKUP(I200, IMPOSTO!$A:$D, 4, 0)</f>
        <v>0.12</v>
      </c>
      <c r="X200" s="24">
        <f>VLOOKUP(J200, IMPOSTO!$A:$D, 4, 0)</f>
        <v>7.0000000000000007E-2</v>
      </c>
      <c r="Y200" s="24">
        <f>VLOOKUP(K200, IMPOSTO!$A:$D, 4, 0)</f>
        <v>0.12</v>
      </c>
      <c r="Z200" s="24">
        <f>VLOOKUP(L200, IMPOSTO!$A:$D, 4, 0)</f>
        <v>0.18</v>
      </c>
      <c r="AA200" s="24">
        <f>VLOOKUP(M200, IMPOSTO!$A:$D, 4, 0)</f>
        <v>0.12</v>
      </c>
      <c r="AB200" s="24">
        <f>VLOOKUP(N200, IMPOSTO!$A:$D, 4, 0)</f>
        <v>7.0000000000000007E-2</v>
      </c>
      <c r="AC200" s="25">
        <f t="shared" si="21"/>
        <v>2995.3263888888887</v>
      </c>
      <c r="AD200" s="25">
        <f t="shared" si="22"/>
        <v>2995.8945707070707</v>
      </c>
      <c r="AE200" s="25">
        <f t="shared" si="23"/>
        <v>2844.1798088410992</v>
      </c>
      <c r="AF200" s="25">
        <f t="shared" si="24"/>
        <v>3076.5763888888887</v>
      </c>
      <c r="AG200" s="25">
        <f t="shared" si="25"/>
        <v>3162.1795392953927</v>
      </c>
      <c r="AH200" s="25">
        <f t="shared" si="26"/>
        <v>3043.3945707070702</v>
      </c>
      <c r="AI200" s="25">
        <f t="shared" si="27"/>
        <v>3258.4808841099166</v>
      </c>
    </row>
    <row r="201" spans="1:35" ht="15.75" customHeight="1">
      <c r="A201" s="12" t="s">
        <v>218</v>
      </c>
      <c r="B201" s="12" t="s">
        <v>219</v>
      </c>
      <c r="C201" s="12" t="s">
        <v>220</v>
      </c>
      <c r="D201" s="12" t="s">
        <v>33</v>
      </c>
      <c r="E201" s="12" t="s">
        <v>27</v>
      </c>
      <c r="F201" s="13">
        <v>720.00000000000011</v>
      </c>
      <c r="G201" s="14">
        <v>42612.30000000001</v>
      </c>
      <c r="H201" s="24" t="str">
        <f t="shared" si="30"/>
        <v>RJSP</v>
      </c>
      <c r="I201" s="24" t="str">
        <f t="shared" si="29"/>
        <v>RJMG</v>
      </c>
      <c r="J201" s="24" t="str">
        <f t="shared" si="29"/>
        <v>RJES</v>
      </c>
      <c r="K201" s="24" t="str">
        <f t="shared" si="29"/>
        <v>RJSC</v>
      </c>
      <c r="L201" s="24" t="str">
        <f t="shared" si="29"/>
        <v>RJRJ</v>
      </c>
      <c r="M201" s="24" t="str">
        <f t="shared" si="29"/>
        <v>RJPR</v>
      </c>
      <c r="N201" s="24" t="str">
        <f t="shared" si="29"/>
        <v>RJAM</v>
      </c>
      <c r="O201" s="24">
        <f>VLOOKUP(H201, KM!$A:$E, 5, 0)</f>
        <v>429</v>
      </c>
      <c r="P201" s="24">
        <f>VLOOKUP(I201, KM!$A:$E, 5, 0)</f>
        <v>434</v>
      </c>
      <c r="Q201" s="24">
        <f>VLOOKUP(J201, KM!$A:$E, 5, 0)</f>
        <v>521</v>
      </c>
      <c r="R201" s="24">
        <f>VLOOKUP(K201, KM!$A:$E, 5, 0)</f>
        <v>1144</v>
      </c>
      <c r="S201" s="24">
        <f>VLOOKUP(L201, KM!$A:$E, 5, 0)</f>
        <v>0</v>
      </c>
      <c r="T201" s="24">
        <f>VLOOKUP(M201, KM!$A:$E, 5, 0)</f>
        <v>852</v>
      </c>
      <c r="U201" s="24">
        <f>VLOOKUP(N201, KM!$A:$E, 5, 0)</f>
        <v>4374</v>
      </c>
      <c r="V201" s="24">
        <f>VLOOKUP(H201, IMPOSTO!$A:$D, 4, 0)</f>
        <v>0.12</v>
      </c>
      <c r="W201" s="24">
        <f>VLOOKUP(I201, IMPOSTO!$A:$D, 4, 0)</f>
        <v>0.12</v>
      </c>
      <c r="X201" s="24">
        <f>VLOOKUP(J201, IMPOSTO!$A:$D, 4, 0)</f>
        <v>7.0000000000000007E-2</v>
      </c>
      <c r="Y201" s="24">
        <f>VLOOKUP(K201, IMPOSTO!$A:$D, 4, 0)</f>
        <v>0.12</v>
      </c>
      <c r="Z201" s="24">
        <f>VLOOKUP(L201, IMPOSTO!$A:$D, 4, 0)</f>
        <v>0.18</v>
      </c>
      <c r="AA201" s="24">
        <f>VLOOKUP(M201, IMPOSTO!$A:$D, 4, 0)</f>
        <v>0.12</v>
      </c>
      <c r="AB201" s="24">
        <f>VLOOKUP(N201, IMPOSTO!$A:$D, 4, 0)</f>
        <v>7.0000000000000007E-2</v>
      </c>
      <c r="AC201" s="25">
        <f t="shared" si="21"/>
        <v>48471.818181818198</v>
      </c>
      <c r="AD201" s="25">
        <f t="shared" si="22"/>
        <v>48472.386363636375</v>
      </c>
      <c r="AE201" s="25">
        <f t="shared" si="23"/>
        <v>45875.698924731194</v>
      </c>
      <c r="AF201" s="25">
        <f t="shared" si="24"/>
        <v>48553.068181818198</v>
      </c>
      <c r="AG201" s="25">
        <f t="shared" si="25"/>
        <v>51966.21951219513</v>
      </c>
      <c r="AH201" s="25">
        <f t="shared" si="26"/>
        <v>48519.886363636375</v>
      </c>
      <c r="AI201" s="25">
        <f t="shared" si="27"/>
        <v>46290.000000000015</v>
      </c>
    </row>
    <row r="202" spans="1:35" ht="15.75" customHeight="1">
      <c r="A202" s="12" t="s">
        <v>221</v>
      </c>
      <c r="B202" s="12" t="s">
        <v>222</v>
      </c>
      <c r="C202" s="12" t="s">
        <v>223</v>
      </c>
      <c r="D202" s="12" t="s">
        <v>33</v>
      </c>
      <c r="E202" s="12" t="s">
        <v>27</v>
      </c>
      <c r="F202" s="13">
        <v>164.45021497120922</v>
      </c>
      <c r="G202" s="14">
        <v>3732.7567595024948</v>
      </c>
      <c r="H202" s="24" t="str">
        <f t="shared" si="30"/>
        <v>RJSP</v>
      </c>
      <c r="I202" s="24" t="str">
        <f t="shared" si="29"/>
        <v>RJMG</v>
      </c>
      <c r="J202" s="24" t="str">
        <f t="shared" si="29"/>
        <v>RJES</v>
      </c>
      <c r="K202" s="24" t="str">
        <f t="shared" si="29"/>
        <v>RJSC</v>
      </c>
      <c r="L202" s="24" t="str">
        <f t="shared" si="29"/>
        <v>RJRJ</v>
      </c>
      <c r="M202" s="24" t="str">
        <f t="shared" si="29"/>
        <v>RJPR</v>
      </c>
      <c r="N202" s="24" t="str">
        <f t="shared" si="29"/>
        <v>RJAM</v>
      </c>
      <c r="O202" s="24">
        <f>VLOOKUP(H202, KM!$A:$E, 5, 0)</f>
        <v>429</v>
      </c>
      <c r="P202" s="24">
        <f>VLOOKUP(I202, KM!$A:$E, 5, 0)</f>
        <v>434</v>
      </c>
      <c r="Q202" s="24">
        <f>VLOOKUP(J202, KM!$A:$E, 5, 0)</f>
        <v>521</v>
      </c>
      <c r="R202" s="24">
        <f>VLOOKUP(K202, KM!$A:$E, 5, 0)</f>
        <v>1144</v>
      </c>
      <c r="S202" s="24">
        <f>VLOOKUP(L202, KM!$A:$E, 5, 0)</f>
        <v>0</v>
      </c>
      <c r="T202" s="24">
        <f>VLOOKUP(M202, KM!$A:$E, 5, 0)</f>
        <v>852</v>
      </c>
      <c r="U202" s="24">
        <f>VLOOKUP(N202, KM!$A:$E, 5, 0)</f>
        <v>4374</v>
      </c>
      <c r="V202" s="24">
        <f>VLOOKUP(H202, IMPOSTO!$A:$D, 4, 0)</f>
        <v>0.12</v>
      </c>
      <c r="W202" s="24">
        <f>VLOOKUP(I202, IMPOSTO!$A:$D, 4, 0)</f>
        <v>0.12</v>
      </c>
      <c r="X202" s="24">
        <f>VLOOKUP(J202, IMPOSTO!$A:$D, 4, 0)</f>
        <v>7.0000000000000007E-2</v>
      </c>
      <c r="Y202" s="24">
        <f>VLOOKUP(K202, IMPOSTO!$A:$D, 4, 0)</f>
        <v>0.12</v>
      </c>
      <c r="Z202" s="24">
        <f>VLOOKUP(L202, IMPOSTO!$A:$D, 4, 0)</f>
        <v>0.18</v>
      </c>
      <c r="AA202" s="24">
        <f>VLOOKUP(M202, IMPOSTO!$A:$D, 4, 0)</f>
        <v>0.12</v>
      </c>
      <c r="AB202" s="24">
        <f>VLOOKUP(N202, IMPOSTO!$A:$D, 4, 0)</f>
        <v>7.0000000000000007E-2</v>
      </c>
      <c r="AC202" s="25">
        <f t="shared" si="21"/>
        <v>4290.519044889199</v>
      </c>
      <c r="AD202" s="25">
        <f t="shared" si="22"/>
        <v>4291.0872267073801</v>
      </c>
      <c r="AE202" s="25">
        <f t="shared" si="23"/>
        <v>4069.7384510779516</v>
      </c>
      <c r="AF202" s="25">
        <f t="shared" si="24"/>
        <v>4371.769044889199</v>
      </c>
      <c r="AG202" s="25">
        <f t="shared" si="25"/>
        <v>4552.142389637188</v>
      </c>
      <c r="AH202" s="25">
        <f t="shared" si="26"/>
        <v>4338.5872267073801</v>
      </c>
      <c r="AI202" s="25">
        <f t="shared" si="27"/>
        <v>4484.0395263467681</v>
      </c>
    </row>
    <row r="203" spans="1:35" ht="15.75" customHeight="1">
      <c r="A203" s="12" t="s">
        <v>224</v>
      </c>
      <c r="B203" s="12" t="s">
        <v>225</v>
      </c>
      <c r="C203" s="12" t="s">
        <v>223</v>
      </c>
      <c r="D203" s="12" t="s">
        <v>33</v>
      </c>
      <c r="E203" s="12" t="s">
        <v>27</v>
      </c>
      <c r="F203" s="13">
        <v>609.09721599999989</v>
      </c>
      <c r="G203" s="14">
        <v>13501.97535464186</v>
      </c>
      <c r="H203" s="24" t="str">
        <f t="shared" si="30"/>
        <v>RJSP</v>
      </c>
      <c r="I203" s="24" t="str">
        <f t="shared" si="29"/>
        <v>RJMG</v>
      </c>
      <c r="J203" s="24" t="str">
        <f t="shared" si="29"/>
        <v>RJES</v>
      </c>
      <c r="K203" s="24" t="str">
        <f t="shared" si="29"/>
        <v>RJSC</v>
      </c>
      <c r="L203" s="24" t="str">
        <f t="shared" si="29"/>
        <v>RJRJ</v>
      </c>
      <c r="M203" s="24" t="str">
        <f t="shared" si="29"/>
        <v>RJPR</v>
      </c>
      <c r="N203" s="24" t="str">
        <f t="shared" si="29"/>
        <v>RJAM</v>
      </c>
      <c r="O203" s="24">
        <f>VLOOKUP(H203, KM!$A:$E, 5, 0)</f>
        <v>429</v>
      </c>
      <c r="P203" s="24">
        <f>VLOOKUP(I203, KM!$A:$E, 5, 0)</f>
        <v>434</v>
      </c>
      <c r="Q203" s="24">
        <f>VLOOKUP(J203, KM!$A:$E, 5, 0)</f>
        <v>521</v>
      </c>
      <c r="R203" s="24">
        <f>VLOOKUP(K203, KM!$A:$E, 5, 0)</f>
        <v>1144</v>
      </c>
      <c r="S203" s="24">
        <f>VLOOKUP(L203, KM!$A:$E, 5, 0)</f>
        <v>0</v>
      </c>
      <c r="T203" s="24">
        <f>VLOOKUP(M203, KM!$A:$E, 5, 0)</f>
        <v>852</v>
      </c>
      <c r="U203" s="24">
        <f>VLOOKUP(N203, KM!$A:$E, 5, 0)</f>
        <v>4374</v>
      </c>
      <c r="V203" s="24">
        <f>VLOOKUP(H203, IMPOSTO!$A:$D, 4, 0)</f>
        <v>0.12</v>
      </c>
      <c r="W203" s="24">
        <f>VLOOKUP(I203, IMPOSTO!$A:$D, 4, 0)</f>
        <v>0.12</v>
      </c>
      <c r="X203" s="24">
        <f>VLOOKUP(J203, IMPOSTO!$A:$D, 4, 0)</f>
        <v>7.0000000000000007E-2</v>
      </c>
      <c r="Y203" s="24">
        <f>VLOOKUP(K203, IMPOSTO!$A:$D, 4, 0)</f>
        <v>0.12</v>
      </c>
      <c r="Z203" s="24">
        <f>VLOOKUP(L203, IMPOSTO!$A:$D, 4, 0)</f>
        <v>0.18</v>
      </c>
      <c r="AA203" s="24">
        <f>VLOOKUP(M203, IMPOSTO!$A:$D, 4, 0)</f>
        <v>0.12</v>
      </c>
      <c r="AB203" s="24">
        <f>VLOOKUP(N203, IMPOSTO!$A:$D, 4, 0)</f>
        <v>7.0000000000000007E-2</v>
      </c>
      <c r="AC203" s="25">
        <f t="shared" si="21"/>
        <v>15391.903812093022</v>
      </c>
      <c r="AD203" s="25">
        <f t="shared" si="22"/>
        <v>15392.471993911204</v>
      </c>
      <c r="AE203" s="25">
        <f t="shared" si="23"/>
        <v>14574.274574883721</v>
      </c>
      <c r="AF203" s="25">
        <f t="shared" si="24"/>
        <v>15473.153812093022</v>
      </c>
      <c r="AG203" s="25">
        <f t="shared" si="25"/>
        <v>16465.823603221779</v>
      </c>
      <c r="AH203" s="25">
        <f t="shared" si="26"/>
        <v>15439.971993911206</v>
      </c>
      <c r="AI203" s="25">
        <f t="shared" si="27"/>
        <v>14988.575650152537</v>
      </c>
    </row>
    <row r="204" spans="1:35" ht="15.75" customHeight="1">
      <c r="A204" s="12" t="s">
        <v>224</v>
      </c>
      <c r="B204" s="12" t="s">
        <v>225</v>
      </c>
      <c r="C204" s="12" t="s">
        <v>223</v>
      </c>
      <c r="D204" s="12" t="s">
        <v>33</v>
      </c>
      <c r="E204" s="12" t="s">
        <v>27</v>
      </c>
      <c r="F204" s="13">
        <v>122.42651683720928</v>
      </c>
      <c r="G204" s="14">
        <v>2797.031076078139</v>
      </c>
      <c r="H204" s="24" t="str">
        <f t="shared" si="30"/>
        <v>RJSP</v>
      </c>
      <c r="I204" s="24" t="str">
        <f t="shared" si="29"/>
        <v>RJMG</v>
      </c>
      <c r="J204" s="24" t="str">
        <f t="shared" si="29"/>
        <v>RJES</v>
      </c>
      <c r="K204" s="24" t="str">
        <f t="shared" si="29"/>
        <v>RJSC</v>
      </c>
      <c r="L204" s="24" t="str">
        <f t="shared" si="29"/>
        <v>RJRJ</v>
      </c>
      <c r="M204" s="24" t="str">
        <f t="shared" si="29"/>
        <v>RJPR</v>
      </c>
      <c r="N204" s="24" t="str">
        <f t="shared" si="29"/>
        <v>RJAM</v>
      </c>
      <c r="O204" s="24">
        <f>VLOOKUP(H204, KM!$A:$E, 5, 0)</f>
        <v>429</v>
      </c>
      <c r="P204" s="24">
        <f>VLOOKUP(I204, KM!$A:$E, 5, 0)</f>
        <v>434</v>
      </c>
      <c r="Q204" s="24">
        <f>VLOOKUP(J204, KM!$A:$E, 5, 0)</f>
        <v>521</v>
      </c>
      <c r="R204" s="24">
        <f>VLOOKUP(K204, KM!$A:$E, 5, 0)</f>
        <v>1144</v>
      </c>
      <c r="S204" s="24">
        <f>VLOOKUP(L204, KM!$A:$E, 5, 0)</f>
        <v>0</v>
      </c>
      <c r="T204" s="24">
        <f>VLOOKUP(M204, KM!$A:$E, 5, 0)</f>
        <v>852</v>
      </c>
      <c r="U204" s="24">
        <f>VLOOKUP(N204, KM!$A:$E, 5, 0)</f>
        <v>4374</v>
      </c>
      <c r="V204" s="24">
        <f>VLOOKUP(H204, IMPOSTO!$A:$D, 4, 0)</f>
        <v>0.12</v>
      </c>
      <c r="W204" s="24">
        <f>VLOOKUP(I204, IMPOSTO!$A:$D, 4, 0)</f>
        <v>0.12</v>
      </c>
      <c r="X204" s="24">
        <f>VLOOKUP(J204, IMPOSTO!$A:$D, 4, 0)</f>
        <v>7.0000000000000007E-2</v>
      </c>
      <c r="Y204" s="24">
        <f>VLOOKUP(K204, IMPOSTO!$A:$D, 4, 0)</f>
        <v>0.12</v>
      </c>
      <c r="Z204" s="24">
        <f>VLOOKUP(L204, IMPOSTO!$A:$D, 4, 0)</f>
        <v>0.18</v>
      </c>
      <c r="AA204" s="24">
        <f>VLOOKUP(M204, IMPOSTO!$A:$D, 4, 0)</f>
        <v>0.12</v>
      </c>
      <c r="AB204" s="24">
        <f>VLOOKUP(N204, IMPOSTO!$A:$D, 4, 0)</f>
        <v>7.0000000000000007E-2</v>
      </c>
      <c r="AC204" s="25">
        <f t="shared" si="21"/>
        <v>3227.1944046342492</v>
      </c>
      <c r="AD204" s="25">
        <f t="shared" si="22"/>
        <v>3227.7625864524307</v>
      </c>
      <c r="AE204" s="25">
        <f t="shared" si="23"/>
        <v>3063.5818022345584</v>
      </c>
      <c r="AF204" s="25">
        <f t="shared" si="24"/>
        <v>3308.4444046342492</v>
      </c>
      <c r="AG204" s="25">
        <f t="shared" si="25"/>
        <v>3411.0135074123646</v>
      </c>
      <c r="AH204" s="25">
        <f t="shared" si="26"/>
        <v>3275.2625864524302</v>
      </c>
      <c r="AI204" s="25">
        <f t="shared" si="27"/>
        <v>3477.8828775033758</v>
      </c>
    </row>
    <row r="205" spans="1:35" ht="15.75" customHeight="1">
      <c r="A205" s="12" t="s">
        <v>224</v>
      </c>
      <c r="B205" s="12" t="s">
        <v>225</v>
      </c>
      <c r="C205" s="12" t="s">
        <v>223</v>
      </c>
      <c r="D205" s="12" t="s">
        <v>33</v>
      </c>
      <c r="E205" s="12" t="s">
        <v>27</v>
      </c>
      <c r="F205" s="13">
        <v>80.943151627906971</v>
      </c>
      <c r="G205" s="14">
        <v>1473.9849090381397</v>
      </c>
      <c r="H205" s="24" t="str">
        <f t="shared" si="30"/>
        <v>RJSP</v>
      </c>
      <c r="I205" s="24" t="str">
        <f t="shared" si="29"/>
        <v>RJMG</v>
      </c>
      <c r="J205" s="24" t="str">
        <f t="shared" si="29"/>
        <v>RJES</v>
      </c>
      <c r="K205" s="24" t="str">
        <f t="shared" si="29"/>
        <v>RJSC</v>
      </c>
      <c r="L205" s="24" t="str">
        <f t="shared" si="29"/>
        <v>RJRJ</v>
      </c>
      <c r="M205" s="24" t="str">
        <f t="shared" si="29"/>
        <v>RJPR</v>
      </c>
      <c r="N205" s="24" t="str">
        <f t="shared" si="29"/>
        <v>RJAM</v>
      </c>
      <c r="O205" s="24">
        <f>VLOOKUP(H205, KM!$A:$E, 5, 0)</f>
        <v>429</v>
      </c>
      <c r="P205" s="24">
        <f>VLOOKUP(I205, KM!$A:$E, 5, 0)</f>
        <v>434</v>
      </c>
      <c r="Q205" s="24">
        <f>VLOOKUP(J205, KM!$A:$E, 5, 0)</f>
        <v>521</v>
      </c>
      <c r="R205" s="24">
        <f>VLOOKUP(K205, KM!$A:$E, 5, 0)</f>
        <v>1144</v>
      </c>
      <c r="S205" s="24">
        <f>VLOOKUP(L205, KM!$A:$E, 5, 0)</f>
        <v>0</v>
      </c>
      <c r="T205" s="24">
        <f>VLOOKUP(M205, KM!$A:$E, 5, 0)</f>
        <v>852</v>
      </c>
      <c r="U205" s="24">
        <f>VLOOKUP(N205, KM!$A:$E, 5, 0)</f>
        <v>4374</v>
      </c>
      <c r="V205" s="24">
        <f>VLOOKUP(H205, IMPOSTO!$A:$D, 4, 0)</f>
        <v>0.12</v>
      </c>
      <c r="W205" s="24">
        <f>VLOOKUP(I205, IMPOSTO!$A:$D, 4, 0)</f>
        <v>0.12</v>
      </c>
      <c r="X205" s="24">
        <f>VLOOKUP(J205, IMPOSTO!$A:$D, 4, 0)</f>
        <v>7.0000000000000007E-2</v>
      </c>
      <c r="Y205" s="24">
        <f>VLOOKUP(K205, IMPOSTO!$A:$D, 4, 0)</f>
        <v>0.12</v>
      </c>
      <c r="Z205" s="24">
        <f>VLOOKUP(L205, IMPOSTO!$A:$D, 4, 0)</f>
        <v>0.18</v>
      </c>
      <c r="AA205" s="24">
        <f>VLOOKUP(M205, IMPOSTO!$A:$D, 4, 0)</f>
        <v>0.12</v>
      </c>
      <c r="AB205" s="24">
        <f>VLOOKUP(N205, IMPOSTO!$A:$D, 4, 0)</f>
        <v>7.0000000000000007E-2</v>
      </c>
      <c r="AC205" s="25">
        <f t="shared" si="21"/>
        <v>1723.7328511797043</v>
      </c>
      <c r="AD205" s="25">
        <f t="shared" si="22"/>
        <v>1724.3010329978861</v>
      </c>
      <c r="AE205" s="25">
        <f t="shared" si="23"/>
        <v>1640.9515150947739</v>
      </c>
      <c r="AF205" s="25">
        <f t="shared" si="24"/>
        <v>1804.9828511797043</v>
      </c>
      <c r="AG205" s="25">
        <f t="shared" si="25"/>
        <v>1797.5425719977311</v>
      </c>
      <c r="AH205" s="25">
        <f t="shared" si="26"/>
        <v>1771.8010329978861</v>
      </c>
      <c r="AI205" s="25">
        <f t="shared" si="27"/>
        <v>2055.2525903635915</v>
      </c>
    </row>
    <row r="206" spans="1:35" ht="15.75" customHeight="1">
      <c r="A206" s="12" t="s">
        <v>226</v>
      </c>
      <c r="B206" s="12" t="s">
        <v>227</v>
      </c>
      <c r="C206" s="12" t="s">
        <v>223</v>
      </c>
      <c r="D206" s="12" t="s">
        <v>33</v>
      </c>
      <c r="E206" s="12" t="s">
        <v>27</v>
      </c>
      <c r="F206" s="13">
        <v>52.92867597087379</v>
      </c>
      <c r="G206" s="14">
        <v>1203.2227791480582</v>
      </c>
      <c r="H206" s="24" t="str">
        <f t="shared" si="30"/>
        <v>RJSP</v>
      </c>
      <c r="I206" s="24" t="str">
        <f t="shared" si="29"/>
        <v>RJMG</v>
      </c>
      <c r="J206" s="24" t="str">
        <f t="shared" si="29"/>
        <v>RJES</v>
      </c>
      <c r="K206" s="24" t="str">
        <f t="shared" si="29"/>
        <v>RJSC</v>
      </c>
      <c r="L206" s="24" t="str">
        <f t="shared" si="29"/>
        <v>RJRJ</v>
      </c>
      <c r="M206" s="24" t="str">
        <f t="shared" si="29"/>
        <v>RJPR</v>
      </c>
      <c r="N206" s="24" t="str">
        <f t="shared" si="29"/>
        <v>RJAM</v>
      </c>
      <c r="O206" s="24">
        <f>VLOOKUP(H206, KM!$A:$E, 5, 0)</f>
        <v>429</v>
      </c>
      <c r="P206" s="24">
        <f>VLOOKUP(I206, KM!$A:$E, 5, 0)</f>
        <v>434</v>
      </c>
      <c r="Q206" s="24">
        <f>VLOOKUP(J206, KM!$A:$E, 5, 0)</f>
        <v>521</v>
      </c>
      <c r="R206" s="24">
        <f>VLOOKUP(K206, KM!$A:$E, 5, 0)</f>
        <v>1144</v>
      </c>
      <c r="S206" s="24">
        <f>VLOOKUP(L206, KM!$A:$E, 5, 0)</f>
        <v>0</v>
      </c>
      <c r="T206" s="24">
        <f>VLOOKUP(M206, KM!$A:$E, 5, 0)</f>
        <v>852</v>
      </c>
      <c r="U206" s="24">
        <f>VLOOKUP(N206, KM!$A:$E, 5, 0)</f>
        <v>4374</v>
      </c>
      <c r="V206" s="24">
        <f>VLOOKUP(H206, IMPOSTO!$A:$D, 4, 0)</f>
        <v>0.12</v>
      </c>
      <c r="W206" s="24">
        <f>VLOOKUP(I206, IMPOSTO!$A:$D, 4, 0)</f>
        <v>0.12</v>
      </c>
      <c r="X206" s="24">
        <f>VLOOKUP(J206, IMPOSTO!$A:$D, 4, 0)</f>
        <v>7.0000000000000007E-2</v>
      </c>
      <c r="Y206" s="24">
        <f>VLOOKUP(K206, IMPOSTO!$A:$D, 4, 0)</f>
        <v>0.12</v>
      </c>
      <c r="Z206" s="24">
        <f>VLOOKUP(L206, IMPOSTO!$A:$D, 4, 0)</f>
        <v>0.18</v>
      </c>
      <c r="AA206" s="24">
        <f>VLOOKUP(M206, IMPOSTO!$A:$D, 4, 0)</f>
        <v>0.12</v>
      </c>
      <c r="AB206" s="24">
        <f>VLOOKUP(N206, IMPOSTO!$A:$D, 4, 0)</f>
        <v>7.0000000000000007E-2</v>
      </c>
      <c r="AC206" s="25">
        <f t="shared" si="21"/>
        <v>1416.0486126682481</v>
      </c>
      <c r="AD206" s="25">
        <f t="shared" si="22"/>
        <v>1416.6167944864299</v>
      </c>
      <c r="AE206" s="25">
        <f t="shared" si="23"/>
        <v>1349.8094399441486</v>
      </c>
      <c r="AF206" s="25">
        <f t="shared" si="24"/>
        <v>1497.2986126682481</v>
      </c>
      <c r="AG206" s="25">
        <f t="shared" si="25"/>
        <v>1467.344852619583</v>
      </c>
      <c r="AH206" s="25">
        <f t="shared" si="26"/>
        <v>1464.1167944864299</v>
      </c>
      <c r="AI206" s="25">
        <f t="shared" si="27"/>
        <v>1764.110515212966</v>
      </c>
    </row>
    <row r="207" spans="1:35" ht="15.75" customHeight="1">
      <c r="A207" s="12" t="s">
        <v>228</v>
      </c>
      <c r="B207" s="12" t="s">
        <v>229</v>
      </c>
      <c r="C207" s="12" t="s">
        <v>176</v>
      </c>
      <c r="D207" s="12" t="s">
        <v>33</v>
      </c>
      <c r="E207" s="12" t="s">
        <v>27</v>
      </c>
      <c r="F207" s="13">
        <v>125</v>
      </c>
      <c r="G207" s="14">
        <v>4221.6581632653051</v>
      </c>
      <c r="H207" s="24" t="str">
        <f t="shared" si="30"/>
        <v>RJSP</v>
      </c>
      <c r="I207" s="24" t="str">
        <f t="shared" si="29"/>
        <v>RJMG</v>
      </c>
      <c r="J207" s="24" t="str">
        <f t="shared" si="29"/>
        <v>RJES</v>
      </c>
      <c r="K207" s="24" t="str">
        <f t="shared" si="29"/>
        <v>RJSC</v>
      </c>
      <c r="L207" s="24" t="str">
        <f t="shared" si="29"/>
        <v>RJRJ</v>
      </c>
      <c r="M207" s="24" t="str">
        <f t="shared" si="29"/>
        <v>RJPR</v>
      </c>
      <c r="N207" s="24" t="str">
        <f t="shared" si="29"/>
        <v>RJAM</v>
      </c>
      <c r="O207" s="24">
        <f>VLOOKUP(H207, KM!$A:$E, 5, 0)</f>
        <v>429</v>
      </c>
      <c r="P207" s="24">
        <f>VLOOKUP(I207, KM!$A:$E, 5, 0)</f>
        <v>434</v>
      </c>
      <c r="Q207" s="24">
        <f>VLOOKUP(J207, KM!$A:$E, 5, 0)</f>
        <v>521</v>
      </c>
      <c r="R207" s="24">
        <f>VLOOKUP(K207, KM!$A:$E, 5, 0)</f>
        <v>1144</v>
      </c>
      <c r="S207" s="24">
        <f>VLOOKUP(L207, KM!$A:$E, 5, 0)</f>
        <v>0</v>
      </c>
      <c r="T207" s="24">
        <f>VLOOKUP(M207, KM!$A:$E, 5, 0)</f>
        <v>852</v>
      </c>
      <c r="U207" s="24">
        <f>VLOOKUP(N207, KM!$A:$E, 5, 0)</f>
        <v>4374</v>
      </c>
      <c r="V207" s="24">
        <f>VLOOKUP(H207, IMPOSTO!$A:$D, 4, 0)</f>
        <v>0.12</v>
      </c>
      <c r="W207" s="24">
        <f>VLOOKUP(I207, IMPOSTO!$A:$D, 4, 0)</f>
        <v>0.12</v>
      </c>
      <c r="X207" s="24">
        <f>VLOOKUP(J207, IMPOSTO!$A:$D, 4, 0)</f>
        <v>7.0000000000000007E-2</v>
      </c>
      <c r="Y207" s="24">
        <f>VLOOKUP(K207, IMPOSTO!$A:$D, 4, 0)</f>
        <v>0.12</v>
      </c>
      <c r="Z207" s="24">
        <f>VLOOKUP(L207, IMPOSTO!$A:$D, 4, 0)</f>
        <v>0.18</v>
      </c>
      <c r="AA207" s="24">
        <f>VLOOKUP(M207, IMPOSTO!$A:$D, 4, 0)</f>
        <v>0.12</v>
      </c>
      <c r="AB207" s="24">
        <f>VLOOKUP(N207, IMPOSTO!$A:$D, 4, 0)</f>
        <v>7.0000000000000007E-2</v>
      </c>
      <c r="AC207" s="25">
        <f t="shared" si="21"/>
        <v>4846.0888218923919</v>
      </c>
      <c r="AD207" s="25">
        <f t="shared" si="22"/>
        <v>4846.6570037105739</v>
      </c>
      <c r="AE207" s="25">
        <f t="shared" si="23"/>
        <v>4595.4388852315114</v>
      </c>
      <c r="AF207" s="25">
        <f t="shared" si="24"/>
        <v>4927.3388218923919</v>
      </c>
      <c r="AG207" s="25">
        <f t="shared" si="25"/>
        <v>5148.3636137381764</v>
      </c>
      <c r="AH207" s="25">
        <f t="shared" si="26"/>
        <v>4894.1570037105739</v>
      </c>
      <c r="AI207" s="25">
        <f t="shared" si="27"/>
        <v>5009.7399605003284</v>
      </c>
    </row>
    <row r="208" spans="1:35" ht="15.75" customHeight="1">
      <c r="A208" s="12" t="s">
        <v>230</v>
      </c>
      <c r="B208" s="12" t="s">
        <v>231</v>
      </c>
      <c r="C208" s="12" t="s">
        <v>232</v>
      </c>
      <c r="D208" s="12" t="s">
        <v>33</v>
      </c>
      <c r="E208" s="12" t="s">
        <v>27</v>
      </c>
      <c r="F208" s="13">
        <v>11</v>
      </c>
      <c r="G208" s="14">
        <v>980.08428571428578</v>
      </c>
      <c r="H208" s="24" t="str">
        <f t="shared" si="30"/>
        <v>RJSP</v>
      </c>
      <c r="I208" s="24" t="str">
        <f t="shared" si="29"/>
        <v>RJMG</v>
      </c>
      <c r="J208" s="24" t="str">
        <f t="shared" si="29"/>
        <v>RJES</v>
      </c>
      <c r="K208" s="24" t="str">
        <f t="shared" si="29"/>
        <v>RJSC</v>
      </c>
      <c r="L208" s="24" t="str">
        <f t="shared" si="29"/>
        <v>RJRJ</v>
      </c>
      <c r="M208" s="24" t="str">
        <f t="shared" si="29"/>
        <v>RJPR</v>
      </c>
      <c r="N208" s="24" t="str">
        <f t="shared" si="29"/>
        <v>RJAM</v>
      </c>
      <c r="O208" s="24">
        <f>VLOOKUP(H208, KM!$A:$E, 5, 0)</f>
        <v>429</v>
      </c>
      <c r="P208" s="24">
        <f>VLOOKUP(I208, KM!$A:$E, 5, 0)</f>
        <v>434</v>
      </c>
      <c r="Q208" s="24">
        <f>VLOOKUP(J208, KM!$A:$E, 5, 0)</f>
        <v>521</v>
      </c>
      <c r="R208" s="24">
        <f>VLOOKUP(K208, KM!$A:$E, 5, 0)</f>
        <v>1144</v>
      </c>
      <c r="S208" s="24">
        <f>VLOOKUP(L208, KM!$A:$E, 5, 0)</f>
        <v>0</v>
      </c>
      <c r="T208" s="24">
        <f>VLOOKUP(M208, KM!$A:$E, 5, 0)</f>
        <v>852</v>
      </c>
      <c r="U208" s="24">
        <f>VLOOKUP(N208, KM!$A:$E, 5, 0)</f>
        <v>4374</v>
      </c>
      <c r="V208" s="24">
        <f>VLOOKUP(H208, IMPOSTO!$A:$D, 4, 0)</f>
        <v>0.12</v>
      </c>
      <c r="W208" s="24">
        <f>VLOOKUP(I208, IMPOSTO!$A:$D, 4, 0)</f>
        <v>0.12</v>
      </c>
      <c r="X208" s="24">
        <f>VLOOKUP(J208, IMPOSTO!$A:$D, 4, 0)</f>
        <v>7.0000000000000007E-2</v>
      </c>
      <c r="Y208" s="24">
        <f>VLOOKUP(K208, IMPOSTO!$A:$D, 4, 0)</f>
        <v>0.12</v>
      </c>
      <c r="Z208" s="24">
        <f>VLOOKUP(L208, IMPOSTO!$A:$D, 4, 0)</f>
        <v>0.18</v>
      </c>
      <c r="AA208" s="24">
        <f>VLOOKUP(M208, IMPOSTO!$A:$D, 4, 0)</f>
        <v>0.12</v>
      </c>
      <c r="AB208" s="24">
        <f>VLOOKUP(N208, IMPOSTO!$A:$D, 4, 0)</f>
        <v>7.0000000000000007E-2</v>
      </c>
      <c r="AC208" s="25">
        <f t="shared" si="21"/>
        <v>1162.4821428571429</v>
      </c>
      <c r="AD208" s="25">
        <f t="shared" si="22"/>
        <v>1163.0503246753246</v>
      </c>
      <c r="AE208" s="25">
        <f t="shared" si="23"/>
        <v>1109.8755760368665</v>
      </c>
      <c r="AF208" s="25">
        <f t="shared" si="24"/>
        <v>1243.7321428571429</v>
      </c>
      <c r="AG208" s="25">
        <f t="shared" si="25"/>
        <v>1195.2247386759582</v>
      </c>
      <c r="AH208" s="25">
        <f t="shared" si="26"/>
        <v>1210.5503246753246</v>
      </c>
      <c r="AI208" s="25">
        <f t="shared" si="27"/>
        <v>1524.1766513056837</v>
      </c>
    </row>
    <row r="209" spans="1:35" ht="15.75" customHeight="1">
      <c r="A209" s="12" t="s">
        <v>233</v>
      </c>
      <c r="B209" s="12" t="s">
        <v>234</v>
      </c>
      <c r="C209" s="12" t="s">
        <v>232</v>
      </c>
      <c r="D209" s="12" t="s">
        <v>33</v>
      </c>
      <c r="E209" s="12" t="s">
        <v>27</v>
      </c>
      <c r="F209" s="13">
        <v>9.8666666666666671</v>
      </c>
      <c r="G209" s="14">
        <v>328.33799999999997</v>
      </c>
      <c r="H209" s="24" t="str">
        <f t="shared" si="30"/>
        <v>RJSP</v>
      </c>
      <c r="I209" s="24" t="str">
        <f t="shared" si="29"/>
        <v>RJMG</v>
      </c>
      <c r="J209" s="24" t="str">
        <f t="shared" si="29"/>
        <v>RJES</v>
      </c>
      <c r="K209" s="24" t="str">
        <f t="shared" si="29"/>
        <v>RJSC</v>
      </c>
      <c r="L209" s="24" t="str">
        <f t="shared" si="29"/>
        <v>RJRJ</v>
      </c>
      <c r="M209" s="24" t="str">
        <f t="shared" si="29"/>
        <v>RJPR</v>
      </c>
      <c r="N209" s="24" t="str">
        <f t="shared" si="29"/>
        <v>RJAM</v>
      </c>
      <c r="O209" s="24">
        <f>VLOOKUP(H209, KM!$A:$E, 5, 0)</f>
        <v>429</v>
      </c>
      <c r="P209" s="24">
        <f>VLOOKUP(I209, KM!$A:$E, 5, 0)</f>
        <v>434</v>
      </c>
      <c r="Q209" s="24">
        <f>VLOOKUP(J209, KM!$A:$E, 5, 0)</f>
        <v>521</v>
      </c>
      <c r="R209" s="24">
        <f>VLOOKUP(K209, KM!$A:$E, 5, 0)</f>
        <v>1144</v>
      </c>
      <c r="S209" s="24">
        <f>VLOOKUP(L209, KM!$A:$E, 5, 0)</f>
        <v>0</v>
      </c>
      <c r="T209" s="24">
        <f>VLOOKUP(M209, KM!$A:$E, 5, 0)</f>
        <v>852</v>
      </c>
      <c r="U209" s="24">
        <f>VLOOKUP(N209, KM!$A:$E, 5, 0)</f>
        <v>4374</v>
      </c>
      <c r="V209" s="24">
        <f>VLOOKUP(H209, IMPOSTO!$A:$D, 4, 0)</f>
        <v>0.12</v>
      </c>
      <c r="W209" s="24">
        <f>VLOOKUP(I209, IMPOSTO!$A:$D, 4, 0)</f>
        <v>0.12</v>
      </c>
      <c r="X209" s="24">
        <f>VLOOKUP(J209, IMPOSTO!$A:$D, 4, 0)</f>
        <v>7.0000000000000007E-2</v>
      </c>
      <c r="Y209" s="24">
        <f>VLOOKUP(K209, IMPOSTO!$A:$D, 4, 0)</f>
        <v>0.12</v>
      </c>
      <c r="Z209" s="24">
        <f>VLOOKUP(L209, IMPOSTO!$A:$D, 4, 0)</f>
        <v>0.18</v>
      </c>
      <c r="AA209" s="24">
        <f>VLOOKUP(M209, IMPOSTO!$A:$D, 4, 0)</f>
        <v>0.12</v>
      </c>
      <c r="AB209" s="24">
        <f>VLOOKUP(N209, IMPOSTO!$A:$D, 4, 0)</f>
        <v>7.0000000000000007E-2</v>
      </c>
      <c r="AC209" s="25">
        <f t="shared" si="21"/>
        <v>421.86136363636359</v>
      </c>
      <c r="AD209" s="25">
        <f t="shared" si="22"/>
        <v>422.4295454545454</v>
      </c>
      <c r="AE209" s="25">
        <f t="shared" si="23"/>
        <v>409.07311827956988</v>
      </c>
      <c r="AF209" s="25">
        <f t="shared" si="24"/>
        <v>503.11136363636359</v>
      </c>
      <c r="AG209" s="25">
        <f t="shared" si="25"/>
        <v>400.41219512195113</v>
      </c>
      <c r="AH209" s="25">
        <f t="shared" si="26"/>
        <v>469.9295454545454</v>
      </c>
      <c r="AI209" s="25">
        <f t="shared" si="27"/>
        <v>823.37419354838721</v>
      </c>
    </row>
    <row r="210" spans="1:35" ht="15.75" customHeight="1">
      <c r="A210" s="12" t="s">
        <v>235</v>
      </c>
      <c r="B210" s="12" t="s">
        <v>236</v>
      </c>
      <c r="C210" s="12" t="s">
        <v>232</v>
      </c>
      <c r="D210" s="12" t="s">
        <v>33</v>
      </c>
      <c r="E210" s="12" t="s">
        <v>27</v>
      </c>
      <c r="F210" s="13">
        <v>6</v>
      </c>
      <c r="G210" s="14">
        <v>189.61875000000003</v>
      </c>
      <c r="H210" s="24" t="str">
        <f t="shared" si="30"/>
        <v>RJSP</v>
      </c>
      <c r="I210" s="24" t="str">
        <f t="shared" si="29"/>
        <v>RJMG</v>
      </c>
      <c r="J210" s="24" t="str">
        <f t="shared" si="29"/>
        <v>RJES</v>
      </c>
      <c r="K210" s="24" t="str">
        <f t="shared" si="29"/>
        <v>RJSC</v>
      </c>
      <c r="L210" s="24" t="str">
        <f t="shared" si="29"/>
        <v>RJRJ</v>
      </c>
      <c r="M210" s="24" t="str">
        <f t="shared" si="29"/>
        <v>RJPR</v>
      </c>
      <c r="N210" s="24" t="str">
        <f t="shared" si="29"/>
        <v>RJAM</v>
      </c>
      <c r="O210" s="24">
        <f>VLOOKUP(H210, KM!$A:$E, 5, 0)</f>
        <v>429</v>
      </c>
      <c r="P210" s="24">
        <f>VLOOKUP(I210, KM!$A:$E, 5, 0)</f>
        <v>434</v>
      </c>
      <c r="Q210" s="24">
        <f>VLOOKUP(J210, KM!$A:$E, 5, 0)</f>
        <v>521</v>
      </c>
      <c r="R210" s="24">
        <f>VLOOKUP(K210, KM!$A:$E, 5, 0)</f>
        <v>1144</v>
      </c>
      <c r="S210" s="24">
        <f>VLOOKUP(L210, KM!$A:$E, 5, 0)</f>
        <v>0</v>
      </c>
      <c r="T210" s="24">
        <f>VLOOKUP(M210, KM!$A:$E, 5, 0)</f>
        <v>852</v>
      </c>
      <c r="U210" s="24">
        <f>VLOOKUP(N210, KM!$A:$E, 5, 0)</f>
        <v>4374</v>
      </c>
      <c r="V210" s="24">
        <f>VLOOKUP(H210, IMPOSTO!$A:$D, 4, 0)</f>
        <v>0.12</v>
      </c>
      <c r="W210" s="24">
        <f>VLOOKUP(I210, IMPOSTO!$A:$D, 4, 0)</f>
        <v>0.12</v>
      </c>
      <c r="X210" s="24">
        <f>VLOOKUP(J210, IMPOSTO!$A:$D, 4, 0)</f>
        <v>7.0000000000000007E-2</v>
      </c>
      <c r="Y210" s="24">
        <f>VLOOKUP(K210, IMPOSTO!$A:$D, 4, 0)</f>
        <v>0.12</v>
      </c>
      <c r="Z210" s="24">
        <f>VLOOKUP(L210, IMPOSTO!$A:$D, 4, 0)</f>
        <v>0.18</v>
      </c>
      <c r="AA210" s="24">
        <f>VLOOKUP(M210, IMPOSTO!$A:$D, 4, 0)</f>
        <v>0.12</v>
      </c>
      <c r="AB210" s="24">
        <f>VLOOKUP(N210, IMPOSTO!$A:$D, 4, 0)</f>
        <v>7.0000000000000007E-2</v>
      </c>
      <c r="AC210" s="25">
        <f t="shared" si="21"/>
        <v>264.22585227272731</v>
      </c>
      <c r="AD210" s="25">
        <f t="shared" si="22"/>
        <v>264.79403409090912</v>
      </c>
      <c r="AE210" s="25">
        <f t="shared" si="23"/>
        <v>259.91263440860217</v>
      </c>
      <c r="AF210" s="25">
        <f t="shared" si="24"/>
        <v>345.47585227272737</v>
      </c>
      <c r="AG210" s="25">
        <f t="shared" si="25"/>
        <v>231.24237804878052</v>
      </c>
      <c r="AH210" s="25">
        <f t="shared" si="26"/>
        <v>312.29403409090912</v>
      </c>
      <c r="AI210" s="25">
        <f t="shared" si="27"/>
        <v>674.2137096774195</v>
      </c>
    </row>
    <row r="211" spans="1:35" ht="15.75" customHeight="1">
      <c r="A211" s="12" t="s">
        <v>235</v>
      </c>
      <c r="B211" s="12" t="s">
        <v>236</v>
      </c>
      <c r="C211" s="12" t="s">
        <v>232</v>
      </c>
      <c r="D211" s="12" t="s">
        <v>33</v>
      </c>
      <c r="E211" s="12" t="s">
        <v>27</v>
      </c>
      <c r="F211" s="13">
        <v>13.125</v>
      </c>
      <c r="G211" s="14">
        <v>413.87250000000006</v>
      </c>
      <c r="H211" s="24" t="str">
        <f t="shared" si="30"/>
        <v>RJSP</v>
      </c>
      <c r="I211" s="24" t="str">
        <f t="shared" si="29"/>
        <v>RJMG</v>
      </c>
      <c r="J211" s="24" t="str">
        <f t="shared" si="29"/>
        <v>RJES</v>
      </c>
      <c r="K211" s="24" t="str">
        <f t="shared" si="29"/>
        <v>RJSC</v>
      </c>
      <c r="L211" s="24" t="str">
        <f t="shared" si="29"/>
        <v>RJRJ</v>
      </c>
      <c r="M211" s="24" t="str">
        <f t="shared" si="29"/>
        <v>RJPR</v>
      </c>
      <c r="N211" s="24" t="str">
        <f t="shared" si="29"/>
        <v>RJAM</v>
      </c>
      <c r="O211" s="24">
        <f>VLOOKUP(H211, KM!$A:$E, 5, 0)</f>
        <v>429</v>
      </c>
      <c r="P211" s="24">
        <f>VLOOKUP(I211, KM!$A:$E, 5, 0)</f>
        <v>434</v>
      </c>
      <c r="Q211" s="24">
        <f>VLOOKUP(J211, KM!$A:$E, 5, 0)</f>
        <v>521</v>
      </c>
      <c r="R211" s="24">
        <f>VLOOKUP(K211, KM!$A:$E, 5, 0)</f>
        <v>1144</v>
      </c>
      <c r="S211" s="24">
        <f>VLOOKUP(L211, KM!$A:$E, 5, 0)</f>
        <v>0</v>
      </c>
      <c r="T211" s="24">
        <f>VLOOKUP(M211, KM!$A:$E, 5, 0)</f>
        <v>852</v>
      </c>
      <c r="U211" s="24">
        <f>VLOOKUP(N211, KM!$A:$E, 5, 0)</f>
        <v>4374</v>
      </c>
      <c r="V211" s="24">
        <f>VLOOKUP(H211, IMPOSTO!$A:$D, 4, 0)</f>
        <v>0.12</v>
      </c>
      <c r="W211" s="24">
        <f>VLOOKUP(I211, IMPOSTO!$A:$D, 4, 0)</f>
        <v>0.12</v>
      </c>
      <c r="X211" s="24">
        <f>VLOOKUP(J211, IMPOSTO!$A:$D, 4, 0)</f>
        <v>7.0000000000000007E-2</v>
      </c>
      <c r="Y211" s="24">
        <f>VLOOKUP(K211, IMPOSTO!$A:$D, 4, 0)</f>
        <v>0.12</v>
      </c>
      <c r="Z211" s="24">
        <f>VLOOKUP(L211, IMPOSTO!$A:$D, 4, 0)</f>
        <v>0.18</v>
      </c>
      <c r="AA211" s="24">
        <f>VLOOKUP(M211, IMPOSTO!$A:$D, 4, 0)</f>
        <v>0.12</v>
      </c>
      <c r="AB211" s="24">
        <f>VLOOKUP(N211, IMPOSTO!$A:$D, 4, 0)</f>
        <v>7.0000000000000007E-2</v>
      </c>
      <c r="AC211" s="25">
        <f t="shared" ref="AC211:AC274" si="31">($G211 + O211 * $AE$5) / (1 - V211)</f>
        <v>519.05965909090912</v>
      </c>
      <c r="AD211" s="25">
        <f t="shared" ref="AD211:AD274" si="32">($G211 + P211 * $AE$5) / (1 - W211)</f>
        <v>519.62784090909099</v>
      </c>
      <c r="AE211" s="25">
        <f t="shared" ref="AE211:AE274" si="33">($G211 + Q211 * $AE$5) / (1 - X211)</f>
        <v>501.04569892473131</v>
      </c>
      <c r="AF211" s="25">
        <f t="shared" ref="AF211:AF274" si="34">($G211 + R211 * $AE$5) / (1 - Y211)</f>
        <v>600.30965909090912</v>
      </c>
      <c r="AG211" s="25">
        <f t="shared" ref="AG211:AG274" si="35">($G211 + S211 * $AE$5) / (1 - Z211)</f>
        <v>504.72256097560978</v>
      </c>
      <c r="AH211" s="25">
        <f t="shared" ref="AH211:AH274" si="36">($G211 + T211 * $AE$5) / (1 - AA211)</f>
        <v>567.12784090909099</v>
      </c>
      <c r="AI211" s="25">
        <f t="shared" ref="AI211:AI274" si="37">($G211 + U211 * $AE$5) / (1 - AB211)</f>
        <v>915.34677419354853</v>
      </c>
    </row>
    <row r="212" spans="1:35" ht="15.75" customHeight="1">
      <c r="A212" s="12" t="s">
        <v>237</v>
      </c>
      <c r="B212" s="12" t="s">
        <v>238</v>
      </c>
      <c r="C212" s="12" t="s">
        <v>223</v>
      </c>
      <c r="D212" s="12" t="s">
        <v>33</v>
      </c>
      <c r="E212" s="12" t="s">
        <v>27</v>
      </c>
      <c r="F212" s="13">
        <v>1.8125</v>
      </c>
      <c r="G212" s="14">
        <v>64.120208333333338</v>
      </c>
      <c r="H212" s="24" t="str">
        <f t="shared" si="30"/>
        <v>RJSP</v>
      </c>
      <c r="I212" s="24" t="str">
        <f t="shared" si="29"/>
        <v>RJMG</v>
      </c>
      <c r="J212" s="24" t="str">
        <f t="shared" si="29"/>
        <v>RJES</v>
      </c>
      <c r="K212" s="24" t="str">
        <f t="shared" si="29"/>
        <v>RJSC</v>
      </c>
      <c r="L212" s="24" t="str">
        <f t="shared" si="29"/>
        <v>RJRJ</v>
      </c>
      <c r="M212" s="24" t="str">
        <f t="shared" si="29"/>
        <v>RJPR</v>
      </c>
      <c r="N212" s="24" t="str">
        <f t="shared" si="29"/>
        <v>RJAM</v>
      </c>
      <c r="O212" s="24">
        <f>VLOOKUP(H212, KM!$A:$E, 5, 0)</f>
        <v>429</v>
      </c>
      <c r="P212" s="24">
        <f>VLOOKUP(I212, KM!$A:$E, 5, 0)</f>
        <v>434</v>
      </c>
      <c r="Q212" s="24">
        <f>VLOOKUP(J212, KM!$A:$E, 5, 0)</f>
        <v>521</v>
      </c>
      <c r="R212" s="24">
        <f>VLOOKUP(K212, KM!$A:$E, 5, 0)</f>
        <v>1144</v>
      </c>
      <c r="S212" s="24">
        <f>VLOOKUP(L212, KM!$A:$E, 5, 0)</f>
        <v>0</v>
      </c>
      <c r="T212" s="24">
        <f>VLOOKUP(M212, KM!$A:$E, 5, 0)</f>
        <v>852</v>
      </c>
      <c r="U212" s="24">
        <f>VLOOKUP(N212, KM!$A:$E, 5, 0)</f>
        <v>4374</v>
      </c>
      <c r="V212" s="24">
        <f>VLOOKUP(H212, IMPOSTO!$A:$D, 4, 0)</f>
        <v>0.12</v>
      </c>
      <c r="W212" s="24">
        <f>VLOOKUP(I212, IMPOSTO!$A:$D, 4, 0)</f>
        <v>0.12</v>
      </c>
      <c r="X212" s="24">
        <f>VLOOKUP(J212, IMPOSTO!$A:$D, 4, 0)</f>
        <v>7.0000000000000007E-2</v>
      </c>
      <c r="Y212" s="24">
        <f>VLOOKUP(K212, IMPOSTO!$A:$D, 4, 0)</f>
        <v>0.12</v>
      </c>
      <c r="Z212" s="24">
        <f>VLOOKUP(L212, IMPOSTO!$A:$D, 4, 0)</f>
        <v>0.18</v>
      </c>
      <c r="AA212" s="24">
        <f>VLOOKUP(M212, IMPOSTO!$A:$D, 4, 0)</f>
        <v>0.12</v>
      </c>
      <c r="AB212" s="24">
        <f>VLOOKUP(N212, IMPOSTO!$A:$D, 4, 0)</f>
        <v>7.0000000000000007E-2</v>
      </c>
      <c r="AC212" s="25">
        <f t="shared" si="31"/>
        <v>121.61387310606062</v>
      </c>
      <c r="AD212" s="25">
        <f t="shared" si="32"/>
        <v>122.18205492424244</v>
      </c>
      <c r="AE212" s="25">
        <f t="shared" si="33"/>
        <v>124.96796594982081</v>
      </c>
      <c r="AF212" s="25">
        <f t="shared" si="34"/>
        <v>202.86387310606062</v>
      </c>
      <c r="AG212" s="25">
        <f t="shared" si="35"/>
        <v>78.195376016260155</v>
      </c>
      <c r="AH212" s="25">
        <f t="shared" si="36"/>
        <v>169.68205492424244</v>
      </c>
      <c r="AI212" s="25">
        <f t="shared" si="37"/>
        <v>539.26904121863811</v>
      </c>
    </row>
    <row r="213" spans="1:35" ht="15.75" customHeight="1">
      <c r="A213" s="12" t="s">
        <v>237</v>
      </c>
      <c r="B213" s="12" t="s">
        <v>238</v>
      </c>
      <c r="C213" s="12" t="s">
        <v>223</v>
      </c>
      <c r="D213" s="12" t="s">
        <v>33</v>
      </c>
      <c r="E213" s="12" t="s">
        <v>27</v>
      </c>
      <c r="F213" s="13">
        <v>0.60416666666666674</v>
      </c>
      <c r="G213" s="14">
        <v>21.372395833333336</v>
      </c>
      <c r="H213" s="24" t="str">
        <f t="shared" si="30"/>
        <v>RJSP</v>
      </c>
      <c r="I213" s="24" t="str">
        <f t="shared" si="29"/>
        <v>RJMG</v>
      </c>
      <c r="J213" s="24" t="str">
        <f t="shared" si="29"/>
        <v>RJES</v>
      </c>
      <c r="K213" s="24" t="str">
        <f t="shared" si="29"/>
        <v>RJSC</v>
      </c>
      <c r="L213" s="24" t="str">
        <f t="shared" si="29"/>
        <v>RJRJ</v>
      </c>
      <c r="M213" s="24" t="str">
        <f t="shared" si="29"/>
        <v>RJPR</v>
      </c>
      <c r="N213" s="24" t="str">
        <f t="shared" si="29"/>
        <v>RJAM</v>
      </c>
      <c r="O213" s="24">
        <f>VLOOKUP(H213, KM!$A:$E, 5, 0)</f>
        <v>429</v>
      </c>
      <c r="P213" s="24">
        <f>VLOOKUP(I213, KM!$A:$E, 5, 0)</f>
        <v>434</v>
      </c>
      <c r="Q213" s="24">
        <f>VLOOKUP(J213, KM!$A:$E, 5, 0)</f>
        <v>521</v>
      </c>
      <c r="R213" s="24">
        <f>VLOOKUP(K213, KM!$A:$E, 5, 0)</f>
        <v>1144</v>
      </c>
      <c r="S213" s="24">
        <f>VLOOKUP(L213, KM!$A:$E, 5, 0)</f>
        <v>0</v>
      </c>
      <c r="T213" s="24">
        <f>VLOOKUP(M213, KM!$A:$E, 5, 0)</f>
        <v>852</v>
      </c>
      <c r="U213" s="24">
        <f>VLOOKUP(N213, KM!$A:$E, 5, 0)</f>
        <v>4374</v>
      </c>
      <c r="V213" s="24">
        <f>VLOOKUP(H213, IMPOSTO!$A:$D, 4, 0)</f>
        <v>0.12</v>
      </c>
      <c r="W213" s="24">
        <f>VLOOKUP(I213, IMPOSTO!$A:$D, 4, 0)</f>
        <v>0.12</v>
      </c>
      <c r="X213" s="24">
        <f>VLOOKUP(J213, IMPOSTO!$A:$D, 4, 0)</f>
        <v>7.0000000000000007E-2</v>
      </c>
      <c r="Y213" s="24">
        <f>VLOOKUP(K213, IMPOSTO!$A:$D, 4, 0)</f>
        <v>0.12</v>
      </c>
      <c r="Z213" s="24">
        <f>VLOOKUP(L213, IMPOSTO!$A:$D, 4, 0)</f>
        <v>0.18</v>
      </c>
      <c r="AA213" s="24">
        <f>VLOOKUP(M213, IMPOSTO!$A:$D, 4, 0)</f>
        <v>0.12</v>
      </c>
      <c r="AB213" s="24">
        <f>VLOOKUP(N213, IMPOSTO!$A:$D, 4, 0)</f>
        <v>7.0000000000000007E-2</v>
      </c>
      <c r="AC213" s="25">
        <f t="shared" si="31"/>
        <v>73.036813446969717</v>
      </c>
      <c r="AD213" s="25">
        <f t="shared" si="32"/>
        <v>73.60499526515153</v>
      </c>
      <c r="AE213" s="25">
        <f t="shared" si="33"/>
        <v>79.002576164874554</v>
      </c>
      <c r="AF213" s="25">
        <f t="shared" si="34"/>
        <v>154.28681344696972</v>
      </c>
      <c r="AG213" s="25">
        <f t="shared" si="35"/>
        <v>26.06389735772358</v>
      </c>
      <c r="AH213" s="25">
        <f t="shared" si="36"/>
        <v>121.10499526515152</v>
      </c>
      <c r="AI213" s="25">
        <f t="shared" si="37"/>
        <v>493.30365143369181</v>
      </c>
    </row>
    <row r="214" spans="1:35" ht="15.75" customHeight="1">
      <c r="A214" s="12" t="s">
        <v>237</v>
      </c>
      <c r="B214" s="12" t="s">
        <v>238</v>
      </c>
      <c r="C214" s="12" t="s">
        <v>223</v>
      </c>
      <c r="D214" s="12" t="s">
        <v>33</v>
      </c>
      <c r="E214" s="12" t="s">
        <v>27</v>
      </c>
      <c r="F214" s="13">
        <v>2.0138888888888893</v>
      </c>
      <c r="G214" s="14">
        <v>71.033888888888896</v>
      </c>
      <c r="H214" s="24" t="str">
        <f t="shared" si="30"/>
        <v>RJSP</v>
      </c>
      <c r="I214" s="24" t="str">
        <f t="shared" si="29"/>
        <v>RJMG</v>
      </c>
      <c r="J214" s="24" t="str">
        <f t="shared" si="29"/>
        <v>RJES</v>
      </c>
      <c r="K214" s="24" t="str">
        <f t="shared" si="29"/>
        <v>RJSC</v>
      </c>
      <c r="L214" s="24" t="str">
        <f t="shared" si="29"/>
        <v>RJRJ</v>
      </c>
      <c r="M214" s="24" t="str">
        <f t="shared" si="29"/>
        <v>RJPR</v>
      </c>
      <c r="N214" s="24" t="str">
        <f t="shared" si="29"/>
        <v>RJAM</v>
      </c>
      <c r="O214" s="24">
        <f>VLOOKUP(H214, KM!$A:$E, 5, 0)</f>
        <v>429</v>
      </c>
      <c r="P214" s="24">
        <f>VLOOKUP(I214, KM!$A:$E, 5, 0)</f>
        <v>434</v>
      </c>
      <c r="Q214" s="24">
        <f>VLOOKUP(J214, KM!$A:$E, 5, 0)</f>
        <v>521</v>
      </c>
      <c r="R214" s="24">
        <f>VLOOKUP(K214, KM!$A:$E, 5, 0)</f>
        <v>1144</v>
      </c>
      <c r="S214" s="24">
        <f>VLOOKUP(L214, KM!$A:$E, 5, 0)</f>
        <v>0</v>
      </c>
      <c r="T214" s="24">
        <f>VLOOKUP(M214, KM!$A:$E, 5, 0)</f>
        <v>852</v>
      </c>
      <c r="U214" s="24">
        <f>VLOOKUP(N214, KM!$A:$E, 5, 0)</f>
        <v>4374</v>
      </c>
      <c r="V214" s="24">
        <f>VLOOKUP(H214, IMPOSTO!$A:$D, 4, 0)</f>
        <v>0.12</v>
      </c>
      <c r="W214" s="24">
        <f>VLOOKUP(I214, IMPOSTO!$A:$D, 4, 0)</f>
        <v>0.12</v>
      </c>
      <c r="X214" s="24">
        <f>VLOOKUP(J214, IMPOSTO!$A:$D, 4, 0)</f>
        <v>7.0000000000000007E-2</v>
      </c>
      <c r="Y214" s="24">
        <f>VLOOKUP(K214, IMPOSTO!$A:$D, 4, 0)</f>
        <v>0.12</v>
      </c>
      <c r="Z214" s="24">
        <f>VLOOKUP(L214, IMPOSTO!$A:$D, 4, 0)</f>
        <v>0.18</v>
      </c>
      <c r="AA214" s="24">
        <f>VLOOKUP(M214, IMPOSTO!$A:$D, 4, 0)</f>
        <v>0.12</v>
      </c>
      <c r="AB214" s="24">
        <f>VLOOKUP(N214, IMPOSTO!$A:$D, 4, 0)</f>
        <v>7.0000000000000007E-2</v>
      </c>
      <c r="AC214" s="25">
        <f t="shared" si="31"/>
        <v>129.47032828282829</v>
      </c>
      <c r="AD214" s="25">
        <f t="shared" si="32"/>
        <v>130.0385101010101</v>
      </c>
      <c r="AE214" s="25">
        <f t="shared" si="33"/>
        <v>132.4020310633214</v>
      </c>
      <c r="AF214" s="25">
        <f t="shared" si="34"/>
        <v>210.72032828282829</v>
      </c>
      <c r="AG214" s="25">
        <f t="shared" si="35"/>
        <v>86.626693766937677</v>
      </c>
      <c r="AH214" s="25">
        <f t="shared" si="36"/>
        <v>177.5385101010101</v>
      </c>
      <c r="AI214" s="25">
        <f t="shared" si="37"/>
        <v>546.70310633213865</v>
      </c>
    </row>
    <row r="215" spans="1:35" ht="15.75" customHeight="1">
      <c r="A215" s="12" t="s">
        <v>239</v>
      </c>
      <c r="B215" s="12" t="s">
        <v>240</v>
      </c>
      <c r="C215" s="12" t="s">
        <v>160</v>
      </c>
      <c r="D215" s="12" t="s">
        <v>50</v>
      </c>
      <c r="E215" s="12" t="s">
        <v>27</v>
      </c>
      <c r="F215" s="13">
        <v>250</v>
      </c>
      <c r="G215" s="14">
        <v>8271.9599999999991</v>
      </c>
      <c r="H215" s="24" t="str">
        <f t="shared" si="30"/>
        <v>RJSP</v>
      </c>
      <c r="I215" s="24" t="str">
        <f t="shared" si="29"/>
        <v>RJMG</v>
      </c>
      <c r="J215" s="24" t="str">
        <f t="shared" si="29"/>
        <v>RJES</v>
      </c>
      <c r="K215" s="24" t="str">
        <f t="shared" si="29"/>
        <v>RJSC</v>
      </c>
      <c r="L215" s="24" t="str">
        <f t="shared" si="29"/>
        <v>RJRJ</v>
      </c>
      <c r="M215" s="24" t="str">
        <f t="shared" si="29"/>
        <v>RJPR</v>
      </c>
      <c r="N215" s="24" t="str">
        <f t="shared" si="29"/>
        <v>RJAM</v>
      </c>
      <c r="O215" s="24">
        <f>VLOOKUP(H215, KM!$A:$E, 5, 0)</f>
        <v>429</v>
      </c>
      <c r="P215" s="24">
        <f>VLOOKUP(I215, KM!$A:$E, 5, 0)</f>
        <v>434</v>
      </c>
      <c r="Q215" s="24">
        <f>VLOOKUP(J215, KM!$A:$E, 5, 0)</f>
        <v>521</v>
      </c>
      <c r="R215" s="24">
        <f>VLOOKUP(K215, KM!$A:$E, 5, 0)</f>
        <v>1144</v>
      </c>
      <c r="S215" s="24">
        <f>VLOOKUP(L215, KM!$A:$E, 5, 0)</f>
        <v>0</v>
      </c>
      <c r="T215" s="24">
        <f>VLOOKUP(M215, KM!$A:$E, 5, 0)</f>
        <v>852</v>
      </c>
      <c r="U215" s="24">
        <f>VLOOKUP(N215, KM!$A:$E, 5, 0)</f>
        <v>4374</v>
      </c>
      <c r="V215" s="24">
        <f>VLOOKUP(H215, IMPOSTO!$A:$D, 4, 0)</f>
        <v>0.12</v>
      </c>
      <c r="W215" s="24">
        <f>VLOOKUP(I215, IMPOSTO!$A:$D, 4, 0)</f>
        <v>0.12</v>
      </c>
      <c r="X215" s="24">
        <f>VLOOKUP(J215, IMPOSTO!$A:$D, 4, 0)</f>
        <v>7.0000000000000007E-2</v>
      </c>
      <c r="Y215" s="24">
        <f>VLOOKUP(K215, IMPOSTO!$A:$D, 4, 0)</f>
        <v>0.12</v>
      </c>
      <c r="Z215" s="24">
        <f>VLOOKUP(L215, IMPOSTO!$A:$D, 4, 0)</f>
        <v>0.18</v>
      </c>
      <c r="AA215" s="24">
        <f>VLOOKUP(M215, IMPOSTO!$A:$D, 4, 0)</f>
        <v>0.12</v>
      </c>
      <c r="AB215" s="24">
        <f>VLOOKUP(N215, IMPOSTO!$A:$D, 4, 0)</f>
        <v>7.0000000000000007E-2</v>
      </c>
      <c r="AC215" s="25">
        <f t="shared" si="31"/>
        <v>9448.7045454545441</v>
      </c>
      <c r="AD215" s="25">
        <f t="shared" si="32"/>
        <v>9449.2727272727261</v>
      </c>
      <c r="AE215" s="25">
        <f t="shared" si="33"/>
        <v>8950.6021505376339</v>
      </c>
      <c r="AF215" s="25">
        <f t="shared" si="34"/>
        <v>9529.9545454545441</v>
      </c>
      <c r="AG215" s="25">
        <f t="shared" si="35"/>
        <v>10087.756097560974</v>
      </c>
      <c r="AH215" s="25">
        <f t="shared" si="36"/>
        <v>9496.7727272727279</v>
      </c>
      <c r="AI215" s="25">
        <f t="shared" si="37"/>
        <v>9364.9032258064508</v>
      </c>
    </row>
    <row r="216" spans="1:35" ht="15.75" customHeight="1">
      <c r="A216" s="12" t="s">
        <v>239</v>
      </c>
      <c r="B216" s="12" t="s">
        <v>240</v>
      </c>
      <c r="C216" s="12" t="s">
        <v>160</v>
      </c>
      <c r="D216" s="12" t="s">
        <v>50</v>
      </c>
      <c r="E216" s="12" t="s">
        <v>27</v>
      </c>
      <c r="F216" s="13">
        <v>750</v>
      </c>
      <c r="G216" s="14">
        <v>24816</v>
      </c>
      <c r="H216" s="24" t="str">
        <f t="shared" si="30"/>
        <v>RJSP</v>
      </c>
      <c r="I216" s="24" t="str">
        <f t="shared" si="29"/>
        <v>RJMG</v>
      </c>
      <c r="J216" s="24" t="str">
        <f t="shared" si="29"/>
        <v>RJES</v>
      </c>
      <c r="K216" s="24" t="str">
        <f t="shared" si="29"/>
        <v>RJSC</v>
      </c>
      <c r="L216" s="24" t="str">
        <f t="shared" si="29"/>
        <v>RJRJ</v>
      </c>
      <c r="M216" s="24" t="str">
        <f t="shared" si="29"/>
        <v>RJPR</v>
      </c>
      <c r="N216" s="24" t="str">
        <f t="shared" si="29"/>
        <v>RJAM</v>
      </c>
      <c r="O216" s="24">
        <f>VLOOKUP(H216, KM!$A:$E, 5, 0)</f>
        <v>429</v>
      </c>
      <c r="P216" s="24">
        <f>VLOOKUP(I216, KM!$A:$E, 5, 0)</f>
        <v>434</v>
      </c>
      <c r="Q216" s="24">
        <f>VLOOKUP(J216, KM!$A:$E, 5, 0)</f>
        <v>521</v>
      </c>
      <c r="R216" s="24">
        <f>VLOOKUP(K216, KM!$A:$E, 5, 0)</f>
        <v>1144</v>
      </c>
      <c r="S216" s="24">
        <f>VLOOKUP(L216, KM!$A:$E, 5, 0)</f>
        <v>0</v>
      </c>
      <c r="T216" s="24">
        <f>VLOOKUP(M216, KM!$A:$E, 5, 0)</f>
        <v>852</v>
      </c>
      <c r="U216" s="24">
        <f>VLOOKUP(N216, KM!$A:$E, 5, 0)</f>
        <v>4374</v>
      </c>
      <c r="V216" s="24">
        <f>VLOOKUP(H216, IMPOSTO!$A:$D, 4, 0)</f>
        <v>0.12</v>
      </c>
      <c r="W216" s="24">
        <f>VLOOKUP(I216, IMPOSTO!$A:$D, 4, 0)</f>
        <v>0.12</v>
      </c>
      <c r="X216" s="24">
        <f>VLOOKUP(J216, IMPOSTO!$A:$D, 4, 0)</f>
        <v>7.0000000000000007E-2</v>
      </c>
      <c r="Y216" s="24">
        <f>VLOOKUP(K216, IMPOSTO!$A:$D, 4, 0)</f>
        <v>0.12</v>
      </c>
      <c r="Z216" s="24">
        <f>VLOOKUP(L216, IMPOSTO!$A:$D, 4, 0)</f>
        <v>0.18</v>
      </c>
      <c r="AA216" s="24">
        <f>VLOOKUP(M216, IMPOSTO!$A:$D, 4, 0)</f>
        <v>0.12</v>
      </c>
      <c r="AB216" s="24">
        <f>VLOOKUP(N216, IMPOSTO!$A:$D, 4, 0)</f>
        <v>7.0000000000000007E-2</v>
      </c>
      <c r="AC216" s="25">
        <f t="shared" si="31"/>
        <v>28248.75</v>
      </c>
      <c r="AD216" s="25">
        <f t="shared" si="32"/>
        <v>28249.318181818184</v>
      </c>
      <c r="AE216" s="25">
        <f t="shared" si="33"/>
        <v>26739.892473118281</v>
      </c>
      <c r="AF216" s="25">
        <f t="shared" si="34"/>
        <v>28330</v>
      </c>
      <c r="AG216" s="25">
        <f t="shared" si="35"/>
        <v>30263.414634146338</v>
      </c>
      <c r="AH216" s="25">
        <f t="shared" si="36"/>
        <v>28296.818181818184</v>
      </c>
      <c r="AI216" s="25">
        <f t="shared" si="37"/>
        <v>27154.193548387098</v>
      </c>
    </row>
    <row r="217" spans="1:35" ht="15.75" customHeight="1">
      <c r="A217" s="12" t="s">
        <v>241</v>
      </c>
      <c r="B217" s="12" t="s">
        <v>242</v>
      </c>
      <c r="C217" s="12" t="s">
        <v>119</v>
      </c>
      <c r="D217" s="12" t="s">
        <v>50</v>
      </c>
      <c r="E217" s="12" t="s">
        <v>27</v>
      </c>
      <c r="F217" s="13">
        <v>28800</v>
      </c>
      <c r="G217" s="14">
        <v>31950.720000000001</v>
      </c>
      <c r="H217" s="24" t="str">
        <f t="shared" si="30"/>
        <v>RJSP</v>
      </c>
      <c r="I217" s="24" t="str">
        <f t="shared" si="29"/>
        <v>RJMG</v>
      </c>
      <c r="J217" s="24" t="str">
        <f t="shared" si="29"/>
        <v>RJES</v>
      </c>
      <c r="K217" s="24" t="str">
        <f t="shared" si="29"/>
        <v>RJSC</v>
      </c>
      <c r="L217" s="24" t="str">
        <f t="shared" si="29"/>
        <v>RJRJ</v>
      </c>
      <c r="M217" s="24" t="str">
        <f t="shared" si="29"/>
        <v>RJPR</v>
      </c>
      <c r="N217" s="24" t="str">
        <f t="shared" si="29"/>
        <v>RJAM</v>
      </c>
      <c r="O217" s="24">
        <f>VLOOKUP(H217, KM!$A:$E, 5, 0)</f>
        <v>429</v>
      </c>
      <c r="P217" s="24">
        <f>VLOOKUP(I217, KM!$A:$E, 5, 0)</f>
        <v>434</v>
      </c>
      <c r="Q217" s="24">
        <f>VLOOKUP(J217, KM!$A:$E, 5, 0)</f>
        <v>521</v>
      </c>
      <c r="R217" s="24">
        <f>VLOOKUP(K217, KM!$A:$E, 5, 0)</f>
        <v>1144</v>
      </c>
      <c r="S217" s="24">
        <f>VLOOKUP(L217, KM!$A:$E, 5, 0)</f>
        <v>0</v>
      </c>
      <c r="T217" s="24">
        <f>VLOOKUP(M217, KM!$A:$E, 5, 0)</f>
        <v>852</v>
      </c>
      <c r="U217" s="24">
        <f>VLOOKUP(N217, KM!$A:$E, 5, 0)</f>
        <v>4374</v>
      </c>
      <c r="V217" s="24">
        <f>VLOOKUP(H217, IMPOSTO!$A:$D, 4, 0)</f>
        <v>0.12</v>
      </c>
      <c r="W217" s="24">
        <f>VLOOKUP(I217, IMPOSTO!$A:$D, 4, 0)</f>
        <v>0.12</v>
      </c>
      <c r="X217" s="24">
        <f>VLOOKUP(J217, IMPOSTO!$A:$D, 4, 0)</f>
        <v>7.0000000000000007E-2</v>
      </c>
      <c r="Y217" s="24">
        <f>VLOOKUP(K217, IMPOSTO!$A:$D, 4, 0)</f>
        <v>0.12</v>
      </c>
      <c r="Z217" s="24">
        <f>VLOOKUP(L217, IMPOSTO!$A:$D, 4, 0)</f>
        <v>0.18</v>
      </c>
      <c r="AA217" s="24">
        <f>VLOOKUP(M217, IMPOSTO!$A:$D, 4, 0)</f>
        <v>0.12</v>
      </c>
      <c r="AB217" s="24">
        <f>VLOOKUP(N217, IMPOSTO!$A:$D, 4, 0)</f>
        <v>7.0000000000000007E-2</v>
      </c>
      <c r="AC217" s="25">
        <f t="shared" si="31"/>
        <v>36356.386363636368</v>
      </c>
      <c r="AD217" s="25">
        <f t="shared" si="32"/>
        <v>36356.954545454551</v>
      </c>
      <c r="AE217" s="25">
        <f t="shared" si="33"/>
        <v>34411.634408602149</v>
      </c>
      <c r="AF217" s="25">
        <f t="shared" si="34"/>
        <v>36437.636363636368</v>
      </c>
      <c r="AG217" s="25">
        <f t="shared" si="35"/>
        <v>38964.292682926825</v>
      </c>
      <c r="AH217" s="25">
        <f t="shared" si="36"/>
        <v>36404.454545454544</v>
      </c>
      <c r="AI217" s="25">
        <f t="shared" si="37"/>
        <v>34825.93548387097</v>
      </c>
    </row>
    <row r="218" spans="1:35" ht="15.75" customHeight="1">
      <c r="A218" s="12" t="s">
        <v>241</v>
      </c>
      <c r="B218" s="12" t="s">
        <v>242</v>
      </c>
      <c r="C218" s="12" t="s">
        <v>119</v>
      </c>
      <c r="D218" s="12" t="s">
        <v>50</v>
      </c>
      <c r="E218" s="12" t="s">
        <v>27</v>
      </c>
      <c r="F218" s="13">
        <v>100</v>
      </c>
      <c r="G218" s="14">
        <v>200.97</v>
      </c>
      <c r="H218" s="24" t="str">
        <f t="shared" si="30"/>
        <v>RJSP</v>
      </c>
      <c r="I218" s="24" t="str">
        <f t="shared" si="29"/>
        <v>RJMG</v>
      </c>
      <c r="J218" s="24" t="str">
        <f t="shared" si="29"/>
        <v>RJES</v>
      </c>
      <c r="K218" s="24" t="str">
        <f t="shared" si="29"/>
        <v>RJSC</v>
      </c>
      <c r="L218" s="24" t="str">
        <f t="shared" si="29"/>
        <v>RJRJ</v>
      </c>
      <c r="M218" s="24" t="str">
        <f t="shared" si="29"/>
        <v>RJPR</v>
      </c>
      <c r="N218" s="24" t="str">
        <f t="shared" si="29"/>
        <v>RJAM</v>
      </c>
      <c r="O218" s="24">
        <f>VLOOKUP(H218, KM!$A:$E, 5, 0)</f>
        <v>429</v>
      </c>
      <c r="P218" s="24">
        <f>VLOOKUP(I218, KM!$A:$E, 5, 0)</f>
        <v>434</v>
      </c>
      <c r="Q218" s="24">
        <f>VLOOKUP(J218, KM!$A:$E, 5, 0)</f>
        <v>521</v>
      </c>
      <c r="R218" s="24">
        <f>VLOOKUP(K218, KM!$A:$E, 5, 0)</f>
        <v>1144</v>
      </c>
      <c r="S218" s="24">
        <f>VLOOKUP(L218, KM!$A:$E, 5, 0)</f>
        <v>0</v>
      </c>
      <c r="T218" s="24">
        <f>VLOOKUP(M218, KM!$A:$E, 5, 0)</f>
        <v>852</v>
      </c>
      <c r="U218" s="24">
        <f>VLOOKUP(N218, KM!$A:$E, 5, 0)</f>
        <v>4374</v>
      </c>
      <c r="V218" s="24">
        <f>VLOOKUP(H218, IMPOSTO!$A:$D, 4, 0)</f>
        <v>0.12</v>
      </c>
      <c r="W218" s="24">
        <f>VLOOKUP(I218, IMPOSTO!$A:$D, 4, 0)</f>
        <v>0.12</v>
      </c>
      <c r="X218" s="24">
        <f>VLOOKUP(J218, IMPOSTO!$A:$D, 4, 0)</f>
        <v>7.0000000000000007E-2</v>
      </c>
      <c r="Y218" s="24">
        <f>VLOOKUP(K218, IMPOSTO!$A:$D, 4, 0)</f>
        <v>0.12</v>
      </c>
      <c r="Z218" s="24">
        <f>VLOOKUP(L218, IMPOSTO!$A:$D, 4, 0)</f>
        <v>0.18</v>
      </c>
      <c r="AA218" s="24">
        <f>VLOOKUP(M218, IMPOSTO!$A:$D, 4, 0)</f>
        <v>0.12</v>
      </c>
      <c r="AB218" s="24">
        <f>VLOOKUP(N218, IMPOSTO!$A:$D, 4, 0)</f>
        <v>7.0000000000000007E-2</v>
      </c>
      <c r="AC218" s="25">
        <f t="shared" si="31"/>
        <v>277.125</v>
      </c>
      <c r="AD218" s="25">
        <f t="shared" si="32"/>
        <v>277.69318181818181</v>
      </c>
      <c r="AE218" s="25">
        <f t="shared" si="33"/>
        <v>272.11827956989248</v>
      </c>
      <c r="AF218" s="25">
        <f t="shared" si="34"/>
        <v>358.375</v>
      </c>
      <c r="AG218" s="25">
        <f t="shared" si="35"/>
        <v>245.08536585365852</v>
      </c>
      <c r="AH218" s="25">
        <f t="shared" si="36"/>
        <v>325.19318181818181</v>
      </c>
      <c r="AI218" s="25">
        <f t="shared" si="37"/>
        <v>686.41935483870975</v>
      </c>
    </row>
    <row r="219" spans="1:35" ht="15.75" customHeight="1">
      <c r="A219" s="12" t="s">
        <v>243</v>
      </c>
      <c r="B219" s="12" t="s">
        <v>244</v>
      </c>
      <c r="C219" s="12" t="s">
        <v>166</v>
      </c>
      <c r="D219" s="12" t="s">
        <v>50</v>
      </c>
      <c r="E219" s="12" t="s">
        <v>27</v>
      </c>
      <c r="F219" s="13">
        <v>173.25408469489827</v>
      </c>
      <c r="G219" s="14">
        <v>124603.78921973991</v>
      </c>
      <c r="H219" s="24" t="str">
        <f t="shared" si="30"/>
        <v>RJSP</v>
      </c>
      <c r="I219" s="24" t="str">
        <f t="shared" si="29"/>
        <v>RJMG</v>
      </c>
      <c r="J219" s="24" t="str">
        <f t="shared" si="29"/>
        <v>RJES</v>
      </c>
      <c r="K219" s="24" t="str">
        <f t="shared" si="29"/>
        <v>RJSC</v>
      </c>
      <c r="L219" s="24" t="str">
        <f t="shared" si="29"/>
        <v>RJRJ</v>
      </c>
      <c r="M219" s="24" t="str">
        <f t="shared" si="29"/>
        <v>RJPR</v>
      </c>
      <c r="N219" s="24" t="str">
        <f t="shared" si="29"/>
        <v>RJAM</v>
      </c>
      <c r="O219" s="24">
        <f>VLOOKUP(H219, KM!$A:$E, 5, 0)</f>
        <v>429</v>
      </c>
      <c r="P219" s="24">
        <f>VLOOKUP(I219, KM!$A:$E, 5, 0)</f>
        <v>434</v>
      </c>
      <c r="Q219" s="24">
        <f>VLOOKUP(J219, KM!$A:$E, 5, 0)</f>
        <v>521</v>
      </c>
      <c r="R219" s="24">
        <f>VLOOKUP(K219, KM!$A:$E, 5, 0)</f>
        <v>1144</v>
      </c>
      <c r="S219" s="24">
        <f>VLOOKUP(L219, KM!$A:$E, 5, 0)</f>
        <v>0</v>
      </c>
      <c r="T219" s="24">
        <f>VLOOKUP(M219, KM!$A:$E, 5, 0)</f>
        <v>852</v>
      </c>
      <c r="U219" s="24">
        <f>VLOOKUP(N219, KM!$A:$E, 5, 0)</f>
        <v>4374</v>
      </c>
      <c r="V219" s="24">
        <f>VLOOKUP(H219, IMPOSTO!$A:$D, 4, 0)</f>
        <v>0.12</v>
      </c>
      <c r="W219" s="24">
        <f>VLOOKUP(I219, IMPOSTO!$A:$D, 4, 0)</f>
        <v>0.12</v>
      </c>
      <c r="X219" s="24">
        <f>VLOOKUP(J219, IMPOSTO!$A:$D, 4, 0)</f>
        <v>7.0000000000000007E-2</v>
      </c>
      <c r="Y219" s="24">
        <f>VLOOKUP(K219, IMPOSTO!$A:$D, 4, 0)</f>
        <v>0.12</v>
      </c>
      <c r="Z219" s="24">
        <f>VLOOKUP(L219, IMPOSTO!$A:$D, 4, 0)</f>
        <v>0.18</v>
      </c>
      <c r="AA219" s="24">
        <f>VLOOKUP(M219, IMPOSTO!$A:$D, 4, 0)</f>
        <v>0.12</v>
      </c>
      <c r="AB219" s="24">
        <f>VLOOKUP(N219, IMPOSTO!$A:$D, 4, 0)</f>
        <v>7.0000000000000007E-2</v>
      </c>
      <c r="AC219" s="25">
        <f t="shared" si="31"/>
        <v>141643.96502243172</v>
      </c>
      <c r="AD219" s="25">
        <f t="shared" si="32"/>
        <v>141644.53320424989</v>
      </c>
      <c r="AE219" s="25">
        <f t="shared" si="33"/>
        <v>134038.59055886013</v>
      </c>
      <c r="AF219" s="25">
        <f t="shared" si="34"/>
        <v>141725.21502243172</v>
      </c>
      <c r="AG219" s="25">
        <f t="shared" si="35"/>
        <v>151955.84051187793</v>
      </c>
      <c r="AH219" s="25">
        <f t="shared" si="36"/>
        <v>141692.03320424989</v>
      </c>
      <c r="AI219" s="25">
        <f t="shared" si="37"/>
        <v>134452.89163412893</v>
      </c>
    </row>
    <row r="220" spans="1:35" ht="15.75" customHeight="1">
      <c r="A220" s="12" t="s">
        <v>245</v>
      </c>
      <c r="B220" s="12" t="s">
        <v>246</v>
      </c>
      <c r="C220" s="12" t="s">
        <v>60</v>
      </c>
      <c r="D220" s="12" t="s">
        <v>50</v>
      </c>
      <c r="E220" s="12" t="s">
        <v>27</v>
      </c>
      <c r="F220" s="13">
        <v>1.9112</v>
      </c>
      <c r="G220" s="14">
        <v>38.969368000000003</v>
      </c>
      <c r="H220" s="24" t="str">
        <f t="shared" si="30"/>
        <v>RJSP</v>
      </c>
      <c r="I220" s="24" t="str">
        <f t="shared" si="29"/>
        <v>RJMG</v>
      </c>
      <c r="J220" s="24" t="str">
        <f t="shared" si="29"/>
        <v>RJES</v>
      </c>
      <c r="K220" s="24" t="str">
        <f t="shared" si="29"/>
        <v>RJSC</v>
      </c>
      <c r="L220" s="24" t="str">
        <f t="shared" si="29"/>
        <v>RJRJ</v>
      </c>
      <c r="M220" s="24" t="str">
        <f t="shared" si="29"/>
        <v>RJPR</v>
      </c>
      <c r="N220" s="24" t="str">
        <f t="shared" si="29"/>
        <v>RJAM</v>
      </c>
      <c r="O220" s="24">
        <f>VLOOKUP(H220, KM!$A:$E, 5, 0)</f>
        <v>429</v>
      </c>
      <c r="P220" s="24">
        <f>VLOOKUP(I220, KM!$A:$E, 5, 0)</f>
        <v>434</v>
      </c>
      <c r="Q220" s="24">
        <f>VLOOKUP(J220, KM!$A:$E, 5, 0)</f>
        <v>521</v>
      </c>
      <c r="R220" s="24">
        <f>VLOOKUP(K220, KM!$A:$E, 5, 0)</f>
        <v>1144</v>
      </c>
      <c r="S220" s="24">
        <f>VLOOKUP(L220, KM!$A:$E, 5, 0)</f>
        <v>0</v>
      </c>
      <c r="T220" s="24">
        <f>VLOOKUP(M220, KM!$A:$E, 5, 0)</f>
        <v>852</v>
      </c>
      <c r="U220" s="24">
        <f>VLOOKUP(N220, KM!$A:$E, 5, 0)</f>
        <v>4374</v>
      </c>
      <c r="V220" s="24">
        <f>VLOOKUP(H220, IMPOSTO!$A:$D, 4, 0)</f>
        <v>0.12</v>
      </c>
      <c r="W220" s="24">
        <f>VLOOKUP(I220, IMPOSTO!$A:$D, 4, 0)</f>
        <v>0.12</v>
      </c>
      <c r="X220" s="24">
        <f>VLOOKUP(J220, IMPOSTO!$A:$D, 4, 0)</f>
        <v>7.0000000000000007E-2</v>
      </c>
      <c r="Y220" s="24">
        <f>VLOOKUP(K220, IMPOSTO!$A:$D, 4, 0)</f>
        <v>0.12</v>
      </c>
      <c r="Z220" s="24">
        <f>VLOOKUP(L220, IMPOSTO!$A:$D, 4, 0)</f>
        <v>0.18</v>
      </c>
      <c r="AA220" s="24">
        <f>VLOOKUP(M220, IMPOSTO!$A:$D, 4, 0)</f>
        <v>0.12</v>
      </c>
      <c r="AB220" s="24">
        <f>VLOOKUP(N220, IMPOSTO!$A:$D, 4, 0)</f>
        <v>7.0000000000000007E-2</v>
      </c>
      <c r="AC220" s="25">
        <f t="shared" si="31"/>
        <v>93.033372727272734</v>
      </c>
      <c r="AD220" s="25">
        <f t="shared" si="32"/>
        <v>93.601554545454562</v>
      </c>
      <c r="AE220" s="25">
        <f t="shared" si="33"/>
        <v>97.924051612903227</v>
      </c>
      <c r="AF220" s="25">
        <f t="shared" si="34"/>
        <v>174.28337272727273</v>
      </c>
      <c r="AG220" s="25">
        <f t="shared" si="35"/>
        <v>47.523619512195118</v>
      </c>
      <c r="AH220" s="25">
        <f t="shared" si="36"/>
        <v>141.10155454545455</v>
      </c>
      <c r="AI220" s="25">
        <f t="shared" si="37"/>
        <v>512.22512688172048</v>
      </c>
    </row>
    <row r="221" spans="1:35" ht="15.75" customHeight="1">
      <c r="A221" s="12" t="s">
        <v>247</v>
      </c>
      <c r="B221" s="12" t="s">
        <v>248</v>
      </c>
      <c r="C221" s="12" t="s">
        <v>192</v>
      </c>
      <c r="D221" s="12" t="s">
        <v>50</v>
      </c>
      <c r="E221" s="12" t="s">
        <v>27</v>
      </c>
      <c r="F221" s="13">
        <v>5</v>
      </c>
      <c r="G221" s="14">
        <v>116.81</v>
      </c>
      <c r="H221" s="24" t="str">
        <f t="shared" si="30"/>
        <v>RJSP</v>
      </c>
      <c r="I221" s="24" t="str">
        <f t="shared" si="29"/>
        <v>RJMG</v>
      </c>
      <c r="J221" s="24" t="str">
        <f t="shared" si="29"/>
        <v>RJES</v>
      </c>
      <c r="K221" s="24" t="str">
        <f t="shared" si="29"/>
        <v>RJSC</v>
      </c>
      <c r="L221" s="24" t="str">
        <f t="shared" si="29"/>
        <v>RJRJ</v>
      </c>
      <c r="M221" s="24" t="str">
        <f t="shared" si="29"/>
        <v>RJPR</v>
      </c>
      <c r="N221" s="24" t="str">
        <f t="shared" si="29"/>
        <v>RJAM</v>
      </c>
      <c r="O221" s="24">
        <f>VLOOKUP(H221, KM!$A:$E, 5, 0)</f>
        <v>429</v>
      </c>
      <c r="P221" s="24">
        <f>VLOOKUP(I221, KM!$A:$E, 5, 0)</f>
        <v>434</v>
      </c>
      <c r="Q221" s="24">
        <f>VLOOKUP(J221, KM!$A:$E, 5, 0)</f>
        <v>521</v>
      </c>
      <c r="R221" s="24">
        <f>VLOOKUP(K221, KM!$A:$E, 5, 0)</f>
        <v>1144</v>
      </c>
      <c r="S221" s="24">
        <f>VLOOKUP(L221, KM!$A:$E, 5, 0)</f>
        <v>0</v>
      </c>
      <c r="T221" s="24">
        <f>VLOOKUP(M221, KM!$A:$E, 5, 0)</f>
        <v>852</v>
      </c>
      <c r="U221" s="24">
        <f>VLOOKUP(N221, KM!$A:$E, 5, 0)</f>
        <v>4374</v>
      </c>
      <c r="V221" s="24">
        <f>VLOOKUP(H221, IMPOSTO!$A:$D, 4, 0)</f>
        <v>0.12</v>
      </c>
      <c r="W221" s="24">
        <f>VLOOKUP(I221, IMPOSTO!$A:$D, 4, 0)</f>
        <v>0.12</v>
      </c>
      <c r="X221" s="24">
        <f>VLOOKUP(J221, IMPOSTO!$A:$D, 4, 0)</f>
        <v>7.0000000000000007E-2</v>
      </c>
      <c r="Y221" s="24">
        <f>VLOOKUP(K221, IMPOSTO!$A:$D, 4, 0)</f>
        <v>0.12</v>
      </c>
      <c r="Z221" s="24">
        <f>VLOOKUP(L221, IMPOSTO!$A:$D, 4, 0)</f>
        <v>0.18</v>
      </c>
      <c r="AA221" s="24">
        <f>VLOOKUP(M221, IMPOSTO!$A:$D, 4, 0)</f>
        <v>0.12</v>
      </c>
      <c r="AB221" s="24">
        <f>VLOOKUP(N221, IMPOSTO!$A:$D, 4, 0)</f>
        <v>7.0000000000000007E-2</v>
      </c>
      <c r="AC221" s="25">
        <f t="shared" si="31"/>
        <v>181.48863636363637</v>
      </c>
      <c r="AD221" s="25">
        <f t="shared" si="32"/>
        <v>182.05681818181819</v>
      </c>
      <c r="AE221" s="25">
        <f t="shared" si="33"/>
        <v>181.6236559139785</v>
      </c>
      <c r="AF221" s="25">
        <f t="shared" si="34"/>
        <v>262.73863636363637</v>
      </c>
      <c r="AG221" s="25">
        <f t="shared" si="35"/>
        <v>142.45121951219511</v>
      </c>
      <c r="AH221" s="25">
        <f t="shared" si="36"/>
        <v>229.55681818181816</v>
      </c>
      <c r="AI221" s="25">
        <f t="shared" si="37"/>
        <v>595.92473118279577</v>
      </c>
    </row>
    <row r="222" spans="1:35" ht="15.75" customHeight="1">
      <c r="A222" s="12" t="s">
        <v>249</v>
      </c>
      <c r="B222" s="12" t="s">
        <v>250</v>
      </c>
      <c r="C222" s="12" t="s">
        <v>135</v>
      </c>
      <c r="D222" s="12" t="s">
        <v>33</v>
      </c>
      <c r="E222" s="12" t="s">
        <v>27</v>
      </c>
      <c r="F222" s="13">
        <v>10.252666787592963</v>
      </c>
      <c r="G222" s="14">
        <v>40.296535403788027</v>
      </c>
      <c r="H222" s="24" t="str">
        <f t="shared" si="30"/>
        <v>RJSP</v>
      </c>
      <c r="I222" s="24" t="str">
        <f t="shared" si="29"/>
        <v>RJMG</v>
      </c>
      <c r="J222" s="24" t="str">
        <f t="shared" si="29"/>
        <v>RJES</v>
      </c>
      <c r="K222" s="24" t="str">
        <f t="shared" si="29"/>
        <v>RJSC</v>
      </c>
      <c r="L222" s="24" t="str">
        <f t="shared" si="29"/>
        <v>RJRJ</v>
      </c>
      <c r="M222" s="24" t="str">
        <f t="shared" si="29"/>
        <v>RJPR</v>
      </c>
      <c r="N222" s="24" t="str">
        <f t="shared" si="29"/>
        <v>RJAM</v>
      </c>
      <c r="O222" s="24">
        <f>VLOOKUP(H222, KM!$A:$E, 5, 0)</f>
        <v>429</v>
      </c>
      <c r="P222" s="24">
        <f>VLOOKUP(I222, KM!$A:$E, 5, 0)</f>
        <v>434</v>
      </c>
      <c r="Q222" s="24">
        <f>VLOOKUP(J222, KM!$A:$E, 5, 0)</f>
        <v>521</v>
      </c>
      <c r="R222" s="24">
        <f>VLOOKUP(K222, KM!$A:$E, 5, 0)</f>
        <v>1144</v>
      </c>
      <c r="S222" s="24">
        <f>VLOOKUP(L222, KM!$A:$E, 5, 0)</f>
        <v>0</v>
      </c>
      <c r="T222" s="24">
        <f>VLOOKUP(M222, KM!$A:$E, 5, 0)</f>
        <v>852</v>
      </c>
      <c r="U222" s="24">
        <f>VLOOKUP(N222, KM!$A:$E, 5, 0)</f>
        <v>4374</v>
      </c>
      <c r="V222" s="24">
        <f>VLOOKUP(H222, IMPOSTO!$A:$D, 4, 0)</f>
        <v>0.12</v>
      </c>
      <c r="W222" s="24">
        <f>VLOOKUP(I222, IMPOSTO!$A:$D, 4, 0)</f>
        <v>0.12</v>
      </c>
      <c r="X222" s="24">
        <f>VLOOKUP(J222, IMPOSTO!$A:$D, 4, 0)</f>
        <v>7.0000000000000007E-2</v>
      </c>
      <c r="Y222" s="24">
        <f>VLOOKUP(K222, IMPOSTO!$A:$D, 4, 0)</f>
        <v>0.12</v>
      </c>
      <c r="Z222" s="24">
        <f>VLOOKUP(L222, IMPOSTO!$A:$D, 4, 0)</f>
        <v>0.18</v>
      </c>
      <c r="AA222" s="24">
        <f>VLOOKUP(M222, IMPOSTO!$A:$D, 4, 0)</f>
        <v>0.12</v>
      </c>
      <c r="AB222" s="24">
        <f>VLOOKUP(N222, IMPOSTO!$A:$D, 4, 0)</f>
        <v>7.0000000000000007E-2</v>
      </c>
      <c r="AC222" s="25">
        <f t="shared" si="31"/>
        <v>94.541517504304579</v>
      </c>
      <c r="AD222" s="25">
        <f t="shared" si="32"/>
        <v>95.109699322486406</v>
      </c>
      <c r="AE222" s="25">
        <f t="shared" si="33"/>
        <v>99.351113337406488</v>
      </c>
      <c r="AF222" s="25">
        <f t="shared" si="34"/>
        <v>175.79151750430458</v>
      </c>
      <c r="AG222" s="25">
        <f t="shared" si="35"/>
        <v>49.142116346082958</v>
      </c>
      <c r="AH222" s="25">
        <f t="shared" si="36"/>
        <v>142.60969932248639</v>
      </c>
      <c r="AI222" s="25">
        <f t="shared" si="37"/>
        <v>513.65218860622372</v>
      </c>
    </row>
    <row r="223" spans="1:35" ht="15.75" customHeight="1">
      <c r="A223" s="12" t="s">
        <v>251</v>
      </c>
      <c r="B223" s="12" t="s">
        <v>252</v>
      </c>
      <c r="C223" s="12" t="s">
        <v>122</v>
      </c>
      <c r="D223" s="12" t="s">
        <v>33</v>
      </c>
      <c r="E223" s="12" t="s">
        <v>27</v>
      </c>
      <c r="F223" s="13">
        <v>14.289593831115543</v>
      </c>
      <c r="G223" s="14">
        <v>107.06476130072959</v>
      </c>
      <c r="H223" s="24" t="str">
        <f t="shared" si="30"/>
        <v>RJSP</v>
      </c>
      <c r="I223" s="24" t="str">
        <f t="shared" si="29"/>
        <v>RJMG</v>
      </c>
      <c r="J223" s="24" t="str">
        <f t="shared" si="29"/>
        <v>RJES</v>
      </c>
      <c r="K223" s="24" t="str">
        <f t="shared" si="29"/>
        <v>RJSC</v>
      </c>
      <c r="L223" s="24" t="str">
        <f t="shared" si="29"/>
        <v>RJRJ</v>
      </c>
      <c r="M223" s="24" t="str">
        <f t="shared" si="29"/>
        <v>RJPR</v>
      </c>
      <c r="N223" s="24" t="str">
        <f t="shared" si="29"/>
        <v>RJAM</v>
      </c>
      <c r="O223" s="24">
        <f>VLOOKUP(H223, KM!$A:$E, 5, 0)</f>
        <v>429</v>
      </c>
      <c r="P223" s="24">
        <f>VLOOKUP(I223, KM!$A:$E, 5, 0)</f>
        <v>434</v>
      </c>
      <c r="Q223" s="24">
        <f>VLOOKUP(J223, KM!$A:$E, 5, 0)</f>
        <v>521</v>
      </c>
      <c r="R223" s="24">
        <f>VLOOKUP(K223, KM!$A:$E, 5, 0)</f>
        <v>1144</v>
      </c>
      <c r="S223" s="24">
        <f>VLOOKUP(L223, KM!$A:$E, 5, 0)</f>
        <v>0</v>
      </c>
      <c r="T223" s="24">
        <f>VLOOKUP(M223, KM!$A:$E, 5, 0)</f>
        <v>852</v>
      </c>
      <c r="U223" s="24">
        <f>VLOOKUP(N223, KM!$A:$E, 5, 0)</f>
        <v>4374</v>
      </c>
      <c r="V223" s="24">
        <f>VLOOKUP(H223, IMPOSTO!$A:$D, 4, 0)</f>
        <v>0.12</v>
      </c>
      <c r="W223" s="24">
        <f>VLOOKUP(I223, IMPOSTO!$A:$D, 4, 0)</f>
        <v>0.12</v>
      </c>
      <c r="X223" s="24">
        <f>VLOOKUP(J223, IMPOSTO!$A:$D, 4, 0)</f>
        <v>7.0000000000000007E-2</v>
      </c>
      <c r="Y223" s="24">
        <f>VLOOKUP(K223, IMPOSTO!$A:$D, 4, 0)</f>
        <v>0.12</v>
      </c>
      <c r="Z223" s="24">
        <f>VLOOKUP(L223, IMPOSTO!$A:$D, 4, 0)</f>
        <v>0.18</v>
      </c>
      <c r="AA223" s="24">
        <f>VLOOKUP(M223, IMPOSTO!$A:$D, 4, 0)</f>
        <v>0.12</v>
      </c>
      <c r="AB223" s="24">
        <f>VLOOKUP(N223, IMPOSTO!$A:$D, 4, 0)</f>
        <v>7.0000000000000007E-2</v>
      </c>
      <c r="AC223" s="25">
        <f t="shared" si="31"/>
        <v>170.41450147810181</v>
      </c>
      <c r="AD223" s="25">
        <f t="shared" si="32"/>
        <v>170.98268329628365</v>
      </c>
      <c r="AE223" s="25">
        <f t="shared" si="33"/>
        <v>171.14490462444044</v>
      </c>
      <c r="AF223" s="25">
        <f t="shared" si="34"/>
        <v>251.66450147810181</v>
      </c>
      <c r="AG223" s="25">
        <f t="shared" si="35"/>
        <v>130.56678207406046</v>
      </c>
      <c r="AH223" s="25">
        <f t="shared" si="36"/>
        <v>218.48268329628362</v>
      </c>
      <c r="AI223" s="25">
        <f t="shared" si="37"/>
        <v>585.44597989325769</v>
      </c>
    </row>
    <row r="224" spans="1:35" ht="15.75" customHeight="1">
      <c r="A224" s="12" t="s">
        <v>87</v>
      </c>
      <c r="B224" s="12" t="s">
        <v>88</v>
      </c>
      <c r="C224" s="12" t="s">
        <v>89</v>
      </c>
      <c r="D224" s="12" t="s">
        <v>33</v>
      </c>
      <c r="E224" s="12" t="s">
        <v>27</v>
      </c>
      <c r="F224" s="13">
        <v>5.04E-2</v>
      </c>
      <c r="G224" s="14">
        <v>0.46349799999999997</v>
      </c>
      <c r="H224" s="24" t="str">
        <f t="shared" si="30"/>
        <v>RJSP</v>
      </c>
      <c r="I224" s="24" t="str">
        <f t="shared" si="29"/>
        <v>RJMG</v>
      </c>
      <c r="J224" s="24" t="str">
        <f t="shared" si="29"/>
        <v>RJES</v>
      </c>
      <c r="K224" s="24" t="str">
        <f t="shared" si="29"/>
        <v>RJSC</v>
      </c>
      <c r="L224" s="24" t="str">
        <f t="shared" si="29"/>
        <v>RJRJ</v>
      </c>
      <c r="M224" s="24" t="str">
        <f t="shared" si="29"/>
        <v>RJPR</v>
      </c>
      <c r="N224" s="24" t="str">
        <f t="shared" si="29"/>
        <v>RJAM</v>
      </c>
      <c r="O224" s="24">
        <f>VLOOKUP(H224, KM!$A:$E, 5, 0)</f>
        <v>429</v>
      </c>
      <c r="P224" s="24">
        <f>VLOOKUP(I224, KM!$A:$E, 5, 0)</f>
        <v>434</v>
      </c>
      <c r="Q224" s="24">
        <f>VLOOKUP(J224, KM!$A:$E, 5, 0)</f>
        <v>521</v>
      </c>
      <c r="R224" s="24">
        <f>VLOOKUP(K224, KM!$A:$E, 5, 0)</f>
        <v>1144</v>
      </c>
      <c r="S224" s="24">
        <f>VLOOKUP(L224, KM!$A:$E, 5, 0)</f>
        <v>0</v>
      </c>
      <c r="T224" s="24">
        <f>VLOOKUP(M224, KM!$A:$E, 5, 0)</f>
        <v>852</v>
      </c>
      <c r="U224" s="24">
        <f>VLOOKUP(N224, KM!$A:$E, 5, 0)</f>
        <v>4374</v>
      </c>
      <c r="V224" s="24">
        <f>VLOOKUP(H224, IMPOSTO!$A:$D, 4, 0)</f>
        <v>0.12</v>
      </c>
      <c r="W224" s="24">
        <f>VLOOKUP(I224, IMPOSTO!$A:$D, 4, 0)</f>
        <v>0.12</v>
      </c>
      <c r="X224" s="24">
        <f>VLOOKUP(J224, IMPOSTO!$A:$D, 4, 0)</f>
        <v>7.0000000000000007E-2</v>
      </c>
      <c r="Y224" s="24">
        <f>VLOOKUP(K224, IMPOSTO!$A:$D, 4, 0)</f>
        <v>0.12</v>
      </c>
      <c r="Z224" s="24">
        <f>VLOOKUP(L224, IMPOSTO!$A:$D, 4, 0)</f>
        <v>0.18</v>
      </c>
      <c r="AA224" s="24">
        <f>VLOOKUP(M224, IMPOSTO!$A:$D, 4, 0)</f>
        <v>0.12</v>
      </c>
      <c r="AB224" s="24">
        <f>VLOOKUP(N224, IMPOSTO!$A:$D, 4, 0)</f>
        <v>7.0000000000000007E-2</v>
      </c>
      <c r="AC224" s="25">
        <f t="shared" si="31"/>
        <v>49.276702272727277</v>
      </c>
      <c r="AD224" s="25">
        <f t="shared" si="32"/>
        <v>49.844884090909098</v>
      </c>
      <c r="AE224" s="25">
        <f t="shared" si="33"/>
        <v>56.51989032258065</v>
      </c>
      <c r="AF224" s="25">
        <f t="shared" si="34"/>
        <v>130.52670227272728</v>
      </c>
      <c r="AG224" s="25">
        <f t="shared" si="35"/>
        <v>0.5652414634146341</v>
      </c>
      <c r="AH224" s="25">
        <f t="shared" si="36"/>
        <v>97.34488409090909</v>
      </c>
      <c r="AI224" s="25">
        <f t="shared" si="37"/>
        <v>470.82096559139791</v>
      </c>
    </row>
    <row r="225" spans="1:35" ht="15.75" customHeight="1">
      <c r="A225" s="12" t="s">
        <v>253</v>
      </c>
      <c r="B225" s="12" t="s">
        <v>254</v>
      </c>
      <c r="C225" s="12" t="s">
        <v>57</v>
      </c>
      <c r="D225" s="12" t="s">
        <v>33</v>
      </c>
      <c r="E225" s="12" t="s">
        <v>27</v>
      </c>
      <c r="F225" s="13">
        <v>0.88693032015065898</v>
      </c>
      <c r="G225" s="14">
        <v>9.949579197588923</v>
      </c>
      <c r="H225" s="24" t="str">
        <f t="shared" si="30"/>
        <v>RJSP</v>
      </c>
      <c r="I225" s="24" t="str">
        <f t="shared" si="29"/>
        <v>RJMG</v>
      </c>
      <c r="J225" s="24" t="str">
        <f t="shared" si="29"/>
        <v>RJES</v>
      </c>
      <c r="K225" s="24" t="str">
        <f t="shared" si="29"/>
        <v>RJSC</v>
      </c>
      <c r="L225" s="24" t="str">
        <f t="shared" si="29"/>
        <v>RJRJ</v>
      </c>
      <c r="M225" s="24" t="str">
        <f t="shared" si="29"/>
        <v>RJPR</v>
      </c>
      <c r="N225" s="24" t="str">
        <f t="shared" si="29"/>
        <v>RJAM</v>
      </c>
      <c r="O225" s="24">
        <f>VLOOKUP(H225, KM!$A:$E, 5, 0)</f>
        <v>429</v>
      </c>
      <c r="P225" s="24">
        <f>VLOOKUP(I225, KM!$A:$E, 5, 0)</f>
        <v>434</v>
      </c>
      <c r="Q225" s="24">
        <f>VLOOKUP(J225, KM!$A:$E, 5, 0)</f>
        <v>521</v>
      </c>
      <c r="R225" s="24">
        <f>VLOOKUP(K225, KM!$A:$E, 5, 0)</f>
        <v>1144</v>
      </c>
      <c r="S225" s="24">
        <f>VLOOKUP(L225, KM!$A:$E, 5, 0)</f>
        <v>0</v>
      </c>
      <c r="T225" s="24">
        <f>VLOOKUP(M225, KM!$A:$E, 5, 0)</f>
        <v>852</v>
      </c>
      <c r="U225" s="24">
        <f>VLOOKUP(N225, KM!$A:$E, 5, 0)</f>
        <v>4374</v>
      </c>
      <c r="V225" s="24">
        <f>VLOOKUP(H225, IMPOSTO!$A:$D, 4, 0)</f>
        <v>0.12</v>
      </c>
      <c r="W225" s="24">
        <f>VLOOKUP(I225, IMPOSTO!$A:$D, 4, 0)</f>
        <v>0.12</v>
      </c>
      <c r="X225" s="24">
        <f>VLOOKUP(J225, IMPOSTO!$A:$D, 4, 0)</f>
        <v>7.0000000000000007E-2</v>
      </c>
      <c r="Y225" s="24">
        <f>VLOOKUP(K225, IMPOSTO!$A:$D, 4, 0)</f>
        <v>0.12</v>
      </c>
      <c r="Z225" s="24">
        <f>VLOOKUP(L225, IMPOSTO!$A:$D, 4, 0)</f>
        <v>0.18</v>
      </c>
      <c r="AA225" s="24">
        <f>VLOOKUP(M225, IMPOSTO!$A:$D, 4, 0)</f>
        <v>0.12</v>
      </c>
      <c r="AB225" s="24">
        <f>VLOOKUP(N225, IMPOSTO!$A:$D, 4, 0)</f>
        <v>7.0000000000000007E-2</v>
      </c>
      <c r="AC225" s="25">
        <f t="shared" si="31"/>
        <v>60.056339997260146</v>
      </c>
      <c r="AD225" s="25">
        <f t="shared" si="32"/>
        <v>60.624521815441966</v>
      </c>
      <c r="AE225" s="25">
        <f t="shared" si="33"/>
        <v>66.71997763181605</v>
      </c>
      <c r="AF225" s="25">
        <f t="shared" si="34"/>
        <v>141.30633999726015</v>
      </c>
      <c r="AG225" s="25">
        <f t="shared" si="35"/>
        <v>12.133633167791368</v>
      </c>
      <c r="AH225" s="25">
        <f t="shared" si="36"/>
        <v>108.12452181544195</v>
      </c>
      <c r="AI225" s="25">
        <f t="shared" si="37"/>
        <v>481.02105290063332</v>
      </c>
    </row>
    <row r="226" spans="1:35" ht="15.75" customHeight="1">
      <c r="A226" s="12" t="s">
        <v>67</v>
      </c>
      <c r="B226" s="12" t="s">
        <v>68</v>
      </c>
      <c r="C226" s="12" t="s">
        <v>69</v>
      </c>
      <c r="D226" s="12" t="s">
        <v>33</v>
      </c>
      <c r="E226" s="12" t="s">
        <v>27</v>
      </c>
      <c r="F226" s="13">
        <v>2.9920000000000002E-2</v>
      </c>
      <c r="G226" s="14">
        <v>0.47423200000000004</v>
      </c>
      <c r="H226" s="24" t="str">
        <f t="shared" si="30"/>
        <v>RJSP</v>
      </c>
      <c r="I226" s="24" t="str">
        <f t="shared" si="29"/>
        <v>RJMG</v>
      </c>
      <c r="J226" s="24" t="str">
        <f t="shared" si="29"/>
        <v>RJES</v>
      </c>
      <c r="K226" s="24" t="str">
        <f t="shared" si="29"/>
        <v>RJSC</v>
      </c>
      <c r="L226" s="24" t="str">
        <f t="shared" si="29"/>
        <v>RJRJ</v>
      </c>
      <c r="M226" s="24" t="str">
        <f t="shared" si="29"/>
        <v>RJPR</v>
      </c>
      <c r="N226" s="24" t="str">
        <f t="shared" si="29"/>
        <v>RJAM</v>
      </c>
      <c r="O226" s="24">
        <f>VLOOKUP(H226, KM!$A:$E, 5, 0)</f>
        <v>429</v>
      </c>
      <c r="P226" s="24">
        <f>VLOOKUP(I226, KM!$A:$E, 5, 0)</f>
        <v>434</v>
      </c>
      <c r="Q226" s="24">
        <f>VLOOKUP(J226, KM!$A:$E, 5, 0)</f>
        <v>521</v>
      </c>
      <c r="R226" s="24">
        <f>VLOOKUP(K226, KM!$A:$E, 5, 0)</f>
        <v>1144</v>
      </c>
      <c r="S226" s="24">
        <f>VLOOKUP(L226, KM!$A:$E, 5, 0)</f>
        <v>0</v>
      </c>
      <c r="T226" s="24">
        <f>VLOOKUP(M226, KM!$A:$E, 5, 0)</f>
        <v>852</v>
      </c>
      <c r="U226" s="24">
        <f>VLOOKUP(N226, KM!$A:$E, 5, 0)</f>
        <v>4374</v>
      </c>
      <c r="V226" s="24">
        <f>VLOOKUP(H226, IMPOSTO!$A:$D, 4, 0)</f>
        <v>0.12</v>
      </c>
      <c r="W226" s="24">
        <f>VLOOKUP(I226, IMPOSTO!$A:$D, 4, 0)</f>
        <v>0.12</v>
      </c>
      <c r="X226" s="24">
        <f>VLOOKUP(J226, IMPOSTO!$A:$D, 4, 0)</f>
        <v>7.0000000000000007E-2</v>
      </c>
      <c r="Y226" s="24">
        <f>VLOOKUP(K226, IMPOSTO!$A:$D, 4, 0)</f>
        <v>0.12</v>
      </c>
      <c r="Z226" s="24">
        <f>VLOOKUP(L226, IMPOSTO!$A:$D, 4, 0)</f>
        <v>0.18</v>
      </c>
      <c r="AA226" s="24">
        <f>VLOOKUP(M226, IMPOSTO!$A:$D, 4, 0)</f>
        <v>0.12</v>
      </c>
      <c r="AB226" s="24">
        <f>VLOOKUP(N226, IMPOSTO!$A:$D, 4, 0)</f>
        <v>7.0000000000000007E-2</v>
      </c>
      <c r="AC226" s="25">
        <f t="shared" si="31"/>
        <v>49.288900000000005</v>
      </c>
      <c r="AD226" s="25">
        <f t="shared" si="32"/>
        <v>49.857081818181825</v>
      </c>
      <c r="AE226" s="25">
        <f t="shared" si="33"/>
        <v>56.53143225806452</v>
      </c>
      <c r="AF226" s="25">
        <f t="shared" si="34"/>
        <v>130.53890000000001</v>
      </c>
      <c r="AG226" s="25">
        <f t="shared" si="35"/>
        <v>0.57833170731707317</v>
      </c>
      <c r="AH226" s="25">
        <f t="shared" si="36"/>
        <v>97.357081818181825</v>
      </c>
      <c r="AI226" s="25">
        <f t="shared" si="37"/>
        <v>470.83250752688178</v>
      </c>
    </row>
    <row r="227" spans="1:35" ht="15.75" customHeight="1">
      <c r="A227" s="12" t="s">
        <v>74</v>
      </c>
      <c r="B227" s="12" t="s">
        <v>75</v>
      </c>
      <c r="C227" s="12" t="s">
        <v>57</v>
      </c>
      <c r="D227" s="12" t="s">
        <v>33</v>
      </c>
      <c r="E227" s="12" t="s">
        <v>27</v>
      </c>
      <c r="F227" s="13">
        <v>65.96915850825917</v>
      </c>
      <c r="G227" s="14">
        <v>335.04782204987958</v>
      </c>
      <c r="H227" s="24" t="str">
        <f t="shared" si="30"/>
        <v>RJSP</v>
      </c>
      <c r="I227" s="24" t="str">
        <f t="shared" si="29"/>
        <v>RJMG</v>
      </c>
      <c r="J227" s="24" t="str">
        <f t="shared" si="29"/>
        <v>RJES</v>
      </c>
      <c r="K227" s="24" t="str">
        <f t="shared" si="29"/>
        <v>RJSC</v>
      </c>
      <c r="L227" s="24" t="str">
        <f t="shared" si="29"/>
        <v>RJRJ</v>
      </c>
      <c r="M227" s="24" t="str">
        <f t="shared" si="29"/>
        <v>RJPR</v>
      </c>
      <c r="N227" s="24" t="str">
        <f t="shared" si="29"/>
        <v>RJAM</v>
      </c>
      <c r="O227" s="24">
        <f>VLOOKUP(H227, KM!$A:$E, 5, 0)</f>
        <v>429</v>
      </c>
      <c r="P227" s="24">
        <f>VLOOKUP(I227, KM!$A:$E, 5, 0)</f>
        <v>434</v>
      </c>
      <c r="Q227" s="24">
        <f>VLOOKUP(J227, KM!$A:$E, 5, 0)</f>
        <v>521</v>
      </c>
      <c r="R227" s="24">
        <f>VLOOKUP(K227, KM!$A:$E, 5, 0)</f>
        <v>1144</v>
      </c>
      <c r="S227" s="24">
        <f>VLOOKUP(L227, KM!$A:$E, 5, 0)</f>
        <v>0</v>
      </c>
      <c r="T227" s="24">
        <f>VLOOKUP(M227, KM!$A:$E, 5, 0)</f>
        <v>852</v>
      </c>
      <c r="U227" s="24">
        <f>VLOOKUP(N227, KM!$A:$E, 5, 0)</f>
        <v>4374</v>
      </c>
      <c r="V227" s="24">
        <f>VLOOKUP(H227, IMPOSTO!$A:$D, 4, 0)</f>
        <v>0.12</v>
      </c>
      <c r="W227" s="24">
        <f>VLOOKUP(I227, IMPOSTO!$A:$D, 4, 0)</f>
        <v>0.12</v>
      </c>
      <c r="X227" s="24">
        <f>VLOOKUP(J227, IMPOSTO!$A:$D, 4, 0)</f>
        <v>7.0000000000000007E-2</v>
      </c>
      <c r="Y227" s="24">
        <f>VLOOKUP(K227, IMPOSTO!$A:$D, 4, 0)</f>
        <v>0.12</v>
      </c>
      <c r="Z227" s="24">
        <f>VLOOKUP(L227, IMPOSTO!$A:$D, 4, 0)</f>
        <v>0.18</v>
      </c>
      <c r="AA227" s="24">
        <f>VLOOKUP(M227, IMPOSTO!$A:$D, 4, 0)</f>
        <v>0.12</v>
      </c>
      <c r="AB227" s="24">
        <f>VLOOKUP(N227, IMPOSTO!$A:$D, 4, 0)</f>
        <v>7.0000000000000007E-2</v>
      </c>
      <c r="AC227" s="25">
        <f t="shared" si="31"/>
        <v>429.48616142031773</v>
      </c>
      <c r="AD227" s="25">
        <f t="shared" si="32"/>
        <v>430.05434323849954</v>
      </c>
      <c r="AE227" s="25">
        <f t="shared" si="33"/>
        <v>416.28798069879531</v>
      </c>
      <c r="AF227" s="25">
        <f t="shared" si="34"/>
        <v>510.73616142031773</v>
      </c>
      <c r="AG227" s="25">
        <f t="shared" si="35"/>
        <v>408.59490493887751</v>
      </c>
      <c r="AH227" s="25">
        <f t="shared" si="36"/>
        <v>477.55434323849954</v>
      </c>
      <c r="AI227" s="25">
        <f t="shared" si="37"/>
        <v>830.58905596761258</v>
      </c>
    </row>
    <row r="228" spans="1:35" ht="15.75" customHeight="1">
      <c r="A228" s="12" t="s">
        <v>255</v>
      </c>
      <c r="B228" s="12" t="s">
        <v>256</v>
      </c>
      <c r="C228" s="12" t="s">
        <v>119</v>
      </c>
      <c r="D228" s="12" t="s">
        <v>33</v>
      </c>
      <c r="E228" s="12" t="s">
        <v>27</v>
      </c>
      <c r="F228" s="13">
        <v>69.028522710216293</v>
      </c>
      <c r="G228" s="14">
        <v>128.39277795548162</v>
      </c>
      <c r="H228" s="24" t="str">
        <f t="shared" si="30"/>
        <v>RJSP</v>
      </c>
      <c r="I228" s="24" t="str">
        <f t="shared" si="29"/>
        <v>RJMG</v>
      </c>
      <c r="J228" s="24" t="str">
        <f t="shared" si="29"/>
        <v>RJES</v>
      </c>
      <c r="K228" s="24" t="str">
        <f t="shared" si="29"/>
        <v>RJSC</v>
      </c>
      <c r="L228" s="24" t="str">
        <f t="shared" si="29"/>
        <v>RJRJ</v>
      </c>
      <c r="M228" s="24" t="str">
        <f t="shared" si="29"/>
        <v>RJPR</v>
      </c>
      <c r="N228" s="24" t="str">
        <f t="shared" si="29"/>
        <v>RJAM</v>
      </c>
      <c r="O228" s="24">
        <f>VLOOKUP(H228, KM!$A:$E, 5, 0)</f>
        <v>429</v>
      </c>
      <c r="P228" s="24">
        <f>VLOOKUP(I228, KM!$A:$E, 5, 0)</f>
        <v>434</v>
      </c>
      <c r="Q228" s="24">
        <f>VLOOKUP(J228, KM!$A:$E, 5, 0)</f>
        <v>521</v>
      </c>
      <c r="R228" s="24">
        <f>VLOOKUP(K228, KM!$A:$E, 5, 0)</f>
        <v>1144</v>
      </c>
      <c r="S228" s="24">
        <f>VLOOKUP(L228, KM!$A:$E, 5, 0)</f>
        <v>0</v>
      </c>
      <c r="T228" s="24">
        <f>VLOOKUP(M228, KM!$A:$E, 5, 0)</f>
        <v>852</v>
      </c>
      <c r="U228" s="24">
        <f>VLOOKUP(N228, KM!$A:$E, 5, 0)</f>
        <v>4374</v>
      </c>
      <c r="V228" s="24">
        <f>VLOOKUP(H228, IMPOSTO!$A:$D, 4, 0)</f>
        <v>0.12</v>
      </c>
      <c r="W228" s="24">
        <f>VLOOKUP(I228, IMPOSTO!$A:$D, 4, 0)</f>
        <v>0.12</v>
      </c>
      <c r="X228" s="24">
        <f>VLOOKUP(J228, IMPOSTO!$A:$D, 4, 0)</f>
        <v>7.0000000000000007E-2</v>
      </c>
      <c r="Y228" s="24">
        <f>VLOOKUP(K228, IMPOSTO!$A:$D, 4, 0)</f>
        <v>0.12</v>
      </c>
      <c r="Z228" s="24">
        <f>VLOOKUP(L228, IMPOSTO!$A:$D, 4, 0)</f>
        <v>0.18</v>
      </c>
      <c r="AA228" s="24">
        <f>VLOOKUP(M228, IMPOSTO!$A:$D, 4, 0)</f>
        <v>0.12</v>
      </c>
      <c r="AB228" s="24">
        <f>VLOOKUP(N228, IMPOSTO!$A:$D, 4, 0)</f>
        <v>7.0000000000000007E-2</v>
      </c>
      <c r="AC228" s="25">
        <f t="shared" si="31"/>
        <v>194.65088404032002</v>
      </c>
      <c r="AD228" s="25">
        <f t="shared" si="32"/>
        <v>195.21906585850184</v>
      </c>
      <c r="AE228" s="25">
        <f t="shared" si="33"/>
        <v>194.07825586610929</v>
      </c>
      <c r="AF228" s="25">
        <f t="shared" si="34"/>
        <v>275.90088404032002</v>
      </c>
      <c r="AG228" s="25">
        <f t="shared" si="35"/>
        <v>156.57655848229464</v>
      </c>
      <c r="AH228" s="25">
        <f t="shared" si="36"/>
        <v>242.71906585850184</v>
      </c>
      <c r="AI228" s="25">
        <f t="shared" si="37"/>
        <v>608.37933113492647</v>
      </c>
    </row>
    <row r="229" spans="1:35" ht="15.75" customHeight="1">
      <c r="A229" s="12" t="s">
        <v>257</v>
      </c>
      <c r="B229" s="12" t="s">
        <v>258</v>
      </c>
      <c r="C229" s="12" t="s">
        <v>259</v>
      </c>
      <c r="D229" s="12" t="s">
        <v>33</v>
      </c>
      <c r="E229" s="12" t="s">
        <v>27</v>
      </c>
      <c r="F229" s="13">
        <v>2061.12</v>
      </c>
      <c r="G229" s="14">
        <v>6808.2271740000006</v>
      </c>
      <c r="H229" s="24" t="str">
        <f t="shared" si="30"/>
        <v>RJSP</v>
      </c>
      <c r="I229" s="24" t="str">
        <f t="shared" si="29"/>
        <v>RJMG</v>
      </c>
      <c r="J229" s="24" t="str">
        <f t="shared" si="29"/>
        <v>RJES</v>
      </c>
      <c r="K229" s="24" t="str">
        <f t="shared" si="29"/>
        <v>RJSC</v>
      </c>
      <c r="L229" s="24" t="str">
        <f t="shared" si="29"/>
        <v>RJRJ</v>
      </c>
      <c r="M229" s="24" t="str">
        <f t="shared" si="29"/>
        <v>RJPR</v>
      </c>
      <c r="N229" s="24" t="str">
        <f t="shared" si="29"/>
        <v>RJAM</v>
      </c>
      <c r="O229" s="24">
        <f>VLOOKUP(H229, KM!$A:$E, 5, 0)</f>
        <v>429</v>
      </c>
      <c r="P229" s="24">
        <f>VLOOKUP(I229, KM!$A:$E, 5, 0)</f>
        <v>434</v>
      </c>
      <c r="Q229" s="24">
        <f>VLOOKUP(J229, KM!$A:$E, 5, 0)</f>
        <v>521</v>
      </c>
      <c r="R229" s="24">
        <f>VLOOKUP(K229, KM!$A:$E, 5, 0)</f>
        <v>1144</v>
      </c>
      <c r="S229" s="24">
        <f>VLOOKUP(L229, KM!$A:$E, 5, 0)</f>
        <v>0</v>
      </c>
      <c r="T229" s="24">
        <f>VLOOKUP(M229, KM!$A:$E, 5, 0)</f>
        <v>852</v>
      </c>
      <c r="U229" s="24">
        <f>VLOOKUP(N229, KM!$A:$E, 5, 0)</f>
        <v>4374</v>
      </c>
      <c r="V229" s="24">
        <f>VLOOKUP(H229, IMPOSTO!$A:$D, 4, 0)</f>
        <v>0.12</v>
      </c>
      <c r="W229" s="24">
        <f>VLOOKUP(I229, IMPOSTO!$A:$D, 4, 0)</f>
        <v>0.12</v>
      </c>
      <c r="X229" s="24">
        <f>VLOOKUP(J229, IMPOSTO!$A:$D, 4, 0)</f>
        <v>7.0000000000000007E-2</v>
      </c>
      <c r="Y229" s="24">
        <f>VLOOKUP(K229, IMPOSTO!$A:$D, 4, 0)</f>
        <v>0.12</v>
      </c>
      <c r="Z229" s="24">
        <f>VLOOKUP(L229, IMPOSTO!$A:$D, 4, 0)</f>
        <v>0.18</v>
      </c>
      <c r="AA229" s="24">
        <f>VLOOKUP(M229, IMPOSTO!$A:$D, 4, 0)</f>
        <v>0.12</v>
      </c>
      <c r="AB229" s="24">
        <f>VLOOKUP(N229, IMPOSTO!$A:$D, 4, 0)</f>
        <v>7.0000000000000007E-2</v>
      </c>
      <c r="AC229" s="25">
        <f t="shared" si="31"/>
        <v>7785.3717886363638</v>
      </c>
      <c r="AD229" s="25">
        <f t="shared" si="32"/>
        <v>7785.9399704545458</v>
      </c>
      <c r="AE229" s="25">
        <f t="shared" si="33"/>
        <v>7376.6958860215072</v>
      </c>
      <c r="AF229" s="25">
        <f t="shared" si="34"/>
        <v>7866.6217886363638</v>
      </c>
      <c r="AG229" s="25">
        <f t="shared" si="35"/>
        <v>8302.7160658536577</v>
      </c>
      <c r="AH229" s="25">
        <f t="shared" si="36"/>
        <v>7833.4399704545458</v>
      </c>
      <c r="AI229" s="25">
        <f t="shared" si="37"/>
        <v>7790.9969612903233</v>
      </c>
    </row>
    <row r="230" spans="1:35" ht="15.75" customHeight="1">
      <c r="A230" s="12" t="s">
        <v>260</v>
      </c>
      <c r="B230" s="12" t="s">
        <v>261</v>
      </c>
      <c r="C230" s="12" t="s">
        <v>262</v>
      </c>
      <c r="D230" s="12" t="s">
        <v>33</v>
      </c>
      <c r="E230" s="12" t="s">
        <v>27</v>
      </c>
      <c r="F230" s="13">
        <v>1134</v>
      </c>
      <c r="G230" s="14">
        <v>4448.84</v>
      </c>
      <c r="H230" s="24" t="str">
        <f t="shared" si="30"/>
        <v>RJSP</v>
      </c>
      <c r="I230" s="24" t="str">
        <f t="shared" si="29"/>
        <v>RJMG</v>
      </c>
      <c r="J230" s="24" t="str">
        <f t="shared" si="29"/>
        <v>RJES</v>
      </c>
      <c r="K230" s="24" t="str">
        <f t="shared" si="29"/>
        <v>RJSC</v>
      </c>
      <c r="L230" s="24" t="str">
        <f t="shared" si="29"/>
        <v>RJRJ</v>
      </c>
      <c r="M230" s="24" t="str">
        <f t="shared" si="29"/>
        <v>RJPR</v>
      </c>
      <c r="N230" s="24" t="str">
        <f t="shared" si="29"/>
        <v>RJAM</v>
      </c>
      <c r="O230" s="24">
        <f>VLOOKUP(H230, KM!$A:$E, 5, 0)</f>
        <v>429</v>
      </c>
      <c r="P230" s="24">
        <f>VLOOKUP(I230, KM!$A:$E, 5, 0)</f>
        <v>434</v>
      </c>
      <c r="Q230" s="24">
        <f>VLOOKUP(J230, KM!$A:$E, 5, 0)</f>
        <v>521</v>
      </c>
      <c r="R230" s="24">
        <f>VLOOKUP(K230, KM!$A:$E, 5, 0)</f>
        <v>1144</v>
      </c>
      <c r="S230" s="24">
        <f>VLOOKUP(L230, KM!$A:$E, 5, 0)</f>
        <v>0</v>
      </c>
      <c r="T230" s="24">
        <f>VLOOKUP(M230, KM!$A:$E, 5, 0)</f>
        <v>852</v>
      </c>
      <c r="U230" s="24">
        <f>VLOOKUP(N230, KM!$A:$E, 5, 0)</f>
        <v>4374</v>
      </c>
      <c r="V230" s="24">
        <f>VLOOKUP(H230, IMPOSTO!$A:$D, 4, 0)</f>
        <v>0.12</v>
      </c>
      <c r="W230" s="24">
        <f>VLOOKUP(I230, IMPOSTO!$A:$D, 4, 0)</f>
        <v>0.12</v>
      </c>
      <c r="X230" s="24">
        <f>VLOOKUP(J230, IMPOSTO!$A:$D, 4, 0)</f>
        <v>7.0000000000000007E-2</v>
      </c>
      <c r="Y230" s="24">
        <f>VLOOKUP(K230, IMPOSTO!$A:$D, 4, 0)</f>
        <v>0.12</v>
      </c>
      <c r="Z230" s="24">
        <f>VLOOKUP(L230, IMPOSTO!$A:$D, 4, 0)</f>
        <v>0.18</v>
      </c>
      <c r="AA230" s="24">
        <f>VLOOKUP(M230, IMPOSTO!$A:$D, 4, 0)</f>
        <v>0.12</v>
      </c>
      <c r="AB230" s="24">
        <f>VLOOKUP(N230, IMPOSTO!$A:$D, 4, 0)</f>
        <v>7.0000000000000007E-2</v>
      </c>
      <c r="AC230" s="25">
        <f t="shared" si="31"/>
        <v>5104.25</v>
      </c>
      <c r="AD230" s="25">
        <f t="shared" si="32"/>
        <v>5104.818181818182</v>
      </c>
      <c r="AE230" s="25">
        <f t="shared" si="33"/>
        <v>4839.720430107528</v>
      </c>
      <c r="AF230" s="25">
        <f t="shared" si="34"/>
        <v>5185.5</v>
      </c>
      <c r="AG230" s="25">
        <f t="shared" si="35"/>
        <v>5425.4146341463411</v>
      </c>
      <c r="AH230" s="25">
        <f t="shared" si="36"/>
        <v>5152.318181818182</v>
      </c>
      <c r="AI230" s="25">
        <f t="shared" si="37"/>
        <v>5254.0215053763441</v>
      </c>
    </row>
    <row r="231" spans="1:35" ht="15.75" customHeight="1">
      <c r="A231" s="12" t="s">
        <v>263</v>
      </c>
      <c r="B231" s="12" t="s">
        <v>264</v>
      </c>
      <c r="C231" s="12" t="s">
        <v>265</v>
      </c>
      <c r="D231" s="12" t="s">
        <v>50</v>
      </c>
      <c r="E231" s="12" t="s">
        <v>27</v>
      </c>
      <c r="F231" s="13">
        <v>1.0197011586658596E-3</v>
      </c>
      <c r="G231" s="14">
        <v>1.8507576029785356E-2</v>
      </c>
      <c r="H231" s="24" t="str">
        <f t="shared" si="30"/>
        <v>RJSP</v>
      </c>
      <c r="I231" s="24" t="str">
        <f t="shared" si="29"/>
        <v>RJMG</v>
      </c>
      <c r="J231" s="24" t="str">
        <f t="shared" si="29"/>
        <v>RJES</v>
      </c>
      <c r="K231" s="24" t="str">
        <f t="shared" si="29"/>
        <v>RJSC</v>
      </c>
      <c r="L231" s="24" t="str">
        <f t="shared" si="29"/>
        <v>RJRJ</v>
      </c>
      <c r="M231" s="24" t="str">
        <f t="shared" si="29"/>
        <v>RJPR</v>
      </c>
      <c r="N231" s="24" t="str">
        <f t="shared" si="29"/>
        <v>RJAM</v>
      </c>
      <c r="O231" s="24">
        <f>VLOOKUP(H231, KM!$A:$E, 5, 0)</f>
        <v>429</v>
      </c>
      <c r="P231" s="24">
        <f>VLOOKUP(I231, KM!$A:$E, 5, 0)</f>
        <v>434</v>
      </c>
      <c r="Q231" s="24">
        <f>VLOOKUP(J231, KM!$A:$E, 5, 0)</f>
        <v>521</v>
      </c>
      <c r="R231" s="24">
        <f>VLOOKUP(K231, KM!$A:$E, 5, 0)</f>
        <v>1144</v>
      </c>
      <c r="S231" s="24">
        <f>VLOOKUP(L231, KM!$A:$E, 5, 0)</f>
        <v>0</v>
      </c>
      <c r="T231" s="24">
        <f>VLOOKUP(M231, KM!$A:$E, 5, 0)</f>
        <v>852</v>
      </c>
      <c r="U231" s="24">
        <f>VLOOKUP(N231, KM!$A:$E, 5, 0)</f>
        <v>4374</v>
      </c>
      <c r="V231" s="24">
        <f>VLOOKUP(H231, IMPOSTO!$A:$D, 4, 0)</f>
        <v>0.12</v>
      </c>
      <c r="W231" s="24">
        <f>VLOOKUP(I231, IMPOSTO!$A:$D, 4, 0)</f>
        <v>0.12</v>
      </c>
      <c r="X231" s="24">
        <f>VLOOKUP(J231, IMPOSTO!$A:$D, 4, 0)</f>
        <v>7.0000000000000007E-2</v>
      </c>
      <c r="Y231" s="24">
        <f>VLOOKUP(K231, IMPOSTO!$A:$D, 4, 0)</f>
        <v>0.12</v>
      </c>
      <c r="Z231" s="24">
        <f>VLOOKUP(L231, IMPOSTO!$A:$D, 4, 0)</f>
        <v>0.18</v>
      </c>
      <c r="AA231" s="24">
        <f>VLOOKUP(M231, IMPOSTO!$A:$D, 4, 0)</f>
        <v>0.12</v>
      </c>
      <c r="AB231" s="24">
        <f>VLOOKUP(N231, IMPOSTO!$A:$D, 4, 0)</f>
        <v>7.0000000000000007E-2</v>
      </c>
      <c r="AC231" s="25">
        <f t="shared" si="31"/>
        <v>48.771031336397485</v>
      </c>
      <c r="AD231" s="25">
        <f t="shared" si="32"/>
        <v>49.339213154579305</v>
      </c>
      <c r="AE231" s="25">
        <f t="shared" si="33"/>
        <v>56.041405995730955</v>
      </c>
      <c r="AF231" s="25">
        <f t="shared" si="34"/>
        <v>130.0210313363975</v>
      </c>
      <c r="AG231" s="25">
        <f t="shared" si="35"/>
        <v>2.2570214670469945E-2</v>
      </c>
      <c r="AH231" s="25">
        <f t="shared" si="36"/>
        <v>96.839213154579312</v>
      </c>
      <c r="AI231" s="25">
        <f t="shared" si="37"/>
        <v>470.34248126454821</v>
      </c>
    </row>
    <row r="232" spans="1:35" ht="15.75" customHeight="1">
      <c r="A232" s="12" t="s">
        <v>266</v>
      </c>
      <c r="B232" s="12" t="s">
        <v>267</v>
      </c>
      <c r="C232" s="12" t="s">
        <v>169</v>
      </c>
      <c r="D232" s="12" t="s">
        <v>33</v>
      </c>
      <c r="E232" s="12" t="s">
        <v>27</v>
      </c>
      <c r="F232" s="13">
        <v>69.134750059189315</v>
      </c>
      <c r="G232" s="14">
        <v>108.85886341939982</v>
      </c>
      <c r="H232" s="24" t="str">
        <f t="shared" si="30"/>
        <v>RJSP</v>
      </c>
      <c r="I232" s="24" t="str">
        <f t="shared" si="29"/>
        <v>RJMG</v>
      </c>
      <c r="J232" s="24" t="str">
        <f t="shared" si="29"/>
        <v>RJES</v>
      </c>
      <c r="K232" s="24" t="str">
        <f t="shared" si="29"/>
        <v>RJSC</v>
      </c>
      <c r="L232" s="24" t="str">
        <f t="shared" si="29"/>
        <v>RJRJ</v>
      </c>
      <c r="M232" s="24" t="str">
        <f t="shared" si="29"/>
        <v>RJPR</v>
      </c>
      <c r="N232" s="24" t="str">
        <f t="shared" si="29"/>
        <v>RJAM</v>
      </c>
      <c r="O232" s="24">
        <f>VLOOKUP(H232, KM!$A:$E, 5, 0)</f>
        <v>429</v>
      </c>
      <c r="P232" s="24">
        <f>VLOOKUP(I232, KM!$A:$E, 5, 0)</f>
        <v>434</v>
      </c>
      <c r="Q232" s="24">
        <f>VLOOKUP(J232, KM!$A:$E, 5, 0)</f>
        <v>521</v>
      </c>
      <c r="R232" s="24">
        <f>VLOOKUP(K232, KM!$A:$E, 5, 0)</f>
        <v>1144</v>
      </c>
      <c r="S232" s="24">
        <f>VLOOKUP(L232, KM!$A:$E, 5, 0)</f>
        <v>0</v>
      </c>
      <c r="T232" s="24">
        <f>VLOOKUP(M232, KM!$A:$E, 5, 0)</f>
        <v>852</v>
      </c>
      <c r="U232" s="24">
        <f>VLOOKUP(N232, KM!$A:$E, 5, 0)</f>
        <v>4374</v>
      </c>
      <c r="V232" s="24">
        <f>VLOOKUP(H232, IMPOSTO!$A:$D, 4, 0)</f>
        <v>0.12</v>
      </c>
      <c r="W232" s="24">
        <f>VLOOKUP(I232, IMPOSTO!$A:$D, 4, 0)</f>
        <v>0.12</v>
      </c>
      <c r="X232" s="24">
        <f>VLOOKUP(J232, IMPOSTO!$A:$D, 4, 0)</f>
        <v>7.0000000000000007E-2</v>
      </c>
      <c r="Y232" s="24">
        <f>VLOOKUP(K232, IMPOSTO!$A:$D, 4, 0)</f>
        <v>0.12</v>
      </c>
      <c r="Z232" s="24">
        <f>VLOOKUP(L232, IMPOSTO!$A:$D, 4, 0)</f>
        <v>0.18</v>
      </c>
      <c r="AA232" s="24">
        <f>VLOOKUP(M232, IMPOSTO!$A:$D, 4, 0)</f>
        <v>0.12</v>
      </c>
      <c r="AB232" s="24">
        <f>VLOOKUP(N232, IMPOSTO!$A:$D, 4, 0)</f>
        <v>7.0000000000000007E-2</v>
      </c>
      <c r="AC232" s="25">
        <f t="shared" si="31"/>
        <v>172.45325388568162</v>
      </c>
      <c r="AD232" s="25">
        <f t="shared" si="32"/>
        <v>173.02143570386343</v>
      </c>
      <c r="AE232" s="25">
        <f t="shared" si="33"/>
        <v>173.0740466875267</v>
      </c>
      <c r="AF232" s="25">
        <f t="shared" si="34"/>
        <v>253.70325388568162</v>
      </c>
      <c r="AG232" s="25">
        <f t="shared" si="35"/>
        <v>132.75471148707294</v>
      </c>
      <c r="AH232" s="25">
        <f t="shared" si="36"/>
        <v>220.52143570386343</v>
      </c>
      <c r="AI232" s="25">
        <f t="shared" si="37"/>
        <v>587.37512195634395</v>
      </c>
    </row>
    <row r="233" spans="1:35" ht="15.75" customHeight="1">
      <c r="A233" s="12" t="s">
        <v>266</v>
      </c>
      <c r="B233" s="12" t="s">
        <v>267</v>
      </c>
      <c r="C233" s="12" t="s">
        <v>169</v>
      </c>
      <c r="D233" s="12" t="s">
        <v>33</v>
      </c>
      <c r="E233" s="12" t="s">
        <v>27</v>
      </c>
      <c r="F233" s="13">
        <v>27.808683353662378</v>
      </c>
      <c r="G233" s="14">
        <v>40.121468747241941</v>
      </c>
      <c r="H233" s="24" t="str">
        <f t="shared" si="30"/>
        <v>RJSP</v>
      </c>
      <c r="I233" s="24" t="str">
        <f t="shared" si="29"/>
        <v>RJMG</v>
      </c>
      <c r="J233" s="24" t="str">
        <f t="shared" si="29"/>
        <v>RJES</v>
      </c>
      <c r="K233" s="24" t="str">
        <f t="shared" si="29"/>
        <v>RJSC</v>
      </c>
      <c r="L233" s="24" t="str">
        <f t="shared" si="29"/>
        <v>RJRJ</v>
      </c>
      <c r="M233" s="24" t="str">
        <f t="shared" si="29"/>
        <v>RJPR</v>
      </c>
      <c r="N233" s="24" t="str">
        <f t="shared" si="29"/>
        <v>RJAM</v>
      </c>
      <c r="O233" s="24">
        <f>VLOOKUP(H233, KM!$A:$E, 5, 0)</f>
        <v>429</v>
      </c>
      <c r="P233" s="24">
        <f>VLOOKUP(I233, KM!$A:$E, 5, 0)</f>
        <v>434</v>
      </c>
      <c r="Q233" s="24">
        <f>VLOOKUP(J233, KM!$A:$E, 5, 0)</f>
        <v>521</v>
      </c>
      <c r="R233" s="24">
        <f>VLOOKUP(K233, KM!$A:$E, 5, 0)</f>
        <v>1144</v>
      </c>
      <c r="S233" s="24">
        <f>VLOOKUP(L233, KM!$A:$E, 5, 0)</f>
        <v>0</v>
      </c>
      <c r="T233" s="24">
        <f>VLOOKUP(M233, KM!$A:$E, 5, 0)</f>
        <v>852</v>
      </c>
      <c r="U233" s="24">
        <f>VLOOKUP(N233, KM!$A:$E, 5, 0)</f>
        <v>4374</v>
      </c>
      <c r="V233" s="24">
        <f>VLOOKUP(H233, IMPOSTO!$A:$D, 4, 0)</f>
        <v>0.12</v>
      </c>
      <c r="W233" s="24">
        <f>VLOOKUP(I233, IMPOSTO!$A:$D, 4, 0)</f>
        <v>0.12</v>
      </c>
      <c r="X233" s="24">
        <f>VLOOKUP(J233, IMPOSTO!$A:$D, 4, 0)</f>
        <v>7.0000000000000007E-2</v>
      </c>
      <c r="Y233" s="24">
        <f>VLOOKUP(K233, IMPOSTO!$A:$D, 4, 0)</f>
        <v>0.12</v>
      </c>
      <c r="Z233" s="24">
        <f>VLOOKUP(L233, IMPOSTO!$A:$D, 4, 0)</f>
        <v>0.18</v>
      </c>
      <c r="AA233" s="24">
        <f>VLOOKUP(M233, IMPOSTO!$A:$D, 4, 0)</f>
        <v>0.12</v>
      </c>
      <c r="AB233" s="24">
        <f>VLOOKUP(N233, IMPOSTO!$A:$D, 4, 0)</f>
        <v>7.0000000000000007E-2</v>
      </c>
      <c r="AC233" s="25">
        <f t="shared" si="31"/>
        <v>94.342578121865856</v>
      </c>
      <c r="AD233" s="25">
        <f t="shared" si="32"/>
        <v>94.910759940047669</v>
      </c>
      <c r="AE233" s="25">
        <f t="shared" si="33"/>
        <v>99.162869620690273</v>
      </c>
      <c r="AF233" s="25">
        <f t="shared" si="34"/>
        <v>175.59257812186587</v>
      </c>
      <c r="AG233" s="25">
        <f t="shared" si="35"/>
        <v>48.92862042346578</v>
      </c>
      <c r="AH233" s="25">
        <f t="shared" si="36"/>
        <v>142.41075994004765</v>
      </c>
      <c r="AI233" s="25">
        <f t="shared" si="37"/>
        <v>513.4639448895075</v>
      </c>
    </row>
    <row r="234" spans="1:35" ht="15.75" customHeight="1">
      <c r="A234" s="12" t="s">
        <v>268</v>
      </c>
      <c r="B234" s="12" t="s">
        <v>269</v>
      </c>
      <c r="C234" s="12" t="s">
        <v>169</v>
      </c>
      <c r="D234" s="12" t="s">
        <v>33</v>
      </c>
      <c r="E234" s="12" t="s">
        <v>27</v>
      </c>
      <c r="F234" s="13">
        <v>51.965628658253252</v>
      </c>
      <c r="G234" s="14">
        <v>52.949686638920937</v>
      </c>
      <c r="H234" s="24" t="str">
        <f t="shared" si="30"/>
        <v>RJSP</v>
      </c>
      <c r="I234" s="24" t="str">
        <f t="shared" si="29"/>
        <v>RJMG</v>
      </c>
      <c r="J234" s="24" t="str">
        <f t="shared" si="29"/>
        <v>RJES</v>
      </c>
      <c r="K234" s="24" t="str">
        <f t="shared" si="29"/>
        <v>RJSC</v>
      </c>
      <c r="L234" s="24" t="str">
        <f t="shared" si="29"/>
        <v>RJRJ</v>
      </c>
      <c r="M234" s="24" t="str">
        <f t="shared" si="29"/>
        <v>RJPR</v>
      </c>
      <c r="N234" s="24" t="str">
        <f t="shared" si="29"/>
        <v>RJAM</v>
      </c>
      <c r="O234" s="24">
        <f>VLOOKUP(H234, KM!$A:$E, 5, 0)</f>
        <v>429</v>
      </c>
      <c r="P234" s="24">
        <f>VLOOKUP(I234, KM!$A:$E, 5, 0)</f>
        <v>434</v>
      </c>
      <c r="Q234" s="24">
        <f>VLOOKUP(J234, KM!$A:$E, 5, 0)</f>
        <v>521</v>
      </c>
      <c r="R234" s="24">
        <f>VLOOKUP(K234, KM!$A:$E, 5, 0)</f>
        <v>1144</v>
      </c>
      <c r="S234" s="24">
        <f>VLOOKUP(L234, KM!$A:$E, 5, 0)</f>
        <v>0</v>
      </c>
      <c r="T234" s="24">
        <f>VLOOKUP(M234, KM!$A:$E, 5, 0)</f>
        <v>852</v>
      </c>
      <c r="U234" s="24">
        <f>VLOOKUP(N234, KM!$A:$E, 5, 0)</f>
        <v>4374</v>
      </c>
      <c r="V234" s="24">
        <f>VLOOKUP(H234, IMPOSTO!$A:$D, 4, 0)</f>
        <v>0.12</v>
      </c>
      <c r="W234" s="24">
        <f>VLOOKUP(I234, IMPOSTO!$A:$D, 4, 0)</f>
        <v>0.12</v>
      </c>
      <c r="X234" s="24">
        <f>VLOOKUP(J234, IMPOSTO!$A:$D, 4, 0)</f>
        <v>7.0000000000000007E-2</v>
      </c>
      <c r="Y234" s="24">
        <f>VLOOKUP(K234, IMPOSTO!$A:$D, 4, 0)</f>
        <v>0.12</v>
      </c>
      <c r="Z234" s="24">
        <f>VLOOKUP(L234, IMPOSTO!$A:$D, 4, 0)</f>
        <v>0.18</v>
      </c>
      <c r="AA234" s="24">
        <f>VLOOKUP(M234, IMPOSTO!$A:$D, 4, 0)</f>
        <v>0.12</v>
      </c>
      <c r="AB234" s="24">
        <f>VLOOKUP(N234, IMPOSTO!$A:$D, 4, 0)</f>
        <v>7.0000000000000007E-2</v>
      </c>
      <c r="AC234" s="25">
        <f t="shared" si="31"/>
        <v>108.92009845331926</v>
      </c>
      <c r="AD234" s="25">
        <f t="shared" si="32"/>
        <v>109.48828027150107</v>
      </c>
      <c r="AE234" s="25">
        <f t="shared" si="33"/>
        <v>112.95665229991501</v>
      </c>
      <c r="AF234" s="25">
        <f t="shared" si="34"/>
        <v>190.17009845331927</v>
      </c>
      <c r="AG234" s="25">
        <f t="shared" si="35"/>
        <v>64.572788584049917</v>
      </c>
      <c r="AH234" s="25">
        <f t="shared" si="36"/>
        <v>156.98828027150105</v>
      </c>
      <c r="AI234" s="25">
        <f t="shared" si="37"/>
        <v>527.25772756873221</v>
      </c>
    </row>
    <row r="235" spans="1:35" ht="15.75" customHeight="1">
      <c r="A235" s="12" t="s">
        <v>270</v>
      </c>
      <c r="B235" s="12" t="s">
        <v>271</v>
      </c>
      <c r="C235" s="12" t="s">
        <v>163</v>
      </c>
      <c r="D235" s="12" t="s">
        <v>33</v>
      </c>
      <c r="E235" s="12" t="s">
        <v>27</v>
      </c>
      <c r="F235" s="13">
        <v>713542.22601134097</v>
      </c>
      <c r="G235" s="14">
        <v>16040.82852643339</v>
      </c>
      <c r="H235" s="24" t="str">
        <f t="shared" si="30"/>
        <v>RJSP</v>
      </c>
      <c r="I235" s="24" t="str">
        <f t="shared" si="29"/>
        <v>RJMG</v>
      </c>
      <c r="J235" s="24" t="str">
        <f t="shared" si="29"/>
        <v>RJES</v>
      </c>
      <c r="K235" s="24" t="str">
        <f t="shared" si="29"/>
        <v>RJSC</v>
      </c>
      <c r="L235" s="24" t="str">
        <f t="shared" si="29"/>
        <v>RJRJ</v>
      </c>
      <c r="M235" s="24" t="str">
        <f t="shared" si="29"/>
        <v>RJPR</v>
      </c>
      <c r="N235" s="24" t="str">
        <f t="shared" si="29"/>
        <v>RJAM</v>
      </c>
      <c r="O235" s="24">
        <f>VLOOKUP(H235, KM!$A:$E, 5, 0)</f>
        <v>429</v>
      </c>
      <c r="P235" s="24">
        <f>VLOOKUP(I235, KM!$A:$E, 5, 0)</f>
        <v>434</v>
      </c>
      <c r="Q235" s="24">
        <f>VLOOKUP(J235, KM!$A:$E, 5, 0)</f>
        <v>521</v>
      </c>
      <c r="R235" s="24">
        <f>VLOOKUP(K235, KM!$A:$E, 5, 0)</f>
        <v>1144</v>
      </c>
      <c r="S235" s="24">
        <f>VLOOKUP(L235, KM!$A:$E, 5, 0)</f>
        <v>0</v>
      </c>
      <c r="T235" s="24">
        <f>VLOOKUP(M235, KM!$A:$E, 5, 0)</f>
        <v>852</v>
      </c>
      <c r="U235" s="24">
        <f>VLOOKUP(N235, KM!$A:$E, 5, 0)</f>
        <v>4374</v>
      </c>
      <c r="V235" s="24">
        <f>VLOOKUP(H235, IMPOSTO!$A:$D, 4, 0)</f>
        <v>0.12</v>
      </c>
      <c r="W235" s="24">
        <f>VLOOKUP(I235, IMPOSTO!$A:$D, 4, 0)</f>
        <v>0.12</v>
      </c>
      <c r="X235" s="24">
        <f>VLOOKUP(J235, IMPOSTO!$A:$D, 4, 0)</f>
        <v>7.0000000000000007E-2</v>
      </c>
      <c r="Y235" s="24">
        <f>VLOOKUP(K235, IMPOSTO!$A:$D, 4, 0)</f>
        <v>0.12</v>
      </c>
      <c r="Z235" s="24">
        <f>VLOOKUP(L235, IMPOSTO!$A:$D, 4, 0)</f>
        <v>0.18</v>
      </c>
      <c r="AA235" s="24">
        <f>VLOOKUP(M235, IMPOSTO!$A:$D, 4, 0)</f>
        <v>0.12</v>
      </c>
      <c r="AB235" s="24">
        <f>VLOOKUP(N235, IMPOSTO!$A:$D, 4, 0)</f>
        <v>7.0000000000000007E-2</v>
      </c>
      <c r="AC235" s="25">
        <f t="shared" si="31"/>
        <v>18276.964234583396</v>
      </c>
      <c r="AD235" s="25">
        <f t="shared" si="32"/>
        <v>18277.53241640158</v>
      </c>
      <c r="AE235" s="25">
        <f t="shared" si="33"/>
        <v>17304.224221971388</v>
      </c>
      <c r="AF235" s="25">
        <f t="shared" si="34"/>
        <v>18358.214234583396</v>
      </c>
      <c r="AG235" s="25">
        <f t="shared" si="35"/>
        <v>19561.986007845597</v>
      </c>
      <c r="AH235" s="25">
        <f t="shared" si="36"/>
        <v>18325.03241640158</v>
      </c>
      <c r="AI235" s="25">
        <f t="shared" si="37"/>
        <v>17718.525297240209</v>
      </c>
    </row>
    <row r="236" spans="1:35" ht="15.75" customHeight="1">
      <c r="A236" s="12" t="s">
        <v>272</v>
      </c>
      <c r="B236" s="12" t="s">
        <v>273</v>
      </c>
      <c r="C236" s="12" t="s">
        <v>181</v>
      </c>
      <c r="D236" s="12" t="s">
        <v>33</v>
      </c>
      <c r="E236" s="12" t="s">
        <v>27</v>
      </c>
      <c r="F236" s="13">
        <v>223.48795401126591</v>
      </c>
      <c r="G236" s="14">
        <v>176.24972937887611</v>
      </c>
      <c r="H236" s="24" t="str">
        <f t="shared" si="30"/>
        <v>RJSP</v>
      </c>
      <c r="I236" s="24" t="str">
        <f t="shared" si="29"/>
        <v>RJMG</v>
      </c>
      <c r="J236" s="24" t="str">
        <f t="shared" si="29"/>
        <v>RJES</v>
      </c>
      <c r="K236" s="24" t="str">
        <f t="shared" si="29"/>
        <v>RJSC</v>
      </c>
      <c r="L236" s="24" t="str">
        <f t="shared" si="29"/>
        <v>RJRJ</v>
      </c>
      <c r="M236" s="24" t="str">
        <f t="shared" si="29"/>
        <v>RJPR</v>
      </c>
      <c r="N236" s="24" t="str">
        <f t="shared" si="29"/>
        <v>RJAM</v>
      </c>
      <c r="O236" s="24">
        <f>VLOOKUP(H236, KM!$A:$E, 5, 0)</f>
        <v>429</v>
      </c>
      <c r="P236" s="24">
        <f>VLOOKUP(I236, KM!$A:$E, 5, 0)</f>
        <v>434</v>
      </c>
      <c r="Q236" s="24">
        <f>VLOOKUP(J236, KM!$A:$E, 5, 0)</f>
        <v>521</v>
      </c>
      <c r="R236" s="24">
        <f>VLOOKUP(K236, KM!$A:$E, 5, 0)</f>
        <v>1144</v>
      </c>
      <c r="S236" s="24">
        <f>VLOOKUP(L236, KM!$A:$E, 5, 0)</f>
        <v>0</v>
      </c>
      <c r="T236" s="24">
        <f>VLOOKUP(M236, KM!$A:$E, 5, 0)</f>
        <v>852</v>
      </c>
      <c r="U236" s="24">
        <f>VLOOKUP(N236, KM!$A:$E, 5, 0)</f>
        <v>4374</v>
      </c>
      <c r="V236" s="24">
        <f>VLOOKUP(H236, IMPOSTO!$A:$D, 4, 0)</f>
        <v>0.12</v>
      </c>
      <c r="W236" s="24">
        <f>VLOOKUP(I236, IMPOSTO!$A:$D, 4, 0)</f>
        <v>0.12</v>
      </c>
      <c r="X236" s="24">
        <f>VLOOKUP(J236, IMPOSTO!$A:$D, 4, 0)</f>
        <v>7.0000000000000007E-2</v>
      </c>
      <c r="Y236" s="24">
        <f>VLOOKUP(K236, IMPOSTO!$A:$D, 4, 0)</f>
        <v>0.12</v>
      </c>
      <c r="Z236" s="24">
        <f>VLOOKUP(L236, IMPOSTO!$A:$D, 4, 0)</f>
        <v>0.18</v>
      </c>
      <c r="AA236" s="24">
        <f>VLOOKUP(M236, IMPOSTO!$A:$D, 4, 0)</f>
        <v>0.12</v>
      </c>
      <c r="AB236" s="24">
        <f>VLOOKUP(N236, IMPOSTO!$A:$D, 4, 0)</f>
        <v>7.0000000000000007E-2</v>
      </c>
      <c r="AC236" s="25">
        <f t="shared" si="31"/>
        <v>249.03378338508651</v>
      </c>
      <c r="AD236" s="25">
        <f t="shared" si="32"/>
        <v>249.60196520326832</v>
      </c>
      <c r="AE236" s="25">
        <f t="shared" si="33"/>
        <v>245.53734341814638</v>
      </c>
      <c r="AF236" s="25">
        <f t="shared" si="34"/>
        <v>330.28378338508651</v>
      </c>
      <c r="AG236" s="25">
        <f t="shared" si="35"/>
        <v>214.93869436448304</v>
      </c>
      <c r="AH236" s="25">
        <f t="shared" si="36"/>
        <v>297.10196520326832</v>
      </c>
      <c r="AI236" s="25">
        <f t="shared" si="37"/>
        <v>659.83841868696368</v>
      </c>
    </row>
    <row r="237" spans="1:35" ht="15.75" customHeight="1">
      <c r="A237" s="12" t="s">
        <v>274</v>
      </c>
      <c r="B237" s="12" t="s">
        <v>275</v>
      </c>
      <c r="C237" s="12" t="s">
        <v>192</v>
      </c>
      <c r="D237" s="12" t="s">
        <v>50</v>
      </c>
      <c r="E237" s="12" t="s">
        <v>27</v>
      </c>
      <c r="F237" s="13">
        <v>0.53839999999999999</v>
      </c>
      <c r="G237" s="14">
        <v>27.630687999999999</v>
      </c>
      <c r="H237" s="24" t="str">
        <f t="shared" si="30"/>
        <v>RJSP</v>
      </c>
      <c r="I237" s="24" t="str">
        <f t="shared" si="29"/>
        <v>RJMG</v>
      </c>
      <c r="J237" s="24" t="str">
        <f t="shared" si="29"/>
        <v>RJES</v>
      </c>
      <c r="K237" s="24" t="str">
        <f t="shared" si="29"/>
        <v>RJSC</v>
      </c>
      <c r="L237" s="24" t="str">
        <f t="shared" si="29"/>
        <v>RJRJ</v>
      </c>
      <c r="M237" s="24" t="str">
        <f t="shared" si="29"/>
        <v>RJPR</v>
      </c>
      <c r="N237" s="24" t="str">
        <f t="shared" si="29"/>
        <v>RJAM</v>
      </c>
      <c r="O237" s="24">
        <f>VLOOKUP(H237, KM!$A:$E, 5, 0)</f>
        <v>429</v>
      </c>
      <c r="P237" s="24">
        <f>VLOOKUP(I237, KM!$A:$E, 5, 0)</f>
        <v>434</v>
      </c>
      <c r="Q237" s="24">
        <f>VLOOKUP(J237, KM!$A:$E, 5, 0)</f>
        <v>521</v>
      </c>
      <c r="R237" s="24">
        <f>VLOOKUP(K237, KM!$A:$E, 5, 0)</f>
        <v>1144</v>
      </c>
      <c r="S237" s="24">
        <f>VLOOKUP(L237, KM!$A:$E, 5, 0)</f>
        <v>0</v>
      </c>
      <c r="T237" s="24">
        <f>VLOOKUP(M237, KM!$A:$E, 5, 0)</f>
        <v>852</v>
      </c>
      <c r="U237" s="24">
        <f>VLOOKUP(N237, KM!$A:$E, 5, 0)</f>
        <v>4374</v>
      </c>
      <c r="V237" s="24">
        <f>VLOOKUP(H237, IMPOSTO!$A:$D, 4, 0)</f>
        <v>0.12</v>
      </c>
      <c r="W237" s="24">
        <f>VLOOKUP(I237, IMPOSTO!$A:$D, 4, 0)</f>
        <v>0.12</v>
      </c>
      <c r="X237" s="24">
        <f>VLOOKUP(J237, IMPOSTO!$A:$D, 4, 0)</f>
        <v>7.0000000000000007E-2</v>
      </c>
      <c r="Y237" s="24">
        <f>VLOOKUP(K237, IMPOSTO!$A:$D, 4, 0)</f>
        <v>0.12</v>
      </c>
      <c r="Z237" s="24">
        <f>VLOOKUP(L237, IMPOSTO!$A:$D, 4, 0)</f>
        <v>0.18</v>
      </c>
      <c r="AA237" s="24">
        <f>VLOOKUP(M237, IMPOSTO!$A:$D, 4, 0)</f>
        <v>0.12</v>
      </c>
      <c r="AB237" s="24">
        <f>VLOOKUP(N237, IMPOSTO!$A:$D, 4, 0)</f>
        <v>7.0000000000000007E-2</v>
      </c>
      <c r="AC237" s="25">
        <f t="shared" si="31"/>
        <v>80.148509090909087</v>
      </c>
      <c r="AD237" s="25">
        <f t="shared" si="32"/>
        <v>80.7166909090909</v>
      </c>
      <c r="AE237" s="25">
        <f t="shared" si="33"/>
        <v>85.731922580645161</v>
      </c>
      <c r="AF237" s="25">
        <f t="shared" si="34"/>
        <v>161.3985090909091</v>
      </c>
      <c r="AG237" s="25">
        <f t="shared" si="35"/>
        <v>33.695960975609751</v>
      </c>
      <c r="AH237" s="25">
        <f t="shared" si="36"/>
        <v>128.21669090909091</v>
      </c>
      <c r="AI237" s="25">
        <f t="shared" si="37"/>
        <v>500.03299784946245</v>
      </c>
    </row>
    <row r="238" spans="1:35" ht="15.75" customHeight="1">
      <c r="A238" s="12" t="s">
        <v>276</v>
      </c>
      <c r="B238" s="12" t="s">
        <v>277</v>
      </c>
      <c r="C238" s="12" t="s">
        <v>278</v>
      </c>
      <c r="D238" s="12" t="s">
        <v>33</v>
      </c>
      <c r="E238" s="12" t="s">
        <v>27</v>
      </c>
      <c r="F238" s="13">
        <v>0.2442</v>
      </c>
      <c r="G238" s="14">
        <v>5.5871819999999985</v>
      </c>
      <c r="H238" s="24" t="str">
        <f t="shared" si="30"/>
        <v>RJSP</v>
      </c>
      <c r="I238" s="24" t="str">
        <f t="shared" si="29"/>
        <v>RJMG</v>
      </c>
      <c r="J238" s="24" t="str">
        <f t="shared" ref="I238:N301" si="38">$E238 &amp; J$17</f>
        <v>RJES</v>
      </c>
      <c r="K238" s="24" t="str">
        <f t="shared" si="38"/>
        <v>RJSC</v>
      </c>
      <c r="L238" s="24" t="str">
        <f t="shared" si="38"/>
        <v>RJRJ</v>
      </c>
      <c r="M238" s="24" t="str">
        <f t="shared" si="38"/>
        <v>RJPR</v>
      </c>
      <c r="N238" s="24" t="str">
        <f t="shared" si="38"/>
        <v>RJAM</v>
      </c>
      <c r="O238" s="24">
        <f>VLOOKUP(H238, KM!$A:$E, 5, 0)</f>
        <v>429</v>
      </c>
      <c r="P238" s="24">
        <f>VLOOKUP(I238, KM!$A:$E, 5, 0)</f>
        <v>434</v>
      </c>
      <c r="Q238" s="24">
        <f>VLOOKUP(J238, KM!$A:$E, 5, 0)</f>
        <v>521</v>
      </c>
      <c r="R238" s="24">
        <f>VLOOKUP(K238, KM!$A:$E, 5, 0)</f>
        <v>1144</v>
      </c>
      <c r="S238" s="24">
        <f>VLOOKUP(L238, KM!$A:$E, 5, 0)</f>
        <v>0</v>
      </c>
      <c r="T238" s="24">
        <f>VLOOKUP(M238, KM!$A:$E, 5, 0)</f>
        <v>852</v>
      </c>
      <c r="U238" s="24">
        <f>VLOOKUP(N238, KM!$A:$E, 5, 0)</f>
        <v>4374</v>
      </c>
      <c r="V238" s="24">
        <f>VLOOKUP(H238, IMPOSTO!$A:$D, 4, 0)</f>
        <v>0.12</v>
      </c>
      <c r="W238" s="24">
        <f>VLOOKUP(I238, IMPOSTO!$A:$D, 4, 0)</f>
        <v>0.12</v>
      </c>
      <c r="X238" s="24">
        <f>VLOOKUP(J238, IMPOSTO!$A:$D, 4, 0)</f>
        <v>7.0000000000000007E-2</v>
      </c>
      <c r="Y238" s="24">
        <f>VLOOKUP(K238, IMPOSTO!$A:$D, 4, 0)</f>
        <v>0.12</v>
      </c>
      <c r="Z238" s="24">
        <f>VLOOKUP(L238, IMPOSTO!$A:$D, 4, 0)</f>
        <v>0.18</v>
      </c>
      <c r="AA238" s="24">
        <f>VLOOKUP(M238, IMPOSTO!$A:$D, 4, 0)</f>
        <v>0.12</v>
      </c>
      <c r="AB238" s="24">
        <f>VLOOKUP(N238, IMPOSTO!$A:$D, 4, 0)</f>
        <v>7.0000000000000007E-2</v>
      </c>
      <c r="AC238" s="25">
        <f t="shared" si="31"/>
        <v>55.099070454545462</v>
      </c>
      <c r="AD238" s="25">
        <f t="shared" si="32"/>
        <v>55.667252272727275</v>
      </c>
      <c r="AE238" s="25">
        <f t="shared" si="33"/>
        <v>62.029227956989253</v>
      </c>
      <c r="AF238" s="25">
        <f t="shared" si="34"/>
        <v>136.34907045454545</v>
      </c>
      <c r="AG238" s="25">
        <f t="shared" si="35"/>
        <v>6.8136365853658516</v>
      </c>
      <c r="AH238" s="25">
        <f t="shared" si="36"/>
        <v>103.16725227272727</v>
      </c>
      <c r="AI238" s="25">
        <f t="shared" si="37"/>
        <v>476.33030322580652</v>
      </c>
    </row>
    <row r="239" spans="1:35" ht="15.75" customHeight="1">
      <c r="A239" s="12" t="s">
        <v>279</v>
      </c>
      <c r="B239" s="12" t="s">
        <v>280</v>
      </c>
      <c r="C239" s="12" t="s">
        <v>278</v>
      </c>
      <c r="D239" s="12" t="s">
        <v>33</v>
      </c>
      <c r="E239" s="12" t="s">
        <v>27</v>
      </c>
      <c r="F239" s="13">
        <v>2.3999999999999997E-2</v>
      </c>
      <c r="G239" s="14">
        <v>1.14924</v>
      </c>
      <c r="H239" s="24" t="str">
        <f t="shared" si="30"/>
        <v>RJSP</v>
      </c>
      <c r="I239" s="24" t="str">
        <f t="shared" si="38"/>
        <v>RJMG</v>
      </c>
      <c r="J239" s="24" t="str">
        <f t="shared" si="38"/>
        <v>RJES</v>
      </c>
      <c r="K239" s="24" t="str">
        <f t="shared" si="38"/>
        <v>RJSC</v>
      </c>
      <c r="L239" s="24" t="str">
        <f t="shared" si="38"/>
        <v>RJRJ</v>
      </c>
      <c r="M239" s="24" t="str">
        <f t="shared" si="38"/>
        <v>RJPR</v>
      </c>
      <c r="N239" s="24" t="str">
        <f t="shared" si="38"/>
        <v>RJAM</v>
      </c>
      <c r="O239" s="24">
        <f>VLOOKUP(H239, KM!$A:$E, 5, 0)</f>
        <v>429</v>
      </c>
      <c r="P239" s="24">
        <f>VLOOKUP(I239, KM!$A:$E, 5, 0)</f>
        <v>434</v>
      </c>
      <c r="Q239" s="24">
        <f>VLOOKUP(J239, KM!$A:$E, 5, 0)</f>
        <v>521</v>
      </c>
      <c r="R239" s="24">
        <f>VLOOKUP(K239, KM!$A:$E, 5, 0)</f>
        <v>1144</v>
      </c>
      <c r="S239" s="24">
        <f>VLOOKUP(L239, KM!$A:$E, 5, 0)</f>
        <v>0</v>
      </c>
      <c r="T239" s="24">
        <f>VLOOKUP(M239, KM!$A:$E, 5, 0)</f>
        <v>852</v>
      </c>
      <c r="U239" s="24">
        <f>VLOOKUP(N239, KM!$A:$E, 5, 0)</f>
        <v>4374</v>
      </c>
      <c r="V239" s="24">
        <f>VLOOKUP(H239, IMPOSTO!$A:$D, 4, 0)</f>
        <v>0.12</v>
      </c>
      <c r="W239" s="24">
        <f>VLOOKUP(I239, IMPOSTO!$A:$D, 4, 0)</f>
        <v>0.12</v>
      </c>
      <c r="X239" s="24">
        <f>VLOOKUP(J239, IMPOSTO!$A:$D, 4, 0)</f>
        <v>7.0000000000000007E-2</v>
      </c>
      <c r="Y239" s="24">
        <f>VLOOKUP(K239, IMPOSTO!$A:$D, 4, 0)</f>
        <v>0.12</v>
      </c>
      <c r="Z239" s="24">
        <f>VLOOKUP(L239, IMPOSTO!$A:$D, 4, 0)</f>
        <v>0.18</v>
      </c>
      <c r="AA239" s="24">
        <f>VLOOKUP(M239, IMPOSTO!$A:$D, 4, 0)</f>
        <v>0.12</v>
      </c>
      <c r="AB239" s="24">
        <f>VLOOKUP(N239, IMPOSTO!$A:$D, 4, 0)</f>
        <v>7.0000000000000007E-2</v>
      </c>
      <c r="AC239" s="25">
        <f t="shared" si="31"/>
        <v>50.055954545454547</v>
      </c>
      <c r="AD239" s="25">
        <f t="shared" si="32"/>
        <v>50.624136363636367</v>
      </c>
      <c r="AE239" s="25">
        <f t="shared" si="33"/>
        <v>57.25724731182796</v>
      </c>
      <c r="AF239" s="25">
        <f t="shared" si="34"/>
        <v>131.30595454545457</v>
      </c>
      <c r="AG239" s="25">
        <f t="shared" si="35"/>
        <v>1.4015121951219511</v>
      </c>
      <c r="AH239" s="25">
        <f t="shared" si="36"/>
        <v>98.124136363636367</v>
      </c>
      <c r="AI239" s="25">
        <f t="shared" si="37"/>
        <v>471.55832258064527</v>
      </c>
    </row>
    <row r="240" spans="1:35" ht="15.75" customHeight="1">
      <c r="A240" s="12" t="s">
        <v>281</v>
      </c>
      <c r="B240" s="12" t="s">
        <v>282</v>
      </c>
      <c r="C240" s="12" t="s">
        <v>283</v>
      </c>
      <c r="D240" s="12" t="s">
        <v>33</v>
      </c>
      <c r="E240" s="12" t="s">
        <v>27</v>
      </c>
      <c r="F240" s="13">
        <v>1.2500000000000001E-2</v>
      </c>
      <c r="G240" s="14">
        <v>0.42575499999999999</v>
      </c>
      <c r="H240" s="24" t="str">
        <f t="shared" si="30"/>
        <v>RJSP</v>
      </c>
      <c r="I240" s="24" t="str">
        <f t="shared" si="38"/>
        <v>RJMG</v>
      </c>
      <c r="J240" s="24" t="str">
        <f t="shared" si="38"/>
        <v>RJES</v>
      </c>
      <c r="K240" s="24" t="str">
        <f t="shared" si="38"/>
        <v>RJSC</v>
      </c>
      <c r="L240" s="24" t="str">
        <f t="shared" si="38"/>
        <v>RJRJ</v>
      </c>
      <c r="M240" s="24" t="str">
        <f t="shared" si="38"/>
        <v>RJPR</v>
      </c>
      <c r="N240" s="24" t="str">
        <f t="shared" si="38"/>
        <v>RJAM</v>
      </c>
      <c r="O240" s="24">
        <f>VLOOKUP(H240, KM!$A:$E, 5, 0)</f>
        <v>429</v>
      </c>
      <c r="P240" s="24">
        <f>VLOOKUP(I240, KM!$A:$E, 5, 0)</f>
        <v>434</v>
      </c>
      <c r="Q240" s="24">
        <f>VLOOKUP(J240, KM!$A:$E, 5, 0)</f>
        <v>521</v>
      </c>
      <c r="R240" s="24">
        <f>VLOOKUP(K240, KM!$A:$E, 5, 0)</f>
        <v>1144</v>
      </c>
      <c r="S240" s="24">
        <f>VLOOKUP(L240, KM!$A:$E, 5, 0)</f>
        <v>0</v>
      </c>
      <c r="T240" s="24">
        <f>VLOOKUP(M240, KM!$A:$E, 5, 0)</f>
        <v>852</v>
      </c>
      <c r="U240" s="24">
        <f>VLOOKUP(N240, KM!$A:$E, 5, 0)</f>
        <v>4374</v>
      </c>
      <c r="V240" s="24">
        <f>VLOOKUP(H240, IMPOSTO!$A:$D, 4, 0)</f>
        <v>0.12</v>
      </c>
      <c r="W240" s="24">
        <f>VLOOKUP(I240, IMPOSTO!$A:$D, 4, 0)</f>
        <v>0.12</v>
      </c>
      <c r="X240" s="24">
        <f>VLOOKUP(J240, IMPOSTO!$A:$D, 4, 0)</f>
        <v>7.0000000000000007E-2</v>
      </c>
      <c r="Y240" s="24">
        <f>VLOOKUP(K240, IMPOSTO!$A:$D, 4, 0)</f>
        <v>0.12</v>
      </c>
      <c r="Z240" s="24">
        <f>VLOOKUP(L240, IMPOSTO!$A:$D, 4, 0)</f>
        <v>0.18</v>
      </c>
      <c r="AA240" s="24">
        <f>VLOOKUP(M240, IMPOSTO!$A:$D, 4, 0)</f>
        <v>0.12</v>
      </c>
      <c r="AB240" s="24">
        <f>VLOOKUP(N240, IMPOSTO!$A:$D, 4, 0)</f>
        <v>7.0000000000000007E-2</v>
      </c>
      <c r="AC240" s="25">
        <f t="shared" si="31"/>
        <v>49.233812500000006</v>
      </c>
      <c r="AD240" s="25">
        <f t="shared" si="32"/>
        <v>49.801994318181826</v>
      </c>
      <c r="AE240" s="25">
        <f t="shared" si="33"/>
        <v>56.479306451612914</v>
      </c>
      <c r="AF240" s="25">
        <f t="shared" si="34"/>
        <v>130.4838125</v>
      </c>
      <c r="AG240" s="25">
        <f t="shared" si="35"/>
        <v>0.51921341463414628</v>
      </c>
      <c r="AH240" s="25">
        <f t="shared" si="36"/>
        <v>97.301994318181812</v>
      </c>
      <c r="AI240" s="25">
        <f t="shared" si="37"/>
        <v>470.78038172043017</v>
      </c>
    </row>
    <row r="241" spans="1:35" ht="15.75" customHeight="1">
      <c r="A241" s="12" t="s">
        <v>284</v>
      </c>
      <c r="B241" s="12" t="s">
        <v>285</v>
      </c>
      <c r="C241" s="12" t="s">
        <v>140</v>
      </c>
      <c r="D241" s="12" t="s">
        <v>33</v>
      </c>
      <c r="E241" s="12" t="s">
        <v>27</v>
      </c>
      <c r="F241" s="13">
        <v>4.0000000000000001E-3</v>
      </c>
      <c r="G241" s="14">
        <v>6.8900000000000003E-2</v>
      </c>
      <c r="H241" s="24" t="str">
        <f t="shared" si="30"/>
        <v>RJSP</v>
      </c>
      <c r="I241" s="24" t="str">
        <f t="shared" si="38"/>
        <v>RJMG</v>
      </c>
      <c r="J241" s="24" t="str">
        <f t="shared" si="38"/>
        <v>RJES</v>
      </c>
      <c r="K241" s="24" t="str">
        <f t="shared" si="38"/>
        <v>RJSC</v>
      </c>
      <c r="L241" s="24" t="str">
        <f t="shared" si="38"/>
        <v>RJRJ</v>
      </c>
      <c r="M241" s="24" t="str">
        <f t="shared" si="38"/>
        <v>RJPR</v>
      </c>
      <c r="N241" s="24" t="str">
        <f t="shared" si="38"/>
        <v>RJAM</v>
      </c>
      <c r="O241" s="24">
        <f>VLOOKUP(H241, KM!$A:$E, 5, 0)</f>
        <v>429</v>
      </c>
      <c r="P241" s="24">
        <f>VLOOKUP(I241, KM!$A:$E, 5, 0)</f>
        <v>434</v>
      </c>
      <c r="Q241" s="24">
        <f>VLOOKUP(J241, KM!$A:$E, 5, 0)</f>
        <v>521</v>
      </c>
      <c r="R241" s="24">
        <f>VLOOKUP(K241, KM!$A:$E, 5, 0)</f>
        <v>1144</v>
      </c>
      <c r="S241" s="24">
        <f>VLOOKUP(L241, KM!$A:$E, 5, 0)</f>
        <v>0</v>
      </c>
      <c r="T241" s="24">
        <f>VLOOKUP(M241, KM!$A:$E, 5, 0)</f>
        <v>852</v>
      </c>
      <c r="U241" s="24">
        <f>VLOOKUP(N241, KM!$A:$E, 5, 0)</f>
        <v>4374</v>
      </c>
      <c r="V241" s="24">
        <f>VLOOKUP(H241, IMPOSTO!$A:$D, 4, 0)</f>
        <v>0.12</v>
      </c>
      <c r="W241" s="24">
        <f>VLOOKUP(I241, IMPOSTO!$A:$D, 4, 0)</f>
        <v>0.12</v>
      </c>
      <c r="X241" s="24">
        <f>VLOOKUP(J241, IMPOSTO!$A:$D, 4, 0)</f>
        <v>7.0000000000000007E-2</v>
      </c>
      <c r="Y241" s="24">
        <f>VLOOKUP(K241, IMPOSTO!$A:$D, 4, 0)</f>
        <v>0.12</v>
      </c>
      <c r="Z241" s="24">
        <f>VLOOKUP(L241, IMPOSTO!$A:$D, 4, 0)</f>
        <v>0.18</v>
      </c>
      <c r="AA241" s="24">
        <f>VLOOKUP(M241, IMPOSTO!$A:$D, 4, 0)</f>
        <v>0.12</v>
      </c>
      <c r="AB241" s="24">
        <f>VLOOKUP(N241, IMPOSTO!$A:$D, 4, 0)</f>
        <v>7.0000000000000007E-2</v>
      </c>
      <c r="AC241" s="25">
        <f t="shared" si="31"/>
        <v>48.828295454545461</v>
      </c>
      <c r="AD241" s="25">
        <f t="shared" si="32"/>
        <v>49.396477272727282</v>
      </c>
      <c r="AE241" s="25">
        <f t="shared" si="33"/>
        <v>56.095591397849468</v>
      </c>
      <c r="AF241" s="25">
        <f t="shared" si="34"/>
        <v>130.07829545454547</v>
      </c>
      <c r="AG241" s="25">
        <f t="shared" si="35"/>
        <v>8.402439024390243E-2</v>
      </c>
      <c r="AH241" s="25">
        <f t="shared" si="36"/>
        <v>96.896477272727282</v>
      </c>
      <c r="AI241" s="25">
        <f t="shared" si="37"/>
        <v>470.3966666666667</v>
      </c>
    </row>
    <row r="242" spans="1:35" ht="15.75" customHeight="1">
      <c r="A242" s="12" t="s">
        <v>39</v>
      </c>
      <c r="B242" s="12" t="s">
        <v>40</v>
      </c>
      <c r="C242" s="12" t="s">
        <v>32</v>
      </c>
      <c r="D242" s="12" t="s">
        <v>33</v>
      </c>
      <c r="E242" s="12" t="s">
        <v>27</v>
      </c>
      <c r="F242" s="13">
        <v>2.0000000000000001E-4</v>
      </c>
      <c r="G242" s="14">
        <v>1.1034E-2</v>
      </c>
      <c r="H242" s="24" t="str">
        <f t="shared" si="30"/>
        <v>RJSP</v>
      </c>
      <c r="I242" s="24" t="str">
        <f t="shared" si="38"/>
        <v>RJMG</v>
      </c>
      <c r="J242" s="24" t="str">
        <f t="shared" si="38"/>
        <v>RJES</v>
      </c>
      <c r="K242" s="24" t="str">
        <f t="shared" si="38"/>
        <v>RJSC</v>
      </c>
      <c r="L242" s="24" t="str">
        <f t="shared" si="38"/>
        <v>RJRJ</v>
      </c>
      <c r="M242" s="24" t="str">
        <f t="shared" si="38"/>
        <v>RJPR</v>
      </c>
      <c r="N242" s="24" t="str">
        <f t="shared" si="38"/>
        <v>RJAM</v>
      </c>
      <c r="O242" s="24">
        <f>VLOOKUP(H242, KM!$A:$E, 5, 0)</f>
        <v>429</v>
      </c>
      <c r="P242" s="24">
        <f>VLOOKUP(I242, KM!$A:$E, 5, 0)</f>
        <v>434</v>
      </c>
      <c r="Q242" s="24">
        <f>VLOOKUP(J242, KM!$A:$E, 5, 0)</f>
        <v>521</v>
      </c>
      <c r="R242" s="24">
        <f>VLOOKUP(K242, KM!$A:$E, 5, 0)</f>
        <v>1144</v>
      </c>
      <c r="S242" s="24">
        <f>VLOOKUP(L242, KM!$A:$E, 5, 0)</f>
        <v>0</v>
      </c>
      <c r="T242" s="24">
        <f>VLOOKUP(M242, KM!$A:$E, 5, 0)</f>
        <v>852</v>
      </c>
      <c r="U242" s="24">
        <f>VLOOKUP(N242, KM!$A:$E, 5, 0)</f>
        <v>4374</v>
      </c>
      <c r="V242" s="24">
        <f>VLOOKUP(H242, IMPOSTO!$A:$D, 4, 0)</f>
        <v>0.12</v>
      </c>
      <c r="W242" s="24">
        <f>VLOOKUP(I242, IMPOSTO!$A:$D, 4, 0)</f>
        <v>0.12</v>
      </c>
      <c r="X242" s="24">
        <f>VLOOKUP(J242, IMPOSTO!$A:$D, 4, 0)</f>
        <v>7.0000000000000007E-2</v>
      </c>
      <c r="Y242" s="24">
        <f>VLOOKUP(K242, IMPOSTO!$A:$D, 4, 0)</f>
        <v>0.12</v>
      </c>
      <c r="Z242" s="24">
        <f>VLOOKUP(L242, IMPOSTO!$A:$D, 4, 0)</f>
        <v>0.18</v>
      </c>
      <c r="AA242" s="24">
        <f>VLOOKUP(M242, IMPOSTO!$A:$D, 4, 0)</f>
        <v>0.12</v>
      </c>
      <c r="AB242" s="24">
        <f>VLOOKUP(N242, IMPOSTO!$A:$D, 4, 0)</f>
        <v>7.0000000000000007E-2</v>
      </c>
      <c r="AC242" s="25">
        <f t="shared" si="31"/>
        <v>48.762538636363644</v>
      </c>
      <c r="AD242" s="25">
        <f t="shared" si="32"/>
        <v>49.330720454545464</v>
      </c>
      <c r="AE242" s="25">
        <f t="shared" si="33"/>
        <v>56.033369892473125</v>
      </c>
      <c r="AF242" s="25">
        <f t="shared" si="34"/>
        <v>130.01253863636364</v>
      </c>
      <c r="AG242" s="25">
        <f t="shared" si="35"/>
        <v>1.345609756097561E-2</v>
      </c>
      <c r="AH242" s="25">
        <f t="shared" si="36"/>
        <v>96.830720454545457</v>
      </c>
      <c r="AI242" s="25">
        <f t="shared" si="37"/>
        <v>470.33444516129038</v>
      </c>
    </row>
    <row r="243" spans="1:35" ht="15.75" customHeight="1">
      <c r="A243" s="12" t="s">
        <v>286</v>
      </c>
      <c r="B243" s="12" t="s">
        <v>287</v>
      </c>
      <c r="C243" s="12" t="s">
        <v>283</v>
      </c>
      <c r="D243" s="12" t="s">
        <v>33</v>
      </c>
      <c r="E243" s="12" t="s">
        <v>27</v>
      </c>
      <c r="F243" s="13">
        <v>2.3999999999999998E-3</v>
      </c>
      <c r="G243" s="14">
        <v>7.167599999999999E-2</v>
      </c>
      <c r="H243" s="24" t="str">
        <f t="shared" si="30"/>
        <v>RJSP</v>
      </c>
      <c r="I243" s="24" t="str">
        <f t="shared" si="38"/>
        <v>RJMG</v>
      </c>
      <c r="J243" s="24" t="str">
        <f t="shared" si="38"/>
        <v>RJES</v>
      </c>
      <c r="K243" s="24" t="str">
        <f t="shared" si="38"/>
        <v>RJSC</v>
      </c>
      <c r="L243" s="24" t="str">
        <f t="shared" si="38"/>
        <v>RJRJ</v>
      </c>
      <c r="M243" s="24" t="str">
        <f t="shared" si="38"/>
        <v>RJPR</v>
      </c>
      <c r="N243" s="24" t="str">
        <f t="shared" si="38"/>
        <v>RJAM</v>
      </c>
      <c r="O243" s="24">
        <f>VLOOKUP(H243, KM!$A:$E, 5, 0)</f>
        <v>429</v>
      </c>
      <c r="P243" s="24">
        <f>VLOOKUP(I243, KM!$A:$E, 5, 0)</f>
        <v>434</v>
      </c>
      <c r="Q243" s="24">
        <f>VLOOKUP(J243, KM!$A:$E, 5, 0)</f>
        <v>521</v>
      </c>
      <c r="R243" s="24">
        <f>VLOOKUP(K243, KM!$A:$E, 5, 0)</f>
        <v>1144</v>
      </c>
      <c r="S243" s="24">
        <f>VLOOKUP(L243, KM!$A:$E, 5, 0)</f>
        <v>0</v>
      </c>
      <c r="T243" s="24">
        <f>VLOOKUP(M243, KM!$A:$E, 5, 0)</f>
        <v>852</v>
      </c>
      <c r="U243" s="24">
        <f>VLOOKUP(N243, KM!$A:$E, 5, 0)</f>
        <v>4374</v>
      </c>
      <c r="V243" s="24">
        <f>VLOOKUP(H243, IMPOSTO!$A:$D, 4, 0)</f>
        <v>0.12</v>
      </c>
      <c r="W243" s="24">
        <f>VLOOKUP(I243, IMPOSTO!$A:$D, 4, 0)</f>
        <v>0.12</v>
      </c>
      <c r="X243" s="24">
        <f>VLOOKUP(J243, IMPOSTO!$A:$D, 4, 0)</f>
        <v>7.0000000000000007E-2</v>
      </c>
      <c r="Y243" s="24">
        <f>VLOOKUP(K243, IMPOSTO!$A:$D, 4, 0)</f>
        <v>0.12</v>
      </c>
      <c r="Z243" s="24">
        <f>VLOOKUP(L243, IMPOSTO!$A:$D, 4, 0)</f>
        <v>0.18</v>
      </c>
      <c r="AA243" s="24">
        <f>VLOOKUP(M243, IMPOSTO!$A:$D, 4, 0)</f>
        <v>0.12</v>
      </c>
      <c r="AB243" s="24">
        <f>VLOOKUP(N243, IMPOSTO!$A:$D, 4, 0)</f>
        <v>7.0000000000000007E-2</v>
      </c>
      <c r="AC243" s="25">
        <f t="shared" si="31"/>
        <v>48.831450000000004</v>
      </c>
      <c r="AD243" s="25">
        <f t="shared" si="32"/>
        <v>49.399631818181824</v>
      </c>
      <c r="AE243" s="25">
        <f t="shared" si="33"/>
        <v>56.09857634408602</v>
      </c>
      <c r="AF243" s="25">
        <f t="shared" si="34"/>
        <v>130.08144999999999</v>
      </c>
      <c r="AG243" s="25">
        <f t="shared" si="35"/>
        <v>8.7409756097560951E-2</v>
      </c>
      <c r="AH243" s="25">
        <f t="shared" si="36"/>
        <v>96.899631818181817</v>
      </c>
      <c r="AI243" s="25">
        <f t="shared" si="37"/>
        <v>470.39965161290331</v>
      </c>
    </row>
    <row r="244" spans="1:35" ht="15.75" customHeight="1">
      <c r="A244" s="12" t="s">
        <v>288</v>
      </c>
      <c r="B244" s="12" t="s">
        <v>289</v>
      </c>
      <c r="C244" s="12" t="s">
        <v>283</v>
      </c>
      <c r="D244" s="12" t="s">
        <v>33</v>
      </c>
      <c r="E244" s="12" t="s">
        <v>27</v>
      </c>
      <c r="F244" s="13">
        <v>0.19319999999999998</v>
      </c>
      <c r="G244" s="14">
        <v>11.239732</v>
      </c>
      <c r="H244" s="24" t="str">
        <f t="shared" si="30"/>
        <v>RJSP</v>
      </c>
      <c r="I244" s="24" t="str">
        <f t="shared" si="38"/>
        <v>RJMG</v>
      </c>
      <c r="J244" s="24" t="str">
        <f t="shared" si="38"/>
        <v>RJES</v>
      </c>
      <c r="K244" s="24" t="str">
        <f t="shared" si="38"/>
        <v>RJSC</v>
      </c>
      <c r="L244" s="24" t="str">
        <f t="shared" si="38"/>
        <v>RJRJ</v>
      </c>
      <c r="M244" s="24" t="str">
        <f t="shared" si="38"/>
        <v>RJPR</v>
      </c>
      <c r="N244" s="24" t="str">
        <f t="shared" si="38"/>
        <v>RJAM</v>
      </c>
      <c r="O244" s="24">
        <f>VLOOKUP(H244, KM!$A:$E, 5, 0)</f>
        <v>429</v>
      </c>
      <c r="P244" s="24">
        <f>VLOOKUP(I244, KM!$A:$E, 5, 0)</f>
        <v>434</v>
      </c>
      <c r="Q244" s="24">
        <f>VLOOKUP(J244, KM!$A:$E, 5, 0)</f>
        <v>521</v>
      </c>
      <c r="R244" s="24">
        <f>VLOOKUP(K244, KM!$A:$E, 5, 0)</f>
        <v>1144</v>
      </c>
      <c r="S244" s="24">
        <f>VLOOKUP(L244, KM!$A:$E, 5, 0)</f>
        <v>0</v>
      </c>
      <c r="T244" s="24">
        <f>VLOOKUP(M244, KM!$A:$E, 5, 0)</f>
        <v>852</v>
      </c>
      <c r="U244" s="24">
        <f>VLOOKUP(N244, KM!$A:$E, 5, 0)</f>
        <v>4374</v>
      </c>
      <c r="V244" s="24">
        <f>VLOOKUP(H244, IMPOSTO!$A:$D, 4, 0)</f>
        <v>0.12</v>
      </c>
      <c r="W244" s="24">
        <f>VLOOKUP(I244, IMPOSTO!$A:$D, 4, 0)</f>
        <v>0.12</v>
      </c>
      <c r="X244" s="24">
        <f>VLOOKUP(J244, IMPOSTO!$A:$D, 4, 0)</f>
        <v>7.0000000000000007E-2</v>
      </c>
      <c r="Y244" s="24">
        <f>VLOOKUP(K244, IMPOSTO!$A:$D, 4, 0)</f>
        <v>0.12</v>
      </c>
      <c r="Z244" s="24">
        <f>VLOOKUP(L244, IMPOSTO!$A:$D, 4, 0)</f>
        <v>0.18</v>
      </c>
      <c r="AA244" s="24">
        <f>VLOOKUP(M244, IMPOSTO!$A:$D, 4, 0)</f>
        <v>0.12</v>
      </c>
      <c r="AB244" s="24">
        <f>VLOOKUP(N244, IMPOSTO!$A:$D, 4, 0)</f>
        <v>7.0000000000000007E-2</v>
      </c>
      <c r="AC244" s="25">
        <f t="shared" si="31"/>
        <v>61.52242272727274</v>
      </c>
      <c r="AD244" s="25">
        <f t="shared" si="32"/>
        <v>62.090604545454553</v>
      </c>
      <c r="AE244" s="25">
        <f t="shared" si="33"/>
        <v>68.107238709677418</v>
      </c>
      <c r="AF244" s="25">
        <f t="shared" si="34"/>
        <v>142.77242272727273</v>
      </c>
      <c r="AG244" s="25">
        <f t="shared" si="35"/>
        <v>13.706990243902439</v>
      </c>
      <c r="AH244" s="25">
        <f t="shared" si="36"/>
        <v>109.59060454545455</v>
      </c>
      <c r="AI244" s="25">
        <f t="shared" si="37"/>
        <v>482.40831397849468</v>
      </c>
    </row>
    <row r="245" spans="1:35" ht="15.75" customHeight="1">
      <c r="A245" s="12" t="s">
        <v>290</v>
      </c>
      <c r="B245" s="12" t="s">
        <v>291</v>
      </c>
      <c r="C245" s="12" t="s">
        <v>283</v>
      </c>
      <c r="D245" s="12" t="s">
        <v>33</v>
      </c>
      <c r="E245" s="12" t="s">
        <v>27</v>
      </c>
      <c r="F245" s="13">
        <v>1.2999999999999999E-2</v>
      </c>
      <c r="G245" s="14">
        <v>0.75630099999999989</v>
      </c>
      <c r="H245" s="24" t="str">
        <f t="shared" si="30"/>
        <v>RJSP</v>
      </c>
      <c r="I245" s="24" t="str">
        <f t="shared" si="38"/>
        <v>RJMG</v>
      </c>
      <c r="J245" s="24" t="str">
        <f t="shared" si="38"/>
        <v>RJES</v>
      </c>
      <c r="K245" s="24" t="str">
        <f t="shared" si="38"/>
        <v>RJSC</v>
      </c>
      <c r="L245" s="24" t="str">
        <f t="shared" si="38"/>
        <v>RJRJ</v>
      </c>
      <c r="M245" s="24" t="str">
        <f t="shared" si="38"/>
        <v>RJPR</v>
      </c>
      <c r="N245" s="24" t="str">
        <f t="shared" si="38"/>
        <v>RJAM</v>
      </c>
      <c r="O245" s="24">
        <f>VLOOKUP(H245, KM!$A:$E, 5, 0)</f>
        <v>429</v>
      </c>
      <c r="P245" s="24">
        <f>VLOOKUP(I245, KM!$A:$E, 5, 0)</f>
        <v>434</v>
      </c>
      <c r="Q245" s="24">
        <f>VLOOKUP(J245, KM!$A:$E, 5, 0)</f>
        <v>521</v>
      </c>
      <c r="R245" s="24">
        <f>VLOOKUP(K245, KM!$A:$E, 5, 0)</f>
        <v>1144</v>
      </c>
      <c r="S245" s="24">
        <f>VLOOKUP(L245, KM!$A:$E, 5, 0)</f>
        <v>0</v>
      </c>
      <c r="T245" s="24">
        <f>VLOOKUP(M245, KM!$A:$E, 5, 0)</f>
        <v>852</v>
      </c>
      <c r="U245" s="24">
        <f>VLOOKUP(N245, KM!$A:$E, 5, 0)</f>
        <v>4374</v>
      </c>
      <c r="V245" s="24">
        <f>VLOOKUP(H245, IMPOSTO!$A:$D, 4, 0)</f>
        <v>0.12</v>
      </c>
      <c r="W245" s="24">
        <f>VLOOKUP(I245, IMPOSTO!$A:$D, 4, 0)</f>
        <v>0.12</v>
      </c>
      <c r="X245" s="24">
        <f>VLOOKUP(J245, IMPOSTO!$A:$D, 4, 0)</f>
        <v>7.0000000000000007E-2</v>
      </c>
      <c r="Y245" s="24">
        <f>VLOOKUP(K245, IMPOSTO!$A:$D, 4, 0)</f>
        <v>0.12</v>
      </c>
      <c r="Z245" s="24">
        <f>VLOOKUP(L245, IMPOSTO!$A:$D, 4, 0)</f>
        <v>0.18</v>
      </c>
      <c r="AA245" s="24">
        <f>VLOOKUP(M245, IMPOSTO!$A:$D, 4, 0)</f>
        <v>0.12</v>
      </c>
      <c r="AB245" s="24">
        <f>VLOOKUP(N245, IMPOSTO!$A:$D, 4, 0)</f>
        <v>7.0000000000000007E-2</v>
      </c>
      <c r="AC245" s="25">
        <f t="shared" si="31"/>
        <v>49.609432954545461</v>
      </c>
      <c r="AD245" s="25">
        <f t="shared" si="32"/>
        <v>50.177614772727281</v>
      </c>
      <c r="AE245" s="25">
        <f t="shared" si="33"/>
        <v>56.83473225806452</v>
      </c>
      <c r="AF245" s="25">
        <f t="shared" si="34"/>
        <v>130.85943295454544</v>
      </c>
      <c r="AG245" s="25">
        <f t="shared" si="35"/>
        <v>0.92231829268292664</v>
      </c>
      <c r="AH245" s="25">
        <f t="shared" si="36"/>
        <v>97.677614772727267</v>
      </c>
      <c r="AI245" s="25">
        <f t="shared" si="37"/>
        <v>471.13580752688182</v>
      </c>
    </row>
    <row r="246" spans="1:35" ht="15.75" customHeight="1">
      <c r="A246" s="12" t="s">
        <v>292</v>
      </c>
      <c r="B246" s="12" t="s">
        <v>293</v>
      </c>
      <c r="C246" s="12" t="s">
        <v>265</v>
      </c>
      <c r="D246" s="12" t="s">
        <v>33</v>
      </c>
      <c r="E246" s="12" t="s">
        <v>27</v>
      </c>
      <c r="F246" s="13">
        <v>5</v>
      </c>
      <c r="G246" s="14">
        <v>113.44</v>
      </c>
      <c r="H246" s="24" t="str">
        <f t="shared" si="30"/>
        <v>RJSP</v>
      </c>
      <c r="I246" s="24" t="str">
        <f t="shared" si="38"/>
        <v>RJMG</v>
      </c>
      <c r="J246" s="24" t="str">
        <f t="shared" si="38"/>
        <v>RJES</v>
      </c>
      <c r="K246" s="24" t="str">
        <f t="shared" si="38"/>
        <v>RJSC</v>
      </c>
      <c r="L246" s="24" t="str">
        <f t="shared" si="38"/>
        <v>RJRJ</v>
      </c>
      <c r="M246" s="24" t="str">
        <f t="shared" si="38"/>
        <v>RJPR</v>
      </c>
      <c r="N246" s="24" t="str">
        <f t="shared" si="38"/>
        <v>RJAM</v>
      </c>
      <c r="O246" s="24">
        <f>VLOOKUP(H246, KM!$A:$E, 5, 0)</f>
        <v>429</v>
      </c>
      <c r="P246" s="24">
        <f>VLOOKUP(I246, KM!$A:$E, 5, 0)</f>
        <v>434</v>
      </c>
      <c r="Q246" s="24">
        <f>VLOOKUP(J246, KM!$A:$E, 5, 0)</f>
        <v>521</v>
      </c>
      <c r="R246" s="24">
        <f>VLOOKUP(K246, KM!$A:$E, 5, 0)</f>
        <v>1144</v>
      </c>
      <c r="S246" s="24">
        <f>VLOOKUP(L246, KM!$A:$E, 5, 0)</f>
        <v>0</v>
      </c>
      <c r="T246" s="24">
        <f>VLOOKUP(M246, KM!$A:$E, 5, 0)</f>
        <v>852</v>
      </c>
      <c r="U246" s="24">
        <f>VLOOKUP(N246, KM!$A:$E, 5, 0)</f>
        <v>4374</v>
      </c>
      <c r="V246" s="24">
        <f>VLOOKUP(H246, IMPOSTO!$A:$D, 4, 0)</f>
        <v>0.12</v>
      </c>
      <c r="W246" s="24">
        <f>VLOOKUP(I246, IMPOSTO!$A:$D, 4, 0)</f>
        <v>0.12</v>
      </c>
      <c r="X246" s="24">
        <f>VLOOKUP(J246, IMPOSTO!$A:$D, 4, 0)</f>
        <v>7.0000000000000007E-2</v>
      </c>
      <c r="Y246" s="24">
        <f>VLOOKUP(K246, IMPOSTO!$A:$D, 4, 0)</f>
        <v>0.12</v>
      </c>
      <c r="Z246" s="24">
        <f>VLOOKUP(L246, IMPOSTO!$A:$D, 4, 0)</f>
        <v>0.18</v>
      </c>
      <c r="AA246" s="24">
        <f>VLOOKUP(M246, IMPOSTO!$A:$D, 4, 0)</f>
        <v>0.12</v>
      </c>
      <c r="AB246" s="24">
        <f>VLOOKUP(N246, IMPOSTO!$A:$D, 4, 0)</f>
        <v>7.0000000000000007E-2</v>
      </c>
      <c r="AC246" s="25">
        <f t="shared" si="31"/>
        <v>177.65909090909091</v>
      </c>
      <c r="AD246" s="25">
        <f t="shared" si="32"/>
        <v>178.22727272727272</v>
      </c>
      <c r="AE246" s="25">
        <f t="shared" si="33"/>
        <v>178</v>
      </c>
      <c r="AF246" s="25">
        <f t="shared" si="34"/>
        <v>258.90909090909093</v>
      </c>
      <c r="AG246" s="25">
        <f t="shared" si="35"/>
        <v>138.34146341463412</v>
      </c>
      <c r="AH246" s="25">
        <f t="shared" si="36"/>
        <v>225.72727272727272</v>
      </c>
      <c r="AI246" s="25">
        <f t="shared" si="37"/>
        <v>592.30107526881727</v>
      </c>
    </row>
    <row r="247" spans="1:35" ht="15.75" customHeight="1">
      <c r="A247" s="12" t="s">
        <v>294</v>
      </c>
      <c r="B247" s="12" t="s">
        <v>295</v>
      </c>
      <c r="C247" s="12" t="s">
        <v>296</v>
      </c>
      <c r="D247" s="12" t="s">
        <v>33</v>
      </c>
      <c r="E247" s="12" t="s">
        <v>27</v>
      </c>
      <c r="F247" s="13">
        <v>0</v>
      </c>
      <c r="G247" s="14">
        <v>0</v>
      </c>
      <c r="H247" s="24" t="str">
        <f t="shared" si="30"/>
        <v>RJSP</v>
      </c>
      <c r="I247" s="24" t="str">
        <f t="shared" si="38"/>
        <v>RJMG</v>
      </c>
      <c r="J247" s="24" t="str">
        <f t="shared" si="38"/>
        <v>RJES</v>
      </c>
      <c r="K247" s="24" t="str">
        <f t="shared" si="38"/>
        <v>RJSC</v>
      </c>
      <c r="L247" s="24" t="str">
        <f t="shared" si="38"/>
        <v>RJRJ</v>
      </c>
      <c r="M247" s="24" t="str">
        <f t="shared" si="38"/>
        <v>RJPR</v>
      </c>
      <c r="N247" s="24" t="str">
        <f t="shared" si="38"/>
        <v>RJAM</v>
      </c>
      <c r="O247" s="24">
        <f>VLOOKUP(H247, KM!$A:$E, 5, 0)</f>
        <v>429</v>
      </c>
      <c r="P247" s="24">
        <f>VLOOKUP(I247, KM!$A:$E, 5, 0)</f>
        <v>434</v>
      </c>
      <c r="Q247" s="24">
        <f>VLOOKUP(J247, KM!$A:$E, 5, 0)</f>
        <v>521</v>
      </c>
      <c r="R247" s="24">
        <f>VLOOKUP(K247, KM!$A:$E, 5, 0)</f>
        <v>1144</v>
      </c>
      <c r="S247" s="24">
        <f>VLOOKUP(L247, KM!$A:$E, 5, 0)</f>
        <v>0</v>
      </c>
      <c r="T247" s="24">
        <f>VLOOKUP(M247, KM!$A:$E, 5, 0)</f>
        <v>852</v>
      </c>
      <c r="U247" s="24">
        <f>VLOOKUP(N247, KM!$A:$E, 5, 0)</f>
        <v>4374</v>
      </c>
      <c r="V247" s="24">
        <f>VLOOKUP(H247, IMPOSTO!$A:$D, 4, 0)</f>
        <v>0.12</v>
      </c>
      <c r="W247" s="24">
        <f>VLOOKUP(I247, IMPOSTO!$A:$D, 4, 0)</f>
        <v>0.12</v>
      </c>
      <c r="X247" s="24">
        <f>VLOOKUP(J247, IMPOSTO!$A:$D, 4, 0)</f>
        <v>7.0000000000000007E-2</v>
      </c>
      <c r="Y247" s="24">
        <f>VLOOKUP(K247, IMPOSTO!$A:$D, 4, 0)</f>
        <v>0.12</v>
      </c>
      <c r="Z247" s="24">
        <f>VLOOKUP(L247, IMPOSTO!$A:$D, 4, 0)</f>
        <v>0.18</v>
      </c>
      <c r="AA247" s="24">
        <f>VLOOKUP(M247, IMPOSTO!$A:$D, 4, 0)</f>
        <v>0.12</v>
      </c>
      <c r="AB247" s="24">
        <f>VLOOKUP(N247, IMPOSTO!$A:$D, 4, 0)</f>
        <v>7.0000000000000007E-2</v>
      </c>
      <c r="AC247" s="25">
        <f t="shared" si="31"/>
        <v>48.750000000000007</v>
      </c>
      <c r="AD247" s="25">
        <f t="shared" si="32"/>
        <v>49.318181818181827</v>
      </c>
      <c r="AE247" s="25">
        <f t="shared" si="33"/>
        <v>56.021505376344088</v>
      </c>
      <c r="AF247" s="25">
        <f t="shared" si="34"/>
        <v>130</v>
      </c>
      <c r="AG247" s="25">
        <f t="shared" si="35"/>
        <v>0</v>
      </c>
      <c r="AH247" s="25">
        <f t="shared" si="36"/>
        <v>96.818181818181827</v>
      </c>
      <c r="AI247" s="25">
        <f t="shared" si="37"/>
        <v>470.32258064516134</v>
      </c>
    </row>
    <row r="248" spans="1:35" ht="15.75" customHeight="1">
      <c r="A248" s="12" t="s">
        <v>67</v>
      </c>
      <c r="B248" s="12" t="s">
        <v>68</v>
      </c>
      <c r="C248" s="12" t="s">
        <v>69</v>
      </c>
      <c r="D248" s="12" t="s">
        <v>33</v>
      </c>
      <c r="E248" s="12" t="s">
        <v>27</v>
      </c>
      <c r="F248" s="13">
        <v>0</v>
      </c>
      <c r="G248" s="14">
        <v>0</v>
      </c>
      <c r="H248" s="24" t="str">
        <f t="shared" si="30"/>
        <v>RJSP</v>
      </c>
      <c r="I248" s="24" t="str">
        <f t="shared" si="38"/>
        <v>RJMG</v>
      </c>
      <c r="J248" s="24" t="str">
        <f t="shared" si="38"/>
        <v>RJES</v>
      </c>
      <c r="K248" s="24" t="str">
        <f t="shared" si="38"/>
        <v>RJSC</v>
      </c>
      <c r="L248" s="24" t="str">
        <f t="shared" si="38"/>
        <v>RJRJ</v>
      </c>
      <c r="M248" s="24" t="str">
        <f t="shared" si="38"/>
        <v>RJPR</v>
      </c>
      <c r="N248" s="24" t="str">
        <f t="shared" si="38"/>
        <v>RJAM</v>
      </c>
      <c r="O248" s="24">
        <f>VLOOKUP(H248, KM!$A:$E, 5, 0)</f>
        <v>429</v>
      </c>
      <c r="P248" s="24">
        <f>VLOOKUP(I248, KM!$A:$E, 5, 0)</f>
        <v>434</v>
      </c>
      <c r="Q248" s="24">
        <f>VLOOKUP(J248, KM!$A:$E, 5, 0)</f>
        <v>521</v>
      </c>
      <c r="R248" s="24">
        <f>VLOOKUP(K248, KM!$A:$E, 5, 0)</f>
        <v>1144</v>
      </c>
      <c r="S248" s="24">
        <f>VLOOKUP(L248, KM!$A:$E, 5, 0)</f>
        <v>0</v>
      </c>
      <c r="T248" s="24">
        <f>VLOOKUP(M248, KM!$A:$E, 5, 0)</f>
        <v>852</v>
      </c>
      <c r="U248" s="24">
        <f>VLOOKUP(N248, KM!$A:$E, 5, 0)</f>
        <v>4374</v>
      </c>
      <c r="V248" s="24">
        <f>VLOOKUP(H248, IMPOSTO!$A:$D, 4, 0)</f>
        <v>0.12</v>
      </c>
      <c r="W248" s="24">
        <f>VLOOKUP(I248, IMPOSTO!$A:$D, 4, 0)</f>
        <v>0.12</v>
      </c>
      <c r="X248" s="24">
        <f>VLOOKUP(J248, IMPOSTO!$A:$D, 4, 0)</f>
        <v>7.0000000000000007E-2</v>
      </c>
      <c r="Y248" s="24">
        <f>VLOOKUP(K248, IMPOSTO!$A:$D, 4, 0)</f>
        <v>0.12</v>
      </c>
      <c r="Z248" s="24">
        <f>VLOOKUP(L248, IMPOSTO!$A:$D, 4, 0)</f>
        <v>0.18</v>
      </c>
      <c r="AA248" s="24">
        <f>VLOOKUP(M248, IMPOSTO!$A:$D, 4, 0)</f>
        <v>0.12</v>
      </c>
      <c r="AB248" s="24">
        <f>VLOOKUP(N248, IMPOSTO!$A:$D, 4, 0)</f>
        <v>7.0000000000000007E-2</v>
      </c>
      <c r="AC248" s="25">
        <f t="shared" si="31"/>
        <v>48.750000000000007</v>
      </c>
      <c r="AD248" s="25">
        <f t="shared" si="32"/>
        <v>49.318181818181827</v>
      </c>
      <c r="AE248" s="25">
        <f t="shared" si="33"/>
        <v>56.021505376344088</v>
      </c>
      <c r="AF248" s="25">
        <f t="shared" si="34"/>
        <v>130</v>
      </c>
      <c r="AG248" s="25">
        <f t="shared" si="35"/>
        <v>0</v>
      </c>
      <c r="AH248" s="25">
        <f t="shared" si="36"/>
        <v>96.818181818181827</v>
      </c>
      <c r="AI248" s="25">
        <f t="shared" si="37"/>
        <v>470.32258064516134</v>
      </c>
    </row>
    <row r="249" spans="1:35" ht="15.75" customHeight="1">
      <c r="A249" s="12" t="s">
        <v>117</v>
      </c>
      <c r="B249" s="12" t="s">
        <v>118</v>
      </c>
      <c r="C249" s="12" t="s">
        <v>119</v>
      </c>
      <c r="D249" s="12" t="s">
        <v>33</v>
      </c>
      <c r="E249" s="12" t="s">
        <v>27</v>
      </c>
      <c r="F249" s="13">
        <v>0</v>
      </c>
      <c r="G249" s="14">
        <v>0</v>
      </c>
      <c r="H249" s="24" t="str">
        <f t="shared" si="30"/>
        <v>RJSP</v>
      </c>
      <c r="I249" s="24" t="str">
        <f t="shared" si="38"/>
        <v>RJMG</v>
      </c>
      <c r="J249" s="24" t="str">
        <f t="shared" si="38"/>
        <v>RJES</v>
      </c>
      <c r="K249" s="24" t="str">
        <f t="shared" si="38"/>
        <v>RJSC</v>
      </c>
      <c r="L249" s="24" t="str">
        <f t="shared" si="38"/>
        <v>RJRJ</v>
      </c>
      <c r="M249" s="24" t="str">
        <f t="shared" si="38"/>
        <v>RJPR</v>
      </c>
      <c r="N249" s="24" t="str">
        <f t="shared" si="38"/>
        <v>RJAM</v>
      </c>
      <c r="O249" s="24">
        <f>VLOOKUP(H249, KM!$A:$E, 5, 0)</f>
        <v>429</v>
      </c>
      <c r="P249" s="24">
        <f>VLOOKUP(I249, KM!$A:$E, 5, 0)</f>
        <v>434</v>
      </c>
      <c r="Q249" s="24">
        <f>VLOOKUP(J249, KM!$A:$E, 5, 0)</f>
        <v>521</v>
      </c>
      <c r="R249" s="24">
        <f>VLOOKUP(K249, KM!$A:$E, 5, 0)</f>
        <v>1144</v>
      </c>
      <c r="S249" s="24">
        <f>VLOOKUP(L249, KM!$A:$E, 5, 0)</f>
        <v>0</v>
      </c>
      <c r="T249" s="24">
        <f>VLOOKUP(M249, KM!$A:$E, 5, 0)</f>
        <v>852</v>
      </c>
      <c r="U249" s="24">
        <f>VLOOKUP(N249, KM!$A:$E, 5, 0)</f>
        <v>4374</v>
      </c>
      <c r="V249" s="24">
        <f>VLOOKUP(H249, IMPOSTO!$A:$D, 4, 0)</f>
        <v>0.12</v>
      </c>
      <c r="W249" s="24">
        <f>VLOOKUP(I249, IMPOSTO!$A:$D, 4, 0)</f>
        <v>0.12</v>
      </c>
      <c r="X249" s="24">
        <f>VLOOKUP(J249, IMPOSTO!$A:$D, 4, 0)</f>
        <v>7.0000000000000007E-2</v>
      </c>
      <c r="Y249" s="24">
        <f>VLOOKUP(K249, IMPOSTO!$A:$D, 4, 0)</f>
        <v>0.12</v>
      </c>
      <c r="Z249" s="24">
        <f>VLOOKUP(L249, IMPOSTO!$A:$D, 4, 0)</f>
        <v>0.18</v>
      </c>
      <c r="AA249" s="24">
        <f>VLOOKUP(M249, IMPOSTO!$A:$D, 4, 0)</f>
        <v>0.12</v>
      </c>
      <c r="AB249" s="24">
        <f>VLOOKUP(N249, IMPOSTO!$A:$D, 4, 0)</f>
        <v>7.0000000000000007E-2</v>
      </c>
      <c r="AC249" s="25">
        <f t="shared" si="31"/>
        <v>48.750000000000007</v>
      </c>
      <c r="AD249" s="25">
        <f t="shared" si="32"/>
        <v>49.318181818181827</v>
      </c>
      <c r="AE249" s="25">
        <f t="shared" si="33"/>
        <v>56.021505376344088</v>
      </c>
      <c r="AF249" s="25">
        <f t="shared" si="34"/>
        <v>130</v>
      </c>
      <c r="AG249" s="25">
        <f t="shared" si="35"/>
        <v>0</v>
      </c>
      <c r="AH249" s="25">
        <f t="shared" si="36"/>
        <v>96.818181818181827</v>
      </c>
      <c r="AI249" s="25">
        <f t="shared" si="37"/>
        <v>470.32258064516134</v>
      </c>
    </row>
    <row r="250" spans="1:35" ht="15.75" customHeight="1">
      <c r="A250" s="12" t="s">
        <v>297</v>
      </c>
      <c r="B250" s="12" t="s">
        <v>298</v>
      </c>
      <c r="C250" s="12" t="s">
        <v>299</v>
      </c>
      <c r="D250" s="12" t="s">
        <v>33</v>
      </c>
      <c r="E250" s="12" t="s">
        <v>27</v>
      </c>
      <c r="F250" s="13">
        <v>54</v>
      </c>
      <c r="G250" s="14">
        <v>582.24</v>
      </c>
      <c r="H250" s="24" t="str">
        <f t="shared" si="30"/>
        <v>RJSP</v>
      </c>
      <c r="I250" s="24" t="str">
        <f t="shared" si="38"/>
        <v>RJMG</v>
      </c>
      <c r="J250" s="24" t="str">
        <f t="shared" si="38"/>
        <v>RJES</v>
      </c>
      <c r="K250" s="24" t="str">
        <f t="shared" si="38"/>
        <v>RJSC</v>
      </c>
      <c r="L250" s="24" t="str">
        <f t="shared" si="38"/>
        <v>RJRJ</v>
      </c>
      <c r="M250" s="24" t="str">
        <f t="shared" si="38"/>
        <v>RJPR</v>
      </c>
      <c r="N250" s="24" t="str">
        <f t="shared" si="38"/>
        <v>RJAM</v>
      </c>
      <c r="O250" s="24">
        <f>VLOOKUP(H250, KM!$A:$E, 5, 0)</f>
        <v>429</v>
      </c>
      <c r="P250" s="24">
        <f>VLOOKUP(I250, KM!$A:$E, 5, 0)</f>
        <v>434</v>
      </c>
      <c r="Q250" s="24">
        <f>VLOOKUP(J250, KM!$A:$E, 5, 0)</f>
        <v>521</v>
      </c>
      <c r="R250" s="24">
        <f>VLOOKUP(K250, KM!$A:$E, 5, 0)</f>
        <v>1144</v>
      </c>
      <c r="S250" s="24">
        <f>VLOOKUP(L250, KM!$A:$E, 5, 0)</f>
        <v>0</v>
      </c>
      <c r="T250" s="24">
        <f>VLOOKUP(M250, KM!$A:$E, 5, 0)</f>
        <v>852</v>
      </c>
      <c r="U250" s="24">
        <f>VLOOKUP(N250, KM!$A:$E, 5, 0)</f>
        <v>4374</v>
      </c>
      <c r="V250" s="24">
        <f>VLOOKUP(H250, IMPOSTO!$A:$D, 4, 0)</f>
        <v>0.12</v>
      </c>
      <c r="W250" s="24">
        <f>VLOOKUP(I250, IMPOSTO!$A:$D, 4, 0)</f>
        <v>0.12</v>
      </c>
      <c r="X250" s="24">
        <f>VLOOKUP(J250, IMPOSTO!$A:$D, 4, 0)</f>
        <v>7.0000000000000007E-2</v>
      </c>
      <c r="Y250" s="24">
        <f>VLOOKUP(K250, IMPOSTO!$A:$D, 4, 0)</f>
        <v>0.12</v>
      </c>
      <c r="Z250" s="24">
        <f>VLOOKUP(L250, IMPOSTO!$A:$D, 4, 0)</f>
        <v>0.18</v>
      </c>
      <c r="AA250" s="24">
        <f>VLOOKUP(M250, IMPOSTO!$A:$D, 4, 0)</f>
        <v>0.12</v>
      </c>
      <c r="AB250" s="24">
        <f>VLOOKUP(N250, IMPOSTO!$A:$D, 4, 0)</f>
        <v>7.0000000000000007E-2</v>
      </c>
      <c r="AC250" s="25">
        <f t="shared" si="31"/>
        <v>710.38636363636363</v>
      </c>
      <c r="AD250" s="25">
        <f t="shared" si="32"/>
        <v>710.95454545454538</v>
      </c>
      <c r="AE250" s="25">
        <f t="shared" si="33"/>
        <v>682.08602150537638</v>
      </c>
      <c r="AF250" s="25">
        <f t="shared" si="34"/>
        <v>791.63636363636363</v>
      </c>
      <c r="AG250" s="25">
        <f t="shared" si="35"/>
        <v>710.04878048780483</v>
      </c>
      <c r="AH250" s="25">
        <f t="shared" si="36"/>
        <v>758.4545454545455</v>
      </c>
      <c r="AI250" s="25">
        <f t="shared" si="37"/>
        <v>1096.3870967741937</v>
      </c>
    </row>
    <row r="251" spans="1:35" ht="15.75" customHeight="1">
      <c r="A251" s="12" t="s">
        <v>300</v>
      </c>
      <c r="B251" s="12" t="s">
        <v>301</v>
      </c>
      <c r="C251" s="12" t="s">
        <v>232</v>
      </c>
      <c r="D251" s="12" t="s">
        <v>33</v>
      </c>
      <c r="E251" s="12" t="s">
        <v>27</v>
      </c>
      <c r="F251" s="13">
        <v>0</v>
      </c>
      <c r="G251" s="14">
        <v>0</v>
      </c>
      <c r="H251" s="24" t="str">
        <f t="shared" si="30"/>
        <v>RJSP</v>
      </c>
      <c r="I251" s="24" t="str">
        <f t="shared" si="38"/>
        <v>RJMG</v>
      </c>
      <c r="J251" s="24" t="str">
        <f t="shared" si="38"/>
        <v>RJES</v>
      </c>
      <c r="K251" s="24" t="str">
        <f t="shared" si="38"/>
        <v>RJSC</v>
      </c>
      <c r="L251" s="24" t="str">
        <f t="shared" si="38"/>
        <v>RJRJ</v>
      </c>
      <c r="M251" s="24" t="str">
        <f t="shared" si="38"/>
        <v>RJPR</v>
      </c>
      <c r="N251" s="24" t="str">
        <f t="shared" si="38"/>
        <v>RJAM</v>
      </c>
      <c r="O251" s="24">
        <f>VLOOKUP(H251, KM!$A:$E, 5, 0)</f>
        <v>429</v>
      </c>
      <c r="P251" s="24">
        <f>VLOOKUP(I251, KM!$A:$E, 5, 0)</f>
        <v>434</v>
      </c>
      <c r="Q251" s="24">
        <f>VLOOKUP(J251, KM!$A:$E, 5, 0)</f>
        <v>521</v>
      </c>
      <c r="R251" s="24">
        <f>VLOOKUP(K251, KM!$A:$E, 5, 0)</f>
        <v>1144</v>
      </c>
      <c r="S251" s="24">
        <f>VLOOKUP(L251, KM!$A:$E, 5, 0)</f>
        <v>0</v>
      </c>
      <c r="T251" s="24">
        <f>VLOOKUP(M251, KM!$A:$E, 5, 0)</f>
        <v>852</v>
      </c>
      <c r="U251" s="24">
        <f>VLOOKUP(N251, KM!$A:$E, 5, 0)</f>
        <v>4374</v>
      </c>
      <c r="V251" s="24">
        <f>VLOOKUP(H251, IMPOSTO!$A:$D, 4, 0)</f>
        <v>0.12</v>
      </c>
      <c r="W251" s="24">
        <f>VLOOKUP(I251, IMPOSTO!$A:$D, 4, 0)</f>
        <v>0.12</v>
      </c>
      <c r="X251" s="24">
        <f>VLOOKUP(J251, IMPOSTO!$A:$D, 4, 0)</f>
        <v>7.0000000000000007E-2</v>
      </c>
      <c r="Y251" s="24">
        <f>VLOOKUP(K251, IMPOSTO!$A:$D, 4, 0)</f>
        <v>0.12</v>
      </c>
      <c r="Z251" s="24">
        <f>VLOOKUP(L251, IMPOSTO!$A:$D, 4, 0)</f>
        <v>0.18</v>
      </c>
      <c r="AA251" s="24">
        <f>VLOOKUP(M251, IMPOSTO!$A:$D, 4, 0)</f>
        <v>0.12</v>
      </c>
      <c r="AB251" s="24">
        <f>VLOOKUP(N251, IMPOSTO!$A:$D, 4, 0)</f>
        <v>7.0000000000000007E-2</v>
      </c>
      <c r="AC251" s="25">
        <f t="shared" si="31"/>
        <v>48.750000000000007</v>
      </c>
      <c r="AD251" s="25">
        <f t="shared" si="32"/>
        <v>49.318181818181827</v>
      </c>
      <c r="AE251" s="25">
        <f t="shared" si="33"/>
        <v>56.021505376344088</v>
      </c>
      <c r="AF251" s="25">
        <f t="shared" si="34"/>
        <v>130</v>
      </c>
      <c r="AG251" s="25">
        <f t="shared" si="35"/>
        <v>0</v>
      </c>
      <c r="AH251" s="25">
        <f t="shared" si="36"/>
        <v>96.818181818181827</v>
      </c>
      <c r="AI251" s="25">
        <f t="shared" si="37"/>
        <v>470.32258064516134</v>
      </c>
    </row>
    <row r="252" spans="1:35" ht="15.75" customHeight="1">
      <c r="A252" s="12" t="s">
        <v>263</v>
      </c>
      <c r="B252" s="12" t="s">
        <v>264</v>
      </c>
      <c r="C252" s="12" t="s">
        <v>265</v>
      </c>
      <c r="D252" s="12" t="s">
        <v>50</v>
      </c>
      <c r="E252" s="12" t="s">
        <v>27</v>
      </c>
      <c r="F252" s="13">
        <v>0</v>
      </c>
      <c r="G252" s="14">
        <v>0</v>
      </c>
      <c r="H252" s="24" t="str">
        <f t="shared" si="30"/>
        <v>RJSP</v>
      </c>
      <c r="I252" s="24" t="str">
        <f t="shared" si="38"/>
        <v>RJMG</v>
      </c>
      <c r="J252" s="24" t="str">
        <f t="shared" si="38"/>
        <v>RJES</v>
      </c>
      <c r="K252" s="24" t="str">
        <f t="shared" si="38"/>
        <v>RJSC</v>
      </c>
      <c r="L252" s="24" t="str">
        <f t="shared" si="38"/>
        <v>RJRJ</v>
      </c>
      <c r="M252" s="24" t="str">
        <f t="shared" si="38"/>
        <v>RJPR</v>
      </c>
      <c r="N252" s="24" t="str">
        <f t="shared" si="38"/>
        <v>RJAM</v>
      </c>
      <c r="O252" s="24">
        <f>VLOOKUP(H252, KM!$A:$E, 5, 0)</f>
        <v>429</v>
      </c>
      <c r="P252" s="24">
        <f>VLOOKUP(I252, KM!$A:$E, 5, 0)</f>
        <v>434</v>
      </c>
      <c r="Q252" s="24">
        <f>VLOOKUP(J252, KM!$A:$E, 5, 0)</f>
        <v>521</v>
      </c>
      <c r="R252" s="24">
        <f>VLOOKUP(K252, KM!$A:$E, 5, 0)</f>
        <v>1144</v>
      </c>
      <c r="S252" s="24">
        <f>VLOOKUP(L252, KM!$A:$E, 5, 0)</f>
        <v>0</v>
      </c>
      <c r="T252" s="24">
        <f>VLOOKUP(M252, KM!$A:$E, 5, 0)</f>
        <v>852</v>
      </c>
      <c r="U252" s="24">
        <f>VLOOKUP(N252, KM!$A:$E, 5, 0)</f>
        <v>4374</v>
      </c>
      <c r="V252" s="24">
        <f>VLOOKUP(H252, IMPOSTO!$A:$D, 4, 0)</f>
        <v>0.12</v>
      </c>
      <c r="W252" s="24">
        <f>VLOOKUP(I252, IMPOSTO!$A:$D, 4, 0)</f>
        <v>0.12</v>
      </c>
      <c r="X252" s="24">
        <f>VLOOKUP(J252, IMPOSTO!$A:$D, 4, 0)</f>
        <v>7.0000000000000007E-2</v>
      </c>
      <c r="Y252" s="24">
        <f>VLOOKUP(K252, IMPOSTO!$A:$D, 4, 0)</f>
        <v>0.12</v>
      </c>
      <c r="Z252" s="24">
        <f>VLOOKUP(L252, IMPOSTO!$A:$D, 4, 0)</f>
        <v>0.18</v>
      </c>
      <c r="AA252" s="24">
        <f>VLOOKUP(M252, IMPOSTO!$A:$D, 4, 0)</f>
        <v>0.12</v>
      </c>
      <c r="AB252" s="24">
        <f>VLOOKUP(N252, IMPOSTO!$A:$D, 4, 0)</f>
        <v>7.0000000000000007E-2</v>
      </c>
      <c r="AC252" s="25">
        <f t="shared" si="31"/>
        <v>48.750000000000007</v>
      </c>
      <c r="AD252" s="25">
        <f t="shared" si="32"/>
        <v>49.318181818181827</v>
      </c>
      <c r="AE252" s="25">
        <f t="shared" si="33"/>
        <v>56.021505376344088</v>
      </c>
      <c r="AF252" s="25">
        <f t="shared" si="34"/>
        <v>130</v>
      </c>
      <c r="AG252" s="25">
        <f t="shared" si="35"/>
        <v>0</v>
      </c>
      <c r="AH252" s="25">
        <f t="shared" si="36"/>
        <v>96.818181818181827</v>
      </c>
      <c r="AI252" s="25">
        <f t="shared" si="37"/>
        <v>470.32258064516134</v>
      </c>
    </row>
    <row r="253" spans="1:35" ht="15.75" customHeight="1">
      <c r="A253" s="12" t="s">
        <v>302</v>
      </c>
      <c r="B253" s="12" t="s">
        <v>303</v>
      </c>
      <c r="C253" s="12" t="s">
        <v>181</v>
      </c>
      <c r="D253" s="12" t="s">
        <v>33</v>
      </c>
      <c r="E253" s="12" t="s">
        <v>27</v>
      </c>
      <c r="F253" s="13">
        <v>257.8856170811971</v>
      </c>
      <c r="G253" s="14">
        <v>132.45046227515215</v>
      </c>
      <c r="H253" s="24" t="str">
        <f t="shared" si="30"/>
        <v>RJSP</v>
      </c>
      <c r="I253" s="24" t="str">
        <f t="shared" si="38"/>
        <v>RJMG</v>
      </c>
      <c r="J253" s="24" t="str">
        <f t="shared" si="38"/>
        <v>RJES</v>
      </c>
      <c r="K253" s="24" t="str">
        <f t="shared" si="38"/>
        <v>RJSC</v>
      </c>
      <c r="L253" s="24" t="str">
        <f t="shared" si="38"/>
        <v>RJRJ</v>
      </c>
      <c r="M253" s="24" t="str">
        <f t="shared" si="38"/>
        <v>RJPR</v>
      </c>
      <c r="N253" s="24" t="str">
        <f t="shared" si="38"/>
        <v>RJAM</v>
      </c>
      <c r="O253" s="24">
        <f>VLOOKUP(H253, KM!$A:$E, 5, 0)</f>
        <v>429</v>
      </c>
      <c r="P253" s="24">
        <f>VLOOKUP(I253, KM!$A:$E, 5, 0)</f>
        <v>434</v>
      </c>
      <c r="Q253" s="24">
        <f>VLOOKUP(J253, KM!$A:$E, 5, 0)</f>
        <v>521</v>
      </c>
      <c r="R253" s="24">
        <f>VLOOKUP(K253, KM!$A:$E, 5, 0)</f>
        <v>1144</v>
      </c>
      <c r="S253" s="24">
        <f>VLOOKUP(L253, KM!$A:$E, 5, 0)</f>
        <v>0</v>
      </c>
      <c r="T253" s="24">
        <f>VLOOKUP(M253, KM!$A:$E, 5, 0)</f>
        <v>852</v>
      </c>
      <c r="U253" s="24">
        <f>VLOOKUP(N253, KM!$A:$E, 5, 0)</f>
        <v>4374</v>
      </c>
      <c r="V253" s="24">
        <f>VLOOKUP(H253, IMPOSTO!$A:$D, 4, 0)</f>
        <v>0.12</v>
      </c>
      <c r="W253" s="24">
        <f>VLOOKUP(I253, IMPOSTO!$A:$D, 4, 0)</f>
        <v>0.12</v>
      </c>
      <c r="X253" s="24">
        <f>VLOOKUP(J253, IMPOSTO!$A:$D, 4, 0)</f>
        <v>7.0000000000000007E-2</v>
      </c>
      <c r="Y253" s="24">
        <f>VLOOKUP(K253, IMPOSTO!$A:$D, 4, 0)</f>
        <v>0.12</v>
      </c>
      <c r="Z253" s="24">
        <f>VLOOKUP(L253, IMPOSTO!$A:$D, 4, 0)</f>
        <v>0.18</v>
      </c>
      <c r="AA253" s="24">
        <f>VLOOKUP(M253, IMPOSTO!$A:$D, 4, 0)</f>
        <v>0.12</v>
      </c>
      <c r="AB253" s="24">
        <f>VLOOKUP(N253, IMPOSTO!$A:$D, 4, 0)</f>
        <v>7.0000000000000007E-2</v>
      </c>
      <c r="AC253" s="25">
        <f t="shared" si="31"/>
        <v>199.26188894903655</v>
      </c>
      <c r="AD253" s="25">
        <f t="shared" si="32"/>
        <v>199.83007076721836</v>
      </c>
      <c r="AE253" s="25">
        <f t="shared" si="33"/>
        <v>198.44135728510983</v>
      </c>
      <c r="AF253" s="25">
        <f t="shared" si="34"/>
        <v>280.51188894903652</v>
      </c>
      <c r="AG253" s="25">
        <f t="shared" si="35"/>
        <v>161.52495399408798</v>
      </c>
      <c r="AH253" s="25">
        <f t="shared" si="36"/>
        <v>247.33007076721836</v>
      </c>
      <c r="AI253" s="25">
        <f t="shared" si="37"/>
        <v>612.74243255392707</v>
      </c>
    </row>
    <row r="254" spans="1:35" ht="15.75" customHeight="1">
      <c r="A254" s="12" t="s">
        <v>266</v>
      </c>
      <c r="B254" s="12" t="s">
        <v>267</v>
      </c>
      <c r="C254" s="12" t="s">
        <v>169</v>
      </c>
      <c r="D254" s="12" t="s">
        <v>33</v>
      </c>
      <c r="E254" s="12" t="s">
        <v>27</v>
      </c>
      <c r="F254" s="13">
        <v>0</v>
      </c>
      <c r="G254" s="14">
        <v>0</v>
      </c>
      <c r="H254" s="24" t="str">
        <f t="shared" si="30"/>
        <v>RJSP</v>
      </c>
      <c r="I254" s="24" t="str">
        <f t="shared" si="38"/>
        <v>RJMG</v>
      </c>
      <c r="J254" s="24" t="str">
        <f t="shared" si="38"/>
        <v>RJES</v>
      </c>
      <c r="K254" s="24" t="str">
        <f t="shared" si="38"/>
        <v>RJSC</v>
      </c>
      <c r="L254" s="24" t="str">
        <f t="shared" si="38"/>
        <v>RJRJ</v>
      </c>
      <c r="M254" s="24" t="str">
        <f t="shared" si="38"/>
        <v>RJPR</v>
      </c>
      <c r="N254" s="24" t="str">
        <f t="shared" si="38"/>
        <v>RJAM</v>
      </c>
      <c r="O254" s="24">
        <f>VLOOKUP(H254, KM!$A:$E, 5, 0)</f>
        <v>429</v>
      </c>
      <c r="P254" s="24">
        <f>VLOOKUP(I254, KM!$A:$E, 5, 0)</f>
        <v>434</v>
      </c>
      <c r="Q254" s="24">
        <f>VLOOKUP(J254, KM!$A:$E, 5, 0)</f>
        <v>521</v>
      </c>
      <c r="R254" s="24">
        <f>VLOOKUP(K254, KM!$A:$E, 5, 0)</f>
        <v>1144</v>
      </c>
      <c r="S254" s="24">
        <f>VLOOKUP(L254, KM!$A:$E, 5, 0)</f>
        <v>0</v>
      </c>
      <c r="T254" s="24">
        <f>VLOOKUP(M254, KM!$A:$E, 5, 0)</f>
        <v>852</v>
      </c>
      <c r="U254" s="24">
        <f>VLOOKUP(N254, KM!$A:$E, 5, 0)</f>
        <v>4374</v>
      </c>
      <c r="V254" s="24">
        <f>VLOOKUP(H254, IMPOSTO!$A:$D, 4, 0)</f>
        <v>0.12</v>
      </c>
      <c r="W254" s="24">
        <f>VLOOKUP(I254, IMPOSTO!$A:$D, 4, 0)</f>
        <v>0.12</v>
      </c>
      <c r="X254" s="24">
        <f>VLOOKUP(J254, IMPOSTO!$A:$D, 4, 0)</f>
        <v>7.0000000000000007E-2</v>
      </c>
      <c r="Y254" s="24">
        <f>VLOOKUP(K254, IMPOSTO!$A:$D, 4, 0)</f>
        <v>0.12</v>
      </c>
      <c r="Z254" s="24">
        <f>VLOOKUP(L254, IMPOSTO!$A:$D, 4, 0)</f>
        <v>0.18</v>
      </c>
      <c r="AA254" s="24">
        <f>VLOOKUP(M254, IMPOSTO!$A:$D, 4, 0)</f>
        <v>0.12</v>
      </c>
      <c r="AB254" s="24">
        <f>VLOOKUP(N254, IMPOSTO!$A:$D, 4, 0)</f>
        <v>7.0000000000000007E-2</v>
      </c>
      <c r="AC254" s="25">
        <f t="shared" si="31"/>
        <v>48.750000000000007</v>
      </c>
      <c r="AD254" s="25">
        <f t="shared" si="32"/>
        <v>49.318181818181827</v>
      </c>
      <c r="AE254" s="25">
        <f t="shared" si="33"/>
        <v>56.021505376344088</v>
      </c>
      <c r="AF254" s="25">
        <f t="shared" si="34"/>
        <v>130</v>
      </c>
      <c r="AG254" s="25">
        <f t="shared" si="35"/>
        <v>0</v>
      </c>
      <c r="AH254" s="25">
        <f t="shared" si="36"/>
        <v>96.818181818181827</v>
      </c>
      <c r="AI254" s="25">
        <f t="shared" si="37"/>
        <v>470.32258064516134</v>
      </c>
    </row>
    <row r="255" spans="1:35" ht="15.75" customHeight="1">
      <c r="A255" s="12" t="s">
        <v>304</v>
      </c>
      <c r="B255" s="12" t="s">
        <v>305</v>
      </c>
      <c r="C255" s="12" t="s">
        <v>169</v>
      </c>
      <c r="D255" s="12" t="s">
        <v>33</v>
      </c>
      <c r="E255" s="12" t="s">
        <v>27</v>
      </c>
      <c r="F255" s="13">
        <v>380.67731640455918</v>
      </c>
      <c r="G255" s="14">
        <v>124.96684604270668</v>
      </c>
      <c r="H255" s="24" t="str">
        <f t="shared" si="30"/>
        <v>RJSP</v>
      </c>
      <c r="I255" s="24" t="str">
        <f t="shared" si="38"/>
        <v>RJMG</v>
      </c>
      <c r="J255" s="24" t="str">
        <f t="shared" si="38"/>
        <v>RJES</v>
      </c>
      <c r="K255" s="24" t="str">
        <f t="shared" si="38"/>
        <v>RJSC</v>
      </c>
      <c r="L255" s="24" t="str">
        <f t="shared" si="38"/>
        <v>RJRJ</v>
      </c>
      <c r="M255" s="24" t="str">
        <f t="shared" si="38"/>
        <v>RJPR</v>
      </c>
      <c r="N255" s="24" t="str">
        <f t="shared" si="38"/>
        <v>RJAM</v>
      </c>
      <c r="O255" s="24">
        <f>VLOOKUP(H255, KM!$A:$E, 5, 0)</f>
        <v>429</v>
      </c>
      <c r="P255" s="24">
        <f>VLOOKUP(I255, KM!$A:$E, 5, 0)</f>
        <v>434</v>
      </c>
      <c r="Q255" s="24">
        <f>VLOOKUP(J255, KM!$A:$E, 5, 0)</f>
        <v>521</v>
      </c>
      <c r="R255" s="24">
        <f>VLOOKUP(K255, KM!$A:$E, 5, 0)</f>
        <v>1144</v>
      </c>
      <c r="S255" s="24">
        <f>VLOOKUP(L255, KM!$A:$E, 5, 0)</f>
        <v>0</v>
      </c>
      <c r="T255" s="24">
        <f>VLOOKUP(M255, KM!$A:$E, 5, 0)</f>
        <v>852</v>
      </c>
      <c r="U255" s="24">
        <f>VLOOKUP(N255, KM!$A:$E, 5, 0)</f>
        <v>4374</v>
      </c>
      <c r="V255" s="24">
        <f>VLOOKUP(H255, IMPOSTO!$A:$D, 4, 0)</f>
        <v>0.12</v>
      </c>
      <c r="W255" s="24">
        <f>VLOOKUP(I255, IMPOSTO!$A:$D, 4, 0)</f>
        <v>0.12</v>
      </c>
      <c r="X255" s="24">
        <f>VLOOKUP(J255, IMPOSTO!$A:$D, 4, 0)</f>
        <v>7.0000000000000007E-2</v>
      </c>
      <c r="Y255" s="24">
        <f>VLOOKUP(K255, IMPOSTO!$A:$D, 4, 0)</f>
        <v>0.12</v>
      </c>
      <c r="Z255" s="24">
        <f>VLOOKUP(L255, IMPOSTO!$A:$D, 4, 0)</f>
        <v>0.18</v>
      </c>
      <c r="AA255" s="24">
        <f>VLOOKUP(M255, IMPOSTO!$A:$D, 4, 0)</f>
        <v>0.12</v>
      </c>
      <c r="AB255" s="24">
        <f>VLOOKUP(N255, IMPOSTO!$A:$D, 4, 0)</f>
        <v>7.0000000000000007E-2</v>
      </c>
      <c r="AC255" s="25">
        <f t="shared" si="31"/>
        <v>190.75777959398488</v>
      </c>
      <c r="AD255" s="25">
        <f t="shared" si="32"/>
        <v>191.32596141216669</v>
      </c>
      <c r="AE255" s="25">
        <f t="shared" si="33"/>
        <v>190.39445811043731</v>
      </c>
      <c r="AF255" s="25">
        <f t="shared" si="34"/>
        <v>272.00777959398488</v>
      </c>
      <c r="AG255" s="25">
        <f t="shared" si="35"/>
        <v>152.39859273500812</v>
      </c>
      <c r="AH255" s="25">
        <f t="shared" si="36"/>
        <v>238.82596141216669</v>
      </c>
      <c r="AI255" s="25">
        <f t="shared" si="37"/>
        <v>604.69553337925458</v>
      </c>
    </row>
    <row r="256" spans="1:35" ht="15.75" customHeight="1">
      <c r="A256" s="12" t="s">
        <v>306</v>
      </c>
      <c r="B256" s="12" t="s">
        <v>307</v>
      </c>
      <c r="C256" s="12" t="s">
        <v>163</v>
      </c>
      <c r="D256" s="12" t="s">
        <v>33</v>
      </c>
      <c r="E256" s="12" t="s">
        <v>27</v>
      </c>
      <c r="F256" s="13">
        <v>18693.076266567357</v>
      </c>
      <c r="G256" s="14">
        <v>816.43115321404514</v>
      </c>
      <c r="H256" s="24" t="str">
        <f t="shared" si="30"/>
        <v>RJSP</v>
      </c>
      <c r="I256" s="24" t="str">
        <f t="shared" si="38"/>
        <v>RJMG</v>
      </c>
      <c r="J256" s="24" t="str">
        <f t="shared" si="38"/>
        <v>RJES</v>
      </c>
      <c r="K256" s="24" t="str">
        <f t="shared" si="38"/>
        <v>RJSC</v>
      </c>
      <c r="L256" s="24" t="str">
        <f t="shared" si="38"/>
        <v>RJRJ</v>
      </c>
      <c r="M256" s="24" t="str">
        <f t="shared" si="38"/>
        <v>RJPR</v>
      </c>
      <c r="N256" s="24" t="str">
        <f t="shared" si="38"/>
        <v>RJAM</v>
      </c>
      <c r="O256" s="24">
        <f>VLOOKUP(H256, KM!$A:$E, 5, 0)</f>
        <v>429</v>
      </c>
      <c r="P256" s="24">
        <f>VLOOKUP(I256, KM!$A:$E, 5, 0)</f>
        <v>434</v>
      </c>
      <c r="Q256" s="24">
        <f>VLOOKUP(J256, KM!$A:$E, 5, 0)</f>
        <v>521</v>
      </c>
      <c r="R256" s="24">
        <f>VLOOKUP(K256, KM!$A:$E, 5, 0)</f>
        <v>1144</v>
      </c>
      <c r="S256" s="24">
        <f>VLOOKUP(L256, KM!$A:$E, 5, 0)</f>
        <v>0</v>
      </c>
      <c r="T256" s="24">
        <f>VLOOKUP(M256, KM!$A:$E, 5, 0)</f>
        <v>852</v>
      </c>
      <c r="U256" s="24">
        <f>VLOOKUP(N256, KM!$A:$E, 5, 0)</f>
        <v>4374</v>
      </c>
      <c r="V256" s="24">
        <f>VLOOKUP(H256, IMPOSTO!$A:$D, 4, 0)</f>
        <v>0.12</v>
      </c>
      <c r="W256" s="24">
        <f>VLOOKUP(I256, IMPOSTO!$A:$D, 4, 0)</f>
        <v>0.12</v>
      </c>
      <c r="X256" s="24">
        <f>VLOOKUP(J256, IMPOSTO!$A:$D, 4, 0)</f>
        <v>7.0000000000000007E-2</v>
      </c>
      <c r="Y256" s="24">
        <f>VLOOKUP(K256, IMPOSTO!$A:$D, 4, 0)</f>
        <v>0.12</v>
      </c>
      <c r="Z256" s="24">
        <f>VLOOKUP(L256, IMPOSTO!$A:$D, 4, 0)</f>
        <v>0.18</v>
      </c>
      <c r="AA256" s="24">
        <f>VLOOKUP(M256, IMPOSTO!$A:$D, 4, 0)</f>
        <v>0.12</v>
      </c>
      <c r="AB256" s="24">
        <f>VLOOKUP(N256, IMPOSTO!$A:$D, 4, 0)</f>
        <v>7.0000000000000007E-2</v>
      </c>
      <c r="AC256" s="25">
        <f t="shared" si="31"/>
        <v>976.51267410686944</v>
      </c>
      <c r="AD256" s="25">
        <f t="shared" si="32"/>
        <v>977.08085592505131</v>
      </c>
      <c r="AE256" s="25">
        <f t="shared" si="33"/>
        <v>933.90446582155403</v>
      </c>
      <c r="AF256" s="25">
        <f t="shared" si="34"/>
        <v>1057.7626741068696</v>
      </c>
      <c r="AG256" s="25">
        <f t="shared" si="35"/>
        <v>995.64774782200618</v>
      </c>
      <c r="AH256" s="25">
        <f t="shared" si="36"/>
        <v>1024.5808559250513</v>
      </c>
      <c r="AI256" s="25">
        <f t="shared" si="37"/>
        <v>1348.2055410903711</v>
      </c>
    </row>
    <row r="257" spans="1:35" ht="15.75" customHeight="1">
      <c r="A257" s="12" t="s">
        <v>279</v>
      </c>
      <c r="B257" s="12" t="s">
        <v>280</v>
      </c>
      <c r="C257" s="12" t="s">
        <v>278</v>
      </c>
      <c r="D257" s="12" t="s">
        <v>33</v>
      </c>
      <c r="E257" s="12" t="s">
        <v>27</v>
      </c>
      <c r="F257" s="13">
        <v>0</v>
      </c>
      <c r="G257" s="14">
        <v>0</v>
      </c>
      <c r="H257" s="24" t="str">
        <f t="shared" si="30"/>
        <v>RJSP</v>
      </c>
      <c r="I257" s="24" t="str">
        <f t="shared" si="38"/>
        <v>RJMG</v>
      </c>
      <c r="J257" s="24" t="str">
        <f t="shared" si="38"/>
        <v>RJES</v>
      </c>
      <c r="K257" s="24" t="str">
        <f t="shared" si="38"/>
        <v>RJSC</v>
      </c>
      <c r="L257" s="24" t="str">
        <f t="shared" si="38"/>
        <v>RJRJ</v>
      </c>
      <c r="M257" s="24" t="str">
        <f t="shared" si="38"/>
        <v>RJPR</v>
      </c>
      <c r="N257" s="24" t="str">
        <f t="shared" si="38"/>
        <v>RJAM</v>
      </c>
      <c r="O257" s="24">
        <f>VLOOKUP(H257, KM!$A:$E, 5, 0)</f>
        <v>429</v>
      </c>
      <c r="P257" s="24">
        <f>VLOOKUP(I257, KM!$A:$E, 5, 0)</f>
        <v>434</v>
      </c>
      <c r="Q257" s="24">
        <f>VLOOKUP(J257, KM!$A:$E, 5, 0)</f>
        <v>521</v>
      </c>
      <c r="R257" s="24">
        <f>VLOOKUP(K257, KM!$A:$E, 5, 0)</f>
        <v>1144</v>
      </c>
      <c r="S257" s="24">
        <f>VLOOKUP(L257, KM!$A:$E, 5, 0)</f>
        <v>0</v>
      </c>
      <c r="T257" s="24">
        <f>VLOOKUP(M257, KM!$A:$E, 5, 0)</f>
        <v>852</v>
      </c>
      <c r="U257" s="24">
        <f>VLOOKUP(N257, KM!$A:$E, 5, 0)</f>
        <v>4374</v>
      </c>
      <c r="V257" s="24">
        <f>VLOOKUP(H257, IMPOSTO!$A:$D, 4, 0)</f>
        <v>0.12</v>
      </c>
      <c r="W257" s="24">
        <f>VLOOKUP(I257, IMPOSTO!$A:$D, 4, 0)</f>
        <v>0.12</v>
      </c>
      <c r="X257" s="24">
        <f>VLOOKUP(J257, IMPOSTO!$A:$D, 4, 0)</f>
        <v>7.0000000000000007E-2</v>
      </c>
      <c r="Y257" s="24">
        <f>VLOOKUP(K257, IMPOSTO!$A:$D, 4, 0)</f>
        <v>0.12</v>
      </c>
      <c r="Z257" s="24">
        <f>VLOOKUP(L257, IMPOSTO!$A:$D, 4, 0)</f>
        <v>0.18</v>
      </c>
      <c r="AA257" s="24">
        <f>VLOOKUP(M257, IMPOSTO!$A:$D, 4, 0)</f>
        <v>0.12</v>
      </c>
      <c r="AB257" s="24">
        <f>VLOOKUP(N257, IMPOSTO!$A:$D, 4, 0)</f>
        <v>7.0000000000000007E-2</v>
      </c>
      <c r="AC257" s="25">
        <f t="shared" si="31"/>
        <v>48.750000000000007</v>
      </c>
      <c r="AD257" s="25">
        <f t="shared" si="32"/>
        <v>49.318181818181827</v>
      </c>
      <c r="AE257" s="25">
        <f t="shared" si="33"/>
        <v>56.021505376344088</v>
      </c>
      <c r="AF257" s="25">
        <f t="shared" si="34"/>
        <v>130</v>
      </c>
      <c r="AG257" s="25">
        <f t="shared" si="35"/>
        <v>0</v>
      </c>
      <c r="AH257" s="25">
        <f t="shared" si="36"/>
        <v>96.818181818181827</v>
      </c>
      <c r="AI257" s="25">
        <f t="shared" si="37"/>
        <v>470.32258064516134</v>
      </c>
    </row>
    <row r="258" spans="1:35" ht="15.75" customHeight="1">
      <c r="A258" s="12" t="s">
        <v>39</v>
      </c>
      <c r="B258" s="12" t="s">
        <v>40</v>
      </c>
      <c r="C258" s="12" t="s">
        <v>32</v>
      </c>
      <c r="D258" s="12" t="s">
        <v>33</v>
      </c>
      <c r="E258" s="12" t="s">
        <v>27</v>
      </c>
      <c r="F258" s="13">
        <v>0.4501</v>
      </c>
      <c r="G258" s="14">
        <v>24.832017</v>
      </c>
      <c r="H258" s="24" t="str">
        <f t="shared" si="30"/>
        <v>RJSP</v>
      </c>
      <c r="I258" s="24" t="str">
        <f t="shared" si="38"/>
        <v>RJMG</v>
      </c>
      <c r="J258" s="24" t="str">
        <f t="shared" si="38"/>
        <v>RJES</v>
      </c>
      <c r="K258" s="24" t="str">
        <f t="shared" si="38"/>
        <v>RJSC</v>
      </c>
      <c r="L258" s="24" t="str">
        <f t="shared" si="38"/>
        <v>RJRJ</v>
      </c>
      <c r="M258" s="24" t="str">
        <f t="shared" si="38"/>
        <v>RJPR</v>
      </c>
      <c r="N258" s="24" t="str">
        <f t="shared" si="38"/>
        <v>RJAM</v>
      </c>
      <c r="O258" s="24">
        <f>VLOOKUP(H258, KM!$A:$E, 5, 0)</f>
        <v>429</v>
      </c>
      <c r="P258" s="24">
        <f>VLOOKUP(I258, KM!$A:$E, 5, 0)</f>
        <v>434</v>
      </c>
      <c r="Q258" s="24">
        <f>VLOOKUP(J258, KM!$A:$E, 5, 0)</f>
        <v>521</v>
      </c>
      <c r="R258" s="24">
        <f>VLOOKUP(K258, KM!$A:$E, 5, 0)</f>
        <v>1144</v>
      </c>
      <c r="S258" s="24">
        <f>VLOOKUP(L258, KM!$A:$E, 5, 0)</f>
        <v>0</v>
      </c>
      <c r="T258" s="24">
        <f>VLOOKUP(M258, KM!$A:$E, 5, 0)</f>
        <v>852</v>
      </c>
      <c r="U258" s="24">
        <f>VLOOKUP(N258, KM!$A:$E, 5, 0)</f>
        <v>4374</v>
      </c>
      <c r="V258" s="24">
        <f>VLOOKUP(H258, IMPOSTO!$A:$D, 4, 0)</f>
        <v>0.12</v>
      </c>
      <c r="W258" s="24">
        <f>VLOOKUP(I258, IMPOSTO!$A:$D, 4, 0)</f>
        <v>0.12</v>
      </c>
      <c r="X258" s="24">
        <f>VLOOKUP(J258, IMPOSTO!$A:$D, 4, 0)</f>
        <v>7.0000000000000007E-2</v>
      </c>
      <c r="Y258" s="24">
        <f>VLOOKUP(K258, IMPOSTO!$A:$D, 4, 0)</f>
        <v>0.12</v>
      </c>
      <c r="Z258" s="24">
        <f>VLOOKUP(L258, IMPOSTO!$A:$D, 4, 0)</f>
        <v>0.18</v>
      </c>
      <c r="AA258" s="24">
        <f>VLOOKUP(M258, IMPOSTO!$A:$D, 4, 0)</f>
        <v>0.12</v>
      </c>
      <c r="AB258" s="24">
        <f>VLOOKUP(N258, IMPOSTO!$A:$D, 4, 0)</f>
        <v>7.0000000000000007E-2</v>
      </c>
      <c r="AC258" s="25">
        <f t="shared" si="31"/>
        <v>76.968201136363646</v>
      </c>
      <c r="AD258" s="25">
        <f t="shared" si="32"/>
        <v>77.536382954545473</v>
      </c>
      <c r="AE258" s="25">
        <f t="shared" si="33"/>
        <v>82.722598924731187</v>
      </c>
      <c r="AF258" s="25">
        <f t="shared" si="34"/>
        <v>158.21820113636366</v>
      </c>
      <c r="AG258" s="25">
        <f t="shared" si="35"/>
        <v>30.282947560975607</v>
      </c>
      <c r="AH258" s="25">
        <f t="shared" si="36"/>
        <v>125.03638295454545</v>
      </c>
      <c r="AI258" s="25">
        <f t="shared" si="37"/>
        <v>497.02367419354846</v>
      </c>
    </row>
    <row r="259" spans="1:35" ht="15.75" customHeight="1">
      <c r="A259" s="12" t="s">
        <v>308</v>
      </c>
      <c r="B259" s="12" t="s">
        <v>309</v>
      </c>
      <c r="C259" s="12" t="s">
        <v>140</v>
      </c>
      <c r="D259" s="12" t="s">
        <v>33</v>
      </c>
      <c r="E259" s="12" t="s">
        <v>27</v>
      </c>
      <c r="F259" s="13">
        <v>0.2155</v>
      </c>
      <c r="G259" s="14">
        <v>15.772444999999999</v>
      </c>
      <c r="H259" s="24" t="str">
        <f t="shared" si="30"/>
        <v>RJSP</v>
      </c>
      <c r="I259" s="24" t="str">
        <f t="shared" si="38"/>
        <v>RJMG</v>
      </c>
      <c r="J259" s="24" t="str">
        <f t="shared" si="38"/>
        <v>RJES</v>
      </c>
      <c r="K259" s="24" t="str">
        <f t="shared" si="38"/>
        <v>RJSC</v>
      </c>
      <c r="L259" s="24" t="str">
        <f t="shared" si="38"/>
        <v>RJRJ</v>
      </c>
      <c r="M259" s="24" t="str">
        <f t="shared" si="38"/>
        <v>RJPR</v>
      </c>
      <c r="N259" s="24" t="str">
        <f t="shared" si="38"/>
        <v>RJAM</v>
      </c>
      <c r="O259" s="24">
        <f>VLOOKUP(H259, KM!$A:$E, 5, 0)</f>
        <v>429</v>
      </c>
      <c r="P259" s="24">
        <f>VLOOKUP(I259, KM!$A:$E, 5, 0)</f>
        <v>434</v>
      </c>
      <c r="Q259" s="24">
        <f>VLOOKUP(J259, KM!$A:$E, 5, 0)</f>
        <v>521</v>
      </c>
      <c r="R259" s="24">
        <f>VLOOKUP(K259, KM!$A:$E, 5, 0)</f>
        <v>1144</v>
      </c>
      <c r="S259" s="24">
        <f>VLOOKUP(L259, KM!$A:$E, 5, 0)</f>
        <v>0</v>
      </c>
      <c r="T259" s="24">
        <f>VLOOKUP(M259, KM!$A:$E, 5, 0)</f>
        <v>852</v>
      </c>
      <c r="U259" s="24">
        <f>VLOOKUP(N259, KM!$A:$E, 5, 0)</f>
        <v>4374</v>
      </c>
      <c r="V259" s="24">
        <f>VLOOKUP(H259, IMPOSTO!$A:$D, 4, 0)</f>
        <v>0.12</v>
      </c>
      <c r="W259" s="24">
        <f>VLOOKUP(I259, IMPOSTO!$A:$D, 4, 0)</f>
        <v>0.12</v>
      </c>
      <c r="X259" s="24">
        <f>VLOOKUP(J259, IMPOSTO!$A:$D, 4, 0)</f>
        <v>7.0000000000000007E-2</v>
      </c>
      <c r="Y259" s="24">
        <f>VLOOKUP(K259, IMPOSTO!$A:$D, 4, 0)</f>
        <v>0.12</v>
      </c>
      <c r="Z259" s="24">
        <f>VLOOKUP(L259, IMPOSTO!$A:$D, 4, 0)</f>
        <v>0.18</v>
      </c>
      <c r="AA259" s="24">
        <f>VLOOKUP(M259, IMPOSTO!$A:$D, 4, 0)</f>
        <v>0.12</v>
      </c>
      <c r="AB259" s="24">
        <f>VLOOKUP(N259, IMPOSTO!$A:$D, 4, 0)</f>
        <v>7.0000000000000007E-2</v>
      </c>
      <c r="AC259" s="25">
        <f t="shared" si="31"/>
        <v>66.673232954545455</v>
      </c>
      <c r="AD259" s="25">
        <f t="shared" si="32"/>
        <v>67.241414772727282</v>
      </c>
      <c r="AE259" s="25">
        <f t="shared" si="33"/>
        <v>72.981123655913976</v>
      </c>
      <c r="AF259" s="25">
        <f t="shared" si="34"/>
        <v>147.92323295454545</v>
      </c>
      <c r="AG259" s="25">
        <f t="shared" si="35"/>
        <v>19.234689024390242</v>
      </c>
      <c r="AH259" s="25">
        <f t="shared" si="36"/>
        <v>114.74141477272728</v>
      </c>
      <c r="AI259" s="25">
        <f t="shared" si="37"/>
        <v>487.28219892473123</v>
      </c>
    </row>
    <row r="260" spans="1:35" ht="15.75" customHeight="1">
      <c r="A260" s="12" t="s">
        <v>288</v>
      </c>
      <c r="B260" s="12" t="s">
        <v>289</v>
      </c>
      <c r="C260" s="12" t="s">
        <v>283</v>
      </c>
      <c r="D260" s="12" t="s">
        <v>33</v>
      </c>
      <c r="E260" s="12" t="s">
        <v>27</v>
      </c>
      <c r="F260" s="13">
        <v>2.0999999999999999E-3</v>
      </c>
      <c r="G260" s="14">
        <v>0.122171</v>
      </c>
      <c r="H260" s="24" t="str">
        <f t="shared" si="30"/>
        <v>RJSP</v>
      </c>
      <c r="I260" s="24" t="str">
        <f t="shared" si="38"/>
        <v>RJMG</v>
      </c>
      <c r="J260" s="24" t="str">
        <f t="shared" si="38"/>
        <v>RJES</v>
      </c>
      <c r="K260" s="24" t="str">
        <f t="shared" si="38"/>
        <v>RJSC</v>
      </c>
      <c r="L260" s="24" t="str">
        <f t="shared" si="38"/>
        <v>RJRJ</v>
      </c>
      <c r="M260" s="24" t="str">
        <f t="shared" si="38"/>
        <v>RJPR</v>
      </c>
      <c r="N260" s="24" t="str">
        <f t="shared" si="38"/>
        <v>RJAM</v>
      </c>
      <c r="O260" s="24">
        <f>VLOOKUP(H260, KM!$A:$E, 5, 0)</f>
        <v>429</v>
      </c>
      <c r="P260" s="24">
        <f>VLOOKUP(I260, KM!$A:$E, 5, 0)</f>
        <v>434</v>
      </c>
      <c r="Q260" s="24">
        <f>VLOOKUP(J260, KM!$A:$E, 5, 0)</f>
        <v>521</v>
      </c>
      <c r="R260" s="24">
        <f>VLOOKUP(K260, KM!$A:$E, 5, 0)</f>
        <v>1144</v>
      </c>
      <c r="S260" s="24">
        <f>VLOOKUP(L260, KM!$A:$E, 5, 0)</f>
        <v>0</v>
      </c>
      <c r="T260" s="24">
        <f>VLOOKUP(M260, KM!$A:$E, 5, 0)</f>
        <v>852</v>
      </c>
      <c r="U260" s="24">
        <f>VLOOKUP(N260, KM!$A:$E, 5, 0)</f>
        <v>4374</v>
      </c>
      <c r="V260" s="24">
        <f>VLOOKUP(H260, IMPOSTO!$A:$D, 4, 0)</f>
        <v>0.12</v>
      </c>
      <c r="W260" s="24">
        <f>VLOOKUP(I260, IMPOSTO!$A:$D, 4, 0)</f>
        <v>0.12</v>
      </c>
      <c r="X260" s="24">
        <f>VLOOKUP(J260, IMPOSTO!$A:$D, 4, 0)</f>
        <v>7.0000000000000007E-2</v>
      </c>
      <c r="Y260" s="24">
        <f>VLOOKUP(K260, IMPOSTO!$A:$D, 4, 0)</f>
        <v>0.12</v>
      </c>
      <c r="Z260" s="24">
        <f>VLOOKUP(L260, IMPOSTO!$A:$D, 4, 0)</f>
        <v>0.18</v>
      </c>
      <c r="AA260" s="24">
        <f>VLOOKUP(M260, IMPOSTO!$A:$D, 4, 0)</f>
        <v>0.12</v>
      </c>
      <c r="AB260" s="24">
        <f>VLOOKUP(N260, IMPOSTO!$A:$D, 4, 0)</f>
        <v>7.0000000000000007E-2</v>
      </c>
      <c r="AC260" s="25">
        <f t="shared" si="31"/>
        <v>48.888830681818192</v>
      </c>
      <c r="AD260" s="25">
        <f t="shared" si="32"/>
        <v>49.457012500000005</v>
      </c>
      <c r="AE260" s="25">
        <f t="shared" si="33"/>
        <v>56.15287204301076</v>
      </c>
      <c r="AF260" s="25">
        <f t="shared" si="34"/>
        <v>130.13883068181818</v>
      </c>
      <c r="AG260" s="25">
        <f t="shared" si="35"/>
        <v>0.14898902439024389</v>
      </c>
      <c r="AH260" s="25">
        <f t="shared" si="36"/>
        <v>96.95701249999999</v>
      </c>
      <c r="AI260" s="25">
        <f t="shared" si="37"/>
        <v>470.45394731182802</v>
      </c>
    </row>
    <row r="261" spans="1:35" ht="15.75" customHeight="1">
      <c r="A261" s="12" t="s">
        <v>120</v>
      </c>
      <c r="B261" s="12" t="s">
        <v>121</v>
      </c>
      <c r="C261" s="12" t="s">
        <v>122</v>
      </c>
      <c r="D261" s="12" t="s">
        <v>33</v>
      </c>
      <c r="E261" s="12" t="s">
        <v>27</v>
      </c>
      <c r="F261" s="13">
        <v>795.21819611863555</v>
      </c>
      <c r="G261" s="14">
        <v>5327.9619139948591</v>
      </c>
      <c r="H261" s="24" t="str">
        <f t="shared" ref="H261:H324" si="39">$E261 &amp; H$17</f>
        <v>RJSP</v>
      </c>
      <c r="I261" s="24" t="str">
        <f t="shared" si="38"/>
        <v>RJMG</v>
      </c>
      <c r="J261" s="24" t="str">
        <f t="shared" si="38"/>
        <v>RJES</v>
      </c>
      <c r="K261" s="24" t="str">
        <f t="shared" si="38"/>
        <v>RJSC</v>
      </c>
      <c r="L261" s="24" t="str">
        <f t="shared" si="38"/>
        <v>RJRJ</v>
      </c>
      <c r="M261" s="24" t="str">
        <f t="shared" si="38"/>
        <v>RJPR</v>
      </c>
      <c r="N261" s="24" t="str">
        <f t="shared" si="38"/>
        <v>RJAM</v>
      </c>
      <c r="O261" s="24">
        <f>VLOOKUP(H261, KM!$A:$E, 5, 0)</f>
        <v>429</v>
      </c>
      <c r="P261" s="24">
        <f>VLOOKUP(I261, KM!$A:$E, 5, 0)</f>
        <v>434</v>
      </c>
      <c r="Q261" s="24">
        <f>VLOOKUP(J261, KM!$A:$E, 5, 0)</f>
        <v>521</v>
      </c>
      <c r="R261" s="24">
        <f>VLOOKUP(K261, KM!$A:$E, 5, 0)</f>
        <v>1144</v>
      </c>
      <c r="S261" s="24">
        <f>VLOOKUP(L261, KM!$A:$E, 5, 0)</f>
        <v>0</v>
      </c>
      <c r="T261" s="24">
        <f>VLOOKUP(M261, KM!$A:$E, 5, 0)</f>
        <v>852</v>
      </c>
      <c r="U261" s="24">
        <f>VLOOKUP(N261, KM!$A:$E, 5, 0)</f>
        <v>4374</v>
      </c>
      <c r="V261" s="24">
        <f>VLOOKUP(H261, IMPOSTO!$A:$D, 4, 0)</f>
        <v>0.12</v>
      </c>
      <c r="W261" s="24">
        <f>VLOOKUP(I261, IMPOSTO!$A:$D, 4, 0)</f>
        <v>0.12</v>
      </c>
      <c r="X261" s="24">
        <f>VLOOKUP(J261, IMPOSTO!$A:$D, 4, 0)</f>
        <v>7.0000000000000007E-2</v>
      </c>
      <c r="Y261" s="24">
        <f>VLOOKUP(K261, IMPOSTO!$A:$D, 4, 0)</f>
        <v>0.12</v>
      </c>
      <c r="Z261" s="24">
        <f>VLOOKUP(L261, IMPOSTO!$A:$D, 4, 0)</f>
        <v>0.18</v>
      </c>
      <c r="AA261" s="24">
        <f>VLOOKUP(M261, IMPOSTO!$A:$D, 4, 0)</f>
        <v>0.12</v>
      </c>
      <c r="AB261" s="24">
        <f>VLOOKUP(N261, IMPOSTO!$A:$D, 4, 0)</f>
        <v>7.0000000000000007E-2</v>
      </c>
      <c r="AC261" s="25">
        <f t="shared" si="31"/>
        <v>6103.2521749941579</v>
      </c>
      <c r="AD261" s="25">
        <f t="shared" si="32"/>
        <v>6103.820356812339</v>
      </c>
      <c r="AE261" s="25">
        <f t="shared" si="33"/>
        <v>5785.012810747161</v>
      </c>
      <c r="AF261" s="25">
        <f t="shared" si="34"/>
        <v>6184.5021749941579</v>
      </c>
      <c r="AG261" s="25">
        <f t="shared" si="35"/>
        <v>6497.5145292620227</v>
      </c>
      <c r="AH261" s="25">
        <f t="shared" si="36"/>
        <v>6151.3203568123399</v>
      </c>
      <c r="AI261" s="25">
        <f t="shared" si="37"/>
        <v>6199.3138860159779</v>
      </c>
    </row>
    <row r="262" spans="1:35" ht="15.75" customHeight="1">
      <c r="A262" s="12" t="s">
        <v>120</v>
      </c>
      <c r="B262" s="12" t="s">
        <v>123</v>
      </c>
      <c r="C262" s="12" t="s">
        <v>122</v>
      </c>
      <c r="D262" s="12" t="s">
        <v>33</v>
      </c>
      <c r="E262" s="12" t="s">
        <v>27</v>
      </c>
      <c r="F262" s="13">
        <v>24</v>
      </c>
      <c r="G262" s="14">
        <v>251.95</v>
      </c>
      <c r="H262" s="24" t="str">
        <f t="shared" si="39"/>
        <v>RJSP</v>
      </c>
      <c r="I262" s="24" t="str">
        <f t="shared" si="38"/>
        <v>RJMG</v>
      </c>
      <c r="J262" s="24" t="str">
        <f t="shared" si="38"/>
        <v>RJES</v>
      </c>
      <c r="K262" s="24" t="str">
        <f t="shared" si="38"/>
        <v>RJSC</v>
      </c>
      <c r="L262" s="24" t="str">
        <f t="shared" si="38"/>
        <v>RJRJ</v>
      </c>
      <c r="M262" s="24" t="str">
        <f t="shared" si="38"/>
        <v>RJPR</v>
      </c>
      <c r="N262" s="24" t="str">
        <f t="shared" si="38"/>
        <v>RJAM</v>
      </c>
      <c r="O262" s="24">
        <f>VLOOKUP(H262, KM!$A:$E, 5, 0)</f>
        <v>429</v>
      </c>
      <c r="P262" s="24">
        <f>VLOOKUP(I262, KM!$A:$E, 5, 0)</f>
        <v>434</v>
      </c>
      <c r="Q262" s="24">
        <f>VLOOKUP(J262, KM!$A:$E, 5, 0)</f>
        <v>521</v>
      </c>
      <c r="R262" s="24">
        <f>VLOOKUP(K262, KM!$A:$E, 5, 0)</f>
        <v>1144</v>
      </c>
      <c r="S262" s="24">
        <f>VLOOKUP(L262, KM!$A:$E, 5, 0)</f>
        <v>0</v>
      </c>
      <c r="T262" s="24">
        <f>VLOOKUP(M262, KM!$A:$E, 5, 0)</f>
        <v>852</v>
      </c>
      <c r="U262" s="24">
        <f>VLOOKUP(N262, KM!$A:$E, 5, 0)</f>
        <v>4374</v>
      </c>
      <c r="V262" s="24">
        <f>VLOOKUP(H262, IMPOSTO!$A:$D, 4, 0)</f>
        <v>0.12</v>
      </c>
      <c r="W262" s="24">
        <f>VLOOKUP(I262, IMPOSTO!$A:$D, 4, 0)</f>
        <v>0.12</v>
      </c>
      <c r="X262" s="24">
        <f>VLOOKUP(J262, IMPOSTO!$A:$D, 4, 0)</f>
        <v>7.0000000000000007E-2</v>
      </c>
      <c r="Y262" s="24">
        <f>VLOOKUP(K262, IMPOSTO!$A:$D, 4, 0)</f>
        <v>0.12</v>
      </c>
      <c r="Z262" s="24">
        <f>VLOOKUP(L262, IMPOSTO!$A:$D, 4, 0)</f>
        <v>0.18</v>
      </c>
      <c r="AA262" s="24">
        <f>VLOOKUP(M262, IMPOSTO!$A:$D, 4, 0)</f>
        <v>0.12</v>
      </c>
      <c r="AB262" s="24">
        <f>VLOOKUP(N262, IMPOSTO!$A:$D, 4, 0)</f>
        <v>7.0000000000000007E-2</v>
      </c>
      <c r="AC262" s="25">
        <f t="shared" si="31"/>
        <v>335.05681818181819</v>
      </c>
      <c r="AD262" s="25">
        <f t="shared" si="32"/>
        <v>335.625</v>
      </c>
      <c r="AE262" s="25">
        <f t="shared" si="33"/>
        <v>326.9354838709678</v>
      </c>
      <c r="AF262" s="25">
        <f t="shared" si="34"/>
        <v>416.30681818181819</v>
      </c>
      <c r="AG262" s="25">
        <f t="shared" si="35"/>
        <v>307.25609756097555</v>
      </c>
      <c r="AH262" s="25">
        <f t="shared" si="36"/>
        <v>383.125</v>
      </c>
      <c r="AI262" s="25">
        <f t="shared" si="37"/>
        <v>741.23655913978507</v>
      </c>
    </row>
    <row r="263" spans="1:35" ht="15.75" customHeight="1">
      <c r="A263" s="12" t="s">
        <v>129</v>
      </c>
      <c r="B263" s="12" t="s">
        <v>130</v>
      </c>
      <c r="C263" s="12" t="s">
        <v>69</v>
      </c>
      <c r="D263" s="12" t="s">
        <v>33</v>
      </c>
      <c r="E263" s="12" t="s">
        <v>27</v>
      </c>
      <c r="F263" s="13">
        <v>5.2000000000000006E-3</v>
      </c>
      <c r="G263" s="14">
        <v>1.0783320000000001</v>
      </c>
      <c r="H263" s="24" t="str">
        <f t="shared" si="39"/>
        <v>RJSP</v>
      </c>
      <c r="I263" s="24" t="str">
        <f t="shared" si="38"/>
        <v>RJMG</v>
      </c>
      <c r="J263" s="24" t="str">
        <f t="shared" si="38"/>
        <v>RJES</v>
      </c>
      <c r="K263" s="24" t="str">
        <f t="shared" si="38"/>
        <v>RJSC</v>
      </c>
      <c r="L263" s="24" t="str">
        <f t="shared" si="38"/>
        <v>RJRJ</v>
      </c>
      <c r="M263" s="24" t="str">
        <f t="shared" si="38"/>
        <v>RJPR</v>
      </c>
      <c r="N263" s="24" t="str">
        <f t="shared" si="38"/>
        <v>RJAM</v>
      </c>
      <c r="O263" s="24">
        <f>VLOOKUP(H263, KM!$A:$E, 5, 0)</f>
        <v>429</v>
      </c>
      <c r="P263" s="24">
        <f>VLOOKUP(I263, KM!$A:$E, 5, 0)</f>
        <v>434</v>
      </c>
      <c r="Q263" s="24">
        <f>VLOOKUP(J263, KM!$A:$E, 5, 0)</f>
        <v>521</v>
      </c>
      <c r="R263" s="24">
        <f>VLOOKUP(K263, KM!$A:$E, 5, 0)</f>
        <v>1144</v>
      </c>
      <c r="S263" s="24">
        <f>VLOOKUP(L263, KM!$A:$E, 5, 0)</f>
        <v>0</v>
      </c>
      <c r="T263" s="24">
        <f>VLOOKUP(M263, KM!$A:$E, 5, 0)</f>
        <v>852</v>
      </c>
      <c r="U263" s="24">
        <f>VLOOKUP(N263, KM!$A:$E, 5, 0)</f>
        <v>4374</v>
      </c>
      <c r="V263" s="24">
        <f>VLOOKUP(H263, IMPOSTO!$A:$D, 4, 0)</f>
        <v>0.12</v>
      </c>
      <c r="W263" s="24">
        <f>VLOOKUP(I263, IMPOSTO!$A:$D, 4, 0)</f>
        <v>0.12</v>
      </c>
      <c r="X263" s="24">
        <f>VLOOKUP(J263, IMPOSTO!$A:$D, 4, 0)</f>
        <v>7.0000000000000007E-2</v>
      </c>
      <c r="Y263" s="24">
        <f>VLOOKUP(K263, IMPOSTO!$A:$D, 4, 0)</f>
        <v>0.12</v>
      </c>
      <c r="Z263" s="24">
        <f>VLOOKUP(L263, IMPOSTO!$A:$D, 4, 0)</f>
        <v>0.18</v>
      </c>
      <c r="AA263" s="24">
        <f>VLOOKUP(M263, IMPOSTO!$A:$D, 4, 0)</f>
        <v>0.12</v>
      </c>
      <c r="AB263" s="24">
        <f>VLOOKUP(N263, IMPOSTO!$A:$D, 4, 0)</f>
        <v>7.0000000000000007E-2</v>
      </c>
      <c r="AC263" s="25">
        <f t="shared" si="31"/>
        <v>49.975377272727286</v>
      </c>
      <c r="AD263" s="25">
        <f t="shared" si="32"/>
        <v>50.543559090909099</v>
      </c>
      <c r="AE263" s="25">
        <f t="shared" si="33"/>
        <v>57.181002150537644</v>
      </c>
      <c r="AF263" s="25">
        <f t="shared" si="34"/>
        <v>131.22537727272729</v>
      </c>
      <c r="AG263" s="25">
        <f t="shared" si="35"/>
        <v>1.3150390243902439</v>
      </c>
      <c r="AH263" s="25">
        <f t="shared" si="36"/>
        <v>98.043559090909099</v>
      </c>
      <c r="AI263" s="25">
        <f t="shared" si="37"/>
        <v>471.48207741935488</v>
      </c>
    </row>
    <row r="264" spans="1:35" ht="15.75" customHeight="1">
      <c r="A264" s="12" t="s">
        <v>310</v>
      </c>
      <c r="B264" s="12" t="s">
        <v>311</v>
      </c>
      <c r="C264" s="12" t="s">
        <v>135</v>
      </c>
      <c r="D264" s="12" t="s">
        <v>33</v>
      </c>
      <c r="E264" s="12" t="s">
        <v>27</v>
      </c>
      <c r="F264" s="13">
        <v>2.9999999999999997E-4</v>
      </c>
      <c r="G264" s="14">
        <v>1.0241999999999999E-2</v>
      </c>
      <c r="H264" s="24" t="str">
        <f t="shared" si="39"/>
        <v>RJSP</v>
      </c>
      <c r="I264" s="24" t="str">
        <f t="shared" si="38"/>
        <v>RJMG</v>
      </c>
      <c r="J264" s="24" t="str">
        <f t="shared" si="38"/>
        <v>RJES</v>
      </c>
      <c r="K264" s="24" t="str">
        <f t="shared" si="38"/>
        <v>RJSC</v>
      </c>
      <c r="L264" s="24" t="str">
        <f t="shared" si="38"/>
        <v>RJRJ</v>
      </c>
      <c r="M264" s="24" t="str">
        <f t="shared" si="38"/>
        <v>RJPR</v>
      </c>
      <c r="N264" s="24" t="str">
        <f t="shared" si="38"/>
        <v>RJAM</v>
      </c>
      <c r="O264" s="24">
        <f>VLOOKUP(H264, KM!$A:$E, 5, 0)</f>
        <v>429</v>
      </c>
      <c r="P264" s="24">
        <f>VLOOKUP(I264, KM!$A:$E, 5, 0)</f>
        <v>434</v>
      </c>
      <c r="Q264" s="24">
        <f>VLOOKUP(J264, KM!$A:$E, 5, 0)</f>
        <v>521</v>
      </c>
      <c r="R264" s="24">
        <f>VLOOKUP(K264, KM!$A:$E, 5, 0)</f>
        <v>1144</v>
      </c>
      <c r="S264" s="24">
        <f>VLOOKUP(L264, KM!$A:$E, 5, 0)</f>
        <v>0</v>
      </c>
      <c r="T264" s="24">
        <f>VLOOKUP(M264, KM!$A:$E, 5, 0)</f>
        <v>852</v>
      </c>
      <c r="U264" s="24">
        <f>VLOOKUP(N264, KM!$A:$E, 5, 0)</f>
        <v>4374</v>
      </c>
      <c r="V264" s="24">
        <f>VLOOKUP(H264, IMPOSTO!$A:$D, 4, 0)</f>
        <v>0.12</v>
      </c>
      <c r="W264" s="24">
        <f>VLOOKUP(I264, IMPOSTO!$A:$D, 4, 0)</f>
        <v>0.12</v>
      </c>
      <c r="X264" s="24">
        <f>VLOOKUP(J264, IMPOSTO!$A:$D, 4, 0)</f>
        <v>7.0000000000000007E-2</v>
      </c>
      <c r="Y264" s="24">
        <f>VLOOKUP(K264, IMPOSTO!$A:$D, 4, 0)</f>
        <v>0.12</v>
      </c>
      <c r="Z264" s="24">
        <f>VLOOKUP(L264, IMPOSTO!$A:$D, 4, 0)</f>
        <v>0.18</v>
      </c>
      <c r="AA264" s="24">
        <f>VLOOKUP(M264, IMPOSTO!$A:$D, 4, 0)</f>
        <v>0.12</v>
      </c>
      <c r="AB264" s="24">
        <f>VLOOKUP(N264, IMPOSTO!$A:$D, 4, 0)</f>
        <v>7.0000000000000007E-2</v>
      </c>
      <c r="AC264" s="25">
        <f t="shared" si="31"/>
        <v>48.761638636363642</v>
      </c>
      <c r="AD264" s="25">
        <f t="shared" si="32"/>
        <v>49.329820454545455</v>
      </c>
      <c r="AE264" s="25">
        <f t="shared" si="33"/>
        <v>56.032518279569892</v>
      </c>
      <c r="AF264" s="25">
        <f t="shared" si="34"/>
        <v>130.01163863636364</v>
      </c>
      <c r="AG264" s="25">
        <f t="shared" si="35"/>
        <v>1.2490243902439023E-2</v>
      </c>
      <c r="AH264" s="25">
        <f t="shared" si="36"/>
        <v>96.829820454545469</v>
      </c>
      <c r="AI264" s="25">
        <f t="shared" si="37"/>
        <v>470.33359354838717</v>
      </c>
    </row>
    <row r="265" spans="1:35" ht="15.75" customHeight="1">
      <c r="A265" s="12" t="s">
        <v>245</v>
      </c>
      <c r="B265" s="12" t="s">
        <v>246</v>
      </c>
      <c r="C265" s="12" t="s">
        <v>60</v>
      </c>
      <c r="D265" s="12" t="s">
        <v>50</v>
      </c>
      <c r="E265" s="12" t="s">
        <v>27</v>
      </c>
      <c r="F265" s="13">
        <v>8.8800000000000004E-2</v>
      </c>
      <c r="G265" s="14">
        <v>1.8106320000000002</v>
      </c>
      <c r="H265" s="24" t="str">
        <f t="shared" si="39"/>
        <v>RJSP</v>
      </c>
      <c r="I265" s="24" t="str">
        <f t="shared" si="38"/>
        <v>RJMG</v>
      </c>
      <c r="J265" s="24" t="str">
        <f t="shared" si="38"/>
        <v>RJES</v>
      </c>
      <c r="K265" s="24" t="str">
        <f t="shared" si="38"/>
        <v>RJSC</v>
      </c>
      <c r="L265" s="24" t="str">
        <f t="shared" si="38"/>
        <v>RJRJ</v>
      </c>
      <c r="M265" s="24" t="str">
        <f t="shared" si="38"/>
        <v>RJPR</v>
      </c>
      <c r="N265" s="24" t="str">
        <f t="shared" si="38"/>
        <v>RJAM</v>
      </c>
      <c r="O265" s="24">
        <f>VLOOKUP(H265, KM!$A:$E, 5, 0)</f>
        <v>429</v>
      </c>
      <c r="P265" s="24">
        <f>VLOOKUP(I265, KM!$A:$E, 5, 0)</f>
        <v>434</v>
      </c>
      <c r="Q265" s="24">
        <f>VLOOKUP(J265, KM!$A:$E, 5, 0)</f>
        <v>521</v>
      </c>
      <c r="R265" s="24">
        <f>VLOOKUP(K265, KM!$A:$E, 5, 0)</f>
        <v>1144</v>
      </c>
      <c r="S265" s="24">
        <f>VLOOKUP(L265, KM!$A:$E, 5, 0)</f>
        <v>0</v>
      </c>
      <c r="T265" s="24">
        <f>VLOOKUP(M265, KM!$A:$E, 5, 0)</f>
        <v>852</v>
      </c>
      <c r="U265" s="24">
        <f>VLOOKUP(N265, KM!$A:$E, 5, 0)</f>
        <v>4374</v>
      </c>
      <c r="V265" s="24">
        <f>VLOOKUP(H265, IMPOSTO!$A:$D, 4, 0)</f>
        <v>0.12</v>
      </c>
      <c r="W265" s="24">
        <f>VLOOKUP(I265, IMPOSTO!$A:$D, 4, 0)</f>
        <v>0.12</v>
      </c>
      <c r="X265" s="24">
        <f>VLOOKUP(J265, IMPOSTO!$A:$D, 4, 0)</f>
        <v>7.0000000000000007E-2</v>
      </c>
      <c r="Y265" s="24">
        <f>VLOOKUP(K265, IMPOSTO!$A:$D, 4, 0)</f>
        <v>0.12</v>
      </c>
      <c r="Z265" s="24">
        <f>VLOOKUP(L265, IMPOSTO!$A:$D, 4, 0)</f>
        <v>0.18</v>
      </c>
      <c r="AA265" s="24">
        <f>VLOOKUP(M265, IMPOSTO!$A:$D, 4, 0)</f>
        <v>0.12</v>
      </c>
      <c r="AB265" s="24">
        <f>VLOOKUP(N265, IMPOSTO!$A:$D, 4, 0)</f>
        <v>7.0000000000000007E-2</v>
      </c>
      <c r="AC265" s="25">
        <f t="shared" si="31"/>
        <v>50.807536363636366</v>
      </c>
      <c r="AD265" s="25">
        <f t="shared" si="32"/>
        <v>51.375718181818186</v>
      </c>
      <c r="AE265" s="25">
        <f t="shared" si="33"/>
        <v>57.968421505376348</v>
      </c>
      <c r="AF265" s="25">
        <f t="shared" si="34"/>
        <v>132.05753636363636</v>
      </c>
      <c r="AG265" s="25">
        <f t="shared" si="35"/>
        <v>2.208087804878049</v>
      </c>
      <c r="AH265" s="25">
        <f t="shared" si="36"/>
        <v>98.875718181818186</v>
      </c>
      <c r="AI265" s="25">
        <f t="shared" si="37"/>
        <v>472.26949677419361</v>
      </c>
    </row>
    <row r="266" spans="1:35" ht="15.75" customHeight="1">
      <c r="A266" s="12" t="s">
        <v>312</v>
      </c>
      <c r="B266" s="12" t="s">
        <v>313</v>
      </c>
      <c r="C266" s="12" t="s">
        <v>314</v>
      </c>
      <c r="D266" s="12" t="s">
        <v>33</v>
      </c>
      <c r="E266" s="12" t="s">
        <v>27</v>
      </c>
      <c r="F266" s="13">
        <v>5.9999999999999995E-4</v>
      </c>
      <c r="G266" s="14">
        <v>1.2198000000000001E-2</v>
      </c>
      <c r="H266" s="24" t="str">
        <f t="shared" si="39"/>
        <v>RJSP</v>
      </c>
      <c r="I266" s="24" t="str">
        <f t="shared" si="38"/>
        <v>RJMG</v>
      </c>
      <c r="J266" s="24" t="str">
        <f t="shared" si="38"/>
        <v>RJES</v>
      </c>
      <c r="K266" s="24" t="str">
        <f t="shared" si="38"/>
        <v>RJSC</v>
      </c>
      <c r="L266" s="24" t="str">
        <f t="shared" si="38"/>
        <v>RJRJ</v>
      </c>
      <c r="M266" s="24" t="str">
        <f t="shared" si="38"/>
        <v>RJPR</v>
      </c>
      <c r="N266" s="24" t="str">
        <f t="shared" si="38"/>
        <v>RJAM</v>
      </c>
      <c r="O266" s="24">
        <f>VLOOKUP(H266, KM!$A:$E, 5, 0)</f>
        <v>429</v>
      </c>
      <c r="P266" s="24">
        <f>VLOOKUP(I266, KM!$A:$E, 5, 0)</f>
        <v>434</v>
      </c>
      <c r="Q266" s="24">
        <f>VLOOKUP(J266, KM!$A:$E, 5, 0)</f>
        <v>521</v>
      </c>
      <c r="R266" s="24">
        <f>VLOOKUP(K266, KM!$A:$E, 5, 0)</f>
        <v>1144</v>
      </c>
      <c r="S266" s="24">
        <f>VLOOKUP(L266, KM!$A:$E, 5, 0)</f>
        <v>0</v>
      </c>
      <c r="T266" s="24">
        <f>VLOOKUP(M266, KM!$A:$E, 5, 0)</f>
        <v>852</v>
      </c>
      <c r="U266" s="24">
        <f>VLOOKUP(N266, KM!$A:$E, 5, 0)</f>
        <v>4374</v>
      </c>
      <c r="V266" s="24">
        <f>VLOOKUP(H266, IMPOSTO!$A:$D, 4, 0)</f>
        <v>0.12</v>
      </c>
      <c r="W266" s="24">
        <f>VLOOKUP(I266, IMPOSTO!$A:$D, 4, 0)</f>
        <v>0.12</v>
      </c>
      <c r="X266" s="24">
        <f>VLOOKUP(J266, IMPOSTO!$A:$D, 4, 0)</f>
        <v>7.0000000000000007E-2</v>
      </c>
      <c r="Y266" s="24">
        <f>VLOOKUP(K266, IMPOSTO!$A:$D, 4, 0)</f>
        <v>0.12</v>
      </c>
      <c r="Z266" s="24">
        <f>VLOOKUP(L266, IMPOSTO!$A:$D, 4, 0)</f>
        <v>0.18</v>
      </c>
      <c r="AA266" s="24">
        <f>VLOOKUP(M266, IMPOSTO!$A:$D, 4, 0)</f>
        <v>0.12</v>
      </c>
      <c r="AB266" s="24">
        <f>VLOOKUP(N266, IMPOSTO!$A:$D, 4, 0)</f>
        <v>7.0000000000000007E-2</v>
      </c>
      <c r="AC266" s="25">
        <f t="shared" si="31"/>
        <v>48.763861363636366</v>
      </c>
      <c r="AD266" s="25">
        <f t="shared" si="32"/>
        <v>49.332043181818186</v>
      </c>
      <c r="AE266" s="25">
        <f t="shared" si="33"/>
        <v>56.03462150537635</v>
      </c>
      <c r="AF266" s="25">
        <f t="shared" si="34"/>
        <v>130.01386136363638</v>
      </c>
      <c r="AG266" s="25">
        <f t="shared" si="35"/>
        <v>1.4875609756097561E-2</v>
      </c>
      <c r="AH266" s="25">
        <f t="shared" si="36"/>
        <v>96.832043181818179</v>
      </c>
      <c r="AI266" s="25">
        <f t="shared" si="37"/>
        <v>470.33569677419365</v>
      </c>
    </row>
    <row r="267" spans="1:35" ht="15.75" customHeight="1">
      <c r="A267" s="12" t="s">
        <v>315</v>
      </c>
      <c r="B267" s="12" t="s">
        <v>316</v>
      </c>
      <c r="C267" s="12" t="s">
        <v>128</v>
      </c>
      <c r="D267" s="12" t="s">
        <v>33</v>
      </c>
      <c r="E267" s="12" t="s">
        <v>27</v>
      </c>
      <c r="F267" s="13">
        <v>0.99970000000000003</v>
      </c>
      <c r="G267" s="14">
        <v>127.241816</v>
      </c>
      <c r="H267" s="24" t="str">
        <f t="shared" si="39"/>
        <v>RJSP</v>
      </c>
      <c r="I267" s="24" t="str">
        <f t="shared" si="38"/>
        <v>RJMG</v>
      </c>
      <c r="J267" s="24" t="str">
        <f t="shared" si="38"/>
        <v>RJES</v>
      </c>
      <c r="K267" s="24" t="str">
        <f t="shared" si="38"/>
        <v>RJSC</v>
      </c>
      <c r="L267" s="24" t="str">
        <f t="shared" si="38"/>
        <v>RJRJ</v>
      </c>
      <c r="M267" s="24" t="str">
        <f t="shared" si="38"/>
        <v>RJPR</v>
      </c>
      <c r="N267" s="24" t="str">
        <f t="shared" si="38"/>
        <v>RJAM</v>
      </c>
      <c r="O267" s="24">
        <f>VLOOKUP(H267, KM!$A:$E, 5, 0)</f>
        <v>429</v>
      </c>
      <c r="P267" s="24">
        <f>VLOOKUP(I267, KM!$A:$E, 5, 0)</f>
        <v>434</v>
      </c>
      <c r="Q267" s="24">
        <f>VLOOKUP(J267, KM!$A:$E, 5, 0)</f>
        <v>521</v>
      </c>
      <c r="R267" s="24">
        <f>VLOOKUP(K267, KM!$A:$E, 5, 0)</f>
        <v>1144</v>
      </c>
      <c r="S267" s="24">
        <f>VLOOKUP(L267, KM!$A:$E, 5, 0)</f>
        <v>0</v>
      </c>
      <c r="T267" s="24">
        <f>VLOOKUP(M267, KM!$A:$E, 5, 0)</f>
        <v>852</v>
      </c>
      <c r="U267" s="24">
        <f>VLOOKUP(N267, KM!$A:$E, 5, 0)</f>
        <v>4374</v>
      </c>
      <c r="V267" s="24">
        <f>VLOOKUP(H267, IMPOSTO!$A:$D, 4, 0)</f>
        <v>0.12</v>
      </c>
      <c r="W267" s="24">
        <f>VLOOKUP(I267, IMPOSTO!$A:$D, 4, 0)</f>
        <v>0.12</v>
      </c>
      <c r="X267" s="24">
        <f>VLOOKUP(J267, IMPOSTO!$A:$D, 4, 0)</f>
        <v>7.0000000000000007E-2</v>
      </c>
      <c r="Y267" s="24">
        <f>VLOOKUP(K267, IMPOSTO!$A:$D, 4, 0)</f>
        <v>0.12</v>
      </c>
      <c r="Z267" s="24">
        <f>VLOOKUP(L267, IMPOSTO!$A:$D, 4, 0)</f>
        <v>0.18</v>
      </c>
      <c r="AA267" s="24">
        <f>VLOOKUP(M267, IMPOSTO!$A:$D, 4, 0)</f>
        <v>0.12</v>
      </c>
      <c r="AB267" s="24">
        <f>VLOOKUP(N267, IMPOSTO!$A:$D, 4, 0)</f>
        <v>7.0000000000000007E-2</v>
      </c>
      <c r="AC267" s="25">
        <f t="shared" si="31"/>
        <v>193.34297272727272</v>
      </c>
      <c r="AD267" s="25">
        <f t="shared" si="32"/>
        <v>193.91115454545456</v>
      </c>
      <c r="AE267" s="25">
        <f t="shared" si="33"/>
        <v>192.84066236559141</v>
      </c>
      <c r="AF267" s="25">
        <f t="shared" si="34"/>
        <v>274.59297272727275</v>
      </c>
      <c r="AG267" s="25">
        <f t="shared" si="35"/>
        <v>155.17294634146342</v>
      </c>
      <c r="AH267" s="25">
        <f t="shared" si="36"/>
        <v>241.41115454545456</v>
      </c>
      <c r="AI267" s="25">
        <f t="shared" si="37"/>
        <v>607.14173763440874</v>
      </c>
    </row>
    <row r="268" spans="1:35" ht="15.75" customHeight="1">
      <c r="A268" s="12" t="s">
        <v>317</v>
      </c>
      <c r="B268" s="12" t="s">
        <v>318</v>
      </c>
      <c r="C268" s="12" t="s">
        <v>210</v>
      </c>
      <c r="D268" s="12" t="s">
        <v>33</v>
      </c>
      <c r="E268" s="12" t="s">
        <v>27</v>
      </c>
      <c r="F268" s="13">
        <v>1288.5424639058447</v>
      </c>
      <c r="G268" s="14">
        <v>9337.751295225371</v>
      </c>
      <c r="H268" s="24" t="str">
        <f t="shared" si="39"/>
        <v>RJSP</v>
      </c>
      <c r="I268" s="24" t="str">
        <f t="shared" si="38"/>
        <v>RJMG</v>
      </c>
      <c r="J268" s="24" t="str">
        <f t="shared" si="38"/>
        <v>RJES</v>
      </c>
      <c r="K268" s="24" t="str">
        <f t="shared" si="38"/>
        <v>RJSC</v>
      </c>
      <c r="L268" s="24" t="str">
        <f t="shared" si="38"/>
        <v>RJRJ</v>
      </c>
      <c r="M268" s="24" t="str">
        <f t="shared" si="38"/>
        <v>RJPR</v>
      </c>
      <c r="N268" s="24" t="str">
        <f t="shared" si="38"/>
        <v>RJAM</v>
      </c>
      <c r="O268" s="24">
        <f>VLOOKUP(H268, KM!$A:$E, 5, 0)</f>
        <v>429</v>
      </c>
      <c r="P268" s="24">
        <f>VLOOKUP(I268, KM!$A:$E, 5, 0)</f>
        <v>434</v>
      </c>
      <c r="Q268" s="24">
        <f>VLOOKUP(J268, KM!$A:$E, 5, 0)</f>
        <v>521</v>
      </c>
      <c r="R268" s="24">
        <f>VLOOKUP(K268, KM!$A:$E, 5, 0)</f>
        <v>1144</v>
      </c>
      <c r="S268" s="24">
        <f>VLOOKUP(L268, KM!$A:$E, 5, 0)</f>
        <v>0</v>
      </c>
      <c r="T268" s="24">
        <f>VLOOKUP(M268, KM!$A:$E, 5, 0)</f>
        <v>852</v>
      </c>
      <c r="U268" s="24">
        <f>VLOOKUP(N268, KM!$A:$E, 5, 0)</f>
        <v>4374</v>
      </c>
      <c r="V268" s="24">
        <f>VLOOKUP(H268, IMPOSTO!$A:$D, 4, 0)</f>
        <v>0.12</v>
      </c>
      <c r="W268" s="24">
        <f>VLOOKUP(I268, IMPOSTO!$A:$D, 4, 0)</f>
        <v>0.12</v>
      </c>
      <c r="X268" s="24">
        <f>VLOOKUP(J268, IMPOSTO!$A:$D, 4, 0)</f>
        <v>7.0000000000000007E-2</v>
      </c>
      <c r="Y268" s="24">
        <f>VLOOKUP(K268, IMPOSTO!$A:$D, 4, 0)</f>
        <v>0.12</v>
      </c>
      <c r="Z268" s="24">
        <f>VLOOKUP(L268, IMPOSTO!$A:$D, 4, 0)</f>
        <v>0.18</v>
      </c>
      <c r="AA268" s="24">
        <f>VLOOKUP(M268, IMPOSTO!$A:$D, 4, 0)</f>
        <v>0.12</v>
      </c>
      <c r="AB268" s="24">
        <f>VLOOKUP(N268, IMPOSTO!$A:$D, 4, 0)</f>
        <v>7.0000000000000007E-2</v>
      </c>
      <c r="AC268" s="25">
        <f t="shared" si="31"/>
        <v>10659.831017301558</v>
      </c>
      <c r="AD268" s="25">
        <f t="shared" si="32"/>
        <v>10660.39919911974</v>
      </c>
      <c r="AE268" s="25">
        <f t="shared" si="33"/>
        <v>10096.614295941261</v>
      </c>
      <c r="AF268" s="25">
        <f t="shared" si="34"/>
        <v>10741.081017301558</v>
      </c>
      <c r="AG268" s="25">
        <f t="shared" si="35"/>
        <v>11387.501579543134</v>
      </c>
      <c r="AH268" s="25">
        <f t="shared" si="36"/>
        <v>10707.89919911974</v>
      </c>
      <c r="AI268" s="25">
        <f t="shared" si="37"/>
        <v>10510.915371210076</v>
      </c>
    </row>
    <row r="269" spans="1:35" ht="15.75" customHeight="1">
      <c r="A269" s="12" t="s">
        <v>319</v>
      </c>
      <c r="B269" s="12" t="s">
        <v>320</v>
      </c>
      <c r="C269" s="12" t="s">
        <v>104</v>
      </c>
      <c r="D269" s="12" t="s">
        <v>33</v>
      </c>
      <c r="E269" s="12" t="s">
        <v>27</v>
      </c>
      <c r="F269" s="13">
        <v>3.9843999999999999</v>
      </c>
      <c r="G269" s="14">
        <v>73.880736999999982</v>
      </c>
      <c r="H269" s="24" t="str">
        <f t="shared" si="39"/>
        <v>RJSP</v>
      </c>
      <c r="I269" s="24" t="str">
        <f t="shared" si="38"/>
        <v>RJMG</v>
      </c>
      <c r="J269" s="24" t="str">
        <f t="shared" si="38"/>
        <v>RJES</v>
      </c>
      <c r="K269" s="24" t="str">
        <f t="shared" si="38"/>
        <v>RJSC</v>
      </c>
      <c r="L269" s="24" t="str">
        <f t="shared" si="38"/>
        <v>RJRJ</v>
      </c>
      <c r="M269" s="24" t="str">
        <f t="shared" si="38"/>
        <v>RJPR</v>
      </c>
      <c r="N269" s="24" t="str">
        <f t="shared" si="38"/>
        <v>RJAM</v>
      </c>
      <c r="O269" s="24">
        <f>VLOOKUP(H269, KM!$A:$E, 5, 0)</f>
        <v>429</v>
      </c>
      <c r="P269" s="24">
        <f>VLOOKUP(I269, KM!$A:$E, 5, 0)</f>
        <v>434</v>
      </c>
      <c r="Q269" s="24">
        <f>VLOOKUP(J269, KM!$A:$E, 5, 0)</f>
        <v>521</v>
      </c>
      <c r="R269" s="24">
        <f>VLOOKUP(K269, KM!$A:$E, 5, 0)</f>
        <v>1144</v>
      </c>
      <c r="S269" s="24">
        <f>VLOOKUP(L269, KM!$A:$E, 5, 0)</f>
        <v>0</v>
      </c>
      <c r="T269" s="24">
        <f>VLOOKUP(M269, KM!$A:$E, 5, 0)</f>
        <v>852</v>
      </c>
      <c r="U269" s="24">
        <f>VLOOKUP(N269, KM!$A:$E, 5, 0)</f>
        <v>4374</v>
      </c>
      <c r="V269" s="24">
        <f>VLOOKUP(H269, IMPOSTO!$A:$D, 4, 0)</f>
        <v>0.12</v>
      </c>
      <c r="W269" s="24">
        <f>VLOOKUP(I269, IMPOSTO!$A:$D, 4, 0)</f>
        <v>0.12</v>
      </c>
      <c r="X269" s="24">
        <f>VLOOKUP(J269, IMPOSTO!$A:$D, 4, 0)</f>
        <v>7.0000000000000007E-2</v>
      </c>
      <c r="Y269" s="24">
        <f>VLOOKUP(K269, IMPOSTO!$A:$D, 4, 0)</f>
        <v>0.12</v>
      </c>
      <c r="Z269" s="24">
        <f>VLOOKUP(L269, IMPOSTO!$A:$D, 4, 0)</f>
        <v>0.18</v>
      </c>
      <c r="AA269" s="24">
        <f>VLOOKUP(M269, IMPOSTO!$A:$D, 4, 0)</f>
        <v>0.12</v>
      </c>
      <c r="AB269" s="24">
        <f>VLOOKUP(N269, IMPOSTO!$A:$D, 4, 0)</f>
        <v>7.0000000000000007E-2</v>
      </c>
      <c r="AC269" s="25">
        <f t="shared" si="31"/>
        <v>132.70538295454543</v>
      </c>
      <c r="AD269" s="25">
        <f t="shared" si="32"/>
        <v>133.27356477272727</v>
      </c>
      <c r="AE269" s="25">
        <f t="shared" si="33"/>
        <v>135.46315806451611</v>
      </c>
      <c r="AF269" s="25">
        <f t="shared" si="34"/>
        <v>213.95538295454543</v>
      </c>
      <c r="AG269" s="25">
        <f t="shared" si="35"/>
        <v>90.098459756097526</v>
      </c>
      <c r="AH269" s="25">
        <f t="shared" si="36"/>
        <v>180.77356477272727</v>
      </c>
      <c r="AI269" s="25">
        <f t="shared" si="37"/>
        <v>549.76423333333344</v>
      </c>
    </row>
    <row r="270" spans="1:35" ht="15.75" customHeight="1">
      <c r="A270" s="12" t="s">
        <v>321</v>
      </c>
      <c r="B270" s="12" t="s">
        <v>322</v>
      </c>
      <c r="C270" s="12" t="s">
        <v>104</v>
      </c>
      <c r="D270" s="12" t="s">
        <v>33</v>
      </c>
      <c r="E270" s="12" t="s">
        <v>27</v>
      </c>
      <c r="F270" s="13">
        <v>3.9843999999999999</v>
      </c>
      <c r="G270" s="14">
        <v>33.170129999999993</v>
      </c>
      <c r="H270" s="24" t="str">
        <f t="shared" si="39"/>
        <v>RJSP</v>
      </c>
      <c r="I270" s="24" t="str">
        <f t="shared" si="38"/>
        <v>RJMG</v>
      </c>
      <c r="J270" s="24" t="str">
        <f t="shared" si="38"/>
        <v>RJES</v>
      </c>
      <c r="K270" s="24" t="str">
        <f t="shared" si="38"/>
        <v>RJSC</v>
      </c>
      <c r="L270" s="24" t="str">
        <f t="shared" si="38"/>
        <v>RJRJ</v>
      </c>
      <c r="M270" s="24" t="str">
        <f t="shared" si="38"/>
        <v>RJPR</v>
      </c>
      <c r="N270" s="24" t="str">
        <f t="shared" si="38"/>
        <v>RJAM</v>
      </c>
      <c r="O270" s="24">
        <f>VLOOKUP(H270, KM!$A:$E, 5, 0)</f>
        <v>429</v>
      </c>
      <c r="P270" s="24">
        <f>VLOOKUP(I270, KM!$A:$E, 5, 0)</f>
        <v>434</v>
      </c>
      <c r="Q270" s="24">
        <f>VLOOKUP(J270, KM!$A:$E, 5, 0)</f>
        <v>521</v>
      </c>
      <c r="R270" s="24">
        <f>VLOOKUP(K270, KM!$A:$E, 5, 0)</f>
        <v>1144</v>
      </c>
      <c r="S270" s="24">
        <f>VLOOKUP(L270, KM!$A:$E, 5, 0)</f>
        <v>0</v>
      </c>
      <c r="T270" s="24">
        <f>VLOOKUP(M270, KM!$A:$E, 5, 0)</f>
        <v>852</v>
      </c>
      <c r="U270" s="24">
        <f>VLOOKUP(N270, KM!$A:$E, 5, 0)</f>
        <v>4374</v>
      </c>
      <c r="V270" s="24">
        <f>VLOOKUP(H270, IMPOSTO!$A:$D, 4, 0)</f>
        <v>0.12</v>
      </c>
      <c r="W270" s="24">
        <f>VLOOKUP(I270, IMPOSTO!$A:$D, 4, 0)</f>
        <v>0.12</v>
      </c>
      <c r="X270" s="24">
        <f>VLOOKUP(J270, IMPOSTO!$A:$D, 4, 0)</f>
        <v>7.0000000000000007E-2</v>
      </c>
      <c r="Y270" s="24">
        <f>VLOOKUP(K270, IMPOSTO!$A:$D, 4, 0)</f>
        <v>0.12</v>
      </c>
      <c r="Z270" s="24">
        <f>VLOOKUP(L270, IMPOSTO!$A:$D, 4, 0)</f>
        <v>0.18</v>
      </c>
      <c r="AA270" s="24">
        <f>VLOOKUP(M270, IMPOSTO!$A:$D, 4, 0)</f>
        <v>0.12</v>
      </c>
      <c r="AB270" s="24">
        <f>VLOOKUP(N270, IMPOSTO!$A:$D, 4, 0)</f>
        <v>7.0000000000000007E-2</v>
      </c>
      <c r="AC270" s="25">
        <f t="shared" si="31"/>
        <v>86.443329545454546</v>
      </c>
      <c r="AD270" s="25">
        <f t="shared" si="32"/>
        <v>87.011511363636373</v>
      </c>
      <c r="AE270" s="25">
        <f t="shared" si="33"/>
        <v>91.688311827956994</v>
      </c>
      <c r="AF270" s="25">
        <f t="shared" si="34"/>
        <v>167.69332954545456</v>
      </c>
      <c r="AG270" s="25">
        <f t="shared" si="35"/>
        <v>40.451378048780477</v>
      </c>
      <c r="AH270" s="25">
        <f t="shared" si="36"/>
        <v>134.51151136363634</v>
      </c>
      <c r="AI270" s="25">
        <f t="shared" si="37"/>
        <v>505.98938709677424</v>
      </c>
    </row>
    <row r="271" spans="1:35" ht="15.75" customHeight="1">
      <c r="A271" s="12" t="s">
        <v>294</v>
      </c>
      <c r="B271" s="12" t="s">
        <v>295</v>
      </c>
      <c r="C271" s="12" t="s">
        <v>296</v>
      </c>
      <c r="D271" s="12" t="s">
        <v>33</v>
      </c>
      <c r="E271" s="12" t="s">
        <v>27</v>
      </c>
      <c r="F271" s="13">
        <v>23.9712</v>
      </c>
      <c r="G271" s="14">
        <v>272.252904</v>
      </c>
      <c r="H271" s="24" t="str">
        <f t="shared" si="39"/>
        <v>RJSP</v>
      </c>
      <c r="I271" s="24" t="str">
        <f t="shared" si="38"/>
        <v>RJMG</v>
      </c>
      <c r="J271" s="24" t="str">
        <f t="shared" si="38"/>
        <v>RJES</v>
      </c>
      <c r="K271" s="24" t="str">
        <f t="shared" si="38"/>
        <v>RJSC</v>
      </c>
      <c r="L271" s="24" t="str">
        <f t="shared" si="38"/>
        <v>RJRJ</v>
      </c>
      <c r="M271" s="24" t="str">
        <f t="shared" si="38"/>
        <v>RJPR</v>
      </c>
      <c r="N271" s="24" t="str">
        <f t="shared" si="38"/>
        <v>RJAM</v>
      </c>
      <c r="O271" s="24">
        <f>VLOOKUP(H271, KM!$A:$E, 5, 0)</f>
        <v>429</v>
      </c>
      <c r="P271" s="24">
        <f>VLOOKUP(I271, KM!$A:$E, 5, 0)</f>
        <v>434</v>
      </c>
      <c r="Q271" s="24">
        <f>VLOOKUP(J271, KM!$A:$E, 5, 0)</f>
        <v>521</v>
      </c>
      <c r="R271" s="24">
        <f>VLOOKUP(K271, KM!$A:$E, 5, 0)</f>
        <v>1144</v>
      </c>
      <c r="S271" s="24">
        <f>VLOOKUP(L271, KM!$A:$E, 5, 0)</f>
        <v>0</v>
      </c>
      <c r="T271" s="24">
        <f>VLOOKUP(M271, KM!$A:$E, 5, 0)</f>
        <v>852</v>
      </c>
      <c r="U271" s="24">
        <f>VLOOKUP(N271, KM!$A:$E, 5, 0)</f>
        <v>4374</v>
      </c>
      <c r="V271" s="24">
        <f>VLOOKUP(H271, IMPOSTO!$A:$D, 4, 0)</f>
        <v>0.12</v>
      </c>
      <c r="W271" s="24">
        <f>VLOOKUP(I271, IMPOSTO!$A:$D, 4, 0)</f>
        <v>0.12</v>
      </c>
      <c r="X271" s="24">
        <f>VLOOKUP(J271, IMPOSTO!$A:$D, 4, 0)</f>
        <v>7.0000000000000007E-2</v>
      </c>
      <c r="Y271" s="24">
        <f>VLOOKUP(K271, IMPOSTO!$A:$D, 4, 0)</f>
        <v>0.12</v>
      </c>
      <c r="Z271" s="24">
        <f>VLOOKUP(L271, IMPOSTO!$A:$D, 4, 0)</f>
        <v>0.18</v>
      </c>
      <c r="AA271" s="24">
        <f>VLOOKUP(M271, IMPOSTO!$A:$D, 4, 0)</f>
        <v>0.12</v>
      </c>
      <c r="AB271" s="24">
        <f>VLOOKUP(N271, IMPOSTO!$A:$D, 4, 0)</f>
        <v>7.0000000000000007E-2</v>
      </c>
      <c r="AC271" s="25">
        <f t="shared" si="31"/>
        <v>358.12830000000002</v>
      </c>
      <c r="AD271" s="25">
        <f t="shared" si="32"/>
        <v>358.69648181818184</v>
      </c>
      <c r="AE271" s="25">
        <f t="shared" si="33"/>
        <v>348.76656344086024</v>
      </c>
      <c r="AF271" s="25">
        <f t="shared" si="34"/>
        <v>439.37830000000002</v>
      </c>
      <c r="AG271" s="25">
        <f t="shared" si="35"/>
        <v>332.01573658536586</v>
      </c>
      <c r="AH271" s="25">
        <f t="shared" si="36"/>
        <v>406.19648181818178</v>
      </c>
      <c r="AI271" s="25">
        <f t="shared" si="37"/>
        <v>763.06763870967745</v>
      </c>
    </row>
    <row r="272" spans="1:35" ht="15.75" customHeight="1">
      <c r="A272" s="12" t="s">
        <v>90</v>
      </c>
      <c r="B272" s="12" t="s">
        <v>91</v>
      </c>
      <c r="C272" s="12" t="s">
        <v>63</v>
      </c>
      <c r="D272" s="12" t="s">
        <v>33</v>
      </c>
      <c r="E272" s="12" t="s">
        <v>27</v>
      </c>
      <c r="F272" s="13">
        <v>59.933999999999997</v>
      </c>
      <c r="G272" s="14">
        <v>109.94892299999999</v>
      </c>
      <c r="H272" s="24" t="str">
        <f t="shared" si="39"/>
        <v>RJSP</v>
      </c>
      <c r="I272" s="24" t="str">
        <f t="shared" si="38"/>
        <v>RJMG</v>
      </c>
      <c r="J272" s="24" t="str">
        <f t="shared" si="38"/>
        <v>RJES</v>
      </c>
      <c r="K272" s="24" t="str">
        <f t="shared" si="38"/>
        <v>RJSC</v>
      </c>
      <c r="L272" s="24" t="str">
        <f t="shared" si="38"/>
        <v>RJRJ</v>
      </c>
      <c r="M272" s="24" t="str">
        <f t="shared" si="38"/>
        <v>RJPR</v>
      </c>
      <c r="N272" s="24" t="str">
        <f t="shared" si="38"/>
        <v>RJAM</v>
      </c>
      <c r="O272" s="24">
        <f>VLOOKUP(H272, KM!$A:$E, 5, 0)</f>
        <v>429</v>
      </c>
      <c r="P272" s="24">
        <f>VLOOKUP(I272, KM!$A:$E, 5, 0)</f>
        <v>434</v>
      </c>
      <c r="Q272" s="24">
        <f>VLOOKUP(J272, KM!$A:$E, 5, 0)</f>
        <v>521</v>
      </c>
      <c r="R272" s="24">
        <f>VLOOKUP(K272, KM!$A:$E, 5, 0)</f>
        <v>1144</v>
      </c>
      <c r="S272" s="24">
        <f>VLOOKUP(L272, KM!$A:$E, 5, 0)</f>
        <v>0</v>
      </c>
      <c r="T272" s="24">
        <f>VLOOKUP(M272, KM!$A:$E, 5, 0)</f>
        <v>852</v>
      </c>
      <c r="U272" s="24">
        <f>VLOOKUP(N272, KM!$A:$E, 5, 0)</f>
        <v>4374</v>
      </c>
      <c r="V272" s="24">
        <f>VLOOKUP(H272, IMPOSTO!$A:$D, 4, 0)</f>
        <v>0.12</v>
      </c>
      <c r="W272" s="24">
        <f>VLOOKUP(I272, IMPOSTO!$A:$D, 4, 0)</f>
        <v>0.12</v>
      </c>
      <c r="X272" s="24">
        <f>VLOOKUP(J272, IMPOSTO!$A:$D, 4, 0)</f>
        <v>7.0000000000000007E-2</v>
      </c>
      <c r="Y272" s="24">
        <f>VLOOKUP(K272, IMPOSTO!$A:$D, 4, 0)</f>
        <v>0.12</v>
      </c>
      <c r="Z272" s="24">
        <f>VLOOKUP(L272, IMPOSTO!$A:$D, 4, 0)</f>
        <v>0.18</v>
      </c>
      <c r="AA272" s="24">
        <f>VLOOKUP(M272, IMPOSTO!$A:$D, 4, 0)</f>
        <v>0.12</v>
      </c>
      <c r="AB272" s="24">
        <f>VLOOKUP(N272, IMPOSTO!$A:$D, 4, 0)</f>
        <v>7.0000000000000007E-2</v>
      </c>
      <c r="AC272" s="25">
        <f t="shared" si="31"/>
        <v>173.69195795454547</v>
      </c>
      <c r="AD272" s="25">
        <f t="shared" si="32"/>
        <v>174.26013977272729</v>
      </c>
      <c r="AE272" s="25">
        <f t="shared" si="33"/>
        <v>174.24615376344087</v>
      </c>
      <c r="AF272" s="25">
        <f t="shared" si="34"/>
        <v>254.94195795454547</v>
      </c>
      <c r="AG272" s="25">
        <f t="shared" si="35"/>
        <v>134.08405243902436</v>
      </c>
      <c r="AH272" s="25">
        <f t="shared" si="36"/>
        <v>221.76013977272726</v>
      </c>
      <c r="AI272" s="25">
        <f t="shared" si="37"/>
        <v>588.54722903225809</v>
      </c>
    </row>
    <row r="273" spans="1:35" ht="15.75" customHeight="1">
      <c r="A273" s="12" t="s">
        <v>117</v>
      </c>
      <c r="B273" s="12" t="s">
        <v>118</v>
      </c>
      <c r="C273" s="12" t="s">
        <v>119</v>
      </c>
      <c r="D273" s="12" t="s">
        <v>33</v>
      </c>
      <c r="E273" s="12" t="s">
        <v>27</v>
      </c>
      <c r="F273" s="13">
        <v>12979.313999999995</v>
      </c>
      <c r="G273" s="14">
        <v>13821.552301999996</v>
      </c>
      <c r="H273" s="24" t="str">
        <f t="shared" si="39"/>
        <v>RJSP</v>
      </c>
      <c r="I273" s="24" t="str">
        <f t="shared" si="38"/>
        <v>RJMG</v>
      </c>
      <c r="J273" s="24" t="str">
        <f t="shared" si="38"/>
        <v>RJES</v>
      </c>
      <c r="K273" s="24" t="str">
        <f t="shared" si="38"/>
        <v>RJSC</v>
      </c>
      <c r="L273" s="24" t="str">
        <f t="shared" si="38"/>
        <v>RJRJ</v>
      </c>
      <c r="M273" s="24" t="str">
        <f t="shared" si="38"/>
        <v>RJPR</v>
      </c>
      <c r="N273" s="24" t="str">
        <f t="shared" si="38"/>
        <v>RJAM</v>
      </c>
      <c r="O273" s="24">
        <f>VLOOKUP(H273, KM!$A:$E, 5, 0)</f>
        <v>429</v>
      </c>
      <c r="P273" s="24">
        <f>VLOOKUP(I273, KM!$A:$E, 5, 0)</f>
        <v>434</v>
      </c>
      <c r="Q273" s="24">
        <f>VLOOKUP(J273, KM!$A:$E, 5, 0)</f>
        <v>521</v>
      </c>
      <c r="R273" s="24">
        <f>VLOOKUP(K273, KM!$A:$E, 5, 0)</f>
        <v>1144</v>
      </c>
      <c r="S273" s="24">
        <f>VLOOKUP(L273, KM!$A:$E, 5, 0)</f>
        <v>0</v>
      </c>
      <c r="T273" s="24">
        <f>VLOOKUP(M273, KM!$A:$E, 5, 0)</f>
        <v>852</v>
      </c>
      <c r="U273" s="24">
        <f>VLOOKUP(N273, KM!$A:$E, 5, 0)</f>
        <v>4374</v>
      </c>
      <c r="V273" s="24">
        <f>VLOOKUP(H273, IMPOSTO!$A:$D, 4, 0)</f>
        <v>0.12</v>
      </c>
      <c r="W273" s="24">
        <f>VLOOKUP(I273, IMPOSTO!$A:$D, 4, 0)</f>
        <v>0.12</v>
      </c>
      <c r="X273" s="24">
        <f>VLOOKUP(J273, IMPOSTO!$A:$D, 4, 0)</f>
        <v>7.0000000000000007E-2</v>
      </c>
      <c r="Y273" s="24">
        <f>VLOOKUP(K273, IMPOSTO!$A:$D, 4, 0)</f>
        <v>0.12</v>
      </c>
      <c r="Z273" s="24">
        <f>VLOOKUP(L273, IMPOSTO!$A:$D, 4, 0)</f>
        <v>0.18</v>
      </c>
      <c r="AA273" s="24">
        <f>VLOOKUP(M273, IMPOSTO!$A:$D, 4, 0)</f>
        <v>0.12</v>
      </c>
      <c r="AB273" s="24">
        <f>VLOOKUP(N273, IMPOSTO!$A:$D, 4, 0)</f>
        <v>7.0000000000000007E-2</v>
      </c>
      <c r="AC273" s="25">
        <f t="shared" si="31"/>
        <v>15755.059434090905</v>
      </c>
      <c r="AD273" s="25">
        <f t="shared" si="32"/>
        <v>15755.627615909087</v>
      </c>
      <c r="AE273" s="25">
        <f t="shared" si="33"/>
        <v>14917.905701075266</v>
      </c>
      <c r="AF273" s="25">
        <f t="shared" si="34"/>
        <v>15836.309434090905</v>
      </c>
      <c r="AG273" s="25">
        <f t="shared" si="35"/>
        <v>16855.551587804872</v>
      </c>
      <c r="AH273" s="25">
        <f t="shared" si="36"/>
        <v>15803.127615909088</v>
      </c>
      <c r="AI273" s="25">
        <f t="shared" si="37"/>
        <v>15332.206776344083</v>
      </c>
    </row>
    <row r="274" spans="1:35" ht="15.75" customHeight="1">
      <c r="A274" s="12" t="s">
        <v>92</v>
      </c>
      <c r="B274" s="12" t="s">
        <v>93</v>
      </c>
      <c r="C274" s="12" t="s">
        <v>86</v>
      </c>
      <c r="D274" s="12" t="s">
        <v>33</v>
      </c>
      <c r="E274" s="12" t="s">
        <v>27</v>
      </c>
      <c r="F274" s="13">
        <v>65.228709646133865</v>
      </c>
      <c r="G274" s="14">
        <v>2969.1293272049556</v>
      </c>
      <c r="H274" s="24" t="str">
        <f t="shared" si="39"/>
        <v>RJSP</v>
      </c>
      <c r="I274" s="24" t="str">
        <f t="shared" si="38"/>
        <v>RJMG</v>
      </c>
      <c r="J274" s="24" t="str">
        <f t="shared" si="38"/>
        <v>RJES</v>
      </c>
      <c r="K274" s="24" t="str">
        <f t="shared" si="38"/>
        <v>RJSC</v>
      </c>
      <c r="L274" s="24" t="str">
        <f t="shared" si="38"/>
        <v>RJRJ</v>
      </c>
      <c r="M274" s="24" t="str">
        <f t="shared" si="38"/>
        <v>RJPR</v>
      </c>
      <c r="N274" s="24" t="str">
        <f t="shared" si="38"/>
        <v>RJAM</v>
      </c>
      <c r="O274" s="24">
        <f>VLOOKUP(H274, KM!$A:$E, 5, 0)</f>
        <v>429</v>
      </c>
      <c r="P274" s="24">
        <f>VLOOKUP(I274, KM!$A:$E, 5, 0)</f>
        <v>434</v>
      </c>
      <c r="Q274" s="24">
        <f>VLOOKUP(J274, KM!$A:$E, 5, 0)</f>
        <v>521</v>
      </c>
      <c r="R274" s="24">
        <f>VLOOKUP(K274, KM!$A:$E, 5, 0)</f>
        <v>1144</v>
      </c>
      <c r="S274" s="24">
        <f>VLOOKUP(L274, KM!$A:$E, 5, 0)</f>
        <v>0</v>
      </c>
      <c r="T274" s="24">
        <f>VLOOKUP(M274, KM!$A:$E, 5, 0)</f>
        <v>852</v>
      </c>
      <c r="U274" s="24">
        <f>VLOOKUP(N274, KM!$A:$E, 5, 0)</f>
        <v>4374</v>
      </c>
      <c r="V274" s="24">
        <f>VLOOKUP(H274, IMPOSTO!$A:$D, 4, 0)</f>
        <v>0.12</v>
      </c>
      <c r="W274" s="24">
        <f>VLOOKUP(I274, IMPOSTO!$A:$D, 4, 0)</f>
        <v>0.12</v>
      </c>
      <c r="X274" s="24">
        <f>VLOOKUP(J274, IMPOSTO!$A:$D, 4, 0)</f>
        <v>7.0000000000000007E-2</v>
      </c>
      <c r="Y274" s="24">
        <f>VLOOKUP(K274, IMPOSTO!$A:$D, 4, 0)</f>
        <v>0.12</v>
      </c>
      <c r="Z274" s="24">
        <f>VLOOKUP(L274, IMPOSTO!$A:$D, 4, 0)</f>
        <v>0.18</v>
      </c>
      <c r="AA274" s="24">
        <f>VLOOKUP(M274, IMPOSTO!$A:$D, 4, 0)</f>
        <v>0.12</v>
      </c>
      <c r="AB274" s="24">
        <f>VLOOKUP(N274, IMPOSTO!$A:$D, 4, 0)</f>
        <v>7.0000000000000007E-2</v>
      </c>
      <c r="AC274" s="25">
        <f t="shared" si="31"/>
        <v>3422.7605990965408</v>
      </c>
      <c r="AD274" s="25">
        <f t="shared" si="32"/>
        <v>3423.3287809147223</v>
      </c>
      <c r="AE274" s="25">
        <f t="shared" si="33"/>
        <v>3248.6336851666192</v>
      </c>
      <c r="AF274" s="25">
        <f t="shared" si="34"/>
        <v>3504.0105990965408</v>
      </c>
      <c r="AG274" s="25">
        <f t="shared" si="35"/>
        <v>3620.8894234206773</v>
      </c>
      <c r="AH274" s="25">
        <f t="shared" si="36"/>
        <v>3470.8287809147223</v>
      </c>
      <c r="AI274" s="25">
        <f t="shared" si="37"/>
        <v>3662.9347604354366</v>
      </c>
    </row>
    <row r="275" spans="1:35" ht="15.75" customHeight="1">
      <c r="A275" s="12" t="s">
        <v>323</v>
      </c>
      <c r="B275" s="12" t="s">
        <v>324</v>
      </c>
      <c r="C275" s="12" t="s">
        <v>81</v>
      </c>
      <c r="D275" s="12" t="s">
        <v>33</v>
      </c>
      <c r="E275" s="12" t="s">
        <v>27</v>
      </c>
      <c r="F275" s="13">
        <v>502.54844899999995</v>
      </c>
      <c r="G275" s="14">
        <v>4488.7739650000003</v>
      </c>
      <c r="H275" s="24" t="str">
        <f t="shared" si="39"/>
        <v>RJSP</v>
      </c>
      <c r="I275" s="24" t="str">
        <f t="shared" si="38"/>
        <v>RJMG</v>
      </c>
      <c r="J275" s="24" t="str">
        <f t="shared" si="38"/>
        <v>RJES</v>
      </c>
      <c r="K275" s="24" t="str">
        <f t="shared" si="38"/>
        <v>RJSC</v>
      </c>
      <c r="L275" s="24" t="str">
        <f t="shared" si="38"/>
        <v>RJRJ</v>
      </c>
      <c r="M275" s="24" t="str">
        <f t="shared" si="38"/>
        <v>RJPR</v>
      </c>
      <c r="N275" s="24" t="str">
        <f t="shared" si="38"/>
        <v>RJAM</v>
      </c>
      <c r="O275" s="24">
        <f>VLOOKUP(H275, KM!$A:$E, 5, 0)</f>
        <v>429</v>
      </c>
      <c r="P275" s="24">
        <f>VLOOKUP(I275, KM!$A:$E, 5, 0)</f>
        <v>434</v>
      </c>
      <c r="Q275" s="24">
        <f>VLOOKUP(J275, KM!$A:$E, 5, 0)</f>
        <v>521</v>
      </c>
      <c r="R275" s="24">
        <f>VLOOKUP(K275, KM!$A:$E, 5, 0)</f>
        <v>1144</v>
      </c>
      <c r="S275" s="24">
        <f>VLOOKUP(L275, KM!$A:$E, 5, 0)</f>
        <v>0</v>
      </c>
      <c r="T275" s="24">
        <f>VLOOKUP(M275, KM!$A:$E, 5, 0)</f>
        <v>852</v>
      </c>
      <c r="U275" s="24">
        <f>VLOOKUP(N275, KM!$A:$E, 5, 0)</f>
        <v>4374</v>
      </c>
      <c r="V275" s="24">
        <f>VLOOKUP(H275, IMPOSTO!$A:$D, 4, 0)</f>
        <v>0.12</v>
      </c>
      <c r="W275" s="24">
        <f>VLOOKUP(I275, IMPOSTO!$A:$D, 4, 0)</f>
        <v>0.12</v>
      </c>
      <c r="X275" s="24">
        <f>VLOOKUP(J275, IMPOSTO!$A:$D, 4, 0)</f>
        <v>7.0000000000000007E-2</v>
      </c>
      <c r="Y275" s="24">
        <f>VLOOKUP(K275, IMPOSTO!$A:$D, 4, 0)</f>
        <v>0.12</v>
      </c>
      <c r="Z275" s="24">
        <f>VLOOKUP(L275, IMPOSTO!$A:$D, 4, 0)</f>
        <v>0.18</v>
      </c>
      <c r="AA275" s="24">
        <f>VLOOKUP(M275, IMPOSTO!$A:$D, 4, 0)</f>
        <v>0.12</v>
      </c>
      <c r="AB275" s="24">
        <f>VLOOKUP(N275, IMPOSTO!$A:$D, 4, 0)</f>
        <v>7.0000000000000007E-2</v>
      </c>
      <c r="AC275" s="25">
        <f t="shared" ref="AC275:AC338" si="40">($G275 + O275 * $AE$5) / (1 - V275)</f>
        <v>5149.629505681818</v>
      </c>
      <c r="AD275" s="25">
        <f t="shared" ref="AD275:AD338" si="41">($G275 + P275 * $AE$5) / (1 - W275)</f>
        <v>5150.1976875</v>
      </c>
      <c r="AE275" s="25">
        <f t="shared" ref="AE275:AE338" si="42">($G275 + Q275 * $AE$5) / (1 - X275)</f>
        <v>4882.6601774193559</v>
      </c>
      <c r="AF275" s="25">
        <f t="shared" ref="AF275:AF338" si="43">($G275 + R275 * $AE$5) / (1 - Y275)</f>
        <v>5230.879505681818</v>
      </c>
      <c r="AG275" s="25">
        <f t="shared" ref="AG275:AG338" si="44">($G275 + S275 * $AE$5) / (1 - Z275)</f>
        <v>5474.1145914634144</v>
      </c>
      <c r="AH275" s="25">
        <f t="shared" ref="AH275:AH338" si="45">($G275 + T275 * $AE$5) / (1 - AA275)</f>
        <v>5197.6976875</v>
      </c>
      <c r="AI275" s="25">
        <f t="shared" ref="AI275:AI338" si="46">($G275 + U275 * $AE$5) / (1 - AB275)</f>
        <v>5296.961252688172</v>
      </c>
    </row>
    <row r="276" spans="1:35" ht="15.75" customHeight="1">
      <c r="A276" s="12" t="s">
        <v>300</v>
      </c>
      <c r="B276" s="12" t="s">
        <v>301</v>
      </c>
      <c r="C276" s="12" t="s">
        <v>232</v>
      </c>
      <c r="D276" s="12" t="s">
        <v>33</v>
      </c>
      <c r="E276" s="12" t="s">
        <v>27</v>
      </c>
      <c r="F276" s="13">
        <v>1616.7772336218784</v>
      </c>
      <c r="G276" s="14">
        <v>8689.3118725860404</v>
      </c>
      <c r="H276" s="24" t="str">
        <f t="shared" si="39"/>
        <v>RJSP</v>
      </c>
      <c r="I276" s="24" t="str">
        <f t="shared" si="38"/>
        <v>RJMG</v>
      </c>
      <c r="J276" s="24" t="str">
        <f t="shared" si="38"/>
        <v>RJES</v>
      </c>
      <c r="K276" s="24" t="str">
        <f t="shared" si="38"/>
        <v>RJSC</v>
      </c>
      <c r="L276" s="24" t="str">
        <f t="shared" si="38"/>
        <v>RJRJ</v>
      </c>
      <c r="M276" s="24" t="str">
        <f t="shared" si="38"/>
        <v>RJPR</v>
      </c>
      <c r="N276" s="24" t="str">
        <f t="shared" si="38"/>
        <v>RJAM</v>
      </c>
      <c r="O276" s="24">
        <f>VLOOKUP(H276, KM!$A:$E, 5, 0)</f>
        <v>429</v>
      </c>
      <c r="P276" s="24">
        <f>VLOOKUP(I276, KM!$A:$E, 5, 0)</f>
        <v>434</v>
      </c>
      <c r="Q276" s="24">
        <f>VLOOKUP(J276, KM!$A:$E, 5, 0)</f>
        <v>521</v>
      </c>
      <c r="R276" s="24">
        <f>VLOOKUP(K276, KM!$A:$E, 5, 0)</f>
        <v>1144</v>
      </c>
      <c r="S276" s="24">
        <f>VLOOKUP(L276, KM!$A:$E, 5, 0)</f>
        <v>0</v>
      </c>
      <c r="T276" s="24">
        <f>VLOOKUP(M276, KM!$A:$E, 5, 0)</f>
        <v>852</v>
      </c>
      <c r="U276" s="24">
        <f>VLOOKUP(N276, KM!$A:$E, 5, 0)</f>
        <v>4374</v>
      </c>
      <c r="V276" s="24">
        <f>VLOOKUP(H276, IMPOSTO!$A:$D, 4, 0)</f>
        <v>0.12</v>
      </c>
      <c r="W276" s="24">
        <f>VLOOKUP(I276, IMPOSTO!$A:$D, 4, 0)</f>
        <v>0.12</v>
      </c>
      <c r="X276" s="24">
        <f>VLOOKUP(J276, IMPOSTO!$A:$D, 4, 0)</f>
        <v>7.0000000000000007E-2</v>
      </c>
      <c r="Y276" s="24">
        <f>VLOOKUP(K276, IMPOSTO!$A:$D, 4, 0)</f>
        <v>0.12</v>
      </c>
      <c r="Z276" s="24">
        <f>VLOOKUP(L276, IMPOSTO!$A:$D, 4, 0)</f>
        <v>0.18</v>
      </c>
      <c r="AA276" s="24">
        <f>VLOOKUP(M276, IMPOSTO!$A:$D, 4, 0)</f>
        <v>0.12</v>
      </c>
      <c r="AB276" s="24">
        <f>VLOOKUP(N276, IMPOSTO!$A:$D, 4, 0)</f>
        <v>7.0000000000000007E-2</v>
      </c>
      <c r="AC276" s="25">
        <f t="shared" si="40"/>
        <v>9922.9680370295901</v>
      </c>
      <c r="AD276" s="25">
        <f t="shared" si="41"/>
        <v>9923.536218847772</v>
      </c>
      <c r="AE276" s="25">
        <f t="shared" si="42"/>
        <v>9399.3676049312271</v>
      </c>
      <c r="AF276" s="25">
        <f t="shared" si="43"/>
        <v>10004.21803702959</v>
      </c>
      <c r="AG276" s="25">
        <f t="shared" si="44"/>
        <v>10596.721795836635</v>
      </c>
      <c r="AH276" s="25">
        <f t="shared" si="45"/>
        <v>9971.0362188477739</v>
      </c>
      <c r="AI276" s="25">
        <f t="shared" si="46"/>
        <v>9813.668680200044</v>
      </c>
    </row>
    <row r="277" spans="1:35" ht="15.75" customHeight="1">
      <c r="A277" s="12" t="s">
        <v>302</v>
      </c>
      <c r="B277" s="12" t="s">
        <v>303</v>
      </c>
      <c r="C277" s="12" t="s">
        <v>181</v>
      </c>
      <c r="D277" s="12" t="s">
        <v>33</v>
      </c>
      <c r="E277" s="12" t="s">
        <v>27</v>
      </c>
      <c r="F277" s="13">
        <v>42443.67447794701</v>
      </c>
      <c r="G277" s="14">
        <v>21799.138582785461</v>
      </c>
      <c r="H277" s="24" t="str">
        <f t="shared" si="39"/>
        <v>RJSP</v>
      </c>
      <c r="I277" s="24" t="str">
        <f t="shared" si="38"/>
        <v>RJMG</v>
      </c>
      <c r="J277" s="24" t="str">
        <f t="shared" si="38"/>
        <v>RJES</v>
      </c>
      <c r="K277" s="24" t="str">
        <f t="shared" si="38"/>
        <v>RJSC</v>
      </c>
      <c r="L277" s="24" t="str">
        <f t="shared" si="38"/>
        <v>RJRJ</v>
      </c>
      <c r="M277" s="24" t="str">
        <f t="shared" si="38"/>
        <v>RJPR</v>
      </c>
      <c r="N277" s="24" t="str">
        <f t="shared" si="38"/>
        <v>RJAM</v>
      </c>
      <c r="O277" s="24">
        <f>VLOOKUP(H277, KM!$A:$E, 5, 0)</f>
        <v>429</v>
      </c>
      <c r="P277" s="24">
        <f>VLOOKUP(I277, KM!$A:$E, 5, 0)</f>
        <v>434</v>
      </c>
      <c r="Q277" s="24">
        <f>VLOOKUP(J277, KM!$A:$E, 5, 0)</f>
        <v>521</v>
      </c>
      <c r="R277" s="24">
        <f>VLOOKUP(K277, KM!$A:$E, 5, 0)</f>
        <v>1144</v>
      </c>
      <c r="S277" s="24">
        <f>VLOOKUP(L277, KM!$A:$E, 5, 0)</f>
        <v>0</v>
      </c>
      <c r="T277" s="24">
        <f>VLOOKUP(M277, KM!$A:$E, 5, 0)</f>
        <v>852</v>
      </c>
      <c r="U277" s="24">
        <f>VLOOKUP(N277, KM!$A:$E, 5, 0)</f>
        <v>4374</v>
      </c>
      <c r="V277" s="24">
        <f>VLOOKUP(H277, IMPOSTO!$A:$D, 4, 0)</f>
        <v>0.12</v>
      </c>
      <c r="W277" s="24">
        <f>VLOOKUP(I277, IMPOSTO!$A:$D, 4, 0)</f>
        <v>0.12</v>
      </c>
      <c r="X277" s="24">
        <f>VLOOKUP(J277, IMPOSTO!$A:$D, 4, 0)</f>
        <v>7.0000000000000007E-2</v>
      </c>
      <c r="Y277" s="24">
        <f>VLOOKUP(K277, IMPOSTO!$A:$D, 4, 0)</f>
        <v>0.12</v>
      </c>
      <c r="Z277" s="24">
        <f>VLOOKUP(L277, IMPOSTO!$A:$D, 4, 0)</f>
        <v>0.18</v>
      </c>
      <c r="AA277" s="24">
        <f>VLOOKUP(M277, IMPOSTO!$A:$D, 4, 0)</f>
        <v>0.12</v>
      </c>
      <c r="AB277" s="24">
        <f>VLOOKUP(N277, IMPOSTO!$A:$D, 4, 0)</f>
        <v>7.0000000000000007E-2</v>
      </c>
      <c r="AC277" s="25">
        <f t="shared" si="40"/>
        <v>24820.498389528933</v>
      </c>
      <c r="AD277" s="25">
        <f t="shared" si="41"/>
        <v>24821.066571347117</v>
      </c>
      <c r="AE277" s="25">
        <f t="shared" si="42"/>
        <v>23495.955465360712</v>
      </c>
      <c r="AF277" s="25">
        <f t="shared" si="43"/>
        <v>24901.748389528933</v>
      </c>
      <c r="AG277" s="25">
        <f t="shared" si="44"/>
        <v>26584.315344860315</v>
      </c>
      <c r="AH277" s="25">
        <f t="shared" si="45"/>
        <v>24868.566571347117</v>
      </c>
      <c r="AI277" s="25">
        <f t="shared" si="46"/>
        <v>23910.256540629533</v>
      </c>
    </row>
    <row r="278" spans="1:35" ht="15.75" customHeight="1">
      <c r="A278" s="12" t="s">
        <v>272</v>
      </c>
      <c r="B278" s="12" t="s">
        <v>273</v>
      </c>
      <c r="C278" s="12" t="s">
        <v>181</v>
      </c>
      <c r="D278" s="12" t="s">
        <v>33</v>
      </c>
      <c r="E278" s="12" t="s">
        <v>27</v>
      </c>
      <c r="F278" s="13">
        <v>15738.340989979071</v>
      </c>
      <c r="G278" s="14">
        <v>12411.75772818814</v>
      </c>
      <c r="H278" s="24" t="str">
        <f t="shared" si="39"/>
        <v>RJSP</v>
      </c>
      <c r="I278" s="24" t="str">
        <f t="shared" si="38"/>
        <v>RJMG</v>
      </c>
      <c r="J278" s="24" t="str">
        <f t="shared" si="38"/>
        <v>RJES</v>
      </c>
      <c r="K278" s="24" t="str">
        <f t="shared" si="38"/>
        <v>RJSC</v>
      </c>
      <c r="L278" s="24" t="str">
        <f t="shared" si="38"/>
        <v>RJRJ</v>
      </c>
      <c r="M278" s="24" t="str">
        <f t="shared" si="38"/>
        <v>RJPR</v>
      </c>
      <c r="N278" s="24" t="str">
        <f t="shared" si="38"/>
        <v>RJAM</v>
      </c>
      <c r="O278" s="24">
        <f>VLOOKUP(H278, KM!$A:$E, 5, 0)</f>
        <v>429</v>
      </c>
      <c r="P278" s="24">
        <f>VLOOKUP(I278, KM!$A:$E, 5, 0)</f>
        <v>434</v>
      </c>
      <c r="Q278" s="24">
        <f>VLOOKUP(J278, KM!$A:$E, 5, 0)</f>
        <v>521</v>
      </c>
      <c r="R278" s="24">
        <f>VLOOKUP(K278, KM!$A:$E, 5, 0)</f>
        <v>1144</v>
      </c>
      <c r="S278" s="24">
        <f>VLOOKUP(L278, KM!$A:$E, 5, 0)</f>
        <v>0</v>
      </c>
      <c r="T278" s="24">
        <f>VLOOKUP(M278, KM!$A:$E, 5, 0)</f>
        <v>852</v>
      </c>
      <c r="U278" s="24">
        <f>VLOOKUP(N278, KM!$A:$E, 5, 0)</f>
        <v>4374</v>
      </c>
      <c r="V278" s="24">
        <f>VLOOKUP(H278, IMPOSTO!$A:$D, 4, 0)</f>
        <v>0.12</v>
      </c>
      <c r="W278" s="24">
        <f>VLOOKUP(I278, IMPOSTO!$A:$D, 4, 0)</f>
        <v>0.12</v>
      </c>
      <c r="X278" s="24">
        <f>VLOOKUP(J278, IMPOSTO!$A:$D, 4, 0)</f>
        <v>7.0000000000000007E-2</v>
      </c>
      <c r="Y278" s="24">
        <f>VLOOKUP(K278, IMPOSTO!$A:$D, 4, 0)</f>
        <v>0.12</v>
      </c>
      <c r="Z278" s="24">
        <f>VLOOKUP(L278, IMPOSTO!$A:$D, 4, 0)</f>
        <v>0.18</v>
      </c>
      <c r="AA278" s="24">
        <f>VLOOKUP(M278, IMPOSTO!$A:$D, 4, 0)</f>
        <v>0.12</v>
      </c>
      <c r="AB278" s="24">
        <f>VLOOKUP(N278, IMPOSTO!$A:$D, 4, 0)</f>
        <v>7.0000000000000007E-2</v>
      </c>
      <c r="AC278" s="25">
        <f t="shared" si="40"/>
        <v>14153.020145668341</v>
      </c>
      <c r="AD278" s="25">
        <f t="shared" si="41"/>
        <v>14153.588327486523</v>
      </c>
      <c r="AE278" s="25">
        <f t="shared" si="42"/>
        <v>13401.997557191549</v>
      </c>
      <c r="AF278" s="25">
        <f t="shared" si="43"/>
        <v>14234.270145668341</v>
      </c>
      <c r="AG278" s="25">
        <f t="shared" si="44"/>
        <v>15136.28991242456</v>
      </c>
      <c r="AH278" s="25">
        <f t="shared" si="45"/>
        <v>14201.088327486525</v>
      </c>
      <c r="AI278" s="25">
        <f t="shared" si="46"/>
        <v>13816.298632460366</v>
      </c>
    </row>
    <row r="279" spans="1:35" ht="15.75" customHeight="1">
      <c r="A279" s="12" t="s">
        <v>306</v>
      </c>
      <c r="B279" s="12" t="s">
        <v>307</v>
      </c>
      <c r="C279" s="12" t="s">
        <v>163</v>
      </c>
      <c r="D279" s="12" t="s">
        <v>33</v>
      </c>
      <c r="E279" s="12" t="s">
        <v>27</v>
      </c>
      <c r="F279" s="13">
        <v>81627.568007985668</v>
      </c>
      <c r="G279" s="14">
        <v>3565.1322731726846</v>
      </c>
      <c r="H279" s="24" t="str">
        <f t="shared" si="39"/>
        <v>RJSP</v>
      </c>
      <c r="I279" s="24" t="str">
        <f t="shared" si="38"/>
        <v>RJMG</v>
      </c>
      <c r="J279" s="24" t="str">
        <f t="shared" si="38"/>
        <v>RJES</v>
      </c>
      <c r="K279" s="24" t="str">
        <f t="shared" si="38"/>
        <v>RJSC</v>
      </c>
      <c r="L279" s="24" t="str">
        <f t="shared" si="38"/>
        <v>RJRJ</v>
      </c>
      <c r="M279" s="24" t="str">
        <f t="shared" si="38"/>
        <v>RJPR</v>
      </c>
      <c r="N279" s="24" t="str">
        <f t="shared" si="38"/>
        <v>RJAM</v>
      </c>
      <c r="O279" s="24">
        <f>VLOOKUP(H279, KM!$A:$E, 5, 0)</f>
        <v>429</v>
      </c>
      <c r="P279" s="24">
        <f>VLOOKUP(I279, KM!$A:$E, 5, 0)</f>
        <v>434</v>
      </c>
      <c r="Q279" s="24">
        <f>VLOOKUP(J279, KM!$A:$E, 5, 0)</f>
        <v>521</v>
      </c>
      <c r="R279" s="24">
        <f>VLOOKUP(K279, KM!$A:$E, 5, 0)</f>
        <v>1144</v>
      </c>
      <c r="S279" s="24">
        <f>VLOOKUP(L279, KM!$A:$E, 5, 0)</f>
        <v>0</v>
      </c>
      <c r="T279" s="24">
        <f>VLOOKUP(M279, KM!$A:$E, 5, 0)</f>
        <v>852</v>
      </c>
      <c r="U279" s="24">
        <f>VLOOKUP(N279, KM!$A:$E, 5, 0)</f>
        <v>4374</v>
      </c>
      <c r="V279" s="24">
        <f>VLOOKUP(H279, IMPOSTO!$A:$D, 4, 0)</f>
        <v>0.12</v>
      </c>
      <c r="W279" s="24">
        <f>VLOOKUP(I279, IMPOSTO!$A:$D, 4, 0)</f>
        <v>0.12</v>
      </c>
      <c r="X279" s="24">
        <f>VLOOKUP(J279, IMPOSTO!$A:$D, 4, 0)</f>
        <v>7.0000000000000007E-2</v>
      </c>
      <c r="Y279" s="24">
        <f>VLOOKUP(K279, IMPOSTO!$A:$D, 4, 0)</f>
        <v>0.12</v>
      </c>
      <c r="Z279" s="24">
        <f>VLOOKUP(L279, IMPOSTO!$A:$D, 4, 0)</f>
        <v>0.18</v>
      </c>
      <c r="AA279" s="24">
        <f>VLOOKUP(M279, IMPOSTO!$A:$D, 4, 0)</f>
        <v>0.12</v>
      </c>
      <c r="AB279" s="24">
        <f>VLOOKUP(N279, IMPOSTO!$A:$D, 4, 0)</f>
        <v>7.0000000000000007E-2</v>
      </c>
      <c r="AC279" s="25">
        <f t="shared" si="40"/>
        <v>4100.0366740598693</v>
      </c>
      <c r="AD279" s="25">
        <f t="shared" si="41"/>
        <v>4100.6048558780503</v>
      </c>
      <c r="AE279" s="25">
        <f t="shared" si="42"/>
        <v>3889.497067927618</v>
      </c>
      <c r="AF279" s="25">
        <f t="shared" si="43"/>
        <v>4181.2866740598693</v>
      </c>
      <c r="AG279" s="25">
        <f t="shared" si="44"/>
        <v>4347.7222843569325</v>
      </c>
      <c r="AH279" s="25">
        <f t="shared" si="45"/>
        <v>4148.1048558780503</v>
      </c>
      <c r="AI279" s="25">
        <f t="shared" si="46"/>
        <v>4303.7981431964354</v>
      </c>
    </row>
    <row r="280" spans="1:35" ht="15.75" customHeight="1">
      <c r="A280" s="12" t="s">
        <v>325</v>
      </c>
      <c r="B280" s="12" t="s">
        <v>326</v>
      </c>
      <c r="C280" s="12" t="s">
        <v>283</v>
      </c>
      <c r="D280" s="12" t="s">
        <v>33</v>
      </c>
      <c r="E280" s="12" t="s">
        <v>27</v>
      </c>
      <c r="F280" s="13">
        <v>1.9976</v>
      </c>
      <c r="G280" s="14">
        <v>39.222875999999999</v>
      </c>
      <c r="H280" s="24" t="str">
        <f t="shared" si="39"/>
        <v>RJSP</v>
      </c>
      <c r="I280" s="24" t="str">
        <f t="shared" si="38"/>
        <v>RJMG</v>
      </c>
      <c r="J280" s="24" t="str">
        <f t="shared" si="38"/>
        <v>RJES</v>
      </c>
      <c r="K280" s="24" t="str">
        <f t="shared" si="38"/>
        <v>RJSC</v>
      </c>
      <c r="L280" s="24" t="str">
        <f t="shared" si="38"/>
        <v>RJRJ</v>
      </c>
      <c r="M280" s="24" t="str">
        <f t="shared" ref="I280:N343" si="47">$E280 &amp; M$17</f>
        <v>RJPR</v>
      </c>
      <c r="N280" s="24" t="str">
        <f t="shared" si="47"/>
        <v>RJAM</v>
      </c>
      <c r="O280" s="24">
        <f>VLOOKUP(H280, KM!$A:$E, 5, 0)</f>
        <v>429</v>
      </c>
      <c r="P280" s="24">
        <f>VLOOKUP(I280, KM!$A:$E, 5, 0)</f>
        <v>434</v>
      </c>
      <c r="Q280" s="24">
        <f>VLOOKUP(J280, KM!$A:$E, 5, 0)</f>
        <v>521</v>
      </c>
      <c r="R280" s="24">
        <f>VLOOKUP(K280, KM!$A:$E, 5, 0)</f>
        <v>1144</v>
      </c>
      <c r="S280" s="24">
        <f>VLOOKUP(L280, KM!$A:$E, 5, 0)</f>
        <v>0</v>
      </c>
      <c r="T280" s="24">
        <f>VLOOKUP(M280, KM!$A:$E, 5, 0)</f>
        <v>852</v>
      </c>
      <c r="U280" s="24">
        <f>VLOOKUP(N280, KM!$A:$E, 5, 0)</f>
        <v>4374</v>
      </c>
      <c r="V280" s="24">
        <f>VLOOKUP(H280, IMPOSTO!$A:$D, 4, 0)</f>
        <v>0.12</v>
      </c>
      <c r="W280" s="24">
        <f>VLOOKUP(I280, IMPOSTO!$A:$D, 4, 0)</f>
        <v>0.12</v>
      </c>
      <c r="X280" s="24">
        <f>VLOOKUP(J280, IMPOSTO!$A:$D, 4, 0)</f>
        <v>7.0000000000000007E-2</v>
      </c>
      <c r="Y280" s="24">
        <f>VLOOKUP(K280, IMPOSTO!$A:$D, 4, 0)</f>
        <v>0.12</v>
      </c>
      <c r="Z280" s="24">
        <f>VLOOKUP(L280, IMPOSTO!$A:$D, 4, 0)</f>
        <v>0.18</v>
      </c>
      <c r="AA280" s="24">
        <f>VLOOKUP(M280, IMPOSTO!$A:$D, 4, 0)</f>
        <v>0.12</v>
      </c>
      <c r="AB280" s="24">
        <f>VLOOKUP(N280, IMPOSTO!$A:$D, 4, 0)</f>
        <v>7.0000000000000007E-2</v>
      </c>
      <c r="AC280" s="25">
        <f t="shared" si="40"/>
        <v>93.321449999999999</v>
      </c>
      <c r="AD280" s="25">
        <f t="shared" si="41"/>
        <v>93.889631818181826</v>
      </c>
      <c r="AE280" s="25">
        <f t="shared" si="42"/>
        <v>98.196640860215069</v>
      </c>
      <c r="AF280" s="25">
        <f t="shared" si="43"/>
        <v>174.57145000000003</v>
      </c>
      <c r="AG280" s="25">
        <f t="shared" si="44"/>
        <v>47.832775609756091</v>
      </c>
      <c r="AH280" s="25">
        <f t="shared" si="45"/>
        <v>141.38963181818181</v>
      </c>
      <c r="AI280" s="25">
        <f t="shared" si="46"/>
        <v>512.49771612903237</v>
      </c>
    </row>
    <row r="281" spans="1:35" ht="15.75" customHeight="1">
      <c r="A281" s="12" t="s">
        <v>55</v>
      </c>
      <c r="B281" s="12" t="s">
        <v>56</v>
      </c>
      <c r="C281" s="12" t="s">
        <v>57</v>
      </c>
      <c r="D281" s="12" t="s">
        <v>33</v>
      </c>
      <c r="E281" s="12" t="s">
        <v>27</v>
      </c>
      <c r="F281" s="13">
        <v>0.99919999999999998</v>
      </c>
      <c r="G281" s="14">
        <v>14.498392000000001</v>
      </c>
      <c r="H281" s="24" t="str">
        <f t="shared" si="39"/>
        <v>RJSP</v>
      </c>
      <c r="I281" s="24" t="str">
        <f t="shared" si="47"/>
        <v>RJMG</v>
      </c>
      <c r="J281" s="24" t="str">
        <f t="shared" si="47"/>
        <v>RJES</v>
      </c>
      <c r="K281" s="24" t="str">
        <f t="shared" si="47"/>
        <v>RJSC</v>
      </c>
      <c r="L281" s="24" t="str">
        <f t="shared" si="47"/>
        <v>RJRJ</v>
      </c>
      <c r="M281" s="24" t="str">
        <f t="shared" si="47"/>
        <v>RJPR</v>
      </c>
      <c r="N281" s="24" t="str">
        <f t="shared" si="47"/>
        <v>RJAM</v>
      </c>
      <c r="O281" s="24">
        <f>VLOOKUP(H281, KM!$A:$E, 5, 0)</f>
        <v>429</v>
      </c>
      <c r="P281" s="24">
        <f>VLOOKUP(I281, KM!$A:$E, 5, 0)</f>
        <v>434</v>
      </c>
      <c r="Q281" s="24">
        <f>VLOOKUP(J281, KM!$A:$E, 5, 0)</f>
        <v>521</v>
      </c>
      <c r="R281" s="24">
        <f>VLOOKUP(K281, KM!$A:$E, 5, 0)</f>
        <v>1144</v>
      </c>
      <c r="S281" s="24">
        <f>VLOOKUP(L281, KM!$A:$E, 5, 0)</f>
        <v>0</v>
      </c>
      <c r="T281" s="24">
        <f>VLOOKUP(M281, KM!$A:$E, 5, 0)</f>
        <v>852</v>
      </c>
      <c r="U281" s="24">
        <f>VLOOKUP(N281, KM!$A:$E, 5, 0)</f>
        <v>4374</v>
      </c>
      <c r="V281" s="24">
        <f>VLOOKUP(H281, IMPOSTO!$A:$D, 4, 0)</f>
        <v>0.12</v>
      </c>
      <c r="W281" s="24">
        <f>VLOOKUP(I281, IMPOSTO!$A:$D, 4, 0)</f>
        <v>0.12</v>
      </c>
      <c r="X281" s="24">
        <f>VLOOKUP(J281, IMPOSTO!$A:$D, 4, 0)</f>
        <v>7.0000000000000007E-2</v>
      </c>
      <c r="Y281" s="24">
        <f>VLOOKUP(K281, IMPOSTO!$A:$D, 4, 0)</f>
        <v>0.12</v>
      </c>
      <c r="Z281" s="24">
        <f>VLOOKUP(L281, IMPOSTO!$A:$D, 4, 0)</f>
        <v>0.18</v>
      </c>
      <c r="AA281" s="24">
        <f>VLOOKUP(M281, IMPOSTO!$A:$D, 4, 0)</f>
        <v>0.12</v>
      </c>
      <c r="AB281" s="24">
        <f>VLOOKUP(N281, IMPOSTO!$A:$D, 4, 0)</f>
        <v>7.0000000000000007E-2</v>
      </c>
      <c r="AC281" s="25">
        <f t="shared" si="40"/>
        <v>65.225445454545465</v>
      </c>
      <c r="AD281" s="25">
        <f t="shared" si="41"/>
        <v>65.793627272727278</v>
      </c>
      <c r="AE281" s="25">
        <f t="shared" si="42"/>
        <v>71.611174193548393</v>
      </c>
      <c r="AF281" s="25">
        <f t="shared" si="43"/>
        <v>146.47544545454545</v>
      </c>
      <c r="AG281" s="25">
        <f t="shared" si="44"/>
        <v>17.680965853658535</v>
      </c>
      <c r="AH281" s="25">
        <f t="shared" si="45"/>
        <v>113.29362727272726</v>
      </c>
      <c r="AI281" s="25">
        <f t="shared" si="46"/>
        <v>485.91224946236571</v>
      </c>
    </row>
    <row r="282" spans="1:35" ht="15.75" customHeight="1">
      <c r="A282" s="12" t="s">
        <v>190</v>
      </c>
      <c r="B282" s="12" t="s">
        <v>191</v>
      </c>
      <c r="C282" s="12" t="s">
        <v>192</v>
      </c>
      <c r="D282" s="12" t="s">
        <v>50</v>
      </c>
      <c r="E282" s="12" t="s">
        <v>27</v>
      </c>
      <c r="F282" s="13">
        <v>1.1044</v>
      </c>
      <c r="G282" s="14">
        <v>5.5054340000000002</v>
      </c>
      <c r="H282" s="24" t="str">
        <f t="shared" si="39"/>
        <v>RJSP</v>
      </c>
      <c r="I282" s="24" t="str">
        <f t="shared" si="47"/>
        <v>RJMG</v>
      </c>
      <c r="J282" s="24" t="str">
        <f t="shared" si="47"/>
        <v>RJES</v>
      </c>
      <c r="K282" s="24" t="str">
        <f t="shared" si="47"/>
        <v>RJSC</v>
      </c>
      <c r="L282" s="24" t="str">
        <f t="shared" si="47"/>
        <v>RJRJ</v>
      </c>
      <c r="M282" s="24" t="str">
        <f t="shared" si="47"/>
        <v>RJPR</v>
      </c>
      <c r="N282" s="24" t="str">
        <f t="shared" si="47"/>
        <v>RJAM</v>
      </c>
      <c r="O282" s="24">
        <f>VLOOKUP(H282, KM!$A:$E, 5, 0)</f>
        <v>429</v>
      </c>
      <c r="P282" s="24">
        <f>VLOOKUP(I282, KM!$A:$E, 5, 0)</f>
        <v>434</v>
      </c>
      <c r="Q282" s="24">
        <f>VLOOKUP(J282, KM!$A:$E, 5, 0)</f>
        <v>521</v>
      </c>
      <c r="R282" s="24">
        <f>VLOOKUP(K282, KM!$A:$E, 5, 0)</f>
        <v>1144</v>
      </c>
      <c r="S282" s="24">
        <f>VLOOKUP(L282, KM!$A:$E, 5, 0)</f>
        <v>0</v>
      </c>
      <c r="T282" s="24">
        <f>VLOOKUP(M282, KM!$A:$E, 5, 0)</f>
        <v>852</v>
      </c>
      <c r="U282" s="24">
        <f>VLOOKUP(N282, KM!$A:$E, 5, 0)</f>
        <v>4374</v>
      </c>
      <c r="V282" s="24">
        <f>VLOOKUP(H282, IMPOSTO!$A:$D, 4, 0)</f>
        <v>0.12</v>
      </c>
      <c r="W282" s="24">
        <f>VLOOKUP(I282, IMPOSTO!$A:$D, 4, 0)</f>
        <v>0.12</v>
      </c>
      <c r="X282" s="24">
        <f>VLOOKUP(J282, IMPOSTO!$A:$D, 4, 0)</f>
        <v>7.0000000000000007E-2</v>
      </c>
      <c r="Y282" s="24">
        <f>VLOOKUP(K282, IMPOSTO!$A:$D, 4, 0)</f>
        <v>0.12</v>
      </c>
      <c r="Z282" s="24">
        <f>VLOOKUP(L282, IMPOSTO!$A:$D, 4, 0)</f>
        <v>0.18</v>
      </c>
      <c r="AA282" s="24">
        <f>VLOOKUP(M282, IMPOSTO!$A:$D, 4, 0)</f>
        <v>0.12</v>
      </c>
      <c r="AB282" s="24">
        <f>VLOOKUP(N282, IMPOSTO!$A:$D, 4, 0)</f>
        <v>7.0000000000000007E-2</v>
      </c>
      <c r="AC282" s="25">
        <f t="shared" si="40"/>
        <v>55.006175000000006</v>
      </c>
      <c r="AD282" s="25">
        <f t="shared" si="41"/>
        <v>55.574356818181826</v>
      </c>
      <c r="AE282" s="25">
        <f t="shared" si="42"/>
        <v>61.941326881720435</v>
      </c>
      <c r="AF282" s="25">
        <f t="shared" si="43"/>
        <v>136.25617499999998</v>
      </c>
      <c r="AG282" s="25">
        <f t="shared" si="44"/>
        <v>6.7139439024390244</v>
      </c>
      <c r="AH282" s="25">
        <f t="shared" si="45"/>
        <v>103.07435681818181</v>
      </c>
      <c r="AI282" s="25">
        <f t="shared" si="46"/>
        <v>476.24240215053766</v>
      </c>
    </row>
    <row r="283" spans="1:35" ht="15.75" customHeight="1">
      <c r="A283" s="12" t="s">
        <v>208</v>
      </c>
      <c r="B283" s="12" t="s">
        <v>209</v>
      </c>
      <c r="C283" s="12" t="s">
        <v>210</v>
      </c>
      <c r="D283" s="12" t="s">
        <v>33</v>
      </c>
      <c r="E283" s="12" t="s">
        <v>27</v>
      </c>
      <c r="F283" s="13">
        <v>2.9855999999999998</v>
      </c>
      <c r="G283" s="14">
        <v>85.845951999999983</v>
      </c>
      <c r="H283" s="24" t="str">
        <f t="shared" si="39"/>
        <v>RJSP</v>
      </c>
      <c r="I283" s="24" t="str">
        <f t="shared" si="47"/>
        <v>RJMG</v>
      </c>
      <c r="J283" s="24" t="str">
        <f t="shared" si="47"/>
        <v>RJES</v>
      </c>
      <c r="K283" s="24" t="str">
        <f t="shared" si="47"/>
        <v>RJSC</v>
      </c>
      <c r="L283" s="24" t="str">
        <f t="shared" si="47"/>
        <v>RJRJ</v>
      </c>
      <c r="M283" s="24" t="str">
        <f t="shared" si="47"/>
        <v>RJPR</v>
      </c>
      <c r="N283" s="24" t="str">
        <f t="shared" si="47"/>
        <v>RJAM</v>
      </c>
      <c r="O283" s="24">
        <f>VLOOKUP(H283, KM!$A:$E, 5, 0)</f>
        <v>429</v>
      </c>
      <c r="P283" s="24">
        <f>VLOOKUP(I283, KM!$A:$E, 5, 0)</f>
        <v>434</v>
      </c>
      <c r="Q283" s="24">
        <f>VLOOKUP(J283, KM!$A:$E, 5, 0)</f>
        <v>521</v>
      </c>
      <c r="R283" s="24">
        <f>VLOOKUP(K283, KM!$A:$E, 5, 0)</f>
        <v>1144</v>
      </c>
      <c r="S283" s="24">
        <f>VLOOKUP(L283, KM!$A:$E, 5, 0)</f>
        <v>0</v>
      </c>
      <c r="T283" s="24">
        <f>VLOOKUP(M283, KM!$A:$E, 5, 0)</f>
        <v>852</v>
      </c>
      <c r="U283" s="24">
        <f>VLOOKUP(N283, KM!$A:$E, 5, 0)</f>
        <v>4374</v>
      </c>
      <c r="V283" s="24">
        <f>VLOOKUP(H283, IMPOSTO!$A:$D, 4, 0)</f>
        <v>0.12</v>
      </c>
      <c r="W283" s="24">
        <f>VLOOKUP(I283, IMPOSTO!$A:$D, 4, 0)</f>
        <v>0.12</v>
      </c>
      <c r="X283" s="24">
        <f>VLOOKUP(J283, IMPOSTO!$A:$D, 4, 0)</f>
        <v>7.0000000000000007E-2</v>
      </c>
      <c r="Y283" s="24">
        <f>VLOOKUP(K283, IMPOSTO!$A:$D, 4, 0)</f>
        <v>0.12</v>
      </c>
      <c r="Z283" s="24">
        <f>VLOOKUP(L283, IMPOSTO!$A:$D, 4, 0)</f>
        <v>0.18</v>
      </c>
      <c r="AA283" s="24">
        <f>VLOOKUP(M283, IMPOSTO!$A:$D, 4, 0)</f>
        <v>0.12</v>
      </c>
      <c r="AB283" s="24">
        <f>VLOOKUP(N283, IMPOSTO!$A:$D, 4, 0)</f>
        <v>7.0000000000000007E-2</v>
      </c>
      <c r="AC283" s="25">
        <f t="shared" si="40"/>
        <v>146.30221818181818</v>
      </c>
      <c r="AD283" s="25">
        <f t="shared" si="41"/>
        <v>146.87039999999999</v>
      </c>
      <c r="AE283" s="25">
        <f t="shared" si="42"/>
        <v>148.32898064516127</v>
      </c>
      <c r="AF283" s="25">
        <f t="shared" si="43"/>
        <v>227.55221818181818</v>
      </c>
      <c r="AG283" s="25">
        <f t="shared" si="44"/>
        <v>104.69018536585362</v>
      </c>
      <c r="AH283" s="25">
        <f t="shared" si="45"/>
        <v>194.37039999999999</v>
      </c>
      <c r="AI283" s="25">
        <f t="shared" si="46"/>
        <v>562.63005591397848</v>
      </c>
    </row>
    <row r="284" spans="1:35" ht="15.75" customHeight="1">
      <c r="A284" s="12" t="s">
        <v>308</v>
      </c>
      <c r="B284" s="12" t="s">
        <v>309</v>
      </c>
      <c r="C284" s="12" t="s">
        <v>140</v>
      </c>
      <c r="D284" s="12" t="s">
        <v>33</v>
      </c>
      <c r="E284" s="12" t="s">
        <v>27</v>
      </c>
      <c r="F284" s="13">
        <v>0.78259999999999996</v>
      </c>
      <c r="G284" s="14">
        <v>57.278493999999995</v>
      </c>
      <c r="H284" s="24" t="str">
        <f t="shared" si="39"/>
        <v>RJSP</v>
      </c>
      <c r="I284" s="24" t="str">
        <f t="shared" si="47"/>
        <v>RJMG</v>
      </c>
      <c r="J284" s="24" t="str">
        <f t="shared" si="47"/>
        <v>RJES</v>
      </c>
      <c r="K284" s="24" t="str">
        <f t="shared" si="47"/>
        <v>RJSC</v>
      </c>
      <c r="L284" s="24" t="str">
        <f t="shared" si="47"/>
        <v>RJRJ</v>
      </c>
      <c r="M284" s="24" t="str">
        <f t="shared" si="47"/>
        <v>RJPR</v>
      </c>
      <c r="N284" s="24" t="str">
        <f t="shared" si="47"/>
        <v>RJAM</v>
      </c>
      <c r="O284" s="24">
        <f>VLOOKUP(H284, KM!$A:$E, 5, 0)</f>
        <v>429</v>
      </c>
      <c r="P284" s="24">
        <f>VLOOKUP(I284, KM!$A:$E, 5, 0)</f>
        <v>434</v>
      </c>
      <c r="Q284" s="24">
        <f>VLOOKUP(J284, KM!$A:$E, 5, 0)</f>
        <v>521</v>
      </c>
      <c r="R284" s="24">
        <f>VLOOKUP(K284, KM!$A:$E, 5, 0)</f>
        <v>1144</v>
      </c>
      <c r="S284" s="24">
        <f>VLOOKUP(L284, KM!$A:$E, 5, 0)</f>
        <v>0</v>
      </c>
      <c r="T284" s="24">
        <f>VLOOKUP(M284, KM!$A:$E, 5, 0)</f>
        <v>852</v>
      </c>
      <c r="U284" s="24">
        <f>VLOOKUP(N284, KM!$A:$E, 5, 0)</f>
        <v>4374</v>
      </c>
      <c r="V284" s="24">
        <f>VLOOKUP(H284, IMPOSTO!$A:$D, 4, 0)</f>
        <v>0.12</v>
      </c>
      <c r="W284" s="24">
        <f>VLOOKUP(I284, IMPOSTO!$A:$D, 4, 0)</f>
        <v>0.12</v>
      </c>
      <c r="X284" s="24">
        <f>VLOOKUP(J284, IMPOSTO!$A:$D, 4, 0)</f>
        <v>7.0000000000000007E-2</v>
      </c>
      <c r="Y284" s="24">
        <f>VLOOKUP(K284, IMPOSTO!$A:$D, 4, 0)</f>
        <v>0.12</v>
      </c>
      <c r="Z284" s="24">
        <f>VLOOKUP(L284, IMPOSTO!$A:$D, 4, 0)</f>
        <v>0.18</v>
      </c>
      <c r="AA284" s="24">
        <f>VLOOKUP(M284, IMPOSTO!$A:$D, 4, 0)</f>
        <v>0.12</v>
      </c>
      <c r="AB284" s="24">
        <f>VLOOKUP(N284, IMPOSTO!$A:$D, 4, 0)</f>
        <v>7.0000000000000007E-2</v>
      </c>
      <c r="AC284" s="25">
        <f t="shared" si="40"/>
        <v>113.83919772727273</v>
      </c>
      <c r="AD284" s="25">
        <f t="shared" si="41"/>
        <v>114.40737954545455</v>
      </c>
      <c r="AE284" s="25">
        <f t="shared" si="42"/>
        <v>117.61128387096774</v>
      </c>
      <c r="AF284" s="25">
        <f t="shared" si="43"/>
        <v>195.08919772727273</v>
      </c>
      <c r="AG284" s="25">
        <f t="shared" si="44"/>
        <v>69.851821951219506</v>
      </c>
      <c r="AH284" s="25">
        <f t="shared" si="45"/>
        <v>161.90737954545455</v>
      </c>
      <c r="AI284" s="25">
        <f t="shared" si="46"/>
        <v>531.91235913978494</v>
      </c>
    </row>
    <row r="285" spans="1:35" ht="15.75" customHeight="1">
      <c r="A285" s="12" t="s">
        <v>126</v>
      </c>
      <c r="B285" s="12" t="s">
        <v>127</v>
      </c>
      <c r="C285" s="12" t="s">
        <v>128</v>
      </c>
      <c r="D285" s="12" t="s">
        <v>33</v>
      </c>
      <c r="E285" s="12" t="s">
        <v>27</v>
      </c>
      <c r="F285" s="13">
        <v>0.99970000000000003</v>
      </c>
      <c r="G285" s="14">
        <v>150.45484999999999</v>
      </c>
      <c r="H285" s="24" t="str">
        <f t="shared" si="39"/>
        <v>RJSP</v>
      </c>
      <c r="I285" s="24" t="str">
        <f t="shared" si="47"/>
        <v>RJMG</v>
      </c>
      <c r="J285" s="24" t="str">
        <f t="shared" si="47"/>
        <v>RJES</v>
      </c>
      <c r="K285" s="24" t="str">
        <f t="shared" si="47"/>
        <v>RJSC</v>
      </c>
      <c r="L285" s="24" t="str">
        <f t="shared" si="47"/>
        <v>RJRJ</v>
      </c>
      <c r="M285" s="24" t="str">
        <f t="shared" si="47"/>
        <v>RJPR</v>
      </c>
      <c r="N285" s="24" t="str">
        <f t="shared" si="47"/>
        <v>RJAM</v>
      </c>
      <c r="O285" s="24">
        <f>VLOOKUP(H285, KM!$A:$E, 5, 0)</f>
        <v>429</v>
      </c>
      <c r="P285" s="24">
        <f>VLOOKUP(I285, KM!$A:$E, 5, 0)</f>
        <v>434</v>
      </c>
      <c r="Q285" s="24">
        <f>VLOOKUP(J285, KM!$A:$E, 5, 0)</f>
        <v>521</v>
      </c>
      <c r="R285" s="24">
        <f>VLOOKUP(K285, KM!$A:$E, 5, 0)</f>
        <v>1144</v>
      </c>
      <c r="S285" s="24">
        <f>VLOOKUP(L285, KM!$A:$E, 5, 0)</f>
        <v>0</v>
      </c>
      <c r="T285" s="24">
        <f>VLOOKUP(M285, KM!$A:$E, 5, 0)</f>
        <v>852</v>
      </c>
      <c r="U285" s="24">
        <f>VLOOKUP(N285, KM!$A:$E, 5, 0)</f>
        <v>4374</v>
      </c>
      <c r="V285" s="24">
        <f>VLOOKUP(H285, IMPOSTO!$A:$D, 4, 0)</f>
        <v>0.12</v>
      </c>
      <c r="W285" s="24">
        <f>VLOOKUP(I285, IMPOSTO!$A:$D, 4, 0)</f>
        <v>0.12</v>
      </c>
      <c r="X285" s="24">
        <f>VLOOKUP(J285, IMPOSTO!$A:$D, 4, 0)</f>
        <v>7.0000000000000007E-2</v>
      </c>
      <c r="Y285" s="24">
        <f>VLOOKUP(K285, IMPOSTO!$A:$D, 4, 0)</f>
        <v>0.12</v>
      </c>
      <c r="Z285" s="24">
        <f>VLOOKUP(L285, IMPOSTO!$A:$D, 4, 0)</f>
        <v>0.18</v>
      </c>
      <c r="AA285" s="24">
        <f>VLOOKUP(M285, IMPOSTO!$A:$D, 4, 0)</f>
        <v>0.12</v>
      </c>
      <c r="AB285" s="24">
        <f>VLOOKUP(N285, IMPOSTO!$A:$D, 4, 0)</f>
        <v>7.0000000000000007E-2</v>
      </c>
      <c r="AC285" s="25">
        <f t="shared" si="40"/>
        <v>219.72142045454547</v>
      </c>
      <c r="AD285" s="25">
        <f t="shared" si="41"/>
        <v>220.28960227272728</v>
      </c>
      <c r="AE285" s="25">
        <f t="shared" si="42"/>
        <v>217.80091397849463</v>
      </c>
      <c r="AF285" s="25">
        <f t="shared" si="43"/>
        <v>300.97142045454547</v>
      </c>
      <c r="AG285" s="25">
        <f t="shared" si="44"/>
        <v>183.48152439024389</v>
      </c>
      <c r="AH285" s="25">
        <f t="shared" si="45"/>
        <v>267.78960227272728</v>
      </c>
      <c r="AI285" s="25">
        <f t="shared" si="46"/>
        <v>632.10198924731196</v>
      </c>
    </row>
    <row r="286" spans="1:35" ht="15.75" customHeight="1">
      <c r="A286" s="12" t="s">
        <v>327</v>
      </c>
      <c r="B286" s="12" t="s">
        <v>328</v>
      </c>
      <c r="C286" s="12" t="s">
        <v>278</v>
      </c>
      <c r="D286" s="12" t="s">
        <v>33</v>
      </c>
      <c r="E286" s="12" t="s">
        <v>27</v>
      </c>
      <c r="F286" s="13">
        <v>1</v>
      </c>
      <c r="G286" s="14">
        <v>9.370000000000001</v>
      </c>
      <c r="H286" s="24" t="str">
        <f t="shared" si="39"/>
        <v>RJSP</v>
      </c>
      <c r="I286" s="24" t="str">
        <f t="shared" si="47"/>
        <v>RJMG</v>
      </c>
      <c r="J286" s="24" t="str">
        <f t="shared" si="47"/>
        <v>RJES</v>
      </c>
      <c r="K286" s="24" t="str">
        <f t="shared" si="47"/>
        <v>RJSC</v>
      </c>
      <c r="L286" s="24" t="str">
        <f t="shared" si="47"/>
        <v>RJRJ</v>
      </c>
      <c r="M286" s="24" t="str">
        <f t="shared" si="47"/>
        <v>RJPR</v>
      </c>
      <c r="N286" s="24" t="str">
        <f t="shared" si="47"/>
        <v>RJAM</v>
      </c>
      <c r="O286" s="24">
        <f>VLOOKUP(H286, KM!$A:$E, 5, 0)</f>
        <v>429</v>
      </c>
      <c r="P286" s="24">
        <f>VLOOKUP(I286, KM!$A:$E, 5, 0)</f>
        <v>434</v>
      </c>
      <c r="Q286" s="24">
        <f>VLOOKUP(J286, KM!$A:$E, 5, 0)</f>
        <v>521</v>
      </c>
      <c r="R286" s="24">
        <f>VLOOKUP(K286, KM!$A:$E, 5, 0)</f>
        <v>1144</v>
      </c>
      <c r="S286" s="24">
        <f>VLOOKUP(L286, KM!$A:$E, 5, 0)</f>
        <v>0</v>
      </c>
      <c r="T286" s="24">
        <f>VLOOKUP(M286, KM!$A:$E, 5, 0)</f>
        <v>852</v>
      </c>
      <c r="U286" s="24">
        <f>VLOOKUP(N286, KM!$A:$E, 5, 0)</f>
        <v>4374</v>
      </c>
      <c r="V286" s="24">
        <f>VLOOKUP(H286, IMPOSTO!$A:$D, 4, 0)</f>
        <v>0.12</v>
      </c>
      <c r="W286" s="24">
        <f>VLOOKUP(I286, IMPOSTO!$A:$D, 4, 0)</f>
        <v>0.12</v>
      </c>
      <c r="X286" s="24">
        <f>VLOOKUP(J286, IMPOSTO!$A:$D, 4, 0)</f>
        <v>7.0000000000000007E-2</v>
      </c>
      <c r="Y286" s="24">
        <f>VLOOKUP(K286, IMPOSTO!$A:$D, 4, 0)</f>
        <v>0.12</v>
      </c>
      <c r="Z286" s="24">
        <f>VLOOKUP(L286, IMPOSTO!$A:$D, 4, 0)</f>
        <v>0.18</v>
      </c>
      <c r="AA286" s="24">
        <f>VLOOKUP(M286, IMPOSTO!$A:$D, 4, 0)</f>
        <v>0.12</v>
      </c>
      <c r="AB286" s="24">
        <f>VLOOKUP(N286, IMPOSTO!$A:$D, 4, 0)</f>
        <v>7.0000000000000007E-2</v>
      </c>
      <c r="AC286" s="25">
        <f t="shared" si="40"/>
        <v>59.397727272727288</v>
      </c>
      <c r="AD286" s="25">
        <f t="shared" si="41"/>
        <v>59.965909090909101</v>
      </c>
      <c r="AE286" s="25">
        <f t="shared" si="42"/>
        <v>66.096774193548384</v>
      </c>
      <c r="AF286" s="25">
        <f t="shared" si="43"/>
        <v>140.64772727272728</v>
      </c>
      <c r="AG286" s="25">
        <f t="shared" si="44"/>
        <v>11.426829268292684</v>
      </c>
      <c r="AH286" s="25">
        <f t="shared" si="45"/>
        <v>107.46590909090909</v>
      </c>
      <c r="AI286" s="25">
        <f t="shared" si="46"/>
        <v>480.39784946236568</v>
      </c>
    </row>
    <row r="287" spans="1:35" ht="15.75" customHeight="1">
      <c r="A287" s="12" t="s">
        <v>286</v>
      </c>
      <c r="B287" s="12" t="s">
        <v>287</v>
      </c>
      <c r="C287" s="12" t="s">
        <v>283</v>
      </c>
      <c r="D287" s="12" t="s">
        <v>33</v>
      </c>
      <c r="E287" s="12" t="s">
        <v>27</v>
      </c>
      <c r="F287" s="13">
        <v>1.9976</v>
      </c>
      <c r="G287" s="14">
        <v>59.658324</v>
      </c>
      <c r="H287" s="24" t="str">
        <f t="shared" si="39"/>
        <v>RJSP</v>
      </c>
      <c r="I287" s="24" t="str">
        <f t="shared" si="47"/>
        <v>RJMG</v>
      </c>
      <c r="J287" s="24" t="str">
        <f t="shared" si="47"/>
        <v>RJES</v>
      </c>
      <c r="K287" s="24" t="str">
        <f t="shared" si="47"/>
        <v>RJSC</v>
      </c>
      <c r="L287" s="24" t="str">
        <f t="shared" si="47"/>
        <v>RJRJ</v>
      </c>
      <c r="M287" s="24" t="str">
        <f t="shared" si="47"/>
        <v>RJPR</v>
      </c>
      <c r="N287" s="24" t="str">
        <f t="shared" si="47"/>
        <v>RJAM</v>
      </c>
      <c r="O287" s="24">
        <f>VLOOKUP(H287, KM!$A:$E, 5, 0)</f>
        <v>429</v>
      </c>
      <c r="P287" s="24">
        <f>VLOOKUP(I287, KM!$A:$E, 5, 0)</f>
        <v>434</v>
      </c>
      <c r="Q287" s="24">
        <f>VLOOKUP(J287, KM!$A:$E, 5, 0)</f>
        <v>521</v>
      </c>
      <c r="R287" s="24">
        <f>VLOOKUP(K287, KM!$A:$E, 5, 0)</f>
        <v>1144</v>
      </c>
      <c r="S287" s="24">
        <f>VLOOKUP(L287, KM!$A:$E, 5, 0)</f>
        <v>0</v>
      </c>
      <c r="T287" s="24">
        <f>VLOOKUP(M287, KM!$A:$E, 5, 0)</f>
        <v>852</v>
      </c>
      <c r="U287" s="24">
        <f>VLOOKUP(N287, KM!$A:$E, 5, 0)</f>
        <v>4374</v>
      </c>
      <c r="V287" s="24">
        <f>VLOOKUP(H287, IMPOSTO!$A:$D, 4, 0)</f>
        <v>0.12</v>
      </c>
      <c r="W287" s="24">
        <f>VLOOKUP(I287, IMPOSTO!$A:$D, 4, 0)</f>
        <v>0.12</v>
      </c>
      <c r="X287" s="24">
        <f>VLOOKUP(J287, IMPOSTO!$A:$D, 4, 0)</f>
        <v>7.0000000000000007E-2</v>
      </c>
      <c r="Y287" s="24">
        <f>VLOOKUP(K287, IMPOSTO!$A:$D, 4, 0)</f>
        <v>0.12</v>
      </c>
      <c r="Z287" s="24">
        <f>VLOOKUP(L287, IMPOSTO!$A:$D, 4, 0)</f>
        <v>0.18</v>
      </c>
      <c r="AA287" s="24">
        <f>VLOOKUP(M287, IMPOSTO!$A:$D, 4, 0)</f>
        <v>0.12</v>
      </c>
      <c r="AB287" s="24">
        <f>VLOOKUP(N287, IMPOSTO!$A:$D, 4, 0)</f>
        <v>7.0000000000000007E-2</v>
      </c>
      <c r="AC287" s="25">
        <f t="shared" si="40"/>
        <v>116.54355</v>
      </c>
      <c r="AD287" s="25">
        <f t="shared" si="41"/>
        <v>117.11173181818182</v>
      </c>
      <c r="AE287" s="25">
        <f t="shared" si="42"/>
        <v>120.17024086021506</v>
      </c>
      <c r="AF287" s="25">
        <f t="shared" si="43"/>
        <v>197.79355000000001</v>
      </c>
      <c r="AG287" s="25">
        <f t="shared" si="44"/>
        <v>72.754053658536577</v>
      </c>
      <c r="AH287" s="25">
        <f t="shared" si="45"/>
        <v>164.61173181818182</v>
      </c>
      <c r="AI287" s="25">
        <f t="shared" si="46"/>
        <v>534.47131612903229</v>
      </c>
    </row>
    <row r="288" spans="1:35" ht="15.75" customHeight="1">
      <c r="A288" s="12" t="s">
        <v>329</v>
      </c>
      <c r="B288" s="12" t="s">
        <v>330</v>
      </c>
      <c r="C288" s="12" t="s">
        <v>262</v>
      </c>
      <c r="D288" s="12" t="s">
        <v>33</v>
      </c>
      <c r="E288" s="12" t="s">
        <v>27</v>
      </c>
      <c r="F288" s="13">
        <v>7</v>
      </c>
      <c r="G288" s="14">
        <v>427.27</v>
      </c>
      <c r="H288" s="24" t="str">
        <f t="shared" si="39"/>
        <v>RJSP</v>
      </c>
      <c r="I288" s="24" t="str">
        <f t="shared" si="47"/>
        <v>RJMG</v>
      </c>
      <c r="J288" s="24" t="str">
        <f t="shared" si="47"/>
        <v>RJES</v>
      </c>
      <c r="K288" s="24" t="str">
        <f t="shared" si="47"/>
        <v>RJSC</v>
      </c>
      <c r="L288" s="24" t="str">
        <f t="shared" si="47"/>
        <v>RJRJ</v>
      </c>
      <c r="M288" s="24" t="str">
        <f t="shared" si="47"/>
        <v>RJPR</v>
      </c>
      <c r="N288" s="24" t="str">
        <f t="shared" si="47"/>
        <v>RJAM</v>
      </c>
      <c r="O288" s="24">
        <f>VLOOKUP(H288, KM!$A:$E, 5, 0)</f>
        <v>429</v>
      </c>
      <c r="P288" s="24">
        <f>VLOOKUP(I288, KM!$A:$E, 5, 0)</f>
        <v>434</v>
      </c>
      <c r="Q288" s="24">
        <f>VLOOKUP(J288, KM!$A:$E, 5, 0)</f>
        <v>521</v>
      </c>
      <c r="R288" s="24">
        <f>VLOOKUP(K288, KM!$A:$E, 5, 0)</f>
        <v>1144</v>
      </c>
      <c r="S288" s="24">
        <f>VLOOKUP(L288, KM!$A:$E, 5, 0)</f>
        <v>0</v>
      </c>
      <c r="T288" s="24">
        <f>VLOOKUP(M288, KM!$A:$E, 5, 0)</f>
        <v>852</v>
      </c>
      <c r="U288" s="24">
        <f>VLOOKUP(N288, KM!$A:$E, 5, 0)</f>
        <v>4374</v>
      </c>
      <c r="V288" s="24">
        <f>VLOOKUP(H288, IMPOSTO!$A:$D, 4, 0)</f>
        <v>0.12</v>
      </c>
      <c r="W288" s="24">
        <f>VLOOKUP(I288, IMPOSTO!$A:$D, 4, 0)</f>
        <v>0.12</v>
      </c>
      <c r="X288" s="24">
        <f>VLOOKUP(J288, IMPOSTO!$A:$D, 4, 0)</f>
        <v>7.0000000000000007E-2</v>
      </c>
      <c r="Y288" s="24">
        <f>VLOOKUP(K288, IMPOSTO!$A:$D, 4, 0)</f>
        <v>0.12</v>
      </c>
      <c r="Z288" s="24">
        <f>VLOOKUP(L288, IMPOSTO!$A:$D, 4, 0)</f>
        <v>0.18</v>
      </c>
      <c r="AA288" s="24">
        <f>VLOOKUP(M288, IMPOSTO!$A:$D, 4, 0)</f>
        <v>0.12</v>
      </c>
      <c r="AB288" s="24">
        <f>VLOOKUP(N288, IMPOSTO!$A:$D, 4, 0)</f>
        <v>7.0000000000000007E-2</v>
      </c>
      <c r="AC288" s="25">
        <f t="shared" si="40"/>
        <v>534.28409090909088</v>
      </c>
      <c r="AD288" s="25">
        <f t="shared" si="41"/>
        <v>534.85227272727263</v>
      </c>
      <c r="AE288" s="25">
        <f t="shared" si="42"/>
        <v>515.45161290322585</v>
      </c>
      <c r="AF288" s="25">
        <f t="shared" si="43"/>
        <v>615.53409090909088</v>
      </c>
      <c r="AG288" s="25">
        <f t="shared" si="44"/>
        <v>521.06097560975604</v>
      </c>
      <c r="AH288" s="25">
        <f t="shared" si="45"/>
        <v>582.35227272727275</v>
      </c>
      <c r="AI288" s="25">
        <f t="shared" si="46"/>
        <v>929.75268817204312</v>
      </c>
    </row>
    <row r="289" spans="1:35" ht="15.75" customHeight="1">
      <c r="A289" s="12" t="s">
        <v>331</v>
      </c>
      <c r="B289" s="12" t="s">
        <v>332</v>
      </c>
      <c r="C289" s="12" t="s">
        <v>333</v>
      </c>
      <c r="D289" s="12" t="s">
        <v>33</v>
      </c>
      <c r="E289" s="12" t="s">
        <v>27</v>
      </c>
      <c r="F289" s="13">
        <v>8.9954999999999998</v>
      </c>
      <c r="G289" s="14">
        <v>66.676645000000008</v>
      </c>
      <c r="H289" s="24" t="str">
        <f t="shared" si="39"/>
        <v>RJSP</v>
      </c>
      <c r="I289" s="24" t="str">
        <f t="shared" si="47"/>
        <v>RJMG</v>
      </c>
      <c r="J289" s="24" t="str">
        <f t="shared" si="47"/>
        <v>RJES</v>
      </c>
      <c r="K289" s="24" t="str">
        <f t="shared" si="47"/>
        <v>RJSC</v>
      </c>
      <c r="L289" s="24" t="str">
        <f t="shared" si="47"/>
        <v>RJRJ</v>
      </c>
      <c r="M289" s="24" t="str">
        <f t="shared" si="47"/>
        <v>RJPR</v>
      </c>
      <c r="N289" s="24" t="str">
        <f t="shared" si="47"/>
        <v>RJAM</v>
      </c>
      <c r="O289" s="24">
        <f>VLOOKUP(H289, KM!$A:$E, 5, 0)</f>
        <v>429</v>
      </c>
      <c r="P289" s="24">
        <f>VLOOKUP(I289, KM!$A:$E, 5, 0)</f>
        <v>434</v>
      </c>
      <c r="Q289" s="24">
        <f>VLOOKUP(J289, KM!$A:$E, 5, 0)</f>
        <v>521</v>
      </c>
      <c r="R289" s="24">
        <f>VLOOKUP(K289, KM!$A:$E, 5, 0)</f>
        <v>1144</v>
      </c>
      <c r="S289" s="24">
        <f>VLOOKUP(L289, KM!$A:$E, 5, 0)</f>
        <v>0</v>
      </c>
      <c r="T289" s="24">
        <f>VLOOKUP(M289, KM!$A:$E, 5, 0)</f>
        <v>852</v>
      </c>
      <c r="U289" s="24">
        <f>VLOOKUP(N289, KM!$A:$E, 5, 0)</f>
        <v>4374</v>
      </c>
      <c r="V289" s="24">
        <f>VLOOKUP(H289, IMPOSTO!$A:$D, 4, 0)</f>
        <v>0.12</v>
      </c>
      <c r="W289" s="24">
        <f>VLOOKUP(I289, IMPOSTO!$A:$D, 4, 0)</f>
        <v>0.12</v>
      </c>
      <c r="X289" s="24">
        <f>VLOOKUP(J289, IMPOSTO!$A:$D, 4, 0)</f>
        <v>7.0000000000000007E-2</v>
      </c>
      <c r="Y289" s="24">
        <f>VLOOKUP(K289, IMPOSTO!$A:$D, 4, 0)</f>
        <v>0.12</v>
      </c>
      <c r="Z289" s="24">
        <f>VLOOKUP(L289, IMPOSTO!$A:$D, 4, 0)</f>
        <v>0.18</v>
      </c>
      <c r="AA289" s="24">
        <f>VLOOKUP(M289, IMPOSTO!$A:$D, 4, 0)</f>
        <v>0.12</v>
      </c>
      <c r="AB289" s="24">
        <f>VLOOKUP(N289, IMPOSTO!$A:$D, 4, 0)</f>
        <v>7.0000000000000007E-2</v>
      </c>
      <c r="AC289" s="25">
        <f t="shared" si="40"/>
        <v>124.51891477272729</v>
      </c>
      <c r="AD289" s="25">
        <f t="shared" si="41"/>
        <v>125.08709659090911</v>
      </c>
      <c r="AE289" s="25">
        <f t="shared" si="42"/>
        <v>127.71682258064517</v>
      </c>
      <c r="AF289" s="25">
        <f t="shared" si="43"/>
        <v>205.7689147727273</v>
      </c>
      <c r="AG289" s="25">
        <f t="shared" si="44"/>
        <v>81.312981707317078</v>
      </c>
      <c r="AH289" s="25">
        <f t="shared" si="45"/>
        <v>172.58709659090908</v>
      </c>
      <c r="AI289" s="25">
        <f t="shared" si="46"/>
        <v>542.01789784946243</v>
      </c>
    </row>
    <row r="290" spans="1:35" ht="15.75" customHeight="1">
      <c r="A290" s="12" t="s">
        <v>331</v>
      </c>
      <c r="B290" s="12" t="s">
        <v>334</v>
      </c>
      <c r="C290" s="12" t="s">
        <v>333</v>
      </c>
      <c r="D290" s="12" t="s">
        <v>33</v>
      </c>
      <c r="E290" s="12" t="s">
        <v>27</v>
      </c>
      <c r="F290" s="13">
        <v>45.977000000000004</v>
      </c>
      <c r="G290" s="14">
        <v>366.43669000000006</v>
      </c>
      <c r="H290" s="24" t="str">
        <f t="shared" si="39"/>
        <v>RJSP</v>
      </c>
      <c r="I290" s="24" t="str">
        <f t="shared" si="47"/>
        <v>RJMG</v>
      </c>
      <c r="J290" s="24" t="str">
        <f t="shared" si="47"/>
        <v>RJES</v>
      </c>
      <c r="K290" s="24" t="str">
        <f t="shared" si="47"/>
        <v>RJSC</v>
      </c>
      <c r="L290" s="24" t="str">
        <f t="shared" si="47"/>
        <v>RJRJ</v>
      </c>
      <c r="M290" s="24" t="str">
        <f t="shared" si="47"/>
        <v>RJPR</v>
      </c>
      <c r="N290" s="24" t="str">
        <f t="shared" si="47"/>
        <v>RJAM</v>
      </c>
      <c r="O290" s="24">
        <f>VLOOKUP(H290, KM!$A:$E, 5, 0)</f>
        <v>429</v>
      </c>
      <c r="P290" s="24">
        <f>VLOOKUP(I290, KM!$A:$E, 5, 0)</f>
        <v>434</v>
      </c>
      <c r="Q290" s="24">
        <f>VLOOKUP(J290, KM!$A:$E, 5, 0)</f>
        <v>521</v>
      </c>
      <c r="R290" s="24">
        <f>VLOOKUP(K290, KM!$A:$E, 5, 0)</f>
        <v>1144</v>
      </c>
      <c r="S290" s="24">
        <f>VLOOKUP(L290, KM!$A:$E, 5, 0)</f>
        <v>0</v>
      </c>
      <c r="T290" s="24">
        <f>VLOOKUP(M290, KM!$A:$E, 5, 0)</f>
        <v>852</v>
      </c>
      <c r="U290" s="24">
        <f>VLOOKUP(N290, KM!$A:$E, 5, 0)</f>
        <v>4374</v>
      </c>
      <c r="V290" s="24">
        <f>VLOOKUP(H290, IMPOSTO!$A:$D, 4, 0)</f>
        <v>0.12</v>
      </c>
      <c r="W290" s="24">
        <f>VLOOKUP(I290, IMPOSTO!$A:$D, 4, 0)</f>
        <v>0.12</v>
      </c>
      <c r="X290" s="24">
        <f>VLOOKUP(J290, IMPOSTO!$A:$D, 4, 0)</f>
        <v>7.0000000000000007E-2</v>
      </c>
      <c r="Y290" s="24">
        <f>VLOOKUP(K290, IMPOSTO!$A:$D, 4, 0)</f>
        <v>0.12</v>
      </c>
      <c r="Z290" s="24">
        <f>VLOOKUP(L290, IMPOSTO!$A:$D, 4, 0)</f>
        <v>0.18</v>
      </c>
      <c r="AA290" s="24">
        <f>VLOOKUP(M290, IMPOSTO!$A:$D, 4, 0)</f>
        <v>0.12</v>
      </c>
      <c r="AB290" s="24">
        <f>VLOOKUP(N290, IMPOSTO!$A:$D, 4, 0)</f>
        <v>7.0000000000000007E-2</v>
      </c>
      <c r="AC290" s="25">
        <f t="shared" si="40"/>
        <v>465.15532954545466</v>
      </c>
      <c r="AD290" s="25">
        <f t="shared" si="41"/>
        <v>465.72351136363648</v>
      </c>
      <c r="AE290" s="25">
        <f t="shared" si="42"/>
        <v>450.03945161290335</v>
      </c>
      <c r="AF290" s="25">
        <f t="shared" si="43"/>
        <v>546.40532954545461</v>
      </c>
      <c r="AG290" s="25">
        <f t="shared" si="44"/>
        <v>446.87401219512196</v>
      </c>
      <c r="AH290" s="25">
        <f t="shared" si="45"/>
        <v>513.22351136363636</v>
      </c>
      <c r="AI290" s="25">
        <f t="shared" si="46"/>
        <v>864.34052688172062</v>
      </c>
    </row>
    <row r="291" spans="1:35" ht="15.75" customHeight="1">
      <c r="A291" s="12" t="s">
        <v>335</v>
      </c>
      <c r="B291" s="12" t="s">
        <v>336</v>
      </c>
      <c r="C291" s="12" t="s">
        <v>337</v>
      </c>
      <c r="D291" s="12" t="s">
        <v>33</v>
      </c>
      <c r="E291" s="12" t="s">
        <v>27</v>
      </c>
      <c r="F291" s="13">
        <v>22</v>
      </c>
      <c r="G291" s="14">
        <v>607.69000000000005</v>
      </c>
      <c r="H291" s="24" t="str">
        <f t="shared" si="39"/>
        <v>RJSP</v>
      </c>
      <c r="I291" s="24" t="str">
        <f t="shared" si="47"/>
        <v>RJMG</v>
      </c>
      <c r="J291" s="24" t="str">
        <f t="shared" si="47"/>
        <v>RJES</v>
      </c>
      <c r="K291" s="24" t="str">
        <f t="shared" si="47"/>
        <v>RJSC</v>
      </c>
      <c r="L291" s="24" t="str">
        <f t="shared" si="47"/>
        <v>RJRJ</v>
      </c>
      <c r="M291" s="24" t="str">
        <f t="shared" si="47"/>
        <v>RJPR</v>
      </c>
      <c r="N291" s="24" t="str">
        <f t="shared" si="47"/>
        <v>RJAM</v>
      </c>
      <c r="O291" s="24">
        <f>VLOOKUP(H291, KM!$A:$E, 5, 0)</f>
        <v>429</v>
      </c>
      <c r="P291" s="24">
        <f>VLOOKUP(I291, KM!$A:$E, 5, 0)</f>
        <v>434</v>
      </c>
      <c r="Q291" s="24">
        <f>VLOOKUP(J291, KM!$A:$E, 5, 0)</f>
        <v>521</v>
      </c>
      <c r="R291" s="24">
        <f>VLOOKUP(K291, KM!$A:$E, 5, 0)</f>
        <v>1144</v>
      </c>
      <c r="S291" s="24">
        <f>VLOOKUP(L291, KM!$A:$E, 5, 0)</f>
        <v>0</v>
      </c>
      <c r="T291" s="24">
        <f>VLOOKUP(M291, KM!$A:$E, 5, 0)</f>
        <v>852</v>
      </c>
      <c r="U291" s="24">
        <f>VLOOKUP(N291, KM!$A:$E, 5, 0)</f>
        <v>4374</v>
      </c>
      <c r="V291" s="24">
        <f>VLOOKUP(H291, IMPOSTO!$A:$D, 4, 0)</f>
        <v>0.12</v>
      </c>
      <c r="W291" s="24">
        <f>VLOOKUP(I291, IMPOSTO!$A:$D, 4, 0)</f>
        <v>0.12</v>
      </c>
      <c r="X291" s="24">
        <f>VLOOKUP(J291, IMPOSTO!$A:$D, 4, 0)</f>
        <v>7.0000000000000007E-2</v>
      </c>
      <c r="Y291" s="24">
        <f>VLOOKUP(K291, IMPOSTO!$A:$D, 4, 0)</f>
        <v>0.12</v>
      </c>
      <c r="Z291" s="24">
        <f>VLOOKUP(L291, IMPOSTO!$A:$D, 4, 0)</f>
        <v>0.18</v>
      </c>
      <c r="AA291" s="24">
        <f>VLOOKUP(M291, IMPOSTO!$A:$D, 4, 0)</f>
        <v>0.12</v>
      </c>
      <c r="AB291" s="24">
        <f>VLOOKUP(N291, IMPOSTO!$A:$D, 4, 0)</f>
        <v>7.0000000000000007E-2</v>
      </c>
      <c r="AC291" s="25">
        <f t="shared" si="40"/>
        <v>739.30681818181824</v>
      </c>
      <c r="AD291" s="25">
        <f t="shared" si="41"/>
        <v>739.875</v>
      </c>
      <c r="AE291" s="25">
        <f t="shared" si="42"/>
        <v>709.45161290322596</v>
      </c>
      <c r="AF291" s="25">
        <f t="shared" si="43"/>
        <v>820.55681818181824</v>
      </c>
      <c r="AG291" s="25">
        <f t="shared" si="44"/>
        <v>741.08536585365857</v>
      </c>
      <c r="AH291" s="25">
        <f t="shared" si="45"/>
        <v>787.37500000000011</v>
      </c>
      <c r="AI291" s="25">
        <f t="shared" si="46"/>
        <v>1123.7526881720432</v>
      </c>
    </row>
    <row r="292" spans="1:35" ht="15.75" customHeight="1">
      <c r="A292" s="12" t="s">
        <v>338</v>
      </c>
      <c r="B292" s="12" t="s">
        <v>339</v>
      </c>
      <c r="C292" s="12" t="s">
        <v>86</v>
      </c>
      <c r="D292" s="12" t="s">
        <v>33</v>
      </c>
      <c r="E292" s="12" t="s">
        <v>27</v>
      </c>
      <c r="F292" s="13">
        <v>344.79300000000001</v>
      </c>
      <c r="G292" s="14">
        <v>7139.2738640000007</v>
      </c>
      <c r="H292" s="24" t="str">
        <f t="shared" si="39"/>
        <v>RJSP</v>
      </c>
      <c r="I292" s="24" t="str">
        <f t="shared" si="47"/>
        <v>RJMG</v>
      </c>
      <c r="J292" s="24" t="str">
        <f t="shared" si="47"/>
        <v>RJES</v>
      </c>
      <c r="K292" s="24" t="str">
        <f t="shared" si="47"/>
        <v>RJSC</v>
      </c>
      <c r="L292" s="24" t="str">
        <f t="shared" si="47"/>
        <v>RJRJ</v>
      </c>
      <c r="M292" s="24" t="str">
        <f t="shared" si="47"/>
        <v>RJPR</v>
      </c>
      <c r="N292" s="24" t="str">
        <f t="shared" si="47"/>
        <v>RJAM</v>
      </c>
      <c r="O292" s="24">
        <f>VLOOKUP(H292, KM!$A:$E, 5, 0)</f>
        <v>429</v>
      </c>
      <c r="P292" s="24">
        <f>VLOOKUP(I292, KM!$A:$E, 5, 0)</f>
        <v>434</v>
      </c>
      <c r="Q292" s="24">
        <f>VLOOKUP(J292, KM!$A:$E, 5, 0)</f>
        <v>521</v>
      </c>
      <c r="R292" s="24">
        <f>VLOOKUP(K292, KM!$A:$E, 5, 0)</f>
        <v>1144</v>
      </c>
      <c r="S292" s="24">
        <f>VLOOKUP(L292, KM!$A:$E, 5, 0)</f>
        <v>0</v>
      </c>
      <c r="T292" s="24">
        <f>VLOOKUP(M292, KM!$A:$E, 5, 0)</f>
        <v>852</v>
      </c>
      <c r="U292" s="24">
        <f>VLOOKUP(N292, KM!$A:$E, 5, 0)</f>
        <v>4374</v>
      </c>
      <c r="V292" s="24">
        <f>VLOOKUP(H292, IMPOSTO!$A:$D, 4, 0)</f>
        <v>0.12</v>
      </c>
      <c r="W292" s="24">
        <f>VLOOKUP(I292, IMPOSTO!$A:$D, 4, 0)</f>
        <v>0.12</v>
      </c>
      <c r="X292" s="24">
        <f>VLOOKUP(J292, IMPOSTO!$A:$D, 4, 0)</f>
        <v>7.0000000000000007E-2</v>
      </c>
      <c r="Y292" s="24">
        <f>VLOOKUP(K292, IMPOSTO!$A:$D, 4, 0)</f>
        <v>0.12</v>
      </c>
      <c r="Z292" s="24">
        <f>VLOOKUP(L292, IMPOSTO!$A:$D, 4, 0)</f>
        <v>0.18</v>
      </c>
      <c r="AA292" s="24">
        <f>VLOOKUP(M292, IMPOSTO!$A:$D, 4, 0)</f>
        <v>0.12</v>
      </c>
      <c r="AB292" s="24">
        <f>VLOOKUP(N292, IMPOSTO!$A:$D, 4, 0)</f>
        <v>7.0000000000000007E-2</v>
      </c>
      <c r="AC292" s="25">
        <f t="shared" si="40"/>
        <v>8161.5612090909099</v>
      </c>
      <c r="AD292" s="25">
        <f t="shared" si="41"/>
        <v>8162.1293909090909</v>
      </c>
      <c r="AE292" s="25">
        <f t="shared" si="42"/>
        <v>7732.6600688172057</v>
      </c>
      <c r="AF292" s="25">
        <f t="shared" si="43"/>
        <v>8242.811209090909</v>
      </c>
      <c r="AG292" s="25">
        <f t="shared" si="44"/>
        <v>8706.4315414634148</v>
      </c>
      <c r="AH292" s="25">
        <f t="shared" si="45"/>
        <v>8209.6293909090909</v>
      </c>
      <c r="AI292" s="25">
        <f t="shared" si="46"/>
        <v>8146.9611440860226</v>
      </c>
    </row>
    <row r="293" spans="1:35" ht="15.75" customHeight="1">
      <c r="A293" s="12" t="s">
        <v>340</v>
      </c>
      <c r="B293" s="12" t="s">
        <v>341</v>
      </c>
      <c r="C293" s="12" t="s">
        <v>299</v>
      </c>
      <c r="D293" s="12" t="s">
        <v>33</v>
      </c>
      <c r="E293" s="12" t="s">
        <v>27</v>
      </c>
      <c r="F293" s="13">
        <v>40</v>
      </c>
      <c r="G293" s="14">
        <v>1275.0999999999999</v>
      </c>
      <c r="H293" s="24" t="str">
        <f t="shared" si="39"/>
        <v>RJSP</v>
      </c>
      <c r="I293" s="24" t="str">
        <f t="shared" si="47"/>
        <v>RJMG</v>
      </c>
      <c r="J293" s="24" t="str">
        <f t="shared" si="47"/>
        <v>RJES</v>
      </c>
      <c r="K293" s="24" t="str">
        <f t="shared" si="47"/>
        <v>RJSC</v>
      </c>
      <c r="L293" s="24" t="str">
        <f t="shared" si="47"/>
        <v>RJRJ</v>
      </c>
      <c r="M293" s="24" t="str">
        <f t="shared" si="47"/>
        <v>RJPR</v>
      </c>
      <c r="N293" s="24" t="str">
        <f t="shared" si="47"/>
        <v>RJAM</v>
      </c>
      <c r="O293" s="24">
        <f>VLOOKUP(H293, KM!$A:$E, 5, 0)</f>
        <v>429</v>
      </c>
      <c r="P293" s="24">
        <f>VLOOKUP(I293, KM!$A:$E, 5, 0)</f>
        <v>434</v>
      </c>
      <c r="Q293" s="24">
        <f>VLOOKUP(J293, KM!$A:$E, 5, 0)</f>
        <v>521</v>
      </c>
      <c r="R293" s="24">
        <f>VLOOKUP(K293, KM!$A:$E, 5, 0)</f>
        <v>1144</v>
      </c>
      <c r="S293" s="24">
        <f>VLOOKUP(L293, KM!$A:$E, 5, 0)</f>
        <v>0</v>
      </c>
      <c r="T293" s="24">
        <f>VLOOKUP(M293, KM!$A:$E, 5, 0)</f>
        <v>852</v>
      </c>
      <c r="U293" s="24">
        <f>VLOOKUP(N293, KM!$A:$E, 5, 0)</f>
        <v>4374</v>
      </c>
      <c r="V293" s="24">
        <f>VLOOKUP(H293, IMPOSTO!$A:$D, 4, 0)</f>
        <v>0.12</v>
      </c>
      <c r="W293" s="24">
        <f>VLOOKUP(I293, IMPOSTO!$A:$D, 4, 0)</f>
        <v>0.12</v>
      </c>
      <c r="X293" s="24">
        <f>VLOOKUP(J293, IMPOSTO!$A:$D, 4, 0)</f>
        <v>7.0000000000000007E-2</v>
      </c>
      <c r="Y293" s="24">
        <f>VLOOKUP(K293, IMPOSTO!$A:$D, 4, 0)</f>
        <v>0.12</v>
      </c>
      <c r="Z293" s="24">
        <f>VLOOKUP(L293, IMPOSTO!$A:$D, 4, 0)</f>
        <v>0.18</v>
      </c>
      <c r="AA293" s="24">
        <f>VLOOKUP(M293, IMPOSTO!$A:$D, 4, 0)</f>
        <v>0.12</v>
      </c>
      <c r="AB293" s="24">
        <f>VLOOKUP(N293, IMPOSTO!$A:$D, 4, 0)</f>
        <v>7.0000000000000007E-2</v>
      </c>
      <c r="AC293" s="25">
        <f t="shared" si="40"/>
        <v>1497.7272727272727</v>
      </c>
      <c r="AD293" s="25">
        <f t="shared" si="41"/>
        <v>1498.2954545454545</v>
      </c>
      <c r="AE293" s="25">
        <f t="shared" si="42"/>
        <v>1427.0967741935483</v>
      </c>
      <c r="AF293" s="25">
        <f t="shared" si="43"/>
        <v>1578.9772727272727</v>
      </c>
      <c r="AG293" s="25">
        <f t="shared" si="44"/>
        <v>1554.9999999999998</v>
      </c>
      <c r="AH293" s="25">
        <f t="shared" si="45"/>
        <v>1545.7954545454545</v>
      </c>
      <c r="AI293" s="25">
        <f t="shared" si="46"/>
        <v>1841.3978494623657</v>
      </c>
    </row>
    <row r="294" spans="1:35" ht="15.75" customHeight="1">
      <c r="A294" s="12" t="s">
        <v>342</v>
      </c>
      <c r="B294" s="12" t="s">
        <v>343</v>
      </c>
      <c r="C294" s="12" t="s">
        <v>262</v>
      </c>
      <c r="D294" s="12" t="s">
        <v>50</v>
      </c>
      <c r="E294" s="12" t="s">
        <v>27</v>
      </c>
      <c r="F294" s="13">
        <v>10.9945</v>
      </c>
      <c r="G294" s="14">
        <v>998.71039500000006</v>
      </c>
      <c r="H294" s="24" t="str">
        <f t="shared" si="39"/>
        <v>RJSP</v>
      </c>
      <c r="I294" s="24" t="str">
        <f t="shared" si="47"/>
        <v>RJMG</v>
      </c>
      <c r="J294" s="24" t="str">
        <f t="shared" si="47"/>
        <v>RJES</v>
      </c>
      <c r="K294" s="24" t="str">
        <f t="shared" si="47"/>
        <v>RJSC</v>
      </c>
      <c r="L294" s="24" t="str">
        <f t="shared" si="47"/>
        <v>RJRJ</v>
      </c>
      <c r="M294" s="24" t="str">
        <f t="shared" si="47"/>
        <v>RJPR</v>
      </c>
      <c r="N294" s="24" t="str">
        <f t="shared" si="47"/>
        <v>RJAM</v>
      </c>
      <c r="O294" s="24">
        <f>VLOOKUP(H294, KM!$A:$E, 5, 0)</f>
        <v>429</v>
      </c>
      <c r="P294" s="24">
        <f>VLOOKUP(I294, KM!$A:$E, 5, 0)</f>
        <v>434</v>
      </c>
      <c r="Q294" s="24">
        <f>VLOOKUP(J294, KM!$A:$E, 5, 0)</f>
        <v>521</v>
      </c>
      <c r="R294" s="24">
        <f>VLOOKUP(K294, KM!$A:$E, 5, 0)</f>
        <v>1144</v>
      </c>
      <c r="S294" s="24">
        <f>VLOOKUP(L294, KM!$A:$E, 5, 0)</f>
        <v>0</v>
      </c>
      <c r="T294" s="24">
        <f>VLOOKUP(M294, KM!$A:$E, 5, 0)</f>
        <v>852</v>
      </c>
      <c r="U294" s="24">
        <f>VLOOKUP(N294, KM!$A:$E, 5, 0)</f>
        <v>4374</v>
      </c>
      <c r="V294" s="24">
        <f>VLOOKUP(H294, IMPOSTO!$A:$D, 4, 0)</f>
        <v>0.12</v>
      </c>
      <c r="W294" s="24">
        <f>VLOOKUP(I294, IMPOSTO!$A:$D, 4, 0)</f>
        <v>0.12</v>
      </c>
      <c r="X294" s="24">
        <f>VLOOKUP(J294, IMPOSTO!$A:$D, 4, 0)</f>
        <v>7.0000000000000007E-2</v>
      </c>
      <c r="Y294" s="24">
        <f>VLOOKUP(K294, IMPOSTO!$A:$D, 4, 0)</f>
        <v>0.12</v>
      </c>
      <c r="Z294" s="24">
        <f>VLOOKUP(L294, IMPOSTO!$A:$D, 4, 0)</f>
        <v>0.18</v>
      </c>
      <c r="AA294" s="24">
        <f>VLOOKUP(M294, IMPOSTO!$A:$D, 4, 0)</f>
        <v>0.12</v>
      </c>
      <c r="AB294" s="24">
        <f>VLOOKUP(N294, IMPOSTO!$A:$D, 4, 0)</f>
        <v>7.0000000000000007E-2</v>
      </c>
      <c r="AC294" s="25">
        <f t="shared" si="40"/>
        <v>1183.6481761363639</v>
      </c>
      <c r="AD294" s="25">
        <f t="shared" si="41"/>
        <v>1184.2163579545456</v>
      </c>
      <c r="AE294" s="25">
        <f t="shared" si="42"/>
        <v>1129.9036505376343</v>
      </c>
      <c r="AF294" s="25">
        <f t="shared" si="43"/>
        <v>1264.8981761363639</v>
      </c>
      <c r="AG294" s="25">
        <f t="shared" si="44"/>
        <v>1217.939506097561</v>
      </c>
      <c r="AH294" s="25">
        <f t="shared" si="45"/>
        <v>1231.7163579545456</v>
      </c>
      <c r="AI294" s="25">
        <f t="shared" si="46"/>
        <v>1544.204725806452</v>
      </c>
    </row>
    <row r="295" spans="1:35" ht="15.75" customHeight="1">
      <c r="A295" s="12" t="s">
        <v>344</v>
      </c>
      <c r="B295" s="12" t="s">
        <v>345</v>
      </c>
      <c r="C295" s="12" t="s">
        <v>259</v>
      </c>
      <c r="D295" s="12" t="s">
        <v>50</v>
      </c>
      <c r="E295" s="12" t="s">
        <v>27</v>
      </c>
      <c r="F295" s="13">
        <v>8.0000000000000004E-4</v>
      </c>
      <c r="G295" s="14">
        <v>2.3792000000000004E-2</v>
      </c>
      <c r="H295" s="24" t="str">
        <f t="shared" si="39"/>
        <v>RJSP</v>
      </c>
      <c r="I295" s="24" t="str">
        <f t="shared" si="47"/>
        <v>RJMG</v>
      </c>
      <c r="J295" s="24" t="str">
        <f t="shared" si="47"/>
        <v>RJES</v>
      </c>
      <c r="K295" s="24" t="str">
        <f t="shared" si="47"/>
        <v>RJSC</v>
      </c>
      <c r="L295" s="24" t="str">
        <f t="shared" si="47"/>
        <v>RJRJ</v>
      </c>
      <c r="M295" s="24" t="str">
        <f t="shared" si="47"/>
        <v>RJPR</v>
      </c>
      <c r="N295" s="24" t="str">
        <f t="shared" si="47"/>
        <v>RJAM</v>
      </c>
      <c r="O295" s="24">
        <f>VLOOKUP(H295, KM!$A:$E, 5, 0)</f>
        <v>429</v>
      </c>
      <c r="P295" s="24">
        <f>VLOOKUP(I295, KM!$A:$E, 5, 0)</f>
        <v>434</v>
      </c>
      <c r="Q295" s="24">
        <f>VLOOKUP(J295, KM!$A:$E, 5, 0)</f>
        <v>521</v>
      </c>
      <c r="R295" s="24">
        <f>VLOOKUP(K295, KM!$A:$E, 5, 0)</f>
        <v>1144</v>
      </c>
      <c r="S295" s="24">
        <f>VLOOKUP(L295, KM!$A:$E, 5, 0)</f>
        <v>0</v>
      </c>
      <c r="T295" s="24">
        <f>VLOOKUP(M295, KM!$A:$E, 5, 0)</f>
        <v>852</v>
      </c>
      <c r="U295" s="24">
        <f>VLOOKUP(N295, KM!$A:$E, 5, 0)</f>
        <v>4374</v>
      </c>
      <c r="V295" s="24">
        <f>VLOOKUP(H295, IMPOSTO!$A:$D, 4, 0)</f>
        <v>0.12</v>
      </c>
      <c r="W295" s="24">
        <f>VLOOKUP(I295, IMPOSTO!$A:$D, 4, 0)</f>
        <v>0.12</v>
      </c>
      <c r="X295" s="24">
        <f>VLOOKUP(J295, IMPOSTO!$A:$D, 4, 0)</f>
        <v>7.0000000000000007E-2</v>
      </c>
      <c r="Y295" s="24">
        <f>VLOOKUP(K295, IMPOSTO!$A:$D, 4, 0)</f>
        <v>0.12</v>
      </c>
      <c r="Z295" s="24">
        <f>VLOOKUP(L295, IMPOSTO!$A:$D, 4, 0)</f>
        <v>0.18</v>
      </c>
      <c r="AA295" s="24">
        <f>VLOOKUP(M295, IMPOSTO!$A:$D, 4, 0)</f>
        <v>0.12</v>
      </c>
      <c r="AB295" s="24">
        <f>VLOOKUP(N295, IMPOSTO!$A:$D, 4, 0)</f>
        <v>7.0000000000000007E-2</v>
      </c>
      <c r="AC295" s="25">
        <f t="shared" si="40"/>
        <v>48.77703636363637</v>
      </c>
      <c r="AD295" s="25">
        <f t="shared" si="41"/>
        <v>49.34521818181819</v>
      </c>
      <c r="AE295" s="25">
        <f t="shared" si="42"/>
        <v>56.047088172043019</v>
      </c>
      <c r="AF295" s="25">
        <f t="shared" si="43"/>
        <v>130.02703636363637</v>
      </c>
      <c r="AG295" s="25">
        <f t="shared" si="44"/>
        <v>2.9014634146341468E-2</v>
      </c>
      <c r="AH295" s="25">
        <f t="shared" si="45"/>
        <v>96.845218181818183</v>
      </c>
      <c r="AI295" s="25">
        <f t="shared" si="46"/>
        <v>470.34816344086028</v>
      </c>
    </row>
    <row r="296" spans="1:35" ht="15.75" customHeight="1">
      <c r="A296" s="12" t="s">
        <v>346</v>
      </c>
      <c r="B296" s="12" t="s">
        <v>347</v>
      </c>
      <c r="C296" s="12" t="s">
        <v>259</v>
      </c>
      <c r="D296" s="12" t="s">
        <v>50</v>
      </c>
      <c r="E296" s="12" t="s">
        <v>27</v>
      </c>
      <c r="F296" s="13">
        <v>0.99970000000000003</v>
      </c>
      <c r="G296" s="14">
        <v>31.590520000000001</v>
      </c>
      <c r="H296" s="24" t="str">
        <f t="shared" si="39"/>
        <v>RJSP</v>
      </c>
      <c r="I296" s="24" t="str">
        <f t="shared" si="47"/>
        <v>RJMG</v>
      </c>
      <c r="J296" s="24" t="str">
        <f t="shared" si="47"/>
        <v>RJES</v>
      </c>
      <c r="K296" s="24" t="str">
        <f t="shared" si="47"/>
        <v>RJSC</v>
      </c>
      <c r="L296" s="24" t="str">
        <f t="shared" si="47"/>
        <v>RJRJ</v>
      </c>
      <c r="M296" s="24" t="str">
        <f t="shared" si="47"/>
        <v>RJPR</v>
      </c>
      <c r="N296" s="24" t="str">
        <f t="shared" si="47"/>
        <v>RJAM</v>
      </c>
      <c r="O296" s="24">
        <f>VLOOKUP(H296, KM!$A:$E, 5, 0)</f>
        <v>429</v>
      </c>
      <c r="P296" s="24">
        <f>VLOOKUP(I296, KM!$A:$E, 5, 0)</f>
        <v>434</v>
      </c>
      <c r="Q296" s="24">
        <f>VLOOKUP(J296, KM!$A:$E, 5, 0)</f>
        <v>521</v>
      </c>
      <c r="R296" s="24">
        <f>VLOOKUP(K296, KM!$A:$E, 5, 0)</f>
        <v>1144</v>
      </c>
      <c r="S296" s="24">
        <f>VLOOKUP(L296, KM!$A:$E, 5, 0)</f>
        <v>0</v>
      </c>
      <c r="T296" s="24">
        <f>VLOOKUP(M296, KM!$A:$E, 5, 0)</f>
        <v>852</v>
      </c>
      <c r="U296" s="24">
        <f>VLOOKUP(N296, KM!$A:$E, 5, 0)</f>
        <v>4374</v>
      </c>
      <c r="V296" s="24">
        <f>VLOOKUP(H296, IMPOSTO!$A:$D, 4, 0)</f>
        <v>0.12</v>
      </c>
      <c r="W296" s="24">
        <f>VLOOKUP(I296, IMPOSTO!$A:$D, 4, 0)</f>
        <v>0.12</v>
      </c>
      <c r="X296" s="24">
        <f>VLOOKUP(J296, IMPOSTO!$A:$D, 4, 0)</f>
        <v>7.0000000000000007E-2</v>
      </c>
      <c r="Y296" s="24">
        <f>VLOOKUP(K296, IMPOSTO!$A:$D, 4, 0)</f>
        <v>0.12</v>
      </c>
      <c r="Z296" s="24">
        <f>VLOOKUP(L296, IMPOSTO!$A:$D, 4, 0)</f>
        <v>0.18</v>
      </c>
      <c r="AA296" s="24">
        <f>VLOOKUP(M296, IMPOSTO!$A:$D, 4, 0)</f>
        <v>0.12</v>
      </c>
      <c r="AB296" s="24">
        <f>VLOOKUP(N296, IMPOSTO!$A:$D, 4, 0)</f>
        <v>7.0000000000000007E-2</v>
      </c>
      <c r="AC296" s="25">
        <f t="shared" si="40"/>
        <v>84.648318181818183</v>
      </c>
      <c r="AD296" s="25">
        <f t="shared" si="41"/>
        <v>85.216500000000011</v>
      </c>
      <c r="AE296" s="25">
        <f t="shared" si="42"/>
        <v>89.989806451612921</v>
      </c>
      <c r="AF296" s="25">
        <f t="shared" si="43"/>
        <v>165.89831818181818</v>
      </c>
      <c r="AG296" s="25">
        <f t="shared" si="44"/>
        <v>38.5250243902439</v>
      </c>
      <c r="AH296" s="25">
        <f t="shared" si="45"/>
        <v>132.7165</v>
      </c>
      <c r="AI296" s="25">
        <f t="shared" si="46"/>
        <v>504.29088172043021</v>
      </c>
    </row>
    <row r="297" spans="1:35" ht="15.75" customHeight="1">
      <c r="A297" s="12" t="s">
        <v>348</v>
      </c>
      <c r="B297" s="12" t="s">
        <v>349</v>
      </c>
      <c r="C297" s="12" t="s">
        <v>283</v>
      </c>
      <c r="D297" s="12" t="s">
        <v>33</v>
      </c>
      <c r="E297" s="12" t="s">
        <v>27</v>
      </c>
      <c r="F297" s="13">
        <v>14.352000000000002</v>
      </c>
      <c r="G297" s="14">
        <v>361.06911599999989</v>
      </c>
      <c r="H297" s="24" t="str">
        <f t="shared" si="39"/>
        <v>RJSP</v>
      </c>
      <c r="I297" s="24" t="str">
        <f t="shared" si="47"/>
        <v>RJMG</v>
      </c>
      <c r="J297" s="24" t="str">
        <f t="shared" si="47"/>
        <v>RJES</v>
      </c>
      <c r="K297" s="24" t="str">
        <f t="shared" si="47"/>
        <v>RJSC</v>
      </c>
      <c r="L297" s="24" t="str">
        <f t="shared" si="47"/>
        <v>RJRJ</v>
      </c>
      <c r="M297" s="24" t="str">
        <f t="shared" si="47"/>
        <v>RJPR</v>
      </c>
      <c r="N297" s="24" t="str">
        <f t="shared" si="47"/>
        <v>RJAM</v>
      </c>
      <c r="O297" s="24">
        <f>VLOOKUP(H297, KM!$A:$E, 5, 0)</f>
        <v>429</v>
      </c>
      <c r="P297" s="24">
        <f>VLOOKUP(I297, KM!$A:$E, 5, 0)</f>
        <v>434</v>
      </c>
      <c r="Q297" s="24">
        <f>VLOOKUP(J297, KM!$A:$E, 5, 0)</f>
        <v>521</v>
      </c>
      <c r="R297" s="24">
        <f>VLOOKUP(K297, KM!$A:$E, 5, 0)</f>
        <v>1144</v>
      </c>
      <c r="S297" s="24">
        <f>VLOOKUP(L297, KM!$A:$E, 5, 0)</f>
        <v>0</v>
      </c>
      <c r="T297" s="24">
        <f>VLOOKUP(M297, KM!$A:$E, 5, 0)</f>
        <v>852</v>
      </c>
      <c r="U297" s="24">
        <f>VLOOKUP(N297, KM!$A:$E, 5, 0)</f>
        <v>4374</v>
      </c>
      <c r="V297" s="24">
        <f>VLOOKUP(H297, IMPOSTO!$A:$D, 4, 0)</f>
        <v>0.12</v>
      </c>
      <c r="W297" s="24">
        <f>VLOOKUP(I297, IMPOSTO!$A:$D, 4, 0)</f>
        <v>0.12</v>
      </c>
      <c r="X297" s="24">
        <f>VLOOKUP(J297, IMPOSTO!$A:$D, 4, 0)</f>
        <v>7.0000000000000007E-2</v>
      </c>
      <c r="Y297" s="24">
        <f>VLOOKUP(K297, IMPOSTO!$A:$D, 4, 0)</f>
        <v>0.12</v>
      </c>
      <c r="Z297" s="24">
        <f>VLOOKUP(L297, IMPOSTO!$A:$D, 4, 0)</f>
        <v>0.18</v>
      </c>
      <c r="AA297" s="24">
        <f>VLOOKUP(M297, IMPOSTO!$A:$D, 4, 0)</f>
        <v>0.12</v>
      </c>
      <c r="AB297" s="24">
        <f>VLOOKUP(N297, IMPOSTO!$A:$D, 4, 0)</f>
        <v>7.0000000000000007E-2</v>
      </c>
      <c r="AC297" s="25">
        <f t="shared" si="40"/>
        <v>459.0558136363635</v>
      </c>
      <c r="AD297" s="25">
        <f t="shared" si="41"/>
        <v>459.62399545454531</v>
      </c>
      <c r="AE297" s="25">
        <f t="shared" si="42"/>
        <v>444.26786666666663</v>
      </c>
      <c r="AF297" s="25">
        <f t="shared" si="43"/>
        <v>540.3058136363635</v>
      </c>
      <c r="AG297" s="25">
        <f t="shared" si="44"/>
        <v>440.32819024390227</v>
      </c>
      <c r="AH297" s="25">
        <f t="shared" si="45"/>
        <v>507.12399545454531</v>
      </c>
      <c r="AI297" s="25">
        <f t="shared" si="46"/>
        <v>858.56894193548396</v>
      </c>
    </row>
    <row r="298" spans="1:35" ht="15.75" customHeight="1">
      <c r="A298" s="12" t="s">
        <v>281</v>
      </c>
      <c r="B298" s="12" t="s">
        <v>350</v>
      </c>
      <c r="C298" s="12" t="s">
        <v>283</v>
      </c>
      <c r="D298" s="12" t="s">
        <v>33</v>
      </c>
      <c r="E298" s="12" t="s">
        <v>27</v>
      </c>
      <c r="F298" s="13">
        <v>0.56550000000000011</v>
      </c>
      <c r="G298" s="14">
        <v>15.624810000000002</v>
      </c>
      <c r="H298" s="24" t="str">
        <f t="shared" si="39"/>
        <v>RJSP</v>
      </c>
      <c r="I298" s="24" t="str">
        <f t="shared" si="47"/>
        <v>RJMG</v>
      </c>
      <c r="J298" s="24" t="str">
        <f t="shared" si="47"/>
        <v>RJES</v>
      </c>
      <c r="K298" s="24" t="str">
        <f t="shared" si="47"/>
        <v>RJSC</v>
      </c>
      <c r="L298" s="24" t="str">
        <f t="shared" si="47"/>
        <v>RJRJ</v>
      </c>
      <c r="M298" s="24" t="str">
        <f t="shared" si="47"/>
        <v>RJPR</v>
      </c>
      <c r="N298" s="24" t="str">
        <f t="shared" si="47"/>
        <v>RJAM</v>
      </c>
      <c r="O298" s="24">
        <f>VLOOKUP(H298, KM!$A:$E, 5, 0)</f>
        <v>429</v>
      </c>
      <c r="P298" s="24">
        <f>VLOOKUP(I298, KM!$A:$E, 5, 0)</f>
        <v>434</v>
      </c>
      <c r="Q298" s="24">
        <f>VLOOKUP(J298, KM!$A:$E, 5, 0)</f>
        <v>521</v>
      </c>
      <c r="R298" s="24">
        <f>VLOOKUP(K298, KM!$A:$E, 5, 0)</f>
        <v>1144</v>
      </c>
      <c r="S298" s="24">
        <f>VLOOKUP(L298, KM!$A:$E, 5, 0)</f>
        <v>0</v>
      </c>
      <c r="T298" s="24">
        <f>VLOOKUP(M298, KM!$A:$E, 5, 0)</f>
        <v>852</v>
      </c>
      <c r="U298" s="24">
        <f>VLOOKUP(N298, KM!$A:$E, 5, 0)</f>
        <v>4374</v>
      </c>
      <c r="V298" s="24">
        <f>VLOOKUP(H298, IMPOSTO!$A:$D, 4, 0)</f>
        <v>0.12</v>
      </c>
      <c r="W298" s="24">
        <f>VLOOKUP(I298, IMPOSTO!$A:$D, 4, 0)</f>
        <v>0.12</v>
      </c>
      <c r="X298" s="24">
        <f>VLOOKUP(J298, IMPOSTO!$A:$D, 4, 0)</f>
        <v>7.0000000000000007E-2</v>
      </c>
      <c r="Y298" s="24">
        <f>VLOOKUP(K298, IMPOSTO!$A:$D, 4, 0)</f>
        <v>0.12</v>
      </c>
      <c r="Z298" s="24">
        <f>VLOOKUP(L298, IMPOSTO!$A:$D, 4, 0)</f>
        <v>0.18</v>
      </c>
      <c r="AA298" s="24">
        <f>VLOOKUP(M298, IMPOSTO!$A:$D, 4, 0)</f>
        <v>0.12</v>
      </c>
      <c r="AB298" s="24">
        <f>VLOOKUP(N298, IMPOSTO!$A:$D, 4, 0)</f>
        <v>7.0000000000000007E-2</v>
      </c>
      <c r="AC298" s="25">
        <f t="shared" si="40"/>
        <v>66.505465909090915</v>
      </c>
      <c r="AD298" s="25">
        <f t="shared" si="41"/>
        <v>67.073647727272743</v>
      </c>
      <c r="AE298" s="25">
        <f t="shared" si="42"/>
        <v>72.822376344086038</v>
      </c>
      <c r="AF298" s="25">
        <f t="shared" si="43"/>
        <v>147.7554659090909</v>
      </c>
      <c r="AG298" s="25">
        <f t="shared" si="44"/>
        <v>19.054646341463414</v>
      </c>
      <c r="AH298" s="25">
        <f t="shared" si="45"/>
        <v>114.57364772727273</v>
      </c>
      <c r="AI298" s="25">
        <f t="shared" si="46"/>
        <v>487.1234516129033</v>
      </c>
    </row>
    <row r="299" spans="1:35" ht="15.75" customHeight="1">
      <c r="A299" s="12" t="s">
        <v>281</v>
      </c>
      <c r="B299" s="12" t="s">
        <v>282</v>
      </c>
      <c r="C299" s="12" t="s">
        <v>283</v>
      </c>
      <c r="D299" s="12" t="s">
        <v>33</v>
      </c>
      <c r="E299" s="12" t="s">
        <v>27</v>
      </c>
      <c r="F299" s="13">
        <v>2.4980000000000002</v>
      </c>
      <c r="G299" s="14">
        <v>67.177000000000007</v>
      </c>
      <c r="H299" s="24" t="str">
        <f t="shared" si="39"/>
        <v>RJSP</v>
      </c>
      <c r="I299" s="24" t="str">
        <f t="shared" si="47"/>
        <v>RJMG</v>
      </c>
      <c r="J299" s="24" t="str">
        <f t="shared" si="47"/>
        <v>RJES</v>
      </c>
      <c r="K299" s="24" t="str">
        <f t="shared" si="47"/>
        <v>RJSC</v>
      </c>
      <c r="L299" s="24" t="str">
        <f t="shared" si="47"/>
        <v>RJRJ</v>
      </c>
      <c r="M299" s="24" t="str">
        <f t="shared" si="47"/>
        <v>RJPR</v>
      </c>
      <c r="N299" s="24" t="str">
        <f t="shared" si="47"/>
        <v>RJAM</v>
      </c>
      <c r="O299" s="24">
        <f>VLOOKUP(H299, KM!$A:$E, 5, 0)</f>
        <v>429</v>
      </c>
      <c r="P299" s="24">
        <f>VLOOKUP(I299, KM!$A:$E, 5, 0)</f>
        <v>434</v>
      </c>
      <c r="Q299" s="24">
        <f>VLOOKUP(J299, KM!$A:$E, 5, 0)</f>
        <v>521</v>
      </c>
      <c r="R299" s="24">
        <f>VLOOKUP(K299, KM!$A:$E, 5, 0)</f>
        <v>1144</v>
      </c>
      <c r="S299" s="24">
        <f>VLOOKUP(L299, KM!$A:$E, 5, 0)</f>
        <v>0</v>
      </c>
      <c r="T299" s="24">
        <f>VLOOKUP(M299, KM!$A:$E, 5, 0)</f>
        <v>852</v>
      </c>
      <c r="U299" s="24">
        <f>VLOOKUP(N299, KM!$A:$E, 5, 0)</f>
        <v>4374</v>
      </c>
      <c r="V299" s="24">
        <f>VLOOKUP(H299, IMPOSTO!$A:$D, 4, 0)</f>
        <v>0.12</v>
      </c>
      <c r="W299" s="24">
        <f>VLOOKUP(I299, IMPOSTO!$A:$D, 4, 0)</f>
        <v>0.12</v>
      </c>
      <c r="X299" s="24">
        <f>VLOOKUP(J299, IMPOSTO!$A:$D, 4, 0)</f>
        <v>7.0000000000000007E-2</v>
      </c>
      <c r="Y299" s="24">
        <f>VLOOKUP(K299, IMPOSTO!$A:$D, 4, 0)</f>
        <v>0.12</v>
      </c>
      <c r="Z299" s="24">
        <f>VLOOKUP(L299, IMPOSTO!$A:$D, 4, 0)</f>
        <v>0.18</v>
      </c>
      <c r="AA299" s="24">
        <f>VLOOKUP(M299, IMPOSTO!$A:$D, 4, 0)</f>
        <v>0.12</v>
      </c>
      <c r="AB299" s="24">
        <f>VLOOKUP(N299, IMPOSTO!$A:$D, 4, 0)</f>
        <v>7.0000000000000007E-2</v>
      </c>
      <c r="AC299" s="25">
        <f t="shared" si="40"/>
        <v>125.08750000000002</v>
      </c>
      <c r="AD299" s="25">
        <f t="shared" si="41"/>
        <v>125.65568181818183</v>
      </c>
      <c r="AE299" s="25">
        <f t="shared" si="42"/>
        <v>128.25483870967744</v>
      </c>
      <c r="AF299" s="25">
        <f t="shared" si="43"/>
        <v>206.33750000000001</v>
      </c>
      <c r="AG299" s="25">
        <f t="shared" si="44"/>
        <v>81.923170731707316</v>
      </c>
      <c r="AH299" s="25">
        <f t="shared" si="45"/>
        <v>173.15568181818182</v>
      </c>
      <c r="AI299" s="25">
        <f t="shared" si="46"/>
        <v>542.55591397849469</v>
      </c>
    </row>
    <row r="300" spans="1:35" ht="15.75" customHeight="1">
      <c r="A300" s="12" t="s">
        <v>351</v>
      </c>
      <c r="B300" s="12" t="s">
        <v>352</v>
      </c>
      <c r="C300" s="12" t="s">
        <v>283</v>
      </c>
      <c r="D300" s="12" t="s">
        <v>33</v>
      </c>
      <c r="E300" s="12" t="s">
        <v>27</v>
      </c>
      <c r="F300" s="13">
        <v>8.0951999999999966</v>
      </c>
      <c r="G300" s="14">
        <v>206.97122399999998</v>
      </c>
      <c r="H300" s="24" t="str">
        <f t="shared" si="39"/>
        <v>RJSP</v>
      </c>
      <c r="I300" s="24" t="str">
        <f t="shared" si="47"/>
        <v>RJMG</v>
      </c>
      <c r="J300" s="24" t="str">
        <f t="shared" si="47"/>
        <v>RJES</v>
      </c>
      <c r="K300" s="24" t="str">
        <f t="shared" si="47"/>
        <v>RJSC</v>
      </c>
      <c r="L300" s="24" t="str">
        <f t="shared" si="47"/>
        <v>RJRJ</v>
      </c>
      <c r="M300" s="24" t="str">
        <f t="shared" si="47"/>
        <v>RJPR</v>
      </c>
      <c r="N300" s="24" t="str">
        <f t="shared" si="47"/>
        <v>RJAM</v>
      </c>
      <c r="O300" s="24">
        <f>VLOOKUP(H300, KM!$A:$E, 5, 0)</f>
        <v>429</v>
      </c>
      <c r="P300" s="24">
        <f>VLOOKUP(I300, KM!$A:$E, 5, 0)</f>
        <v>434</v>
      </c>
      <c r="Q300" s="24">
        <f>VLOOKUP(J300, KM!$A:$E, 5, 0)</f>
        <v>521</v>
      </c>
      <c r="R300" s="24">
        <f>VLOOKUP(K300, KM!$A:$E, 5, 0)</f>
        <v>1144</v>
      </c>
      <c r="S300" s="24">
        <f>VLOOKUP(L300, KM!$A:$E, 5, 0)</f>
        <v>0</v>
      </c>
      <c r="T300" s="24">
        <f>VLOOKUP(M300, KM!$A:$E, 5, 0)</f>
        <v>852</v>
      </c>
      <c r="U300" s="24">
        <f>VLOOKUP(N300, KM!$A:$E, 5, 0)</f>
        <v>4374</v>
      </c>
      <c r="V300" s="24">
        <f>VLOOKUP(H300, IMPOSTO!$A:$D, 4, 0)</f>
        <v>0.12</v>
      </c>
      <c r="W300" s="24">
        <f>VLOOKUP(I300, IMPOSTO!$A:$D, 4, 0)</f>
        <v>0.12</v>
      </c>
      <c r="X300" s="24">
        <f>VLOOKUP(J300, IMPOSTO!$A:$D, 4, 0)</f>
        <v>7.0000000000000007E-2</v>
      </c>
      <c r="Y300" s="24">
        <f>VLOOKUP(K300, IMPOSTO!$A:$D, 4, 0)</f>
        <v>0.12</v>
      </c>
      <c r="Z300" s="24">
        <f>VLOOKUP(L300, IMPOSTO!$A:$D, 4, 0)</f>
        <v>0.18</v>
      </c>
      <c r="AA300" s="24">
        <f>VLOOKUP(M300, IMPOSTO!$A:$D, 4, 0)</f>
        <v>0.12</v>
      </c>
      <c r="AB300" s="24">
        <f>VLOOKUP(N300, IMPOSTO!$A:$D, 4, 0)</f>
        <v>7.0000000000000007E-2</v>
      </c>
      <c r="AC300" s="25">
        <f t="shared" si="40"/>
        <v>283.94457272727271</v>
      </c>
      <c r="AD300" s="25">
        <f t="shared" si="41"/>
        <v>284.51275454545453</v>
      </c>
      <c r="AE300" s="25">
        <f t="shared" si="42"/>
        <v>278.57120860215053</v>
      </c>
      <c r="AF300" s="25">
        <f t="shared" si="43"/>
        <v>365.19457272727271</v>
      </c>
      <c r="AG300" s="25">
        <f t="shared" si="44"/>
        <v>252.40393170731701</v>
      </c>
      <c r="AH300" s="25">
        <f t="shared" si="45"/>
        <v>332.01275454545453</v>
      </c>
      <c r="AI300" s="25">
        <f t="shared" si="46"/>
        <v>692.87228387096775</v>
      </c>
    </row>
    <row r="301" spans="1:35" ht="15.75" customHeight="1">
      <c r="A301" s="12" t="s">
        <v>286</v>
      </c>
      <c r="B301" s="12" t="s">
        <v>287</v>
      </c>
      <c r="C301" s="12" t="s">
        <v>283</v>
      </c>
      <c r="D301" s="12" t="s">
        <v>33</v>
      </c>
      <c r="E301" s="12" t="s">
        <v>27</v>
      </c>
      <c r="F301" s="13">
        <v>8.2655999999999992</v>
      </c>
      <c r="G301" s="14">
        <v>260.64020399999998</v>
      </c>
      <c r="H301" s="24" t="str">
        <f t="shared" si="39"/>
        <v>RJSP</v>
      </c>
      <c r="I301" s="24" t="str">
        <f t="shared" si="47"/>
        <v>RJMG</v>
      </c>
      <c r="J301" s="24" t="str">
        <f t="shared" si="47"/>
        <v>RJES</v>
      </c>
      <c r="K301" s="24" t="str">
        <f t="shared" si="47"/>
        <v>RJSC</v>
      </c>
      <c r="L301" s="24" t="str">
        <f t="shared" si="47"/>
        <v>RJRJ</v>
      </c>
      <c r="M301" s="24" t="str">
        <f t="shared" si="47"/>
        <v>RJPR</v>
      </c>
      <c r="N301" s="24" t="str">
        <f t="shared" si="47"/>
        <v>RJAM</v>
      </c>
      <c r="O301" s="24">
        <f>VLOOKUP(H301, KM!$A:$E, 5, 0)</f>
        <v>429</v>
      </c>
      <c r="P301" s="24">
        <f>VLOOKUP(I301, KM!$A:$E, 5, 0)</f>
        <v>434</v>
      </c>
      <c r="Q301" s="24">
        <f>VLOOKUP(J301, KM!$A:$E, 5, 0)</f>
        <v>521</v>
      </c>
      <c r="R301" s="24">
        <f>VLOOKUP(K301, KM!$A:$E, 5, 0)</f>
        <v>1144</v>
      </c>
      <c r="S301" s="24">
        <f>VLOOKUP(L301, KM!$A:$E, 5, 0)</f>
        <v>0</v>
      </c>
      <c r="T301" s="24">
        <f>VLOOKUP(M301, KM!$A:$E, 5, 0)</f>
        <v>852</v>
      </c>
      <c r="U301" s="24">
        <f>VLOOKUP(N301, KM!$A:$E, 5, 0)</f>
        <v>4374</v>
      </c>
      <c r="V301" s="24">
        <f>VLOOKUP(H301, IMPOSTO!$A:$D, 4, 0)</f>
        <v>0.12</v>
      </c>
      <c r="W301" s="24">
        <f>VLOOKUP(I301, IMPOSTO!$A:$D, 4, 0)</f>
        <v>0.12</v>
      </c>
      <c r="X301" s="24">
        <f>VLOOKUP(J301, IMPOSTO!$A:$D, 4, 0)</f>
        <v>7.0000000000000007E-2</v>
      </c>
      <c r="Y301" s="24">
        <f>VLOOKUP(K301, IMPOSTO!$A:$D, 4, 0)</f>
        <v>0.12</v>
      </c>
      <c r="Z301" s="24">
        <f>VLOOKUP(L301, IMPOSTO!$A:$D, 4, 0)</f>
        <v>0.18</v>
      </c>
      <c r="AA301" s="24">
        <f>VLOOKUP(M301, IMPOSTO!$A:$D, 4, 0)</f>
        <v>0.12</v>
      </c>
      <c r="AB301" s="24">
        <f>VLOOKUP(N301, IMPOSTO!$A:$D, 4, 0)</f>
        <v>7.0000000000000007E-2</v>
      </c>
      <c r="AC301" s="25">
        <f t="shared" si="40"/>
        <v>344.93205</v>
      </c>
      <c r="AD301" s="25">
        <f t="shared" si="41"/>
        <v>345.50023181818182</v>
      </c>
      <c r="AE301" s="25">
        <f t="shared" si="42"/>
        <v>336.27978924731184</v>
      </c>
      <c r="AF301" s="25">
        <f t="shared" si="43"/>
        <v>426.18205</v>
      </c>
      <c r="AG301" s="25">
        <f t="shared" si="44"/>
        <v>317.85390731707315</v>
      </c>
      <c r="AH301" s="25">
        <f t="shared" si="45"/>
        <v>393.00023181818176</v>
      </c>
      <c r="AI301" s="25">
        <f t="shared" si="46"/>
        <v>750.58086451612905</v>
      </c>
    </row>
    <row r="302" spans="1:35" ht="15.75" customHeight="1">
      <c r="A302" s="12" t="s">
        <v>331</v>
      </c>
      <c r="B302" s="12" t="s">
        <v>332</v>
      </c>
      <c r="C302" s="12" t="s">
        <v>333</v>
      </c>
      <c r="D302" s="12" t="s">
        <v>33</v>
      </c>
      <c r="E302" s="12" t="s">
        <v>27</v>
      </c>
      <c r="F302" s="13">
        <v>3.9390000000000005</v>
      </c>
      <c r="G302" s="14">
        <v>32.538354999999996</v>
      </c>
      <c r="H302" s="24" t="str">
        <f t="shared" si="39"/>
        <v>RJSP</v>
      </c>
      <c r="I302" s="24" t="str">
        <f t="shared" si="47"/>
        <v>RJMG</v>
      </c>
      <c r="J302" s="24" t="str">
        <f t="shared" si="47"/>
        <v>RJES</v>
      </c>
      <c r="K302" s="24" t="str">
        <f t="shared" si="47"/>
        <v>RJSC</v>
      </c>
      <c r="L302" s="24" t="str">
        <f t="shared" si="47"/>
        <v>RJRJ</v>
      </c>
      <c r="M302" s="24" t="str">
        <f t="shared" si="47"/>
        <v>RJPR</v>
      </c>
      <c r="N302" s="24" t="str">
        <f t="shared" si="47"/>
        <v>RJAM</v>
      </c>
      <c r="O302" s="24">
        <f>VLOOKUP(H302, KM!$A:$E, 5, 0)</f>
        <v>429</v>
      </c>
      <c r="P302" s="24">
        <f>VLOOKUP(I302, KM!$A:$E, 5, 0)</f>
        <v>434</v>
      </c>
      <c r="Q302" s="24">
        <f>VLOOKUP(J302, KM!$A:$E, 5, 0)</f>
        <v>521</v>
      </c>
      <c r="R302" s="24">
        <f>VLOOKUP(K302, KM!$A:$E, 5, 0)</f>
        <v>1144</v>
      </c>
      <c r="S302" s="24">
        <f>VLOOKUP(L302, KM!$A:$E, 5, 0)</f>
        <v>0</v>
      </c>
      <c r="T302" s="24">
        <f>VLOOKUP(M302, KM!$A:$E, 5, 0)</f>
        <v>852</v>
      </c>
      <c r="U302" s="24">
        <f>VLOOKUP(N302, KM!$A:$E, 5, 0)</f>
        <v>4374</v>
      </c>
      <c r="V302" s="24">
        <f>VLOOKUP(H302, IMPOSTO!$A:$D, 4, 0)</f>
        <v>0.12</v>
      </c>
      <c r="W302" s="24">
        <f>VLOOKUP(I302, IMPOSTO!$A:$D, 4, 0)</f>
        <v>0.12</v>
      </c>
      <c r="X302" s="24">
        <f>VLOOKUP(J302, IMPOSTO!$A:$D, 4, 0)</f>
        <v>7.0000000000000007E-2</v>
      </c>
      <c r="Y302" s="24">
        <f>VLOOKUP(K302, IMPOSTO!$A:$D, 4, 0)</f>
        <v>0.12</v>
      </c>
      <c r="Z302" s="24">
        <f>VLOOKUP(L302, IMPOSTO!$A:$D, 4, 0)</f>
        <v>0.18</v>
      </c>
      <c r="AA302" s="24">
        <f>VLOOKUP(M302, IMPOSTO!$A:$D, 4, 0)</f>
        <v>0.12</v>
      </c>
      <c r="AB302" s="24">
        <f>VLOOKUP(N302, IMPOSTO!$A:$D, 4, 0)</f>
        <v>7.0000000000000007E-2</v>
      </c>
      <c r="AC302" s="25">
        <f t="shared" si="40"/>
        <v>85.725403409090916</v>
      </c>
      <c r="AD302" s="25">
        <f t="shared" si="41"/>
        <v>86.293585227272729</v>
      </c>
      <c r="AE302" s="25">
        <f t="shared" si="42"/>
        <v>91.008983870967739</v>
      </c>
      <c r="AF302" s="25">
        <f t="shared" si="43"/>
        <v>166.97540340909092</v>
      </c>
      <c r="AG302" s="25">
        <f t="shared" si="44"/>
        <v>39.68092073170731</v>
      </c>
      <c r="AH302" s="25">
        <f t="shared" si="45"/>
        <v>133.79358522727273</v>
      </c>
      <c r="AI302" s="25">
        <f t="shared" si="46"/>
        <v>505.31005913978498</v>
      </c>
    </row>
    <row r="303" spans="1:35" ht="15.75" customHeight="1">
      <c r="A303" s="12" t="s">
        <v>331</v>
      </c>
      <c r="B303" s="12" t="s">
        <v>334</v>
      </c>
      <c r="C303" s="12" t="s">
        <v>333</v>
      </c>
      <c r="D303" s="12" t="s">
        <v>33</v>
      </c>
      <c r="E303" s="12" t="s">
        <v>27</v>
      </c>
      <c r="F303" s="13">
        <v>24.130500000000019</v>
      </c>
      <c r="G303" s="14">
        <v>274.785235</v>
      </c>
      <c r="H303" s="24" t="str">
        <f t="shared" si="39"/>
        <v>RJSP</v>
      </c>
      <c r="I303" s="24" t="str">
        <f t="shared" si="47"/>
        <v>RJMG</v>
      </c>
      <c r="J303" s="24" t="str">
        <f t="shared" si="47"/>
        <v>RJES</v>
      </c>
      <c r="K303" s="24" t="str">
        <f t="shared" si="47"/>
        <v>RJSC</v>
      </c>
      <c r="L303" s="24" t="str">
        <f t="shared" si="47"/>
        <v>RJRJ</v>
      </c>
      <c r="M303" s="24" t="str">
        <f t="shared" si="47"/>
        <v>RJPR</v>
      </c>
      <c r="N303" s="24" t="str">
        <f t="shared" si="47"/>
        <v>RJAM</v>
      </c>
      <c r="O303" s="24">
        <f>VLOOKUP(H303, KM!$A:$E, 5, 0)</f>
        <v>429</v>
      </c>
      <c r="P303" s="24">
        <f>VLOOKUP(I303, KM!$A:$E, 5, 0)</f>
        <v>434</v>
      </c>
      <c r="Q303" s="24">
        <f>VLOOKUP(J303, KM!$A:$E, 5, 0)</f>
        <v>521</v>
      </c>
      <c r="R303" s="24">
        <f>VLOOKUP(K303, KM!$A:$E, 5, 0)</f>
        <v>1144</v>
      </c>
      <c r="S303" s="24">
        <f>VLOOKUP(L303, KM!$A:$E, 5, 0)</f>
        <v>0</v>
      </c>
      <c r="T303" s="24">
        <f>VLOOKUP(M303, KM!$A:$E, 5, 0)</f>
        <v>852</v>
      </c>
      <c r="U303" s="24">
        <f>VLOOKUP(N303, KM!$A:$E, 5, 0)</f>
        <v>4374</v>
      </c>
      <c r="V303" s="24">
        <f>VLOOKUP(H303, IMPOSTO!$A:$D, 4, 0)</f>
        <v>0.12</v>
      </c>
      <c r="W303" s="24">
        <f>VLOOKUP(I303, IMPOSTO!$A:$D, 4, 0)</f>
        <v>0.12</v>
      </c>
      <c r="X303" s="24">
        <f>VLOOKUP(J303, IMPOSTO!$A:$D, 4, 0)</f>
        <v>7.0000000000000007E-2</v>
      </c>
      <c r="Y303" s="24">
        <f>VLOOKUP(K303, IMPOSTO!$A:$D, 4, 0)</f>
        <v>0.12</v>
      </c>
      <c r="Z303" s="24">
        <f>VLOOKUP(L303, IMPOSTO!$A:$D, 4, 0)</f>
        <v>0.18</v>
      </c>
      <c r="AA303" s="24">
        <f>VLOOKUP(M303, IMPOSTO!$A:$D, 4, 0)</f>
        <v>0.12</v>
      </c>
      <c r="AB303" s="24">
        <f>VLOOKUP(N303, IMPOSTO!$A:$D, 4, 0)</f>
        <v>7.0000000000000007E-2</v>
      </c>
      <c r="AC303" s="25">
        <f t="shared" si="40"/>
        <v>361.00594886363638</v>
      </c>
      <c r="AD303" s="25">
        <f t="shared" si="41"/>
        <v>361.57413068181825</v>
      </c>
      <c r="AE303" s="25">
        <f t="shared" si="42"/>
        <v>351.48950000000002</v>
      </c>
      <c r="AF303" s="25">
        <f t="shared" si="43"/>
        <v>442.25594886363638</v>
      </c>
      <c r="AG303" s="25">
        <f t="shared" si="44"/>
        <v>335.1039451219512</v>
      </c>
      <c r="AH303" s="25">
        <f t="shared" si="45"/>
        <v>409.07413068181819</v>
      </c>
      <c r="AI303" s="25">
        <f t="shared" si="46"/>
        <v>765.79057526881729</v>
      </c>
    </row>
    <row r="304" spans="1:35" ht="15.75" customHeight="1">
      <c r="A304" s="12" t="s">
        <v>353</v>
      </c>
      <c r="B304" s="12" t="s">
        <v>354</v>
      </c>
      <c r="C304" s="12" t="s">
        <v>333</v>
      </c>
      <c r="D304" s="12" t="s">
        <v>33</v>
      </c>
      <c r="E304" s="12" t="s">
        <v>27</v>
      </c>
      <c r="F304" s="13">
        <v>292</v>
      </c>
      <c r="G304" s="14">
        <v>11202.89</v>
      </c>
      <c r="H304" s="24" t="str">
        <f t="shared" si="39"/>
        <v>RJSP</v>
      </c>
      <c r="I304" s="24" t="str">
        <f t="shared" si="47"/>
        <v>RJMG</v>
      </c>
      <c r="J304" s="24" t="str">
        <f t="shared" si="47"/>
        <v>RJES</v>
      </c>
      <c r="K304" s="24" t="str">
        <f t="shared" si="47"/>
        <v>RJSC</v>
      </c>
      <c r="L304" s="24" t="str">
        <f t="shared" si="47"/>
        <v>RJRJ</v>
      </c>
      <c r="M304" s="24" t="str">
        <f t="shared" si="47"/>
        <v>RJPR</v>
      </c>
      <c r="N304" s="24" t="str">
        <f t="shared" si="47"/>
        <v>RJAM</v>
      </c>
      <c r="O304" s="24">
        <f>VLOOKUP(H304, KM!$A:$E, 5, 0)</f>
        <v>429</v>
      </c>
      <c r="P304" s="24">
        <f>VLOOKUP(I304, KM!$A:$E, 5, 0)</f>
        <v>434</v>
      </c>
      <c r="Q304" s="24">
        <f>VLOOKUP(J304, KM!$A:$E, 5, 0)</f>
        <v>521</v>
      </c>
      <c r="R304" s="24">
        <f>VLOOKUP(K304, KM!$A:$E, 5, 0)</f>
        <v>1144</v>
      </c>
      <c r="S304" s="24">
        <f>VLOOKUP(L304, KM!$A:$E, 5, 0)</f>
        <v>0</v>
      </c>
      <c r="T304" s="24">
        <f>VLOOKUP(M304, KM!$A:$E, 5, 0)</f>
        <v>852</v>
      </c>
      <c r="U304" s="24">
        <f>VLOOKUP(N304, KM!$A:$E, 5, 0)</f>
        <v>4374</v>
      </c>
      <c r="V304" s="24">
        <f>VLOOKUP(H304, IMPOSTO!$A:$D, 4, 0)</f>
        <v>0.12</v>
      </c>
      <c r="W304" s="24">
        <f>VLOOKUP(I304, IMPOSTO!$A:$D, 4, 0)</f>
        <v>0.12</v>
      </c>
      <c r="X304" s="24">
        <f>VLOOKUP(J304, IMPOSTO!$A:$D, 4, 0)</f>
        <v>7.0000000000000007E-2</v>
      </c>
      <c r="Y304" s="24">
        <f>VLOOKUP(K304, IMPOSTO!$A:$D, 4, 0)</f>
        <v>0.12</v>
      </c>
      <c r="Z304" s="24">
        <f>VLOOKUP(L304, IMPOSTO!$A:$D, 4, 0)</f>
        <v>0.18</v>
      </c>
      <c r="AA304" s="24">
        <f>VLOOKUP(M304, IMPOSTO!$A:$D, 4, 0)</f>
        <v>0.12</v>
      </c>
      <c r="AB304" s="24">
        <f>VLOOKUP(N304, IMPOSTO!$A:$D, 4, 0)</f>
        <v>7.0000000000000007E-2</v>
      </c>
      <c r="AC304" s="25">
        <f t="shared" si="40"/>
        <v>12779.306818181816</v>
      </c>
      <c r="AD304" s="25">
        <f t="shared" si="41"/>
        <v>12779.874999999998</v>
      </c>
      <c r="AE304" s="25">
        <f t="shared" si="42"/>
        <v>12102.139784946237</v>
      </c>
      <c r="AF304" s="25">
        <f t="shared" si="43"/>
        <v>12860.556818181816</v>
      </c>
      <c r="AG304" s="25">
        <f t="shared" si="44"/>
        <v>13662.060975609755</v>
      </c>
      <c r="AH304" s="25">
        <f t="shared" si="45"/>
        <v>12827.375</v>
      </c>
      <c r="AI304" s="25">
        <f t="shared" si="46"/>
        <v>12516.440860215054</v>
      </c>
    </row>
    <row r="305" spans="1:35" ht="15.75" customHeight="1">
      <c r="A305" s="12" t="s">
        <v>338</v>
      </c>
      <c r="B305" s="12" t="s">
        <v>339</v>
      </c>
      <c r="C305" s="12" t="s">
        <v>86</v>
      </c>
      <c r="D305" s="12" t="s">
        <v>33</v>
      </c>
      <c r="E305" s="12" t="s">
        <v>27</v>
      </c>
      <c r="F305" s="13">
        <v>8.6003999999999952</v>
      </c>
      <c r="G305" s="14">
        <v>174.26748000000006</v>
      </c>
      <c r="H305" s="24" t="str">
        <f t="shared" si="39"/>
        <v>RJSP</v>
      </c>
      <c r="I305" s="24" t="str">
        <f t="shared" si="47"/>
        <v>RJMG</v>
      </c>
      <c r="J305" s="24" t="str">
        <f t="shared" si="47"/>
        <v>RJES</v>
      </c>
      <c r="K305" s="24" t="str">
        <f t="shared" si="47"/>
        <v>RJSC</v>
      </c>
      <c r="L305" s="24" t="str">
        <f t="shared" si="47"/>
        <v>RJRJ</v>
      </c>
      <c r="M305" s="24" t="str">
        <f t="shared" si="47"/>
        <v>RJPR</v>
      </c>
      <c r="N305" s="24" t="str">
        <f t="shared" si="47"/>
        <v>RJAM</v>
      </c>
      <c r="O305" s="24">
        <f>VLOOKUP(H305, KM!$A:$E, 5, 0)</f>
        <v>429</v>
      </c>
      <c r="P305" s="24">
        <f>VLOOKUP(I305, KM!$A:$E, 5, 0)</f>
        <v>434</v>
      </c>
      <c r="Q305" s="24">
        <f>VLOOKUP(J305, KM!$A:$E, 5, 0)</f>
        <v>521</v>
      </c>
      <c r="R305" s="24">
        <f>VLOOKUP(K305, KM!$A:$E, 5, 0)</f>
        <v>1144</v>
      </c>
      <c r="S305" s="24">
        <f>VLOOKUP(L305, KM!$A:$E, 5, 0)</f>
        <v>0</v>
      </c>
      <c r="T305" s="24">
        <f>VLOOKUP(M305, KM!$A:$E, 5, 0)</f>
        <v>852</v>
      </c>
      <c r="U305" s="24">
        <f>VLOOKUP(N305, KM!$A:$E, 5, 0)</f>
        <v>4374</v>
      </c>
      <c r="V305" s="24">
        <f>VLOOKUP(H305, IMPOSTO!$A:$D, 4, 0)</f>
        <v>0.12</v>
      </c>
      <c r="W305" s="24">
        <f>VLOOKUP(I305, IMPOSTO!$A:$D, 4, 0)</f>
        <v>0.12</v>
      </c>
      <c r="X305" s="24">
        <f>VLOOKUP(J305, IMPOSTO!$A:$D, 4, 0)</f>
        <v>7.0000000000000007E-2</v>
      </c>
      <c r="Y305" s="24">
        <f>VLOOKUP(K305, IMPOSTO!$A:$D, 4, 0)</f>
        <v>0.12</v>
      </c>
      <c r="Z305" s="24">
        <f>VLOOKUP(L305, IMPOSTO!$A:$D, 4, 0)</f>
        <v>0.18</v>
      </c>
      <c r="AA305" s="24">
        <f>VLOOKUP(M305, IMPOSTO!$A:$D, 4, 0)</f>
        <v>0.12</v>
      </c>
      <c r="AB305" s="24">
        <f>VLOOKUP(N305, IMPOSTO!$A:$D, 4, 0)</f>
        <v>7.0000000000000007E-2</v>
      </c>
      <c r="AC305" s="25">
        <f t="shared" si="40"/>
        <v>246.78122727272736</v>
      </c>
      <c r="AD305" s="25">
        <f t="shared" si="41"/>
        <v>247.34940909090918</v>
      </c>
      <c r="AE305" s="25">
        <f t="shared" si="42"/>
        <v>243.40589247311837</v>
      </c>
      <c r="AF305" s="25">
        <f t="shared" si="43"/>
        <v>328.03122727272734</v>
      </c>
      <c r="AG305" s="25">
        <f t="shared" si="44"/>
        <v>212.52131707317079</v>
      </c>
      <c r="AH305" s="25">
        <f t="shared" si="45"/>
        <v>294.84940909090921</v>
      </c>
      <c r="AI305" s="25">
        <f t="shared" si="46"/>
        <v>657.70696774193561</v>
      </c>
    </row>
    <row r="306" spans="1:35" ht="15.75" customHeight="1">
      <c r="A306" s="12" t="s">
        <v>355</v>
      </c>
      <c r="B306" s="12" t="s">
        <v>356</v>
      </c>
      <c r="C306" s="12" t="s">
        <v>283</v>
      </c>
      <c r="D306" s="12" t="s">
        <v>33</v>
      </c>
      <c r="E306" s="12" t="s">
        <v>27</v>
      </c>
      <c r="F306" s="13">
        <v>69.903999999999982</v>
      </c>
      <c r="G306" s="14">
        <v>3136.218276000001</v>
      </c>
      <c r="H306" s="24" t="str">
        <f t="shared" si="39"/>
        <v>RJSP</v>
      </c>
      <c r="I306" s="24" t="str">
        <f t="shared" si="47"/>
        <v>RJMG</v>
      </c>
      <c r="J306" s="24" t="str">
        <f t="shared" si="47"/>
        <v>RJES</v>
      </c>
      <c r="K306" s="24" t="str">
        <f t="shared" si="47"/>
        <v>RJSC</v>
      </c>
      <c r="L306" s="24" t="str">
        <f t="shared" si="47"/>
        <v>RJRJ</v>
      </c>
      <c r="M306" s="24" t="str">
        <f t="shared" si="47"/>
        <v>RJPR</v>
      </c>
      <c r="N306" s="24" t="str">
        <f t="shared" si="47"/>
        <v>RJAM</v>
      </c>
      <c r="O306" s="24">
        <f>VLOOKUP(H306, KM!$A:$E, 5, 0)</f>
        <v>429</v>
      </c>
      <c r="P306" s="24">
        <f>VLOOKUP(I306, KM!$A:$E, 5, 0)</f>
        <v>434</v>
      </c>
      <c r="Q306" s="24">
        <f>VLOOKUP(J306, KM!$A:$E, 5, 0)</f>
        <v>521</v>
      </c>
      <c r="R306" s="24">
        <f>VLOOKUP(K306, KM!$A:$E, 5, 0)</f>
        <v>1144</v>
      </c>
      <c r="S306" s="24">
        <f>VLOOKUP(L306, KM!$A:$E, 5, 0)</f>
        <v>0</v>
      </c>
      <c r="T306" s="24">
        <f>VLOOKUP(M306, KM!$A:$E, 5, 0)</f>
        <v>852</v>
      </c>
      <c r="U306" s="24">
        <f>VLOOKUP(N306, KM!$A:$E, 5, 0)</f>
        <v>4374</v>
      </c>
      <c r="V306" s="24">
        <f>VLOOKUP(H306, IMPOSTO!$A:$D, 4, 0)</f>
        <v>0.12</v>
      </c>
      <c r="W306" s="24">
        <f>VLOOKUP(I306, IMPOSTO!$A:$D, 4, 0)</f>
        <v>0.12</v>
      </c>
      <c r="X306" s="24">
        <f>VLOOKUP(J306, IMPOSTO!$A:$D, 4, 0)</f>
        <v>7.0000000000000007E-2</v>
      </c>
      <c r="Y306" s="24">
        <f>VLOOKUP(K306, IMPOSTO!$A:$D, 4, 0)</f>
        <v>0.12</v>
      </c>
      <c r="Z306" s="24">
        <f>VLOOKUP(L306, IMPOSTO!$A:$D, 4, 0)</f>
        <v>0.18</v>
      </c>
      <c r="AA306" s="24">
        <f>VLOOKUP(M306, IMPOSTO!$A:$D, 4, 0)</f>
        <v>0.12</v>
      </c>
      <c r="AB306" s="24">
        <f>VLOOKUP(N306, IMPOSTO!$A:$D, 4, 0)</f>
        <v>7.0000000000000007E-2</v>
      </c>
      <c r="AC306" s="25">
        <f t="shared" si="40"/>
        <v>3612.6344045454557</v>
      </c>
      <c r="AD306" s="25">
        <f t="shared" si="41"/>
        <v>3613.2025863636377</v>
      </c>
      <c r="AE306" s="25">
        <f t="shared" si="42"/>
        <v>3428.2992215053773</v>
      </c>
      <c r="AF306" s="25">
        <f t="shared" si="43"/>
        <v>3693.8844045454557</v>
      </c>
      <c r="AG306" s="25">
        <f t="shared" si="44"/>
        <v>3824.6564341463422</v>
      </c>
      <c r="AH306" s="25">
        <f t="shared" si="45"/>
        <v>3660.7025863636372</v>
      </c>
      <c r="AI306" s="25">
        <f t="shared" si="46"/>
        <v>3842.6002967741952</v>
      </c>
    </row>
    <row r="307" spans="1:35" ht="15.75" customHeight="1">
      <c r="A307" s="12" t="s">
        <v>357</v>
      </c>
      <c r="B307" s="12" t="s">
        <v>358</v>
      </c>
      <c r="C307" s="12" t="s">
        <v>278</v>
      </c>
      <c r="D307" s="12" t="s">
        <v>33</v>
      </c>
      <c r="E307" s="12" t="s">
        <v>27</v>
      </c>
      <c r="F307" s="13">
        <v>3.8210000000000024</v>
      </c>
      <c r="G307" s="14">
        <v>207.11201199999999</v>
      </c>
      <c r="H307" s="24" t="str">
        <f t="shared" si="39"/>
        <v>RJSP</v>
      </c>
      <c r="I307" s="24" t="str">
        <f t="shared" si="47"/>
        <v>RJMG</v>
      </c>
      <c r="J307" s="24" t="str">
        <f t="shared" si="47"/>
        <v>RJES</v>
      </c>
      <c r="K307" s="24" t="str">
        <f t="shared" si="47"/>
        <v>RJSC</v>
      </c>
      <c r="L307" s="24" t="str">
        <f t="shared" si="47"/>
        <v>RJRJ</v>
      </c>
      <c r="M307" s="24" t="str">
        <f t="shared" si="47"/>
        <v>RJPR</v>
      </c>
      <c r="N307" s="24" t="str">
        <f t="shared" si="47"/>
        <v>RJAM</v>
      </c>
      <c r="O307" s="24">
        <f>VLOOKUP(H307, KM!$A:$E, 5, 0)</f>
        <v>429</v>
      </c>
      <c r="P307" s="24">
        <f>VLOOKUP(I307, KM!$A:$E, 5, 0)</f>
        <v>434</v>
      </c>
      <c r="Q307" s="24">
        <f>VLOOKUP(J307, KM!$A:$E, 5, 0)</f>
        <v>521</v>
      </c>
      <c r="R307" s="24">
        <f>VLOOKUP(K307, KM!$A:$E, 5, 0)</f>
        <v>1144</v>
      </c>
      <c r="S307" s="24">
        <f>VLOOKUP(L307, KM!$A:$E, 5, 0)</f>
        <v>0</v>
      </c>
      <c r="T307" s="24">
        <f>VLOOKUP(M307, KM!$A:$E, 5, 0)</f>
        <v>852</v>
      </c>
      <c r="U307" s="24">
        <f>VLOOKUP(N307, KM!$A:$E, 5, 0)</f>
        <v>4374</v>
      </c>
      <c r="V307" s="24">
        <f>VLOOKUP(H307, IMPOSTO!$A:$D, 4, 0)</f>
        <v>0.12</v>
      </c>
      <c r="W307" s="24">
        <f>VLOOKUP(I307, IMPOSTO!$A:$D, 4, 0)</f>
        <v>0.12</v>
      </c>
      <c r="X307" s="24">
        <f>VLOOKUP(J307, IMPOSTO!$A:$D, 4, 0)</f>
        <v>7.0000000000000007E-2</v>
      </c>
      <c r="Y307" s="24">
        <f>VLOOKUP(K307, IMPOSTO!$A:$D, 4, 0)</f>
        <v>0.12</v>
      </c>
      <c r="Z307" s="24">
        <f>VLOOKUP(L307, IMPOSTO!$A:$D, 4, 0)</f>
        <v>0.18</v>
      </c>
      <c r="AA307" s="24">
        <f>VLOOKUP(M307, IMPOSTO!$A:$D, 4, 0)</f>
        <v>0.12</v>
      </c>
      <c r="AB307" s="24">
        <f>VLOOKUP(N307, IMPOSTO!$A:$D, 4, 0)</f>
        <v>7.0000000000000007E-2</v>
      </c>
      <c r="AC307" s="25">
        <f t="shared" si="40"/>
        <v>284.10455909090911</v>
      </c>
      <c r="AD307" s="25">
        <f t="shared" si="41"/>
        <v>284.67274090909092</v>
      </c>
      <c r="AE307" s="25">
        <f t="shared" si="42"/>
        <v>278.72259354838712</v>
      </c>
      <c r="AF307" s="25">
        <f t="shared" si="43"/>
        <v>365.35455909090911</v>
      </c>
      <c r="AG307" s="25">
        <f t="shared" si="44"/>
        <v>252.57562439024389</v>
      </c>
      <c r="AH307" s="25">
        <f t="shared" si="45"/>
        <v>332.17274090909086</v>
      </c>
      <c r="AI307" s="25">
        <f t="shared" si="46"/>
        <v>693.02366881720434</v>
      </c>
    </row>
    <row r="308" spans="1:35" ht="15.75" customHeight="1">
      <c r="A308" s="12" t="s">
        <v>357</v>
      </c>
      <c r="B308" s="12" t="s">
        <v>358</v>
      </c>
      <c r="C308" s="12" t="s">
        <v>278</v>
      </c>
      <c r="D308" s="12" t="s">
        <v>33</v>
      </c>
      <c r="E308" s="12" t="s">
        <v>27</v>
      </c>
      <c r="F308" s="13">
        <v>38187.073999999986</v>
      </c>
      <c r="G308" s="14">
        <v>2069877.447928</v>
      </c>
      <c r="H308" s="24" t="str">
        <f t="shared" si="39"/>
        <v>RJSP</v>
      </c>
      <c r="I308" s="24" t="str">
        <f t="shared" si="47"/>
        <v>RJMG</v>
      </c>
      <c r="J308" s="24" t="str">
        <f t="shared" si="47"/>
        <v>RJES</v>
      </c>
      <c r="K308" s="24" t="str">
        <f t="shared" si="47"/>
        <v>RJSC</v>
      </c>
      <c r="L308" s="24" t="str">
        <f t="shared" si="47"/>
        <v>RJRJ</v>
      </c>
      <c r="M308" s="24" t="str">
        <f t="shared" si="47"/>
        <v>RJPR</v>
      </c>
      <c r="N308" s="24" t="str">
        <f t="shared" si="47"/>
        <v>RJAM</v>
      </c>
      <c r="O308" s="24">
        <f>VLOOKUP(H308, KM!$A:$E, 5, 0)</f>
        <v>429</v>
      </c>
      <c r="P308" s="24">
        <f>VLOOKUP(I308, KM!$A:$E, 5, 0)</f>
        <v>434</v>
      </c>
      <c r="Q308" s="24">
        <f>VLOOKUP(J308, KM!$A:$E, 5, 0)</f>
        <v>521</v>
      </c>
      <c r="R308" s="24">
        <f>VLOOKUP(K308, KM!$A:$E, 5, 0)</f>
        <v>1144</v>
      </c>
      <c r="S308" s="24">
        <f>VLOOKUP(L308, KM!$A:$E, 5, 0)</f>
        <v>0</v>
      </c>
      <c r="T308" s="24">
        <f>VLOOKUP(M308, KM!$A:$E, 5, 0)</f>
        <v>852</v>
      </c>
      <c r="U308" s="24">
        <f>VLOOKUP(N308, KM!$A:$E, 5, 0)</f>
        <v>4374</v>
      </c>
      <c r="V308" s="24">
        <f>VLOOKUP(H308, IMPOSTO!$A:$D, 4, 0)</f>
        <v>0.12</v>
      </c>
      <c r="W308" s="24">
        <f>VLOOKUP(I308, IMPOSTO!$A:$D, 4, 0)</f>
        <v>0.12</v>
      </c>
      <c r="X308" s="24">
        <f>VLOOKUP(J308, IMPOSTO!$A:$D, 4, 0)</f>
        <v>7.0000000000000007E-2</v>
      </c>
      <c r="Y308" s="24">
        <f>VLOOKUP(K308, IMPOSTO!$A:$D, 4, 0)</f>
        <v>0.12</v>
      </c>
      <c r="Z308" s="24">
        <f>VLOOKUP(L308, IMPOSTO!$A:$D, 4, 0)</f>
        <v>0.18</v>
      </c>
      <c r="AA308" s="24">
        <f>VLOOKUP(M308, IMPOSTO!$A:$D, 4, 0)</f>
        <v>0.12</v>
      </c>
      <c r="AB308" s="24">
        <f>VLOOKUP(N308, IMPOSTO!$A:$D, 4, 0)</f>
        <v>7.0000000000000007E-2</v>
      </c>
      <c r="AC308" s="25">
        <f t="shared" si="40"/>
        <v>2352182.2135545453</v>
      </c>
      <c r="AD308" s="25">
        <f t="shared" si="41"/>
        <v>2352182.7817363637</v>
      </c>
      <c r="AE308" s="25">
        <f t="shared" si="42"/>
        <v>2225730.6966967746</v>
      </c>
      <c r="AF308" s="25">
        <f t="shared" si="43"/>
        <v>2352263.4635545453</v>
      </c>
      <c r="AG308" s="25">
        <f t="shared" si="44"/>
        <v>2524240.7901560972</v>
      </c>
      <c r="AH308" s="25">
        <f t="shared" si="45"/>
        <v>2352230.2817363637</v>
      </c>
      <c r="AI308" s="25">
        <f t="shared" si="46"/>
        <v>2226144.9977720431</v>
      </c>
    </row>
    <row r="309" spans="1:35" ht="15.75" customHeight="1">
      <c r="A309" s="12" t="s">
        <v>359</v>
      </c>
      <c r="B309" s="12" t="s">
        <v>360</v>
      </c>
      <c r="C309" s="12" t="s">
        <v>283</v>
      </c>
      <c r="D309" s="12" t="s">
        <v>33</v>
      </c>
      <c r="E309" s="12" t="s">
        <v>27</v>
      </c>
      <c r="F309" s="13">
        <v>12456.531000000001</v>
      </c>
      <c r="G309" s="14">
        <v>302205.96152999997</v>
      </c>
      <c r="H309" s="24" t="str">
        <f t="shared" si="39"/>
        <v>RJSP</v>
      </c>
      <c r="I309" s="24" t="str">
        <f t="shared" si="47"/>
        <v>RJMG</v>
      </c>
      <c r="J309" s="24" t="str">
        <f t="shared" si="47"/>
        <v>RJES</v>
      </c>
      <c r="K309" s="24" t="str">
        <f t="shared" si="47"/>
        <v>RJSC</v>
      </c>
      <c r="L309" s="24" t="str">
        <f t="shared" si="47"/>
        <v>RJRJ</v>
      </c>
      <c r="M309" s="24" t="str">
        <f t="shared" si="47"/>
        <v>RJPR</v>
      </c>
      <c r="N309" s="24" t="str">
        <f t="shared" si="47"/>
        <v>RJAM</v>
      </c>
      <c r="O309" s="24">
        <f>VLOOKUP(H309, KM!$A:$E, 5, 0)</f>
        <v>429</v>
      </c>
      <c r="P309" s="24">
        <f>VLOOKUP(I309, KM!$A:$E, 5, 0)</f>
        <v>434</v>
      </c>
      <c r="Q309" s="24">
        <f>VLOOKUP(J309, KM!$A:$E, 5, 0)</f>
        <v>521</v>
      </c>
      <c r="R309" s="24">
        <f>VLOOKUP(K309, KM!$A:$E, 5, 0)</f>
        <v>1144</v>
      </c>
      <c r="S309" s="24">
        <f>VLOOKUP(L309, KM!$A:$E, 5, 0)</f>
        <v>0</v>
      </c>
      <c r="T309" s="24">
        <f>VLOOKUP(M309, KM!$A:$E, 5, 0)</f>
        <v>852</v>
      </c>
      <c r="U309" s="24">
        <f>VLOOKUP(N309, KM!$A:$E, 5, 0)</f>
        <v>4374</v>
      </c>
      <c r="V309" s="24">
        <f>VLOOKUP(H309, IMPOSTO!$A:$D, 4, 0)</f>
        <v>0.12</v>
      </c>
      <c r="W309" s="24">
        <f>VLOOKUP(I309, IMPOSTO!$A:$D, 4, 0)</f>
        <v>0.12</v>
      </c>
      <c r="X309" s="24">
        <f>VLOOKUP(J309, IMPOSTO!$A:$D, 4, 0)</f>
        <v>7.0000000000000007E-2</v>
      </c>
      <c r="Y309" s="24">
        <f>VLOOKUP(K309, IMPOSTO!$A:$D, 4, 0)</f>
        <v>0.12</v>
      </c>
      <c r="Z309" s="24">
        <f>VLOOKUP(L309, IMPOSTO!$A:$D, 4, 0)</f>
        <v>0.18</v>
      </c>
      <c r="AA309" s="24">
        <f>VLOOKUP(M309, IMPOSTO!$A:$D, 4, 0)</f>
        <v>0.12</v>
      </c>
      <c r="AB309" s="24">
        <f>VLOOKUP(N309, IMPOSTO!$A:$D, 4, 0)</f>
        <v>7.0000000000000007E-2</v>
      </c>
      <c r="AC309" s="25">
        <f t="shared" si="40"/>
        <v>343464.61537499999</v>
      </c>
      <c r="AD309" s="25">
        <f t="shared" si="41"/>
        <v>343465.18355681817</v>
      </c>
      <c r="AE309" s="25">
        <f t="shared" si="42"/>
        <v>325008.66831182793</v>
      </c>
      <c r="AF309" s="25">
        <f t="shared" si="43"/>
        <v>343545.86537499999</v>
      </c>
      <c r="AG309" s="25">
        <f t="shared" si="44"/>
        <v>368543.85552439018</v>
      </c>
      <c r="AH309" s="25">
        <f t="shared" si="45"/>
        <v>343512.68355681817</v>
      </c>
      <c r="AI309" s="25">
        <f t="shared" si="46"/>
        <v>325422.96938709682</v>
      </c>
    </row>
    <row r="310" spans="1:35" ht="15.75" customHeight="1">
      <c r="A310" s="12" t="s">
        <v>361</v>
      </c>
      <c r="B310" s="12" t="s">
        <v>362</v>
      </c>
      <c r="C310" s="12" t="s">
        <v>262</v>
      </c>
      <c r="D310" s="12" t="s">
        <v>33</v>
      </c>
      <c r="E310" s="12" t="s">
        <v>27</v>
      </c>
      <c r="F310" s="13">
        <v>41721.774300000005</v>
      </c>
      <c r="G310" s="14">
        <v>1179249.7869120007</v>
      </c>
      <c r="H310" s="24" t="str">
        <f t="shared" si="39"/>
        <v>RJSP</v>
      </c>
      <c r="I310" s="24" t="str">
        <f t="shared" si="47"/>
        <v>RJMG</v>
      </c>
      <c r="J310" s="24" t="str">
        <f t="shared" si="47"/>
        <v>RJES</v>
      </c>
      <c r="K310" s="24" t="str">
        <f t="shared" si="47"/>
        <v>RJSC</v>
      </c>
      <c r="L310" s="24" t="str">
        <f t="shared" si="47"/>
        <v>RJRJ</v>
      </c>
      <c r="M310" s="24" t="str">
        <f t="shared" si="47"/>
        <v>RJPR</v>
      </c>
      <c r="N310" s="24" t="str">
        <f t="shared" si="47"/>
        <v>RJAM</v>
      </c>
      <c r="O310" s="24">
        <f>VLOOKUP(H310, KM!$A:$E, 5, 0)</f>
        <v>429</v>
      </c>
      <c r="P310" s="24">
        <f>VLOOKUP(I310, KM!$A:$E, 5, 0)</f>
        <v>434</v>
      </c>
      <c r="Q310" s="24">
        <f>VLOOKUP(J310, KM!$A:$E, 5, 0)</f>
        <v>521</v>
      </c>
      <c r="R310" s="24">
        <f>VLOOKUP(K310, KM!$A:$E, 5, 0)</f>
        <v>1144</v>
      </c>
      <c r="S310" s="24">
        <f>VLOOKUP(L310, KM!$A:$E, 5, 0)</f>
        <v>0</v>
      </c>
      <c r="T310" s="24">
        <f>VLOOKUP(M310, KM!$A:$E, 5, 0)</f>
        <v>852</v>
      </c>
      <c r="U310" s="24">
        <f>VLOOKUP(N310, KM!$A:$E, 5, 0)</f>
        <v>4374</v>
      </c>
      <c r="V310" s="24">
        <f>VLOOKUP(H310, IMPOSTO!$A:$D, 4, 0)</f>
        <v>0.12</v>
      </c>
      <c r="W310" s="24">
        <f>VLOOKUP(I310, IMPOSTO!$A:$D, 4, 0)</f>
        <v>0.12</v>
      </c>
      <c r="X310" s="24">
        <f>VLOOKUP(J310, IMPOSTO!$A:$D, 4, 0)</f>
        <v>7.0000000000000007E-2</v>
      </c>
      <c r="Y310" s="24">
        <f>VLOOKUP(K310, IMPOSTO!$A:$D, 4, 0)</f>
        <v>0.12</v>
      </c>
      <c r="Z310" s="24">
        <f>VLOOKUP(L310, IMPOSTO!$A:$D, 4, 0)</f>
        <v>0.18</v>
      </c>
      <c r="AA310" s="24">
        <f>VLOOKUP(M310, IMPOSTO!$A:$D, 4, 0)</f>
        <v>0.12</v>
      </c>
      <c r="AB310" s="24">
        <f>VLOOKUP(N310, IMPOSTO!$A:$D, 4, 0)</f>
        <v>7.0000000000000007E-2</v>
      </c>
      <c r="AC310" s="25">
        <f t="shared" si="40"/>
        <v>1340105.3260363643</v>
      </c>
      <c r="AD310" s="25">
        <f t="shared" si="41"/>
        <v>1340105.8942181827</v>
      </c>
      <c r="AE310" s="25">
        <f t="shared" si="42"/>
        <v>1268066.5450666677</v>
      </c>
      <c r="AF310" s="25">
        <f t="shared" si="43"/>
        <v>1340186.5760363643</v>
      </c>
      <c r="AG310" s="25">
        <f t="shared" si="44"/>
        <v>1438109.4962341471</v>
      </c>
      <c r="AH310" s="25">
        <f t="shared" si="45"/>
        <v>1340153.3942181827</v>
      </c>
      <c r="AI310" s="25">
        <f t="shared" si="46"/>
        <v>1268480.8461419363</v>
      </c>
    </row>
    <row r="311" spans="1:35" ht="15.75" customHeight="1">
      <c r="A311" s="12" t="s">
        <v>363</v>
      </c>
      <c r="B311" s="12" t="s">
        <v>364</v>
      </c>
      <c r="C311" s="12" t="s">
        <v>283</v>
      </c>
      <c r="D311" s="12" t="s">
        <v>33</v>
      </c>
      <c r="E311" s="12" t="s">
        <v>27</v>
      </c>
      <c r="F311" s="13">
        <v>99</v>
      </c>
      <c r="G311" s="14">
        <v>2683.83</v>
      </c>
      <c r="H311" s="24" t="str">
        <f t="shared" si="39"/>
        <v>RJSP</v>
      </c>
      <c r="I311" s="24" t="str">
        <f t="shared" si="47"/>
        <v>RJMG</v>
      </c>
      <c r="J311" s="24" t="str">
        <f t="shared" si="47"/>
        <v>RJES</v>
      </c>
      <c r="K311" s="24" t="str">
        <f t="shared" si="47"/>
        <v>RJSC</v>
      </c>
      <c r="L311" s="24" t="str">
        <f t="shared" si="47"/>
        <v>RJRJ</v>
      </c>
      <c r="M311" s="24" t="str">
        <f t="shared" si="47"/>
        <v>RJPR</v>
      </c>
      <c r="N311" s="24" t="str">
        <f t="shared" si="47"/>
        <v>RJAM</v>
      </c>
      <c r="O311" s="24">
        <f>VLOOKUP(H311, KM!$A:$E, 5, 0)</f>
        <v>429</v>
      </c>
      <c r="P311" s="24">
        <f>VLOOKUP(I311, KM!$A:$E, 5, 0)</f>
        <v>434</v>
      </c>
      <c r="Q311" s="24">
        <f>VLOOKUP(J311, KM!$A:$E, 5, 0)</f>
        <v>521</v>
      </c>
      <c r="R311" s="24">
        <f>VLOOKUP(K311, KM!$A:$E, 5, 0)</f>
        <v>1144</v>
      </c>
      <c r="S311" s="24">
        <f>VLOOKUP(L311, KM!$A:$E, 5, 0)</f>
        <v>0</v>
      </c>
      <c r="T311" s="24">
        <f>VLOOKUP(M311, KM!$A:$E, 5, 0)</f>
        <v>852</v>
      </c>
      <c r="U311" s="24">
        <f>VLOOKUP(N311, KM!$A:$E, 5, 0)</f>
        <v>4374</v>
      </c>
      <c r="V311" s="24">
        <f>VLOOKUP(H311, IMPOSTO!$A:$D, 4, 0)</f>
        <v>0.12</v>
      </c>
      <c r="W311" s="24">
        <f>VLOOKUP(I311, IMPOSTO!$A:$D, 4, 0)</f>
        <v>0.12</v>
      </c>
      <c r="X311" s="24">
        <f>VLOOKUP(J311, IMPOSTO!$A:$D, 4, 0)</f>
        <v>7.0000000000000007E-2</v>
      </c>
      <c r="Y311" s="24">
        <f>VLOOKUP(K311, IMPOSTO!$A:$D, 4, 0)</f>
        <v>0.12</v>
      </c>
      <c r="Z311" s="24">
        <f>VLOOKUP(L311, IMPOSTO!$A:$D, 4, 0)</f>
        <v>0.18</v>
      </c>
      <c r="AA311" s="24">
        <f>VLOOKUP(M311, IMPOSTO!$A:$D, 4, 0)</f>
        <v>0.12</v>
      </c>
      <c r="AB311" s="24">
        <f>VLOOKUP(N311, IMPOSTO!$A:$D, 4, 0)</f>
        <v>7.0000000000000007E-2</v>
      </c>
      <c r="AC311" s="25">
        <f t="shared" si="40"/>
        <v>3098.556818181818</v>
      </c>
      <c r="AD311" s="25">
        <f t="shared" si="41"/>
        <v>3099.125</v>
      </c>
      <c r="AE311" s="25">
        <f t="shared" si="42"/>
        <v>2941.8602150537636</v>
      </c>
      <c r="AF311" s="25">
        <f t="shared" si="43"/>
        <v>3179.806818181818</v>
      </c>
      <c r="AG311" s="25">
        <f t="shared" si="44"/>
        <v>3272.9634146341459</v>
      </c>
      <c r="AH311" s="25">
        <f t="shared" si="45"/>
        <v>3146.6249999999995</v>
      </c>
      <c r="AI311" s="25">
        <f t="shared" si="46"/>
        <v>3356.161290322581</v>
      </c>
    </row>
    <row r="312" spans="1:35" ht="15.75" customHeight="1">
      <c r="A312" s="12" t="s">
        <v>365</v>
      </c>
      <c r="B312" s="12" t="s">
        <v>366</v>
      </c>
      <c r="C312" s="12" t="s">
        <v>262</v>
      </c>
      <c r="D312" s="12" t="s">
        <v>33</v>
      </c>
      <c r="E312" s="12" t="s">
        <v>27</v>
      </c>
      <c r="F312" s="13">
        <v>304</v>
      </c>
      <c r="G312" s="14">
        <v>20758.16</v>
      </c>
      <c r="H312" s="24" t="str">
        <f t="shared" si="39"/>
        <v>RJSP</v>
      </c>
      <c r="I312" s="24" t="str">
        <f t="shared" si="47"/>
        <v>RJMG</v>
      </c>
      <c r="J312" s="24" t="str">
        <f t="shared" si="47"/>
        <v>RJES</v>
      </c>
      <c r="K312" s="24" t="str">
        <f t="shared" si="47"/>
        <v>RJSC</v>
      </c>
      <c r="L312" s="24" t="str">
        <f t="shared" si="47"/>
        <v>RJRJ</v>
      </c>
      <c r="M312" s="24" t="str">
        <f t="shared" si="47"/>
        <v>RJPR</v>
      </c>
      <c r="N312" s="24" t="str">
        <f t="shared" si="47"/>
        <v>RJAM</v>
      </c>
      <c r="O312" s="24">
        <f>VLOOKUP(H312, KM!$A:$E, 5, 0)</f>
        <v>429</v>
      </c>
      <c r="P312" s="24">
        <f>VLOOKUP(I312, KM!$A:$E, 5, 0)</f>
        <v>434</v>
      </c>
      <c r="Q312" s="24">
        <f>VLOOKUP(J312, KM!$A:$E, 5, 0)</f>
        <v>521</v>
      </c>
      <c r="R312" s="24">
        <f>VLOOKUP(K312, KM!$A:$E, 5, 0)</f>
        <v>1144</v>
      </c>
      <c r="S312" s="24">
        <f>VLOOKUP(L312, KM!$A:$E, 5, 0)</f>
        <v>0</v>
      </c>
      <c r="T312" s="24">
        <f>VLOOKUP(M312, KM!$A:$E, 5, 0)</f>
        <v>852</v>
      </c>
      <c r="U312" s="24">
        <f>VLOOKUP(N312, KM!$A:$E, 5, 0)</f>
        <v>4374</v>
      </c>
      <c r="V312" s="24">
        <f>VLOOKUP(H312, IMPOSTO!$A:$D, 4, 0)</f>
        <v>0.12</v>
      </c>
      <c r="W312" s="24">
        <f>VLOOKUP(I312, IMPOSTO!$A:$D, 4, 0)</f>
        <v>0.12</v>
      </c>
      <c r="X312" s="24">
        <f>VLOOKUP(J312, IMPOSTO!$A:$D, 4, 0)</f>
        <v>7.0000000000000007E-2</v>
      </c>
      <c r="Y312" s="24">
        <f>VLOOKUP(K312, IMPOSTO!$A:$D, 4, 0)</f>
        <v>0.12</v>
      </c>
      <c r="Z312" s="24">
        <f>VLOOKUP(L312, IMPOSTO!$A:$D, 4, 0)</f>
        <v>0.18</v>
      </c>
      <c r="AA312" s="24">
        <f>VLOOKUP(M312, IMPOSTO!$A:$D, 4, 0)</f>
        <v>0.12</v>
      </c>
      <c r="AB312" s="24">
        <f>VLOOKUP(N312, IMPOSTO!$A:$D, 4, 0)</f>
        <v>7.0000000000000007E-2</v>
      </c>
      <c r="AC312" s="25">
        <f t="shared" si="40"/>
        <v>23637.568181818184</v>
      </c>
      <c r="AD312" s="25">
        <f t="shared" si="41"/>
        <v>23638.136363636364</v>
      </c>
      <c r="AE312" s="25">
        <f t="shared" si="42"/>
        <v>22376.62365591398</v>
      </c>
      <c r="AF312" s="25">
        <f t="shared" si="43"/>
        <v>23718.818181818184</v>
      </c>
      <c r="AG312" s="25">
        <f t="shared" si="44"/>
        <v>25314.82926829268</v>
      </c>
      <c r="AH312" s="25">
        <f t="shared" si="45"/>
        <v>23685.636363636364</v>
      </c>
      <c r="AI312" s="25">
        <f t="shared" si="46"/>
        <v>22790.9247311828</v>
      </c>
    </row>
    <row r="313" spans="1:35" ht="15.75" customHeight="1">
      <c r="A313" s="12" t="s">
        <v>367</v>
      </c>
      <c r="B313" s="12" t="s">
        <v>368</v>
      </c>
      <c r="C313" s="12" t="s">
        <v>262</v>
      </c>
      <c r="D313" s="12" t="s">
        <v>33</v>
      </c>
      <c r="E313" s="12" t="s">
        <v>27</v>
      </c>
      <c r="F313" s="13">
        <v>254</v>
      </c>
      <c r="G313" s="14">
        <v>2402.2799999999997</v>
      </c>
      <c r="H313" s="24" t="str">
        <f t="shared" si="39"/>
        <v>RJSP</v>
      </c>
      <c r="I313" s="24" t="str">
        <f t="shared" si="47"/>
        <v>RJMG</v>
      </c>
      <c r="J313" s="24" t="str">
        <f t="shared" si="47"/>
        <v>RJES</v>
      </c>
      <c r="K313" s="24" t="str">
        <f t="shared" si="47"/>
        <v>RJSC</v>
      </c>
      <c r="L313" s="24" t="str">
        <f t="shared" si="47"/>
        <v>RJRJ</v>
      </c>
      <c r="M313" s="24" t="str">
        <f t="shared" si="47"/>
        <v>RJPR</v>
      </c>
      <c r="N313" s="24" t="str">
        <f t="shared" si="47"/>
        <v>RJAM</v>
      </c>
      <c r="O313" s="24">
        <f>VLOOKUP(H313, KM!$A:$E, 5, 0)</f>
        <v>429</v>
      </c>
      <c r="P313" s="24">
        <f>VLOOKUP(I313, KM!$A:$E, 5, 0)</f>
        <v>434</v>
      </c>
      <c r="Q313" s="24">
        <f>VLOOKUP(J313, KM!$A:$E, 5, 0)</f>
        <v>521</v>
      </c>
      <c r="R313" s="24">
        <f>VLOOKUP(K313, KM!$A:$E, 5, 0)</f>
        <v>1144</v>
      </c>
      <c r="S313" s="24">
        <f>VLOOKUP(L313, KM!$A:$E, 5, 0)</f>
        <v>0</v>
      </c>
      <c r="T313" s="24">
        <f>VLOOKUP(M313, KM!$A:$E, 5, 0)</f>
        <v>852</v>
      </c>
      <c r="U313" s="24">
        <f>VLOOKUP(N313, KM!$A:$E, 5, 0)</f>
        <v>4374</v>
      </c>
      <c r="V313" s="24">
        <f>VLOOKUP(H313, IMPOSTO!$A:$D, 4, 0)</f>
        <v>0.12</v>
      </c>
      <c r="W313" s="24">
        <f>VLOOKUP(I313, IMPOSTO!$A:$D, 4, 0)</f>
        <v>0.12</v>
      </c>
      <c r="X313" s="24">
        <f>VLOOKUP(J313, IMPOSTO!$A:$D, 4, 0)</f>
        <v>7.0000000000000007E-2</v>
      </c>
      <c r="Y313" s="24">
        <f>VLOOKUP(K313, IMPOSTO!$A:$D, 4, 0)</f>
        <v>0.12</v>
      </c>
      <c r="Z313" s="24">
        <f>VLOOKUP(L313, IMPOSTO!$A:$D, 4, 0)</f>
        <v>0.18</v>
      </c>
      <c r="AA313" s="24">
        <f>VLOOKUP(M313, IMPOSTO!$A:$D, 4, 0)</f>
        <v>0.12</v>
      </c>
      <c r="AB313" s="24">
        <f>VLOOKUP(N313, IMPOSTO!$A:$D, 4, 0)</f>
        <v>7.0000000000000007E-2</v>
      </c>
      <c r="AC313" s="25">
        <f t="shared" si="40"/>
        <v>2778.613636363636</v>
      </c>
      <c r="AD313" s="25">
        <f t="shared" si="41"/>
        <v>2779.181818181818</v>
      </c>
      <c r="AE313" s="25">
        <f t="shared" si="42"/>
        <v>2639.1182795698924</v>
      </c>
      <c r="AF313" s="25">
        <f t="shared" si="43"/>
        <v>2859.863636363636</v>
      </c>
      <c r="AG313" s="25">
        <f t="shared" si="44"/>
        <v>2929.6097560975604</v>
      </c>
      <c r="AH313" s="25">
        <f t="shared" si="45"/>
        <v>2826.6818181818176</v>
      </c>
      <c r="AI313" s="25">
        <f t="shared" si="46"/>
        <v>3053.4193548387098</v>
      </c>
    </row>
    <row r="314" spans="1:35" ht="15.75" customHeight="1">
      <c r="A314" s="12" t="s">
        <v>369</v>
      </c>
      <c r="B314" s="12" t="s">
        <v>370</v>
      </c>
      <c r="C314" s="12" t="s">
        <v>299</v>
      </c>
      <c r="D314" s="12" t="s">
        <v>33</v>
      </c>
      <c r="E314" s="12" t="s">
        <v>27</v>
      </c>
      <c r="F314" s="13">
        <v>7454</v>
      </c>
      <c r="G314" s="14">
        <v>498064.38</v>
      </c>
      <c r="H314" s="24" t="str">
        <f t="shared" si="39"/>
        <v>RJSP</v>
      </c>
      <c r="I314" s="24" t="str">
        <f t="shared" si="47"/>
        <v>RJMG</v>
      </c>
      <c r="J314" s="24" t="str">
        <f t="shared" si="47"/>
        <v>RJES</v>
      </c>
      <c r="K314" s="24" t="str">
        <f t="shared" si="47"/>
        <v>RJSC</v>
      </c>
      <c r="L314" s="24" t="str">
        <f t="shared" si="47"/>
        <v>RJRJ</v>
      </c>
      <c r="M314" s="24" t="str">
        <f t="shared" si="47"/>
        <v>RJPR</v>
      </c>
      <c r="N314" s="24" t="str">
        <f t="shared" si="47"/>
        <v>RJAM</v>
      </c>
      <c r="O314" s="24">
        <f>VLOOKUP(H314, KM!$A:$E, 5, 0)</f>
        <v>429</v>
      </c>
      <c r="P314" s="24">
        <f>VLOOKUP(I314, KM!$A:$E, 5, 0)</f>
        <v>434</v>
      </c>
      <c r="Q314" s="24">
        <f>VLOOKUP(J314, KM!$A:$E, 5, 0)</f>
        <v>521</v>
      </c>
      <c r="R314" s="24">
        <f>VLOOKUP(K314, KM!$A:$E, 5, 0)</f>
        <v>1144</v>
      </c>
      <c r="S314" s="24">
        <f>VLOOKUP(L314, KM!$A:$E, 5, 0)</f>
        <v>0</v>
      </c>
      <c r="T314" s="24">
        <f>VLOOKUP(M314, KM!$A:$E, 5, 0)</f>
        <v>852</v>
      </c>
      <c r="U314" s="24">
        <f>VLOOKUP(N314, KM!$A:$E, 5, 0)</f>
        <v>4374</v>
      </c>
      <c r="V314" s="24">
        <f>VLOOKUP(H314, IMPOSTO!$A:$D, 4, 0)</f>
        <v>0.12</v>
      </c>
      <c r="W314" s="24">
        <f>VLOOKUP(I314, IMPOSTO!$A:$D, 4, 0)</f>
        <v>0.12</v>
      </c>
      <c r="X314" s="24">
        <f>VLOOKUP(J314, IMPOSTO!$A:$D, 4, 0)</f>
        <v>7.0000000000000007E-2</v>
      </c>
      <c r="Y314" s="24">
        <f>VLOOKUP(K314, IMPOSTO!$A:$D, 4, 0)</f>
        <v>0.12</v>
      </c>
      <c r="Z314" s="24">
        <f>VLOOKUP(L314, IMPOSTO!$A:$D, 4, 0)</f>
        <v>0.18</v>
      </c>
      <c r="AA314" s="24">
        <f>VLOOKUP(M314, IMPOSTO!$A:$D, 4, 0)</f>
        <v>0.12</v>
      </c>
      <c r="AB314" s="24">
        <f>VLOOKUP(N314, IMPOSTO!$A:$D, 4, 0)</f>
        <v>7.0000000000000007E-2</v>
      </c>
      <c r="AC314" s="25">
        <f t="shared" si="40"/>
        <v>566031</v>
      </c>
      <c r="AD314" s="25">
        <f t="shared" si="41"/>
        <v>566031.56818181823</v>
      </c>
      <c r="AE314" s="25">
        <f t="shared" si="42"/>
        <v>535609.1182795699</v>
      </c>
      <c r="AF314" s="25">
        <f t="shared" si="43"/>
        <v>566112.25</v>
      </c>
      <c r="AG314" s="25">
        <f t="shared" si="44"/>
        <v>607395.58536585362</v>
      </c>
      <c r="AH314" s="25">
        <f t="shared" si="45"/>
        <v>566079.06818181823</v>
      </c>
      <c r="AI314" s="25">
        <f t="shared" si="46"/>
        <v>536023.41935483878</v>
      </c>
    </row>
    <row r="315" spans="1:35" ht="15.75" customHeight="1">
      <c r="A315" s="12" t="s">
        <v>371</v>
      </c>
      <c r="B315" s="12" t="s">
        <v>372</v>
      </c>
      <c r="C315" s="12" t="s">
        <v>333</v>
      </c>
      <c r="D315" s="12" t="s">
        <v>33</v>
      </c>
      <c r="E315" s="12" t="s">
        <v>27</v>
      </c>
      <c r="F315" s="13">
        <v>5752.5119999999997</v>
      </c>
      <c r="G315" s="14">
        <v>126629.347566</v>
      </c>
      <c r="H315" s="24" t="str">
        <f t="shared" si="39"/>
        <v>RJSP</v>
      </c>
      <c r="I315" s="24" t="str">
        <f t="shared" si="47"/>
        <v>RJMG</v>
      </c>
      <c r="J315" s="24" t="str">
        <f t="shared" si="47"/>
        <v>RJES</v>
      </c>
      <c r="K315" s="24" t="str">
        <f t="shared" si="47"/>
        <v>RJSC</v>
      </c>
      <c r="L315" s="24" t="str">
        <f t="shared" si="47"/>
        <v>RJRJ</v>
      </c>
      <c r="M315" s="24" t="str">
        <f t="shared" si="47"/>
        <v>RJPR</v>
      </c>
      <c r="N315" s="24" t="str">
        <f t="shared" si="47"/>
        <v>RJAM</v>
      </c>
      <c r="O315" s="24">
        <f>VLOOKUP(H315, KM!$A:$E, 5, 0)</f>
        <v>429</v>
      </c>
      <c r="P315" s="24">
        <f>VLOOKUP(I315, KM!$A:$E, 5, 0)</f>
        <v>434</v>
      </c>
      <c r="Q315" s="24">
        <f>VLOOKUP(J315, KM!$A:$E, 5, 0)</f>
        <v>521</v>
      </c>
      <c r="R315" s="24">
        <f>VLOOKUP(K315, KM!$A:$E, 5, 0)</f>
        <v>1144</v>
      </c>
      <c r="S315" s="24">
        <f>VLOOKUP(L315, KM!$A:$E, 5, 0)</f>
        <v>0</v>
      </c>
      <c r="T315" s="24">
        <f>VLOOKUP(M315, KM!$A:$E, 5, 0)</f>
        <v>852</v>
      </c>
      <c r="U315" s="24">
        <f>VLOOKUP(N315, KM!$A:$E, 5, 0)</f>
        <v>4374</v>
      </c>
      <c r="V315" s="24">
        <f>VLOOKUP(H315, IMPOSTO!$A:$D, 4, 0)</f>
        <v>0.12</v>
      </c>
      <c r="W315" s="24">
        <f>VLOOKUP(I315, IMPOSTO!$A:$D, 4, 0)</f>
        <v>0.12</v>
      </c>
      <c r="X315" s="24">
        <f>VLOOKUP(J315, IMPOSTO!$A:$D, 4, 0)</f>
        <v>7.0000000000000007E-2</v>
      </c>
      <c r="Y315" s="24">
        <f>VLOOKUP(K315, IMPOSTO!$A:$D, 4, 0)</f>
        <v>0.12</v>
      </c>
      <c r="Z315" s="24">
        <f>VLOOKUP(L315, IMPOSTO!$A:$D, 4, 0)</f>
        <v>0.18</v>
      </c>
      <c r="AA315" s="24">
        <f>VLOOKUP(M315, IMPOSTO!$A:$D, 4, 0)</f>
        <v>0.12</v>
      </c>
      <c r="AB315" s="24">
        <f>VLOOKUP(N315, IMPOSTO!$A:$D, 4, 0)</f>
        <v>7.0000000000000007E-2</v>
      </c>
      <c r="AC315" s="25">
        <f t="shared" si="40"/>
        <v>143945.73587045455</v>
      </c>
      <c r="AD315" s="25">
        <f t="shared" si="41"/>
        <v>143946.30405227272</v>
      </c>
      <c r="AE315" s="25">
        <f t="shared" si="42"/>
        <v>136216.61028602152</v>
      </c>
      <c r="AF315" s="25">
        <f t="shared" si="43"/>
        <v>144026.98587045455</v>
      </c>
      <c r="AG315" s="25">
        <f t="shared" si="44"/>
        <v>154426.03361707315</v>
      </c>
      <c r="AH315" s="25">
        <f t="shared" si="45"/>
        <v>143993.80405227272</v>
      </c>
      <c r="AI315" s="25">
        <f t="shared" si="46"/>
        <v>136630.91136129032</v>
      </c>
    </row>
    <row r="316" spans="1:35" ht="15.75" customHeight="1">
      <c r="A316" s="12" t="s">
        <v>373</v>
      </c>
      <c r="B316" s="12" t="s">
        <v>374</v>
      </c>
      <c r="C316" s="12" t="s">
        <v>333</v>
      </c>
      <c r="D316" s="12" t="s">
        <v>33</v>
      </c>
      <c r="E316" s="12" t="s">
        <v>27</v>
      </c>
      <c r="F316" s="13">
        <v>74</v>
      </c>
      <c r="G316" s="14">
        <v>1852.3200000000002</v>
      </c>
      <c r="H316" s="24" t="str">
        <f t="shared" si="39"/>
        <v>RJSP</v>
      </c>
      <c r="I316" s="24" t="str">
        <f t="shared" si="47"/>
        <v>RJMG</v>
      </c>
      <c r="J316" s="24" t="str">
        <f t="shared" si="47"/>
        <v>RJES</v>
      </c>
      <c r="K316" s="24" t="str">
        <f t="shared" si="47"/>
        <v>RJSC</v>
      </c>
      <c r="L316" s="24" t="str">
        <f t="shared" si="47"/>
        <v>RJRJ</v>
      </c>
      <c r="M316" s="24" t="str">
        <f t="shared" si="47"/>
        <v>RJPR</v>
      </c>
      <c r="N316" s="24" t="str">
        <f t="shared" si="47"/>
        <v>RJAM</v>
      </c>
      <c r="O316" s="24">
        <f>VLOOKUP(H316, KM!$A:$E, 5, 0)</f>
        <v>429</v>
      </c>
      <c r="P316" s="24">
        <f>VLOOKUP(I316, KM!$A:$E, 5, 0)</f>
        <v>434</v>
      </c>
      <c r="Q316" s="24">
        <f>VLOOKUP(J316, KM!$A:$E, 5, 0)</f>
        <v>521</v>
      </c>
      <c r="R316" s="24">
        <f>VLOOKUP(K316, KM!$A:$E, 5, 0)</f>
        <v>1144</v>
      </c>
      <c r="S316" s="24">
        <f>VLOOKUP(L316, KM!$A:$E, 5, 0)</f>
        <v>0</v>
      </c>
      <c r="T316" s="24">
        <f>VLOOKUP(M316, KM!$A:$E, 5, 0)</f>
        <v>852</v>
      </c>
      <c r="U316" s="24">
        <f>VLOOKUP(N316, KM!$A:$E, 5, 0)</f>
        <v>4374</v>
      </c>
      <c r="V316" s="24">
        <f>VLOOKUP(H316, IMPOSTO!$A:$D, 4, 0)</f>
        <v>0.12</v>
      </c>
      <c r="W316" s="24">
        <f>VLOOKUP(I316, IMPOSTO!$A:$D, 4, 0)</f>
        <v>0.12</v>
      </c>
      <c r="X316" s="24">
        <f>VLOOKUP(J316, IMPOSTO!$A:$D, 4, 0)</f>
        <v>7.0000000000000007E-2</v>
      </c>
      <c r="Y316" s="24">
        <f>VLOOKUP(K316, IMPOSTO!$A:$D, 4, 0)</f>
        <v>0.12</v>
      </c>
      <c r="Z316" s="24">
        <f>VLOOKUP(L316, IMPOSTO!$A:$D, 4, 0)</f>
        <v>0.18</v>
      </c>
      <c r="AA316" s="24">
        <f>VLOOKUP(M316, IMPOSTO!$A:$D, 4, 0)</f>
        <v>0.12</v>
      </c>
      <c r="AB316" s="24">
        <f>VLOOKUP(N316, IMPOSTO!$A:$D, 4, 0)</f>
        <v>7.0000000000000007E-2</v>
      </c>
      <c r="AC316" s="25">
        <f t="shared" si="40"/>
        <v>2153.659090909091</v>
      </c>
      <c r="AD316" s="25">
        <f t="shared" si="41"/>
        <v>2154.227272727273</v>
      </c>
      <c r="AE316" s="25">
        <f t="shared" si="42"/>
        <v>2047.7634408602153</v>
      </c>
      <c r="AF316" s="25">
        <f t="shared" si="43"/>
        <v>2234.909090909091</v>
      </c>
      <c r="AG316" s="25">
        <f t="shared" si="44"/>
        <v>2258.9268292682927</v>
      </c>
      <c r="AH316" s="25">
        <f t="shared" si="45"/>
        <v>2201.727272727273</v>
      </c>
      <c r="AI316" s="25">
        <f t="shared" si="46"/>
        <v>2462.0645161290327</v>
      </c>
    </row>
    <row r="317" spans="1:35" ht="15.75" customHeight="1">
      <c r="A317" s="12" t="s">
        <v>375</v>
      </c>
      <c r="B317" s="12" t="s">
        <v>376</v>
      </c>
      <c r="C317" s="12" t="s">
        <v>169</v>
      </c>
      <c r="D317" s="12" t="s">
        <v>33</v>
      </c>
      <c r="E317" s="12" t="s">
        <v>27</v>
      </c>
      <c r="F317" s="13">
        <v>7177.9999999999964</v>
      </c>
      <c r="G317" s="14">
        <v>89067.667324020062</v>
      </c>
      <c r="H317" s="24" t="str">
        <f t="shared" si="39"/>
        <v>RJSP</v>
      </c>
      <c r="I317" s="24" t="str">
        <f t="shared" si="47"/>
        <v>RJMG</v>
      </c>
      <c r="J317" s="24" t="str">
        <f t="shared" si="47"/>
        <v>RJES</v>
      </c>
      <c r="K317" s="24" t="str">
        <f t="shared" si="47"/>
        <v>RJSC</v>
      </c>
      <c r="L317" s="24" t="str">
        <f t="shared" si="47"/>
        <v>RJRJ</v>
      </c>
      <c r="M317" s="24" t="str">
        <f t="shared" si="47"/>
        <v>RJPR</v>
      </c>
      <c r="N317" s="24" t="str">
        <f t="shared" si="47"/>
        <v>RJAM</v>
      </c>
      <c r="O317" s="24">
        <f>VLOOKUP(H317, KM!$A:$E, 5, 0)</f>
        <v>429</v>
      </c>
      <c r="P317" s="24">
        <f>VLOOKUP(I317, KM!$A:$E, 5, 0)</f>
        <v>434</v>
      </c>
      <c r="Q317" s="24">
        <f>VLOOKUP(J317, KM!$A:$E, 5, 0)</f>
        <v>521</v>
      </c>
      <c r="R317" s="24">
        <f>VLOOKUP(K317, KM!$A:$E, 5, 0)</f>
        <v>1144</v>
      </c>
      <c r="S317" s="24">
        <f>VLOOKUP(L317, KM!$A:$E, 5, 0)</f>
        <v>0</v>
      </c>
      <c r="T317" s="24">
        <f>VLOOKUP(M317, KM!$A:$E, 5, 0)</f>
        <v>852</v>
      </c>
      <c r="U317" s="24">
        <f>VLOOKUP(N317, KM!$A:$E, 5, 0)</f>
        <v>4374</v>
      </c>
      <c r="V317" s="24">
        <f>VLOOKUP(H317, IMPOSTO!$A:$D, 4, 0)</f>
        <v>0.12</v>
      </c>
      <c r="W317" s="24">
        <f>VLOOKUP(I317, IMPOSTO!$A:$D, 4, 0)</f>
        <v>0.12</v>
      </c>
      <c r="X317" s="24">
        <f>VLOOKUP(J317, IMPOSTO!$A:$D, 4, 0)</f>
        <v>7.0000000000000007E-2</v>
      </c>
      <c r="Y317" s="24">
        <f>VLOOKUP(K317, IMPOSTO!$A:$D, 4, 0)</f>
        <v>0.12</v>
      </c>
      <c r="Z317" s="24">
        <f>VLOOKUP(L317, IMPOSTO!$A:$D, 4, 0)</f>
        <v>0.18</v>
      </c>
      <c r="AA317" s="24">
        <f>VLOOKUP(M317, IMPOSTO!$A:$D, 4, 0)</f>
        <v>0.12</v>
      </c>
      <c r="AB317" s="24">
        <f>VLOOKUP(N317, IMPOSTO!$A:$D, 4, 0)</f>
        <v>7.0000000000000007E-2</v>
      </c>
      <c r="AC317" s="25">
        <f t="shared" si="40"/>
        <v>101262.00832275006</v>
      </c>
      <c r="AD317" s="25">
        <f t="shared" si="41"/>
        <v>101262.57650456825</v>
      </c>
      <c r="AE317" s="25">
        <f t="shared" si="42"/>
        <v>95827.70680002158</v>
      </c>
      <c r="AF317" s="25">
        <f t="shared" si="43"/>
        <v>101343.25832275006</v>
      </c>
      <c r="AG317" s="25">
        <f t="shared" si="44"/>
        <v>108619.10649270739</v>
      </c>
      <c r="AH317" s="25">
        <f t="shared" si="45"/>
        <v>101310.07650456825</v>
      </c>
      <c r="AI317" s="25">
        <f t="shared" si="46"/>
        <v>96242.007875290394</v>
      </c>
    </row>
    <row r="318" spans="1:35" ht="15.75" customHeight="1">
      <c r="A318" s="12" t="s">
        <v>377</v>
      </c>
      <c r="B318" s="12" t="s">
        <v>378</v>
      </c>
      <c r="C318" s="12" t="s">
        <v>163</v>
      </c>
      <c r="D318" s="12" t="s">
        <v>33</v>
      </c>
      <c r="E318" s="12" t="s">
        <v>27</v>
      </c>
      <c r="F318" s="13">
        <v>43.25088339222615</v>
      </c>
      <c r="G318" s="14">
        <v>1201.8939929328621</v>
      </c>
      <c r="H318" s="24" t="str">
        <f t="shared" si="39"/>
        <v>RJSP</v>
      </c>
      <c r="I318" s="24" t="str">
        <f t="shared" si="47"/>
        <v>RJMG</v>
      </c>
      <c r="J318" s="24" t="str">
        <f t="shared" si="47"/>
        <v>RJES</v>
      </c>
      <c r="K318" s="24" t="str">
        <f t="shared" si="47"/>
        <v>RJSC</v>
      </c>
      <c r="L318" s="24" t="str">
        <f t="shared" si="47"/>
        <v>RJRJ</v>
      </c>
      <c r="M318" s="24" t="str">
        <f t="shared" si="47"/>
        <v>RJPR</v>
      </c>
      <c r="N318" s="24" t="str">
        <f t="shared" si="47"/>
        <v>RJAM</v>
      </c>
      <c r="O318" s="24">
        <f>VLOOKUP(H318, KM!$A:$E, 5, 0)</f>
        <v>429</v>
      </c>
      <c r="P318" s="24">
        <f>VLOOKUP(I318, KM!$A:$E, 5, 0)</f>
        <v>434</v>
      </c>
      <c r="Q318" s="24">
        <f>VLOOKUP(J318, KM!$A:$E, 5, 0)</f>
        <v>521</v>
      </c>
      <c r="R318" s="24">
        <f>VLOOKUP(K318, KM!$A:$E, 5, 0)</f>
        <v>1144</v>
      </c>
      <c r="S318" s="24">
        <f>VLOOKUP(L318, KM!$A:$E, 5, 0)</f>
        <v>0</v>
      </c>
      <c r="T318" s="24">
        <f>VLOOKUP(M318, KM!$A:$E, 5, 0)</f>
        <v>852</v>
      </c>
      <c r="U318" s="24">
        <f>VLOOKUP(N318, KM!$A:$E, 5, 0)</f>
        <v>4374</v>
      </c>
      <c r="V318" s="24">
        <f>VLOOKUP(H318, IMPOSTO!$A:$D, 4, 0)</f>
        <v>0.12</v>
      </c>
      <c r="W318" s="24">
        <f>VLOOKUP(I318, IMPOSTO!$A:$D, 4, 0)</f>
        <v>0.12</v>
      </c>
      <c r="X318" s="24">
        <f>VLOOKUP(J318, IMPOSTO!$A:$D, 4, 0)</f>
        <v>7.0000000000000007E-2</v>
      </c>
      <c r="Y318" s="24">
        <f>VLOOKUP(K318, IMPOSTO!$A:$D, 4, 0)</f>
        <v>0.12</v>
      </c>
      <c r="Z318" s="24">
        <f>VLOOKUP(L318, IMPOSTO!$A:$D, 4, 0)</f>
        <v>0.18</v>
      </c>
      <c r="AA318" s="24">
        <f>VLOOKUP(M318, IMPOSTO!$A:$D, 4, 0)</f>
        <v>0.12</v>
      </c>
      <c r="AB318" s="24">
        <f>VLOOKUP(N318, IMPOSTO!$A:$D, 4, 0)</f>
        <v>7.0000000000000007E-2</v>
      </c>
      <c r="AC318" s="25">
        <f t="shared" si="40"/>
        <v>1414.538628332798</v>
      </c>
      <c r="AD318" s="25">
        <f t="shared" si="41"/>
        <v>1415.1068101509798</v>
      </c>
      <c r="AE318" s="25">
        <f t="shared" si="42"/>
        <v>1348.3806375622173</v>
      </c>
      <c r="AF318" s="25">
        <f t="shared" si="43"/>
        <v>1495.788628332798</v>
      </c>
      <c r="AG318" s="25">
        <f t="shared" si="44"/>
        <v>1465.7243816254415</v>
      </c>
      <c r="AH318" s="25">
        <f t="shared" si="45"/>
        <v>1462.6068101509798</v>
      </c>
      <c r="AI318" s="25">
        <f t="shared" si="46"/>
        <v>1762.6817128310347</v>
      </c>
    </row>
    <row r="319" spans="1:35" ht="15.75" customHeight="1">
      <c r="A319" s="12" t="s">
        <v>379</v>
      </c>
      <c r="B319" s="12" t="s">
        <v>380</v>
      </c>
      <c r="C319" s="12" t="s">
        <v>192</v>
      </c>
      <c r="D319" s="12" t="s">
        <v>33</v>
      </c>
      <c r="E319" s="12" t="s">
        <v>27</v>
      </c>
      <c r="F319" s="13">
        <v>96.510638297872333</v>
      </c>
      <c r="G319" s="14">
        <v>3966.7480851063829</v>
      </c>
      <c r="H319" s="24" t="str">
        <f t="shared" si="39"/>
        <v>RJSP</v>
      </c>
      <c r="I319" s="24" t="str">
        <f t="shared" si="47"/>
        <v>RJMG</v>
      </c>
      <c r="J319" s="24" t="str">
        <f t="shared" si="47"/>
        <v>RJES</v>
      </c>
      <c r="K319" s="24" t="str">
        <f t="shared" si="47"/>
        <v>RJSC</v>
      </c>
      <c r="L319" s="24" t="str">
        <f t="shared" si="47"/>
        <v>RJRJ</v>
      </c>
      <c r="M319" s="24" t="str">
        <f t="shared" si="47"/>
        <v>RJPR</v>
      </c>
      <c r="N319" s="24" t="str">
        <f t="shared" si="47"/>
        <v>RJAM</v>
      </c>
      <c r="O319" s="24">
        <f>VLOOKUP(H319, KM!$A:$E, 5, 0)</f>
        <v>429</v>
      </c>
      <c r="P319" s="24">
        <f>VLOOKUP(I319, KM!$A:$E, 5, 0)</f>
        <v>434</v>
      </c>
      <c r="Q319" s="24">
        <f>VLOOKUP(J319, KM!$A:$E, 5, 0)</f>
        <v>521</v>
      </c>
      <c r="R319" s="24">
        <f>VLOOKUP(K319, KM!$A:$E, 5, 0)</f>
        <v>1144</v>
      </c>
      <c r="S319" s="24">
        <f>VLOOKUP(L319, KM!$A:$E, 5, 0)</f>
        <v>0</v>
      </c>
      <c r="T319" s="24">
        <f>VLOOKUP(M319, KM!$A:$E, 5, 0)</f>
        <v>852</v>
      </c>
      <c r="U319" s="24">
        <f>VLOOKUP(N319, KM!$A:$E, 5, 0)</f>
        <v>4374</v>
      </c>
      <c r="V319" s="24">
        <f>VLOOKUP(H319, IMPOSTO!$A:$D, 4, 0)</f>
        <v>0.12</v>
      </c>
      <c r="W319" s="24">
        <f>VLOOKUP(I319, IMPOSTO!$A:$D, 4, 0)</f>
        <v>0.12</v>
      </c>
      <c r="X319" s="24">
        <f>VLOOKUP(J319, IMPOSTO!$A:$D, 4, 0)</f>
        <v>7.0000000000000007E-2</v>
      </c>
      <c r="Y319" s="24">
        <f>VLOOKUP(K319, IMPOSTO!$A:$D, 4, 0)</f>
        <v>0.12</v>
      </c>
      <c r="Z319" s="24">
        <f>VLOOKUP(L319, IMPOSTO!$A:$D, 4, 0)</f>
        <v>0.18</v>
      </c>
      <c r="AA319" s="24">
        <f>VLOOKUP(M319, IMPOSTO!$A:$D, 4, 0)</f>
        <v>0.12</v>
      </c>
      <c r="AB319" s="24">
        <f>VLOOKUP(N319, IMPOSTO!$A:$D, 4, 0)</f>
        <v>7.0000000000000007E-2</v>
      </c>
      <c r="AC319" s="25">
        <f t="shared" si="40"/>
        <v>4556.4182785299809</v>
      </c>
      <c r="AD319" s="25">
        <f t="shared" si="41"/>
        <v>4556.9864603481628</v>
      </c>
      <c r="AE319" s="25">
        <f t="shared" si="42"/>
        <v>4321.3420269961107</v>
      </c>
      <c r="AF319" s="25">
        <f t="shared" si="43"/>
        <v>4637.6682785299809</v>
      </c>
      <c r="AG319" s="25">
        <f t="shared" si="44"/>
        <v>4837.4976647638814</v>
      </c>
      <c r="AH319" s="25">
        <f t="shared" si="45"/>
        <v>4604.4864603481619</v>
      </c>
      <c r="AI319" s="25">
        <f t="shared" si="46"/>
        <v>4735.6431022649276</v>
      </c>
    </row>
    <row r="320" spans="1:35" ht="15.75" customHeight="1">
      <c r="A320" s="12" t="s">
        <v>79</v>
      </c>
      <c r="B320" s="12" t="s">
        <v>80</v>
      </c>
      <c r="C320" s="12" t="s">
        <v>81</v>
      </c>
      <c r="D320" s="12" t="s">
        <v>50</v>
      </c>
      <c r="E320" s="12" t="s">
        <v>27</v>
      </c>
      <c r="F320" s="13">
        <v>422.623755794234</v>
      </c>
      <c r="G320" s="14">
        <v>7212.205830638778</v>
      </c>
      <c r="H320" s="24" t="str">
        <f t="shared" si="39"/>
        <v>RJSP</v>
      </c>
      <c r="I320" s="24" t="str">
        <f t="shared" si="47"/>
        <v>RJMG</v>
      </c>
      <c r="J320" s="24" t="str">
        <f t="shared" si="47"/>
        <v>RJES</v>
      </c>
      <c r="K320" s="24" t="str">
        <f t="shared" si="47"/>
        <v>RJSC</v>
      </c>
      <c r="L320" s="24" t="str">
        <f t="shared" si="47"/>
        <v>RJRJ</v>
      </c>
      <c r="M320" s="24" t="str">
        <f t="shared" si="47"/>
        <v>RJPR</v>
      </c>
      <c r="N320" s="24" t="str">
        <f t="shared" si="47"/>
        <v>RJAM</v>
      </c>
      <c r="O320" s="24">
        <f>VLOOKUP(H320, KM!$A:$E, 5, 0)</f>
        <v>429</v>
      </c>
      <c r="P320" s="24">
        <f>VLOOKUP(I320, KM!$A:$E, 5, 0)</f>
        <v>434</v>
      </c>
      <c r="Q320" s="24">
        <f>VLOOKUP(J320, KM!$A:$E, 5, 0)</f>
        <v>521</v>
      </c>
      <c r="R320" s="24">
        <f>VLOOKUP(K320, KM!$A:$E, 5, 0)</f>
        <v>1144</v>
      </c>
      <c r="S320" s="24">
        <f>VLOOKUP(L320, KM!$A:$E, 5, 0)</f>
        <v>0</v>
      </c>
      <c r="T320" s="24">
        <f>VLOOKUP(M320, KM!$A:$E, 5, 0)</f>
        <v>852</v>
      </c>
      <c r="U320" s="24">
        <f>VLOOKUP(N320, KM!$A:$E, 5, 0)</f>
        <v>4374</v>
      </c>
      <c r="V320" s="24">
        <f>VLOOKUP(H320, IMPOSTO!$A:$D, 4, 0)</f>
        <v>0.12</v>
      </c>
      <c r="W320" s="24">
        <f>VLOOKUP(I320, IMPOSTO!$A:$D, 4, 0)</f>
        <v>0.12</v>
      </c>
      <c r="X320" s="24">
        <f>VLOOKUP(J320, IMPOSTO!$A:$D, 4, 0)</f>
        <v>7.0000000000000007E-2</v>
      </c>
      <c r="Y320" s="24">
        <f>VLOOKUP(K320, IMPOSTO!$A:$D, 4, 0)</f>
        <v>0.12</v>
      </c>
      <c r="Z320" s="24">
        <f>VLOOKUP(L320, IMPOSTO!$A:$D, 4, 0)</f>
        <v>0.18</v>
      </c>
      <c r="AA320" s="24">
        <f>VLOOKUP(M320, IMPOSTO!$A:$D, 4, 0)</f>
        <v>0.12</v>
      </c>
      <c r="AB320" s="24">
        <f>VLOOKUP(N320, IMPOSTO!$A:$D, 4, 0)</f>
        <v>7.0000000000000007E-2</v>
      </c>
      <c r="AC320" s="25">
        <f t="shared" si="40"/>
        <v>8244.4384439077021</v>
      </c>
      <c r="AD320" s="25">
        <f t="shared" si="41"/>
        <v>8245.0066257258841</v>
      </c>
      <c r="AE320" s="25">
        <f t="shared" si="42"/>
        <v>7811.0815383212675</v>
      </c>
      <c r="AF320" s="25">
        <f t="shared" si="43"/>
        <v>8325.6884439077021</v>
      </c>
      <c r="AG320" s="25">
        <f t="shared" si="44"/>
        <v>8795.3729641936316</v>
      </c>
      <c r="AH320" s="25">
        <f t="shared" si="45"/>
        <v>8292.5066257258841</v>
      </c>
      <c r="AI320" s="25">
        <f t="shared" si="46"/>
        <v>8225.3826135900836</v>
      </c>
    </row>
    <row r="321" spans="1:35" ht="15.75" customHeight="1">
      <c r="A321" s="12" t="s">
        <v>381</v>
      </c>
      <c r="B321" s="12" t="s">
        <v>382</v>
      </c>
      <c r="C321" s="12" t="s">
        <v>169</v>
      </c>
      <c r="D321" s="12" t="s">
        <v>33</v>
      </c>
      <c r="E321" s="12" t="s">
        <v>27</v>
      </c>
      <c r="F321" s="13">
        <v>460.00000000000006</v>
      </c>
      <c r="G321" s="14">
        <v>8866.1305699481873</v>
      </c>
      <c r="H321" s="24" t="str">
        <f t="shared" si="39"/>
        <v>RJSP</v>
      </c>
      <c r="I321" s="24" t="str">
        <f t="shared" si="47"/>
        <v>RJMG</v>
      </c>
      <c r="J321" s="24" t="str">
        <f t="shared" si="47"/>
        <v>RJES</v>
      </c>
      <c r="K321" s="24" t="str">
        <f t="shared" si="47"/>
        <v>RJSC</v>
      </c>
      <c r="L321" s="24" t="str">
        <f t="shared" si="47"/>
        <v>RJRJ</v>
      </c>
      <c r="M321" s="24" t="str">
        <f t="shared" si="47"/>
        <v>RJPR</v>
      </c>
      <c r="N321" s="24" t="str">
        <f t="shared" si="47"/>
        <v>RJAM</v>
      </c>
      <c r="O321" s="24">
        <f>VLOOKUP(H321, KM!$A:$E, 5, 0)</f>
        <v>429</v>
      </c>
      <c r="P321" s="24">
        <f>VLOOKUP(I321, KM!$A:$E, 5, 0)</f>
        <v>434</v>
      </c>
      <c r="Q321" s="24">
        <f>VLOOKUP(J321, KM!$A:$E, 5, 0)</f>
        <v>521</v>
      </c>
      <c r="R321" s="24">
        <f>VLOOKUP(K321, KM!$A:$E, 5, 0)</f>
        <v>1144</v>
      </c>
      <c r="S321" s="24">
        <f>VLOOKUP(L321, KM!$A:$E, 5, 0)</f>
        <v>0</v>
      </c>
      <c r="T321" s="24">
        <f>VLOOKUP(M321, KM!$A:$E, 5, 0)</f>
        <v>852</v>
      </c>
      <c r="U321" s="24">
        <f>VLOOKUP(N321, KM!$A:$E, 5, 0)</f>
        <v>4374</v>
      </c>
      <c r="V321" s="24">
        <f>VLOOKUP(H321, IMPOSTO!$A:$D, 4, 0)</f>
        <v>0.12</v>
      </c>
      <c r="W321" s="24">
        <f>VLOOKUP(I321, IMPOSTO!$A:$D, 4, 0)</f>
        <v>0.12</v>
      </c>
      <c r="X321" s="24">
        <f>VLOOKUP(J321, IMPOSTO!$A:$D, 4, 0)</f>
        <v>7.0000000000000007E-2</v>
      </c>
      <c r="Y321" s="24">
        <f>VLOOKUP(K321, IMPOSTO!$A:$D, 4, 0)</f>
        <v>0.12</v>
      </c>
      <c r="Z321" s="24">
        <f>VLOOKUP(L321, IMPOSTO!$A:$D, 4, 0)</f>
        <v>0.18</v>
      </c>
      <c r="AA321" s="24">
        <f>VLOOKUP(M321, IMPOSTO!$A:$D, 4, 0)</f>
        <v>0.12</v>
      </c>
      <c r="AB321" s="24">
        <f>VLOOKUP(N321, IMPOSTO!$A:$D, 4, 0)</f>
        <v>7.0000000000000007E-2</v>
      </c>
      <c r="AC321" s="25">
        <f t="shared" si="40"/>
        <v>10123.898374941122</v>
      </c>
      <c r="AD321" s="25">
        <f t="shared" si="41"/>
        <v>10124.466556759304</v>
      </c>
      <c r="AE321" s="25">
        <f t="shared" si="42"/>
        <v>9589.4952365034278</v>
      </c>
      <c r="AF321" s="25">
        <f t="shared" si="43"/>
        <v>10205.148374941122</v>
      </c>
      <c r="AG321" s="25">
        <f t="shared" si="44"/>
        <v>10812.35435359535</v>
      </c>
      <c r="AH321" s="25">
        <f t="shared" si="45"/>
        <v>10171.966556759304</v>
      </c>
      <c r="AI321" s="25">
        <f t="shared" si="46"/>
        <v>10003.796311772245</v>
      </c>
    </row>
    <row r="322" spans="1:35" ht="15.75" customHeight="1">
      <c r="A322" s="12" t="s">
        <v>383</v>
      </c>
      <c r="B322" s="12" t="s">
        <v>384</v>
      </c>
      <c r="C322" s="12" t="s">
        <v>163</v>
      </c>
      <c r="D322" s="12" t="s">
        <v>33</v>
      </c>
      <c r="E322" s="12" t="s">
        <v>27</v>
      </c>
      <c r="F322" s="13">
        <v>29.030927835051546</v>
      </c>
      <c r="G322" s="14">
        <v>1736.6028865979379</v>
      </c>
      <c r="H322" s="24" t="str">
        <f t="shared" si="39"/>
        <v>RJSP</v>
      </c>
      <c r="I322" s="24" t="str">
        <f t="shared" si="47"/>
        <v>RJMG</v>
      </c>
      <c r="J322" s="24" t="str">
        <f t="shared" si="47"/>
        <v>RJES</v>
      </c>
      <c r="K322" s="24" t="str">
        <f t="shared" si="47"/>
        <v>RJSC</v>
      </c>
      <c r="L322" s="24" t="str">
        <f t="shared" si="47"/>
        <v>RJRJ</v>
      </c>
      <c r="M322" s="24" t="str">
        <f t="shared" si="47"/>
        <v>RJPR</v>
      </c>
      <c r="N322" s="24" t="str">
        <f t="shared" si="47"/>
        <v>RJAM</v>
      </c>
      <c r="O322" s="24">
        <f>VLOOKUP(H322, KM!$A:$E, 5, 0)</f>
        <v>429</v>
      </c>
      <c r="P322" s="24">
        <f>VLOOKUP(I322, KM!$A:$E, 5, 0)</f>
        <v>434</v>
      </c>
      <c r="Q322" s="24">
        <f>VLOOKUP(J322, KM!$A:$E, 5, 0)</f>
        <v>521</v>
      </c>
      <c r="R322" s="24">
        <f>VLOOKUP(K322, KM!$A:$E, 5, 0)</f>
        <v>1144</v>
      </c>
      <c r="S322" s="24">
        <f>VLOOKUP(L322, KM!$A:$E, 5, 0)</f>
        <v>0</v>
      </c>
      <c r="T322" s="24">
        <f>VLOOKUP(M322, KM!$A:$E, 5, 0)</f>
        <v>852</v>
      </c>
      <c r="U322" s="24">
        <f>VLOOKUP(N322, KM!$A:$E, 5, 0)</f>
        <v>4374</v>
      </c>
      <c r="V322" s="24">
        <f>VLOOKUP(H322, IMPOSTO!$A:$D, 4, 0)</f>
        <v>0.12</v>
      </c>
      <c r="W322" s="24">
        <f>VLOOKUP(I322, IMPOSTO!$A:$D, 4, 0)</f>
        <v>0.12</v>
      </c>
      <c r="X322" s="24">
        <f>VLOOKUP(J322, IMPOSTO!$A:$D, 4, 0)</f>
        <v>7.0000000000000007E-2</v>
      </c>
      <c r="Y322" s="24">
        <f>VLOOKUP(K322, IMPOSTO!$A:$D, 4, 0)</f>
        <v>0.12</v>
      </c>
      <c r="Z322" s="24">
        <f>VLOOKUP(L322, IMPOSTO!$A:$D, 4, 0)</f>
        <v>0.18</v>
      </c>
      <c r="AA322" s="24">
        <f>VLOOKUP(M322, IMPOSTO!$A:$D, 4, 0)</f>
        <v>0.12</v>
      </c>
      <c r="AB322" s="24">
        <f>VLOOKUP(N322, IMPOSTO!$A:$D, 4, 0)</f>
        <v>7.0000000000000007E-2</v>
      </c>
      <c r="AC322" s="25">
        <f t="shared" si="40"/>
        <v>2022.1623711340203</v>
      </c>
      <c r="AD322" s="25">
        <f t="shared" si="41"/>
        <v>2022.7305529522023</v>
      </c>
      <c r="AE322" s="25">
        <f t="shared" si="42"/>
        <v>1923.3364372020837</v>
      </c>
      <c r="AF322" s="25">
        <f t="shared" si="43"/>
        <v>2103.4123711340203</v>
      </c>
      <c r="AG322" s="25">
        <f t="shared" si="44"/>
        <v>2117.808398290168</v>
      </c>
      <c r="AH322" s="25">
        <f t="shared" si="45"/>
        <v>2070.2305529522023</v>
      </c>
      <c r="AI322" s="25">
        <f t="shared" si="46"/>
        <v>2337.6375124709011</v>
      </c>
    </row>
    <row r="323" spans="1:35" ht="15.75" customHeight="1">
      <c r="A323" s="12" t="s">
        <v>385</v>
      </c>
      <c r="B323" s="12" t="s">
        <v>386</v>
      </c>
      <c r="C323" s="12" t="s">
        <v>169</v>
      </c>
      <c r="D323" s="12" t="s">
        <v>33</v>
      </c>
      <c r="E323" s="12" t="s">
        <v>27</v>
      </c>
      <c r="F323" s="13">
        <v>34563.085999999996</v>
      </c>
      <c r="G323" s="14">
        <v>733170.43937782489</v>
      </c>
      <c r="H323" s="24" t="str">
        <f t="shared" si="39"/>
        <v>RJSP</v>
      </c>
      <c r="I323" s="24" t="str">
        <f t="shared" si="47"/>
        <v>RJMG</v>
      </c>
      <c r="J323" s="24" t="str">
        <f t="shared" ref="I323:N386" si="48">$E323 &amp; J$17</f>
        <v>RJES</v>
      </c>
      <c r="K323" s="24" t="str">
        <f t="shared" si="48"/>
        <v>RJSC</v>
      </c>
      <c r="L323" s="24" t="str">
        <f t="shared" si="48"/>
        <v>RJRJ</v>
      </c>
      <c r="M323" s="24" t="str">
        <f t="shared" si="48"/>
        <v>RJPR</v>
      </c>
      <c r="N323" s="24" t="str">
        <f t="shared" si="48"/>
        <v>RJAM</v>
      </c>
      <c r="O323" s="24">
        <f>VLOOKUP(H323, KM!$A:$E, 5, 0)</f>
        <v>429</v>
      </c>
      <c r="P323" s="24">
        <f>VLOOKUP(I323, KM!$A:$E, 5, 0)</f>
        <v>434</v>
      </c>
      <c r="Q323" s="24">
        <f>VLOOKUP(J323, KM!$A:$E, 5, 0)</f>
        <v>521</v>
      </c>
      <c r="R323" s="24">
        <f>VLOOKUP(K323, KM!$A:$E, 5, 0)</f>
        <v>1144</v>
      </c>
      <c r="S323" s="24">
        <f>VLOOKUP(L323, KM!$A:$E, 5, 0)</f>
        <v>0</v>
      </c>
      <c r="T323" s="24">
        <f>VLOOKUP(M323, KM!$A:$E, 5, 0)</f>
        <v>852</v>
      </c>
      <c r="U323" s="24">
        <f>VLOOKUP(N323, KM!$A:$E, 5, 0)</f>
        <v>4374</v>
      </c>
      <c r="V323" s="24">
        <f>VLOOKUP(H323, IMPOSTO!$A:$D, 4, 0)</f>
        <v>0.12</v>
      </c>
      <c r="W323" s="24">
        <f>VLOOKUP(I323, IMPOSTO!$A:$D, 4, 0)</f>
        <v>0.12</v>
      </c>
      <c r="X323" s="24">
        <f>VLOOKUP(J323, IMPOSTO!$A:$D, 4, 0)</f>
        <v>7.0000000000000007E-2</v>
      </c>
      <c r="Y323" s="24">
        <f>VLOOKUP(K323, IMPOSTO!$A:$D, 4, 0)</f>
        <v>0.12</v>
      </c>
      <c r="Z323" s="24">
        <f>VLOOKUP(L323, IMPOSTO!$A:$D, 4, 0)</f>
        <v>0.18</v>
      </c>
      <c r="AA323" s="24">
        <f>VLOOKUP(M323, IMPOSTO!$A:$D, 4, 0)</f>
        <v>0.12</v>
      </c>
      <c r="AB323" s="24">
        <f>VLOOKUP(N323, IMPOSTO!$A:$D, 4, 0)</f>
        <v>7.0000000000000007E-2</v>
      </c>
      <c r="AC323" s="25">
        <f t="shared" si="40"/>
        <v>833196.97656571015</v>
      </c>
      <c r="AD323" s="25">
        <f t="shared" si="41"/>
        <v>833197.54474752827</v>
      </c>
      <c r="AE323" s="25">
        <f t="shared" si="42"/>
        <v>788411.33266432781</v>
      </c>
      <c r="AF323" s="25">
        <f t="shared" si="43"/>
        <v>833278.22656571015</v>
      </c>
      <c r="AG323" s="25">
        <f t="shared" si="44"/>
        <v>894110.29192417662</v>
      </c>
      <c r="AH323" s="25">
        <f t="shared" si="45"/>
        <v>833245.04474752827</v>
      </c>
      <c r="AI323" s="25">
        <f t="shared" si="46"/>
        <v>788825.6337395967</v>
      </c>
    </row>
    <row r="324" spans="1:35" ht="15.75" customHeight="1">
      <c r="A324" s="12" t="s">
        <v>170</v>
      </c>
      <c r="B324" s="12" t="s">
        <v>171</v>
      </c>
      <c r="C324" s="12" t="s">
        <v>163</v>
      </c>
      <c r="D324" s="12" t="s">
        <v>33</v>
      </c>
      <c r="E324" s="12" t="s">
        <v>27</v>
      </c>
      <c r="F324" s="13">
        <v>499.71986828522273</v>
      </c>
      <c r="G324" s="14">
        <v>7298.0265375828703</v>
      </c>
      <c r="H324" s="24" t="str">
        <f t="shared" si="39"/>
        <v>RJSP</v>
      </c>
      <c r="I324" s="24" t="str">
        <f t="shared" si="48"/>
        <v>RJMG</v>
      </c>
      <c r="J324" s="24" t="str">
        <f t="shared" si="48"/>
        <v>RJES</v>
      </c>
      <c r="K324" s="24" t="str">
        <f t="shared" si="48"/>
        <v>RJSC</v>
      </c>
      <c r="L324" s="24" t="str">
        <f t="shared" si="48"/>
        <v>RJRJ</v>
      </c>
      <c r="M324" s="24" t="str">
        <f t="shared" si="48"/>
        <v>RJPR</v>
      </c>
      <c r="N324" s="24" t="str">
        <f t="shared" si="48"/>
        <v>RJAM</v>
      </c>
      <c r="O324" s="24">
        <f>VLOOKUP(H324, KM!$A:$E, 5, 0)</f>
        <v>429</v>
      </c>
      <c r="P324" s="24">
        <f>VLOOKUP(I324, KM!$A:$E, 5, 0)</f>
        <v>434</v>
      </c>
      <c r="Q324" s="24">
        <f>VLOOKUP(J324, KM!$A:$E, 5, 0)</f>
        <v>521</v>
      </c>
      <c r="R324" s="24">
        <f>VLOOKUP(K324, KM!$A:$E, 5, 0)</f>
        <v>1144</v>
      </c>
      <c r="S324" s="24">
        <f>VLOOKUP(L324, KM!$A:$E, 5, 0)</f>
        <v>0</v>
      </c>
      <c r="T324" s="24">
        <f>VLOOKUP(M324, KM!$A:$E, 5, 0)</f>
        <v>852</v>
      </c>
      <c r="U324" s="24">
        <f>VLOOKUP(N324, KM!$A:$E, 5, 0)</f>
        <v>4374</v>
      </c>
      <c r="V324" s="24">
        <f>VLOOKUP(H324, IMPOSTO!$A:$D, 4, 0)</f>
        <v>0.12</v>
      </c>
      <c r="W324" s="24">
        <f>VLOOKUP(I324, IMPOSTO!$A:$D, 4, 0)</f>
        <v>0.12</v>
      </c>
      <c r="X324" s="24">
        <f>VLOOKUP(J324, IMPOSTO!$A:$D, 4, 0)</f>
        <v>7.0000000000000007E-2</v>
      </c>
      <c r="Y324" s="24">
        <f>VLOOKUP(K324, IMPOSTO!$A:$D, 4, 0)</f>
        <v>0.12</v>
      </c>
      <c r="Z324" s="24">
        <f>VLOOKUP(L324, IMPOSTO!$A:$D, 4, 0)</f>
        <v>0.18</v>
      </c>
      <c r="AA324" s="24">
        <f>VLOOKUP(M324, IMPOSTO!$A:$D, 4, 0)</f>
        <v>0.12</v>
      </c>
      <c r="AB324" s="24">
        <f>VLOOKUP(N324, IMPOSTO!$A:$D, 4, 0)</f>
        <v>7.0000000000000007E-2</v>
      </c>
      <c r="AC324" s="25">
        <f t="shared" si="40"/>
        <v>8341.9619745259879</v>
      </c>
      <c r="AD324" s="25">
        <f t="shared" si="41"/>
        <v>8342.5301563441699</v>
      </c>
      <c r="AE324" s="25">
        <f t="shared" si="42"/>
        <v>7903.3618683686791</v>
      </c>
      <c r="AF324" s="25">
        <f t="shared" si="43"/>
        <v>8423.2119745259879</v>
      </c>
      <c r="AG324" s="25">
        <f t="shared" si="44"/>
        <v>8900.0323629059385</v>
      </c>
      <c r="AH324" s="25">
        <f t="shared" si="45"/>
        <v>8390.0301563441699</v>
      </c>
      <c r="AI324" s="25">
        <f t="shared" si="46"/>
        <v>8317.6629436374951</v>
      </c>
    </row>
    <row r="325" spans="1:35" ht="15.75" customHeight="1">
      <c r="A325" s="12" t="s">
        <v>170</v>
      </c>
      <c r="B325" s="12" t="s">
        <v>171</v>
      </c>
      <c r="C325" s="12" t="s">
        <v>163</v>
      </c>
      <c r="D325" s="12" t="s">
        <v>33</v>
      </c>
      <c r="E325" s="12" t="s">
        <v>27</v>
      </c>
      <c r="F325" s="13">
        <v>783.8743031925062</v>
      </c>
      <c r="G325" s="14">
        <v>11430.768638874402</v>
      </c>
      <c r="H325" s="24" t="str">
        <f t="shared" ref="H325:H388" si="49">$E325 &amp; H$17</f>
        <v>RJSP</v>
      </c>
      <c r="I325" s="24" t="str">
        <f t="shared" si="48"/>
        <v>RJMG</v>
      </c>
      <c r="J325" s="24" t="str">
        <f t="shared" si="48"/>
        <v>RJES</v>
      </c>
      <c r="K325" s="24" t="str">
        <f t="shared" si="48"/>
        <v>RJSC</v>
      </c>
      <c r="L325" s="24" t="str">
        <f t="shared" si="48"/>
        <v>RJRJ</v>
      </c>
      <c r="M325" s="24" t="str">
        <f t="shared" si="48"/>
        <v>RJPR</v>
      </c>
      <c r="N325" s="24" t="str">
        <f t="shared" si="48"/>
        <v>RJAM</v>
      </c>
      <c r="O325" s="24">
        <f>VLOOKUP(H325, KM!$A:$E, 5, 0)</f>
        <v>429</v>
      </c>
      <c r="P325" s="24">
        <f>VLOOKUP(I325, KM!$A:$E, 5, 0)</f>
        <v>434</v>
      </c>
      <c r="Q325" s="24">
        <f>VLOOKUP(J325, KM!$A:$E, 5, 0)</f>
        <v>521</v>
      </c>
      <c r="R325" s="24">
        <f>VLOOKUP(K325, KM!$A:$E, 5, 0)</f>
        <v>1144</v>
      </c>
      <c r="S325" s="24">
        <f>VLOOKUP(L325, KM!$A:$E, 5, 0)</f>
        <v>0</v>
      </c>
      <c r="T325" s="24">
        <f>VLOOKUP(M325, KM!$A:$E, 5, 0)</f>
        <v>852</v>
      </c>
      <c r="U325" s="24">
        <f>VLOOKUP(N325, KM!$A:$E, 5, 0)</f>
        <v>4374</v>
      </c>
      <c r="V325" s="24">
        <f>VLOOKUP(H325, IMPOSTO!$A:$D, 4, 0)</f>
        <v>0.12</v>
      </c>
      <c r="W325" s="24">
        <f>VLOOKUP(I325, IMPOSTO!$A:$D, 4, 0)</f>
        <v>0.12</v>
      </c>
      <c r="X325" s="24">
        <f>VLOOKUP(J325, IMPOSTO!$A:$D, 4, 0)</f>
        <v>7.0000000000000007E-2</v>
      </c>
      <c r="Y325" s="24">
        <f>VLOOKUP(K325, IMPOSTO!$A:$D, 4, 0)</f>
        <v>0.12</v>
      </c>
      <c r="Z325" s="24">
        <f>VLOOKUP(L325, IMPOSTO!$A:$D, 4, 0)</f>
        <v>0.18</v>
      </c>
      <c r="AA325" s="24">
        <f>VLOOKUP(M325, IMPOSTO!$A:$D, 4, 0)</f>
        <v>0.12</v>
      </c>
      <c r="AB325" s="24">
        <f>VLOOKUP(N325, IMPOSTO!$A:$D, 4, 0)</f>
        <v>7.0000000000000007E-2</v>
      </c>
      <c r="AC325" s="25">
        <f t="shared" si="40"/>
        <v>13038.25981690273</v>
      </c>
      <c r="AD325" s="25">
        <f t="shared" si="41"/>
        <v>13038.827998720912</v>
      </c>
      <c r="AE325" s="25">
        <f t="shared" si="42"/>
        <v>12347.170579434842</v>
      </c>
      <c r="AF325" s="25">
        <f t="shared" si="43"/>
        <v>13119.50981690273</v>
      </c>
      <c r="AG325" s="25">
        <f t="shared" si="44"/>
        <v>13939.96175472488</v>
      </c>
      <c r="AH325" s="25">
        <f t="shared" si="45"/>
        <v>13086.327998720912</v>
      </c>
      <c r="AI325" s="25">
        <f t="shared" si="46"/>
        <v>12761.471654703659</v>
      </c>
    </row>
    <row r="326" spans="1:35" ht="15.75" customHeight="1">
      <c r="A326" s="12" t="s">
        <v>172</v>
      </c>
      <c r="B326" s="12" t="s">
        <v>173</v>
      </c>
      <c r="C326" s="12" t="s">
        <v>111</v>
      </c>
      <c r="D326" s="12" t="s">
        <v>33</v>
      </c>
      <c r="E326" s="12" t="s">
        <v>27</v>
      </c>
      <c r="F326" s="13">
        <v>225.60790183356841</v>
      </c>
      <c r="G326" s="14">
        <v>15726.018415387307</v>
      </c>
      <c r="H326" s="24" t="str">
        <f t="shared" si="49"/>
        <v>RJSP</v>
      </c>
      <c r="I326" s="24" t="str">
        <f t="shared" si="48"/>
        <v>RJMG</v>
      </c>
      <c r="J326" s="24" t="str">
        <f t="shared" si="48"/>
        <v>RJES</v>
      </c>
      <c r="K326" s="24" t="str">
        <f t="shared" si="48"/>
        <v>RJSC</v>
      </c>
      <c r="L326" s="24" t="str">
        <f t="shared" si="48"/>
        <v>RJRJ</v>
      </c>
      <c r="M326" s="24" t="str">
        <f t="shared" si="48"/>
        <v>RJPR</v>
      </c>
      <c r="N326" s="24" t="str">
        <f t="shared" si="48"/>
        <v>RJAM</v>
      </c>
      <c r="O326" s="24">
        <f>VLOOKUP(H326, KM!$A:$E, 5, 0)</f>
        <v>429</v>
      </c>
      <c r="P326" s="24">
        <f>VLOOKUP(I326, KM!$A:$E, 5, 0)</f>
        <v>434</v>
      </c>
      <c r="Q326" s="24">
        <f>VLOOKUP(J326, KM!$A:$E, 5, 0)</f>
        <v>521</v>
      </c>
      <c r="R326" s="24">
        <f>VLOOKUP(K326, KM!$A:$E, 5, 0)</f>
        <v>1144</v>
      </c>
      <c r="S326" s="24">
        <f>VLOOKUP(L326, KM!$A:$E, 5, 0)</f>
        <v>0</v>
      </c>
      <c r="T326" s="24">
        <f>VLOOKUP(M326, KM!$A:$E, 5, 0)</f>
        <v>852</v>
      </c>
      <c r="U326" s="24">
        <f>VLOOKUP(N326, KM!$A:$E, 5, 0)</f>
        <v>4374</v>
      </c>
      <c r="V326" s="24">
        <f>VLOOKUP(H326, IMPOSTO!$A:$D, 4, 0)</f>
        <v>0.12</v>
      </c>
      <c r="W326" s="24">
        <f>VLOOKUP(I326, IMPOSTO!$A:$D, 4, 0)</f>
        <v>0.12</v>
      </c>
      <c r="X326" s="24">
        <f>VLOOKUP(J326, IMPOSTO!$A:$D, 4, 0)</f>
        <v>7.0000000000000007E-2</v>
      </c>
      <c r="Y326" s="24">
        <f>VLOOKUP(K326, IMPOSTO!$A:$D, 4, 0)</f>
        <v>0.12</v>
      </c>
      <c r="Z326" s="24">
        <f>VLOOKUP(L326, IMPOSTO!$A:$D, 4, 0)</f>
        <v>0.18</v>
      </c>
      <c r="AA326" s="24">
        <f>VLOOKUP(M326, IMPOSTO!$A:$D, 4, 0)</f>
        <v>0.12</v>
      </c>
      <c r="AB326" s="24">
        <f>VLOOKUP(N326, IMPOSTO!$A:$D, 4, 0)</f>
        <v>7.0000000000000007E-2</v>
      </c>
      <c r="AC326" s="25">
        <f t="shared" si="40"/>
        <v>17919.22547203103</v>
      </c>
      <c r="AD326" s="25">
        <f t="shared" si="41"/>
        <v>17919.79365384921</v>
      </c>
      <c r="AE326" s="25">
        <f t="shared" si="42"/>
        <v>16965.718726222913</v>
      </c>
      <c r="AF326" s="25">
        <f t="shared" si="43"/>
        <v>18000.47547203103</v>
      </c>
      <c r="AG326" s="25">
        <f t="shared" si="44"/>
        <v>19178.071238277204</v>
      </c>
      <c r="AH326" s="25">
        <f t="shared" si="45"/>
        <v>17967.293653849214</v>
      </c>
      <c r="AI326" s="25">
        <f t="shared" si="46"/>
        <v>17380.01980149173</v>
      </c>
    </row>
    <row r="327" spans="1:35" ht="15.75" customHeight="1">
      <c r="A327" s="12" t="s">
        <v>387</v>
      </c>
      <c r="B327" s="12" t="s">
        <v>388</v>
      </c>
      <c r="C327" s="12" t="s">
        <v>223</v>
      </c>
      <c r="D327" s="12" t="s">
        <v>33</v>
      </c>
      <c r="E327" s="12" t="s">
        <v>27</v>
      </c>
      <c r="F327" s="13">
        <v>346.26830377444287</v>
      </c>
      <c r="G327" s="14">
        <v>5171.5674465666207</v>
      </c>
      <c r="H327" s="24" t="str">
        <f t="shared" si="49"/>
        <v>RJSP</v>
      </c>
      <c r="I327" s="24" t="str">
        <f t="shared" si="48"/>
        <v>RJMG</v>
      </c>
      <c r="J327" s="24" t="str">
        <f t="shared" si="48"/>
        <v>RJES</v>
      </c>
      <c r="K327" s="24" t="str">
        <f t="shared" si="48"/>
        <v>RJSC</v>
      </c>
      <c r="L327" s="24" t="str">
        <f t="shared" si="48"/>
        <v>RJRJ</v>
      </c>
      <c r="M327" s="24" t="str">
        <f t="shared" si="48"/>
        <v>RJPR</v>
      </c>
      <c r="N327" s="24" t="str">
        <f t="shared" si="48"/>
        <v>RJAM</v>
      </c>
      <c r="O327" s="24">
        <f>VLOOKUP(H327, KM!$A:$E, 5, 0)</f>
        <v>429</v>
      </c>
      <c r="P327" s="24">
        <f>VLOOKUP(I327, KM!$A:$E, 5, 0)</f>
        <v>434</v>
      </c>
      <c r="Q327" s="24">
        <f>VLOOKUP(J327, KM!$A:$E, 5, 0)</f>
        <v>521</v>
      </c>
      <c r="R327" s="24">
        <f>VLOOKUP(K327, KM!$A:$E, 5, 0)</f>
        <v>1144</v>
      </c>
      <c r="S327" s="24">
        <f>VLOOKUP(L327, KM!$A:$E, 5, 0)</f>
        <v>0</v>
      </c>
      <c r="T327" s="24">
        <f>VLOOKUP(M327, KM!$A:$E, 5, 0)</f>
        <v>852</v>
      </c>
      <c r="U327" s="24">
        <f>VLOOKUP(N327, KM!$A:$E, 5, 0)</f>
        <v>4374</v>
      </c>
      <c r="V327" s="24">
        <f>VLOOKUP(H327, IMPOSTO!$A:$D, 4, 0)</f>
        <v>0.12</v>
      </c>
      <c r="W327" s="24">
        <f>VLOOKUP(I327, IMPOSTO!$A:$D, 4, 0)</f>
        <v>0.12</v>
      </c>
      <c r="X327" s="24">
        <f>VLOOKUP(J327, IMPOSTO!$A:$D, 4, 0)</f>
        <v>7.0000000000000007E-2</v>
      </c>
      <c r="Y327" s="24">
        <f>VLOOKUP(K327, IMPOSTO!$A:$D, 4, 0)</f>
        <v>0.12</v>
      </c>
      <c r="Z327" s="24">
        <f>VLOOKUP(L327, IMPOSTO!$A:$D, 4, 0)</f>
        <v>0.18</v>
      </c>
      <c r="AA327" s="24">
        <f>VLOOKUP(M327, IMPOSTO!$A:$D, 4, 0)</f>
        <v>0.12</v>
      </c>
      <c r="AB327" s="24">
        <f>VLOOKUP(N327, IMPOSTO!$A:$D, 4, 0)</f>
        <v>7.0000000000000007E-2</v>
      </c>
      <c r="AC327" s="25">
        <f t="shared" si="40"/>
        <v>5925.5311892802501</v>
      </c>
      <c r="AD327" s="25">
        <f t="shared" si="41"/>
        <v>5926.0993710984321</v>
      </c>
      <c r="AE327" s="25">
        <f t="shared" si="42"/>
        <v>5616.8467167383023</v>
      </c>
      <c r="AF327" s="25">
        <f t="shared" si="43"/>
        <v>6006.7811892802501</v>
      </c>
      <c r="AG327" s="25">
        <f t="shared" si="44"/>
        <v>6306.7895689836832</v>
      </c>
      <c r="AH327" s="25">
        <f t="shared" si="45"/>
        <v>5973.5993710984321</v>
      </c>
      <c r="AI327" s="25">
        <f t="shared" si="46"/>
        <v>6031.1477920071193</v>
      </c>
    </row>
    <row r="328" spans="1:35" ht="15.75" customHeight="1">
      <c r="A328" s="12" t="s">
        <v>389</v>
      </c>
      <c r="B328" s="12" t="s">
        <v>390</v>
      </c>
      <c r="C328" s="12" t="s">
        <v>119</v>
      </c>
      <c r="D328" s="12" t="s">
        <v>50</v>
      </c>
      <c r="E328" s="12" t="s">
        <v>27</v>
      </c>
      <c r="F328" s="13">
        <v>80</v>
      </c>
      <c r="G328" s="14">
        <v>4329.6000000000004</v>
      </c>
      <c r="H328" s="24" t="str">
        <f t="shared" si="49"/>
        <v>RJSP</v>
      </c>
      <c r="I328" s="24" t="str">
        <f t="shared" si="48"/>
        <v>RJMG</v>
      </c>
      <c r="J328" s="24" t="str">
        <f t="shared" si="48"/>
        <v>RJES</v>
      </c>
      <c r="K328" s="24" t="str">
        <f t="shared" si="48"/>
        <v>RJSC</v>
      </c>
      <c r="L328" s="24" t="str">
        <f t="shared" si="48"/>
        <v>RJRJ</v>
      </c>
      <c r="M328" s="24" t="str">
        <f t="shared" si="48"/>
        <v>RJPR</v>
      </c>
      <c r="N328" s="24" t="str">
        <f t="shared" si="48"/>
        <v>RJAM</v>
      </c>
      <c r="O328" s="24">
        <f>VLOOKUP(H328, KM!$A:$E, 5, 0)</f>
        <v>429</v>
      </c>
      <c r="P328" s="24">
        <f>VLOOKUP(I328, KM!$A:$E, 5, 0)</f>
        <v>434</v>
      </c>
      <c r="Q328" s="24">
        <f>VLOOKUP(J328, KM!$A:$E, 5, 0)</f>
        <v>521</v>
      </c>
      <c r="R328" s="24">
        <f>VLOOKUP(K328, KM!$A:$E, 5, 0)</f>
        <v>1144</v>
      </c>
      <c r="S328" s="24">
        <f>VLOOKUP(L328, KM!$A:$E, 5, 0)</f>
        <v>0</v>
      </c>
      <c r="T328" s="24">
        <f>VLOOKUP(M328, KM!$A:$E, 5, 0)</f>
        <v>852</v>
      </c>
      <c r="U328" s="24">
        <f>VLOOKUP(N328, KM!$A:$E, 5, 0)</f>
        <v>4374</v>
      </c>
      <c r="V328" s="24">
        <f>VLOOKUP(H328, IMPOSTO!$A:$D, 4, 0)</f>
        <v>0.12</v>
      </c>
      <c r="W328" s="24">
        <f>VLOOKUP(I328, IMPOSTO!$A:$D, 4, 0)</f>
        <v>0.12</v>
      </c>
      <c r="X328" s="24">
        <f>VLOOKUP(J328, IMPOSTO!$A:$D, 4, 0)</f>
        <v>7.0000000000000007E-2</v>
      </c>
      <c r="Y328" s="24">
        <f>VLOOKUP(K328, IMPOSTO!$A:$D, 4, 0)</f>
        <v>0.12</v>
      </c>
      <c r="Z328" s="24">
        <f>VLOOKUP(L328, IMPOSTO!$A:$D, 4, 0)</f>
        <v>0.18</v>
      </c>
      <c r="AA328" s="24">
        <f>VLOOKUP(M328, IMPOSTO!$A:$D, 4, 0)</f>
        <v>0.12</v>
      </c>
      <c r="AB328" s="24">
        <f>VLOOKUP(N328, IMPOSTO!$A:$D, 4, 0)</f>
        <v>7.0000000000000007E-2</v>
      </c>
      <c r="AC328" s="25">
        <f t="shared" si="40"/>
        <v>4968.75</v>
      </c>
      <c r="AD328" s="25">
        <f t="shared" si="41"/>
        <v>4969.318181818182</v>
      </c>
      <c r="AE328" s="25">
        <f t="shared" si="42"/>
        <v>4711.5053763440874</v>
      </c>
      <c r="AF328" s="25">
        <f t="shared" si="43"/>
        <v>5050</v>
      </c>
      <c r="AG328" s="25">
        <f t="shared" si="44"/>
        <v>5280</v>
      </c>
      <c r="AH328" s="25">
        <f t="shared" si="45"/>
        <v>5016.818181818182</v>
      </c>
      <c r="AI328" s="25">
        <f t="shared" si="46"/>
        <v>5125.8064516129034</v>
      </c>
    </row>
    <row r="329" spans="1:35" ht="15.75" customHeight="1">
      <c r="A329" s="12" t="s">
        <v>389</v>
      </c>
      <c r="B329" s="12" t="s">
        <v>391</v>
      </c>
      <c r="C329" s="12" t="s">
        <v>119</v>
      </c>
      <c r="D329" s="12" t="s">
        <v>50</v>
      </c>
      <c r="E329" s="12" t="s">
        <v>27</v>
      </c>
      <c r="F329" s="13">
        <v>403</v>
      </c>
      <c r="G329" s="14">
        <v>18962.52</v>
      </c>
      <c r="H329" s="24" t="str">
        <f t="shared" si="49"/>
        <v>RJSP</v>
      </c>
      <c r="I329" s="24" t="str">
        <f t="shared" si="48"/>
        <v>RJMG</v>
      </c>
      <c r="J329" s="24" t="str">
        <f t="shared" si="48"/>
        <v>RJES</v>
      </c>
      <c r="K329" s="24" t="str">
        <f t="shared" si="48"/>
        <v>RJSC</v>
      </c>
      <c r="L329" s="24" t="str">
        <f t="shared" si="48"/>
        <v>RJRJ</v>
      </c>
      <c r="M329" s="24" t="str">
        <f t="shared" si="48"/>
        <v>RJPR</v>
      </c>
      <c r="N329" s="24" t="str">
        <f t="shared" si="48"/>
        <v>RJAM</v>
      </c>
      <c r="O329" s="24">
        <f>VLOOKUP(H329, KM!$A:$E, 5, 0)</f>
        <v>429</v>
      </c>
      <c r="P329" s="24">
        <f>VLOOKUP(I329, KM!$A:$E, 5, 0)</f>
        <v>434</v>
      </c>
      <c r="Q329" s="24">
        <f>VLOOKUP(J329, KM!$A:$E, 5, 0)</f>
        <v>521</v>
      </c>
      <c r="R329" s="24">
        <f>VLOOKUP(K329, KM!$A:$E, 5, 0)</f>
        <v>1144</v>
      </c>
      <c r="S329" s="24">
        <f>VLOOKUP(L329, KM!$A:$E, 5, 0)</f>
        <v>0</v>
      </c>
      <c r="T329" s="24">
        <f>VLOOKUP(M329, KM!$A:$E, 5, 0)</f>
        <v>852</v>
      </c>
      <c r="U329" s="24">
        <f>VLOOKUP(N329, KM!$A:$E, 5, 0)</f>
        <v>4374</v>
      </c>
      <c r="V329" s="24">
        <f>VLOOKUP(H329, IMPOSTO!$A:$D, 4, 0)</f>
        <v>0.12</v>
      </c>
      <c r="W329" s="24">
        <f>VLOOKUP(I329, IMPOSTO!$A:$D, 4, 0)</f>
        <v>0.12</v>
      </c>
      <c r="X329" s="24">
        <f>VLOOKUP(J329, IMPOSTO!$A:$D, 4, 0)</f>
        <v>7.0000000000000007E-2</v>
      </c>
      <c r="Y329" s="24">
        <f>VLOOKUP(K329, IMPOSTO!$A:$D, 4, 0)</f>
        <v>0.12</v>
      </c>
      <c r="Z329" s="24">
        <f>VLOOKUP(L329, IMPOSTO!$A:$D, 4, 0)</f>
        <v>0.18</v>
      </c>
      <c r="AA329" s="24">
        <f>VLOOKUP(M329, IMPOSTO!$A:$D, 4, 0)</f>
        <v>0.12</v>
      </c>
      <c r="AB329" s="24">
        <f>VLOOKUP(N329, IMPOSTO!$A:$D, 4, 0)</f>
        <v>7.0000000000000007E-2</v>
      </c>
      <c r="AC329" s="25">
        <f t="shared" si="40"/>
        <v>21597.068181818184</v>
      </c>
      <c r="AD329" s="25">
        <f t="shared" si="41"/>
        <v>21597.636363636364</v>
      </c>
      <c r="AE329" s="25">
        <f t="shared" si="42"/>
        <v>20445.827956989247</v>
      </c>
      <c r="AF329" s="25">
        <f t="shared" si="43"/>
        <v>21678.318181818184</v>
      </c>
      <c r="AG329" s="25">
        <f t="shared" si="44"/>
        <v>23125.0243902439</v>
      </c>
      <c r="AH329" s="25">
        <f t="shared" si="45"/>
        <v>21645.136363636364</v>
      </c>
      <c r="AI329" s="25">
        <f t="shared" si="46"/>
        <v>20860.129032258068</v>
      </c>
    </row>
    <row r="330" spans="1:35" ht="15.75" customHeight="1">
      <c r="A330" s="12" t="s">
        <v>392</v>
      </c>
      <c r="B330" s="12" t="s">
        <v>393</v>
      </c>
      <c r="C330" s="12" t="s">
        <v>176</v>
      </c>
      <c r="D330" s="12" t="s">
        <v>33</v>
      </c>
      <c r="E330" s="12" t="s">
        <v>27</v>
      </c>
      <c r="F330" s="13">
        <v>1850.0000000000009</v>
      </c>
      <c r="G330" s="14">
        <v>46834.559573361075</v>
      </c>
      <c r="H330" s="24" t="str">
        <f t="shared" si="49"/>
        <v>RJSP</v>
      </c>
      <c r="I330" s="24" t="str">
        <f t="shared" si="48"/>
        <v>RJMG</v>
      </c>
      <c r="J330" s="24" t="str">
        <f t="shared" si="48"/>
        <v>RJES</v>
      </c>
      <c r="K330" s="24" t="str">
        <f t="shared" si="48"/>
        <v>RJSC</v>
      </c>
      <c r="L330" s="24" t="str">
        <f t="shared" si="48"/>
        <v>RJRJ</v>
      </c>
      <c r="M330" s="24" t="str">
        <f t="shared" si="48"/>
        <v>RJPR</v>
      </c>
      <c r="N330" s="24" t="str">
        <f t="shared" si="48"/>
        <v>RJAM</v>
      </c>
      <c r="O330" s="24">
        <f>VLOOKUP(H330, KM!$A:$E, 5, 0)</f>
        <v>429</v>
      </c>
      <c r="P330" s="24">
        <f>VLOOKUP(I330, KM!$A:$E, 5, 0)</f>
        <v>434</v>
      </c>
      <c r="Q330" s="24">
        <f>VLOOKUP(J330, KM!$A:$E, 5, 0)</f>
        <v>521</v>
      </c>
      <c r="R330" s="24">
        <f>VLOOKUP(K330, KM!$A:$E, 5, 0)</f>
        <v>1144</v>
      </c>
      <c r="S330" s="24">
        <f>VLOOKUP(L330, KM!$A:$E, 5, 0)</f>
        <v>0</v>
      </c>
      <c r="T330" s="24">
        <f>VLOOKUP(M330, KM!$A:$E, 5, 0)</f>
        <v>852</v>
      </c>
      <c r="U330" s="24">
        <f>VLOOKUP(N330, KM!$A:$E, 5, 0)</f>
        <v>4374</v>
      </c>
      <c r="V330" s="24">
        <f>VLOOKUP(H330, IMPOSTO!$A:$D, 4, 0)</f>
        <v>0.12</v>
      </c>
      <c r="W330" s="24">
        <f>VLOOKUP(I330, IMPOSTO!$A:$D, 4, 0)</f>
        <v>0.12</v>
      </c>
      <c r="X330" s="24">
        <f>VLOOKUP(J330, IMPOSTO!$A:$D, 4, 0)</f>
        <v>7.0000000000000007E-2</v>
      </c>
      <c r="Y330" s="24">
        <f>VLOOKUP(K330, IMPOSTO!$A:$D, 4, 0)</f>
        <v>0.12</v>
      </c>
      <c r="Z330" s="24">
        <f>VLOOKUP(L330, IMPOSTO!$A:$D, 4, 0)</f>
        <v>0.18</v>
      </c>
      <c r="AA330" s="24">
        <f>VLOOKUP(M330, IMPOSTO!$A:$D, 4, 0)</f>
        <v>0.12</v>
      </c>
      <c r="AB330" s="24">
        <f>VLOOKUP(N330, IMPOSTO!$A:$D, 4, 0)</f>
        <v>7.0000000000000007E-2</v>
      </c>
      <c r="AC330" s="25">
        <f t="shared" si="40"/>
        <v>53269.840424273949</v>
      </c>
      <c r="AD330" s="25">
        <f t="shared" si="41"/>
        <v>53270.408606092133</v>
      </c>
      <c r="AE330" s="25">
        <f t="shared" si="42"/>
        <v>50415.762982108688</v>
      </c>
      <c r="AF330" s="25">
        <f t="shared" si="43"/>
        <v>53351.090424273949</v>
      </c>
      <c r="AG330" s="25">
        <f t="shared" si="44"/>
        <v>57115.316552879354</v>
      </c>
      <c r="AH330" s="25">
        <f t="shared" si="45"/>
        <v>53317.908606092125</v>
      </c>
      <c r="AI330" s="25">
        <f t="shared" si="46"/>
        <v>50830.064057377502</v>
      </c>
    </row>
    <row r="331" spans="1:35" ht="15.75" customHeight="1">
      <c r="A331" s="12" t="s">
        <v>394</v>
      </c>
      <c r="B331" s="12" t="s">
        <v>395</v>
      </c>
      <c r="C331" s="12" t="s">
        <v>163</v>
      </c>
      <c r="D331" s="12" t="s">
        <v>33</v>
      </c>
      <c r="E331" s="12" t="s">
        <v>27</v>
      </c>
      <c r="F331" s="13">
        <v>3.3333333333333335</v>
      </c>
      <c r="G331" s="14">
        <v>199.23333333333332</v>
      </c>
      <c r="H331" s="24" t="str">
        <f t="shared" si="49"/>
        <v>RJSP</v>
      </c>
      <c r="I331" s="24" t="str">
        <f t="shared" si="48"/>
        <v>RJMG</v>
      </c>
      <c r="J331" s="24" t="str">
        <f t="shared" si="48"/>
        <v>RJES</v>
      </c>
      <c r="K331" s="24" t="str">
        <f t="shared" si="48"/>
        <v>RJSC</v>
      </c>
      <c r="L331" s="24" t="str">
        <f t="shared" si="48"/>
        <v>RJRJ</v>
      </c>
      <c r="M331" s="24" t="str">
        <f t="shared" si="48"/>
        <v>RJPR</v>
      </c>
      <c r="N331" s="24" t="str">
        <f t="shared" si="48"/>
        <v>RJAM</v>
      </c>
      <c r="O331" s="24">
        <f>VLOOKUP(H331, KM!$A:$E, 5, 0)</f>
        <v>429</v>
      </c>
      <c r="P331" s="24">
        <f>VLOOKUP(I331, KM!$A:$E, 5, 0)</f>
        <v>434</v>
      </c>
      <c r="Q331" s="24">
        <f>VLOOKUP(J331, KM!$A:$E, 5, 0)</f>
        <v>521</v>
      </c>
      <c r="R331" s="24">
        <f>VLOOKUP(K331, KM!$A:$E, 5, 0)</f>
        <v>1144</v>
      </c>
      <c r="S331" s="24">
        <f>VLOOKUP(L331, KM!$A:$E, 5, 0)</f>
        <v>0</v>
      </c>
      <c r="T331" s="24">
        <f>VLOOKUP(M331, KM!$A:$E, 5, 0)</f>
        <v>852</v>
      </c>
      <c r="U331" s="24">
        <f>VLOOKUP(N331, KM!$A:$E, 5, 0)</f>
        <v>4374</v>
      </c>
      <c r="V331" s="24">
        <f>VLOOKUP(H331, IMPOSTO!$A:$D, 4, 0)</f>
        <v>0.12</v>
      </c>
      <c r="W331" s="24">
        <f>VLOOKUP(I331, IMPOSTO!$A:$D, 4, 0)</f>
        <v>0.12</v>
      </c>
      <c r="X331" s="24">
        <f>VLOOKUP(J331, IMPOSTO!$A:$D, 4, 0)</f>
        <v>7.0000000000000007E-2</v>
      </c>
      <c r="Y331" s="24">
        <f>VLOOKUP(K331, IMPOSTO!$A:$D, 4, 0)</f>
        <v>0.12</v>
      </c>
      <c r="Z331" s="24">
        <f>VLOOKUP(L331, IMPOSTO!$A:$D, 4, 0)</f>
        <v>0.18</v>
      </c>
      <c r="AA331" s="24">
        <f>VLOOKUP(M331, IMPOSTO!$A:$D, 4, 0)</f>
        <v>0.12</v>
      </c>
      <c r="AB331" s="24">
        <f>VLOOKUP(N331, IMPOSTO!$A:$D, 4, 0)</f>
        <v>7.0000000000000007E-2</v>
      </c>
      <c r="AC331" s="25">
        <f t="shared" si="40"/>
        <v>275.15151515151513</v>
      </c>
      <c r="AD331" s="25">
        <f t="shared" si="41"/>
        <v>275.71969696969694</v>
      </c>
      <c r="AE331" s="25">
        <f t="shared" si="42"/>
        <v>270.25089605734769</v>
      </c>
      <c r="AF331" s="25">
        <f t="shared" si="43"/>
        <v>356.40151515151513</v>
      </c>
      <c r="AG331" s="25">
        <f t="shared" si="44"/>
        <v>242.96747967479672</v>
      </c>
      <c r="AH331" s="25">
        <f t="shared" si="45"/>
        <v>323.219696969697</v>
      </c>
      <c r="AI331" s="25">
        <f t="shared" si="46"/>
        <v>684.5519713261649</v>
      </c>
    </row>
    <row r="332" spans="1:35" ht="15.75" customHeight="1">
      <c r="A332" s="12" t="s">
        <v>396</v>
      </c>
      <c r="B332" s="12" t="s">
        <v>397</v>
      </c>
      <c r="C332" s="12" t="s">
        <v>143</v>
      </c>
      <c r="D332" s="12" t="s">
        <v>33</v>
      </c>
      <c r="E332" s="12" t="s">
        <v>27</v>
      </c>
      <c r="F332" s="13">
        <v>598.125</v>
      </c>
      <c r="G332" s="14">
        <v>77186.835000000006</v>
      </c>
      <c r="H332" s="24" t="str">
        <f t="shared" si="49"/>
        <v>RJSP</v>
      </c>
      <c r="I332" s="24" t="str">
        <f t="shared" si="48"/>
        <v>RJMG</v>
      </c>
      <c r="J332" s="24" t="str">
        <f t="shared" si="48"/>
        <v>RJES</v>
      </c>
      <c r="K332" s="24" t="str">
        <f t="shared" si="48"/>
        <v>RJSC</v>
      </c>
      <c r="L332" s="24" t="str">
        <f t="shared" si="48"/>
        <v>RJRJ</v>
      </c>
      <c r="M332" s="24" t="str">
        <f t="shared" si="48"/>
        <v>RJPR</v>
      </c>
      <c r="N332" s="24" t="str">
        <f t="shared" si="48"/>
        <v>RJAM</v>
      </c>
      <c r="O332" s="24">
        <f>VLOOKUP(H332, KM!$A:$E, 5, 0)</f>
        <v>429</v>
      </c>
      <c r="P332" s="24">
        <f>VLOOKUP(I332, KM!$A:$E, 5, 0)</f>
        <v>434</v>
      </c>
      <c r="Q332" s="24">
        <f>VLOOKUP(J332, KM!$A:$E, 5, 0)</f>
        <v>521</v>
      </c>
      <c r="R332" s="24">
        <f>VLOOKUP(K332, KM!$A:$E, 5, 0)</f>
        <v>1144</v>
      </c>
      <c r="S332" s="24">
        <f>VLOOKUP(L332, KM!$A:$E, 5, 0)</f>
        <v>0</v>
      </c>
      <c r="T332" s="24">
        <f>VLOOKUP(M332, KM!$A:$E, 5, 0)</f>
        <v>852</v>
      </c>
      <c r="U332" s="24">
        <f>VLOOKUP(N332, KM!$A:$E, 5, 0)</f>
        <v>4374</v>
      </c>
      <c r="V332" s="24">
        <f>VLOOKUP(H332, IMPOSTO!$A:$D, 4, 0)</f>
        <v>0.12</v>
      </c>
      <c r="W332" s="24">
        <f>VLOOKUP(I332, IMPOSTO!$A:$D, 4, 0)</f>
        <v>0.12</v>
      </c>
      <c r="X332" s="24">
        <f>VLOOKUP(J332, IMPOSTO!$A:$D, 4, 0)</f>
        <v>7.0000000000000007E-2</v>
      </c>
      <c r="Y332" s="24">
        <f>VLOOKUP(K332, IMPOSTO!$A:$D, 4, 0)</f>
        <v>0.12</v>
      </c>
      <c r="Z332" s="24">
        <f>VLOOKUP(L332, IMPOSTO!$A:$D, 4, 0)</f>
        <v>0.18</v>
      </c>
      <c r="AA332" s="24">
        <f>VLOOKUP(M332, IMPOSTO!$A:$D, 4, 0)</f>
        <v>0.12</v>
      </c>
      <c r="AB332" s="24">
        <f>VLOOKUP(N332, IMPOSTO!$A:$D, 4, 0)</f>
        <v>7.0000000000000007E-2</v>
      </c>
      <c r="AC332" s="25">
        <f t="shared" si="40"/>
        <v>87761.0625</v>
      </c>
      <c r="AD332" s="25">
        <f t="shared" si="41"/>
        <v>87761.630681818177</v>
      </c>
      <c r="AE332" s="25">
        <f t="shared" si="42"/>
        <v>83052.618279569913</v>
      </c>
      <c r="AF332" s="25">
        <f t="shared" si="43"/>
        <v>87842.3125</v>
      </c>
      <c r="AG332" s="25">
        <f t="shared" si="44"/>
        <v>94130.286585365859</v>
      </c>
      <c r="AH332" s="25">
        <f t="shared" si="45"/>
        <v>87809.130681818191</v>
      </c>
      <c r="AI332" s="25">
        <f t="shared" si="46"/>
        <v>83466.919354838712</v>
      </c>
    </row>
    <row r="333" spans="1:35" ht="15.75" customHeight="1">
      <c r="A333" s="12" t="s">
        <v>398</v>
      </c>
      <c r="B333" s="12" t="s">
        <v>399</v>
      </c>
      <c r="C333" s="12" t="s">
        <v>98</v>
      </c>
      <c r="D333" s="12" t="s">
        <v>33</v>
      </c>
      <c r="E333" s="12" t="s">
        <v>27</v>
      </c>
      <c r="F333" s="13">
        <v>3.4652849740932641E-2</v>
      </c>
      <c r="G333" s="14">
        <v>0.35574300518134722</v>
      </c>
      <c r="H333" s="24" t="str">
        <f t="shared" si="49"/>
        <v>RJSP</v>
      </c>
      <c r="I333" s="24" t="str">
        <f t="shared" si="48"/>
        <v>RJMG</v>
      </c>
      <c r="J333" s="24" t="str">
        <f t="shared" si="48"/>
        <v>RJES</v>
      </c>
      <c r="K333" s="24" t="str">
        <f t="shared" si="48"/>
        <v>RJSC</v>
      </c>
      <c r="L333" s="24" t="str">
        <f t="shared" si="48"/>
        <v>RJRJ</v>
      </c>
      <c r="M333" s="24" t="str">
        <f t="shared" si="48"/>
        <v>RJPR</v>
      </c>
      <c r="N333" s="24" t="str">
        <f t="shared" si="48"/>
        <v>RJAM</v>
      </c>
      <c r="O333" s="24">
        <f>VLOOKUP(H333, KM!$A:$E, 5, 0)</f>
        <v>429</v>
      </c>
      <c r="P333" s="24">
        <f>VLOOKUP(I333, KM!$A:$E, 5, 0)</f>
        <v>434</v>
      </c>
      <c r="Q333" s="24">
        <f>VLOOKUP(J333, KM!$A:$E, 5, 0)</f>
        <v>521</v>
      </c>
      <c r="R333" s="24">
        <f>VLOOKUP(K333, KM!$A:$E, 5, 0)</f>
        <v>1144</v>
      </c>
      <c r="S333" s="24">
        <f>VLOOKUP(L333, KM!$A:$E, 5, 0)</f>
        <v>0</v>
      </c>
      <c r="T333" s="24">
        <f>VLOOKUP(M333, KM!$A:$E, 5, 0)</f>
        <v>852</v>
      </c>
      <c r="U333" s="24">
        <f>VLOOKUP(N333, KM!$A:$E, 5, 0)</f>
        <v>4374</v>
      </c>
      <c r="V333" s="24">
        <f>VLOOKUP(H333, IMPOSTO!$A:$D, 4, 0)</f>
        <v>0.12</v>
      </c>
      <c r="W333" s="24">
        <f>VLOOKUP(I333, IMPOSTO!$A:$D, 4, 0)</f>
        <v>0.12</v>
      </c>
      <c r="X333" s="24">
        <f>VLOOKUP(J333, IMPOSTO!$A:$D, 4, 0)</f>
        <v>7.0000000000000007E-2</v>
      </c>
      <c r="Y333" s="24">
        <f>VLOOKUP(K333, IMPOSTO!$A:$D, 4, 0)</f>
        <v>0.12</v>
      </c>
      <c r="Z333" s="24">
        <f>VLOOKUP(L333, IMPOSTO!$A:$D, 4, 0)</f>
        <v>0.18</v>
      </c>
      <c r="AA333" s="24">
        <f>VLOOKUP(M333, IMPOSTO!$A:$D, 4, 0)</f>
        <v>0.12</v>
      </c>
      <c r="AB333" s="24">
        <f>VLOOKUP(N333, IMPOSTO!$A:$D, 4, 0)</f>
        <v>7.0000000000000007E-2</v>
      </c>
      <c r="AC333" s="25">
        <f t="shared" si="40"/>
        <v>49.154253414978811</v>
      </c>
      <c r="AD333" s="25">
        <f t="shared" si="41"/>
        <v>49.722435233160624</v>
      </c>
      <c r="AE333" s="25">
        <f t="shared" si="42"/>
        <v>56.404024736754138</v>
      </c>
      <c r="AF333" s="25">
        <f t="shared" si="43"/>
        <v>130.40425341497883</v>
      </c>
      <c r="AG333" s="25">
        <f t="shared" si="44"/>
        <v>0.43383293314798438</v>
      </c>
      <c r="AH333" s="25">
        <f t="shared" si="45"/>
        <v>97.222435233160624</v>
      </c>
      <c r="AI333" s="25">
        <f t="shared" si="46"/>
        <v>470.70510000557141</v>
      </c>
    </row>
    <row r="334" spans="1:35" ht="15.75" customHeight="1">
      <c r="A334" s="12" t="s">
        <v>400</v>
      </c>
      <c r="B334" s="12" t="s">
        <v>401</v>
      </c>
      <c r="C334" s="12" t="s">
        <v>122</v>
      </c>
      <c r="D334" s="12" t="s">
        <v>33</v>
      </c>
      <c r="E334" s="12" t="s">
        <v>27</v>
      </c>
      <c r="F334" s="13">
        <v>2.5823828200972447</v>
      </c>
      <c r="G334" s="14">
        <v>154.08542970178286</v>
      </c>
      <c r="H334" s="24" t="str">
        <f t="shared" si="49"/>
        <v>RJSP</v>
      </c>
      <c r="I334" s="24" t="str">
        <f t="shared" si="48"/>
        <v>RJMG</v>
      </c>
      <c r="J334" s="24" t="str">
        <f t="shared" si="48"/>
        <v>RJES</v>
      </c>
      <c r="K334" s="24" t="str">
        <f t="shared" si="48"/>
        <v>RJSC</v>
      </c>
      <c r="L334" s="24" t="str">
        <f t="shared" si="48"/>
        <v>RJRJ</v>
      </c>
      <c r="M334" s="24" t="str">
        <f t="shared" si="48"/>
        <v>RJPR</v>
      </c>
      <c r="N334" s="24" t="str">
        <f t="shared" si="48"/>
        <v>RJAM</v>
      </c>
      <c r="O334" s="24">
        <f>VLOOKUP(H334, KM!$A:$E, 5, 0)</f>
        <v>429</v>
      </c>
      <c r="P334" s="24">
        <f>VLOOKUP(I334, KM!$A:$E, 5, 0)</f>
        <v>434</v>
      </c>
      <c r="Q334" s="24">
        <f>VLOOKUP(J334, KM!$A:$E, 5, 0)</f>
        <v>521</v>
      </c>
      <c r="R334" s="24">
        <f>VLOOKUP(K334, KM!$A:$E, 5, 0)</f>
        <v>1144</v>
      </c>
      <c r="S334" s="24">
        <f>VLOOKUP(L334, KM!$A:$E, 5, 0)</f>
        <v>0</v>
      </c>
      <c r="T334" s="24">
        <f>VLOOKUP(M334, KM!$A:$E, 5, 0)</f>
        <v>852</v>
      </c>
      <c r="U334" s="24">
        <f>VLOOKUP(N334, KM!$A:$E, 5, 0)</f>
        <v>4374</v>
      </c>
      <c r="V334" s="24">
        <f>VLOOKUP(H334, IMPOSTO!$A:$D, 4, 0)</f>
        <v>0.12</v>
      </c>
      <c r="W334" s="24">
        <f>VLOOKUP(I334, IMPOSTO!$A:$D, 4, 0)</f>
        <v>0.12</v>
      </c>
      <c r="X334" s="24">
        <f>VLOOKUP(J334, IMPOSTO!$A:$D, 4, 0)</f>
        <v>7.0000000000000007E-2</v>
      </c>
      <c r="Y334" s="24">
        <f>VLOOKUP(K334, IMPOSTO!$A:$D, 4, 0)</f>
        <v>0.12</v>
      </c>
      <c r="Z334" s="24">
        <f>VLOOKUP(L334, IMPOSTO!$A:$D, 4, 0)</f>
        <v>0.18</v>
      </c>
      <c r="AA334" s="24">
        <f>VLOOKUP(M334, IMPOSTO!$A:$D, 4, 0)</f>
        <v>0.12</v>
      </c>
      <c r="AB334" s="24">
        <f>VLOOKUP(N334, IMPOSTO!$A:$D, 4, 0)</f>
        <v>7.0000000000000007E-2</v>
      </c>
      <c r="AC334" s="25">
        <f t="shared" si="40"/>
        <v>223.84707920657144</v>
      </c>
      <c r="AD334" s="25">
        <f t="shared" si="41"/>
        <v>224.41526102475325</v>
      </c>
      <c r="AE334" s="25">
        <f t="shared" si="42"/>
        <v>221.70476312019662</v>
      </c>
      <c r="AF334" s="25">
        <f t="shared" si="43"/>
        <v>305.09707920657149</v>
      </c>
      <c r="AG334" s="25">
        <f t="shared" si="44"/>
        <v>187.9090606119303</v>
      </c>
      <c r="AH334" s="25">
        <f t="shared" si="45"/>
        <v>271.91526102475325</v>
      </c>
      <c r="AI334" s="25">
        <f t="shared" si="46"/>
        <v>636.00583838901389</v>
      </c>
    </row>
    <row r="335" spans="1:35" ht="15.75" customHeight="1">
      <c r="A335" s="12" t="s">
        <v>402</v>
      </c>
      <c r="B335" s="12" t="s">
        <v>403</v>
      </c>
      <c r="C335" s="12" t="s">
        <v>181</v>
      </c>
      <c r="D335" s="12" t="s">
        <v>33</v>
      </c>
      <c r="E335" s="12" t="s">
        <v>27</v>
      </c>
      <c r="F335" s="13">
        <v>1817.9657999999997</v>
      </c>
      <c r="G335" s="14">
        <v>37008.236479081053</v>
      </c>
      <c r="H335" s="24" t="str">
        <f t="shared" si="49"/>
        <v>RJSP</v>
      </c>
      <c r="I335" s="24" t="str">
        <f t="shared" si="48"/>
        <v>RJMG</v>
      </c>
      <c r="J335" s="24" t="str">
        <f t="shared" si="48"/>
        <v>RJES</v>
      </c>
      <c r="K335" s="24" t="str">
        <f t="shared" si="48"/>
        <v>RJSC</v>
      </c>
      <c r="L335" s="24" t="str">
        <f t="shared" si="48"/>
        <v>RJRJ</v>
      </c>
      <c r="M335" s="24" t="str">
        <f t="shared" si="48"/>
        <v>RJPR</v>
      </c>
      <c r="N335" s="24" t="str">
        <f t="shared" si="48"/>
        <v>RJAM</v>
      </c>
      <c r="O335" s="24">
        <f>VLOOKUP(H335, KM!$A:$E, 5, 0)</f>
        <v>429</v>
      </c>
      <c r="P335" s="24">
        <f>VLOOKUP(I335, KM!$A:$E, 5, 0)</f>
        <v>434</v>
      </c>
      <c r="Q335" s="24">
        <f>VLOOKUP(J335, KM!$A:$E, 5, 0)</f>
        <v>521</v>
      </c>
      <c r="R335" s="24">
        <f>VLOOKUP(K335, KM!$A:$E, 5, 0)</f>
        <v>1144</v>
      </c>
      <c r="S335" s="24">
        <f>VLOOKUP(L335, KM!$A:$E, 5, 0)</f>
        <v>0</v>
      </c>
      <c r="T335" s="24">
        <f>VLOOKUP(M335, KM!$A:$E, 5, 0)</f>
        <v>852</v>
      </c>
      <c r="U335" s="24">
        <f>VLOOKUP(N335, KM!$A:$E, 5, 0)</f>
        <v>4374</v>
      </c>
      <c r="V335" s="24">
        <f>VLOOKUP(H335, IMPOSTO!$A:$D, 4, 0)</f>
        <v>0.12</v>
      </c>
      <c r="W335" s="24">
        <f>VLOOKUP(I335, IMPOSTO!$A:$D, 4, 0)</f>
        <v>0.12</v>
      </c>
      <c r="X335" s="24">
        <f>VLOOKUP(J335, IMPOSTO!$A:$D, 4, 0)</f>
        <v>7.0000000000000007E-2</v>
      </c>
      <c r="Y335" s="24">
        <f>VLOOKUP(K335, IMPOSTO!$A:$D, 4, 0)</f>
        <v>0.12</v>
      </c>
      <c r="Z335" s="24">
        <f>VLOOKUP(L335, IMPOSTO!$A:$D, 4, 0)</f>
        <v>0.18</v>
      </c>
      <c r="AA335" s="24">
        <f>VLOOKUP(M335, IMPOSTO!$A:$D, 4, 0)</f>
        <v>0.12</v>
      </c>
      <c r="AB335" s="24">
        <f>VLOOKUP(N335, IMPOSTO!$A:$D, 4, 0)</f>
        <v>7.0000000000000007E-2</v>
      </c>
      <c r="AC335" s="25">
        <f t="shared" si="40"/>
        <v>42103.564180773923</v>
      </c>
      <c r="AD335" s="25">
        <f t="shared" si="41"/>
        <v>42104.132362592107</v>
      </c>
      <c r="AE335" s="25">
        <f t="shared" si="42"/>
        <v>39849.824171054897</v>
      </c>
      <c r="AF335" s="25">
        <f t="shared" si="43"/>
        <v>42184.814180773923</v>
      </c>
      <c r="AG335" s="25">
        <f t="shared" si="44"/>
        <v>45131.995706196401</v>
      </c>
      <c r="AH335" s="25">
        <f t="shared" si="45"/>
        <v>42151.6323625921</v>
      </c>
      <c r="AI335" s="25">
        <f t="shared" si="46"/>
        <v>40264.125246323718</v>
      </c>
    </row>
    <row r="336" spans="1:35" ht="15.75" customHeight="1">
      <c r="A336" s="12" t="s">
        <v>179</v>
      </c>
      <c r="B336" s="12" t="s">
        <v>180</v>
      </c>
      <c r="C336" s="12" t="s">
        <v>181</v>
      </c>
      <c r="D336" s="12" t="s">
        <v>33</v>
      </c>
      <c r="E336" s="12" t="s">
        <v>27</v>
      </c>
      <c r="F336" s="13">
        <v>14.652210526315789</v>
      </c>
      <c r="G336" s="14">
        <v>123.52546084210525</v>
      </c>
      <c r="H336" s="24" t="str">
        <f t="shared" si="49"/>
        <v>RJSP</v>
      </c>
      <c r="I336" s="24" t="str">
        <f t="shared" si="48"/>
        <v>RJMG</v>
      </c>
      <c r="J336" s="24" t="str">
        <f t="shared" si="48"/>
        <v>RJES</v>
      </c>
      <c r="K336" s="24" t="str">
        <f t="shared" si="48"/>
        <v>RJSC</v>
      </c>
      <c r="L336" s="24" t="str">
        <f t="shared" si="48"/>
        <v>RJRJ</v>
      </c>
      <c r="M336" s="24" t="str">
        <f t="shared" si="48"/>
        <v>RJPR</v>
      </c>
      <c r="N336" s="24" t="str">
        <f t="shared" si="48"/>
        <v>RJAM</v>
      </c>
      <c r="O336" s="24">
        <f>VLOOKUP(H336, KM!$A:$E, 5, 0)</f>
        <v>429</v>
      </c>
      <c r="P336" s="24">
        <f>VLOOKUP(I336, KM!$A:$E, 5, 0)</f>
        <v>434</v>
      </c>
      <c r="Q336" s="24">
        <f>VLOOKUP(J336, KM!$A:$E, 5, 0)</f>
        <v>521</v>
      </c>
      <c r="R336" s="24">
        <f>VLOOKUP(K336, KM!$A:$E, 5, 0)</f>
        <v>1144</v>
      </c>
      <c r="S336" s="24">
        <f>VLOOKUP(L336, KM!$A:$E, 5, 0)</f>
        <v>0</v>
      </c>
      <c r="T336" s="24">
        <f>VLOOKUP(M336, KM!$A:$E, 5, 0)</f>
        <v>852</v>
      </c>
      <c r="U336" s="24">
        <f>VLOOKUP(N336, KM!$A:$E, 5, 0)</f>
        <v>4374</v>
      </c>
      <c r="V336" s="24">
        <f>VLOOKUP(H336, IMPOSTO!$A:$D, 4, 0)</f>
        <v>0.12</v>
      </c>
      <c r="W336" s="24">
        <f>VLOOKUP(I336, IMPOSTO!$A:$D, 4, 0)</f>
        <v>0.12</v>
      </c>
      <c r="X336" s="24">
        <f>VLOOKUP(J336, IMPOSTO!$A:$D, 4, 0)</f>
        <v>7.0000000000000007E-2</v>
      </c>
      <c r="Y336" s="24">
        <f>VLOOKUP(K336, IMPOSTO!$A:$D, 4, 0)</f>
        <v>0.12</v>
      </c>
      <c r="Z336" s="24">
        <f>VLOOKUP(L336, IMPOSTO!$A:$D, 4, 0)</f>
        <v>0.18</v>
      </c>
      <c r="AA336" s="24">
        <f>VLOOKUP(M336, IMPOSTO!$A:$D, 4, 0)</f>
        <v>0.12</v>
      </c>
      <c r="AB336" s="24">
        <f>VLOOKUP(N336, IMPOSTO!$A:$D, 4, 0)</f>
        <v>7.0000000000000007E-2</v>
      </c>
      <c r="AC336" s="25">
        <f t="shared" si="40"/>
        <v>189.11984186602871</v>
      </c>
      <c r="AD336" s="25">
        <f t="shared" si="41"/>
        <v>189.68802368421052</v>
      </c>
      <c r="AE336" s="25">
        <f t="shared" si="42"/>
        <v>188.84458155065082</v>
      </c>
      <c r="AF336" s="25">
        <f t="shared" si="43"/>
        <v>270.36984186602871</v>
      </c>
      <c r="AG336" s="25">
        <f t="shared" si="44"/>
        <v>150.64080590500637</v>
      </c>
      <c r="AH336" s="25">
        <f t="shared" si="45"/>
        <v>237.18802368421049</v>
      </c>
      <c r="AI336" s="25">
        <f t="shared" si="46"/>
        <v>603.14565681946806</v>
      </c>
    </row>
    <row r="337" spans="1:35" ht="15.75" customHeight="1">
      <c r="A337" s="12" t="s">
        <v>182</v>
      </c>
      <c r="B337" s="12" t="s">
        <v>183</v>
      </c>
      <c r="C337" s="12" t="s">
        <v>160</v>
      </c>
      <c r="D337" s="12" t="s">
        <v>33</v>
      </c>
      <c r="E337" s="12" t="s">
        <v>27</v>
      </c>
      <c r="F337" s="13">
        <v>45.664798816568037</v>
      </c>
      <c r="G337" s="14">
        <v>253.09922311350186</v>
      </c>
      <c r="H337" s="24" t="str">
        <f t="shared" si="49"/>
        <v>RJSP</v>
      </c>
      <c r="I337" s="24" t="str">
        <f t="shared" si="48"/>
        <v>RJMG</v>
      </c>
      <c r="J337" s="24" t="str">
        <f t="shared" si="48"/>
        <v>RJES</v>
      </c>
      <c r="K337" s="24" t="str">
        <f t="shared" si="48"/>
        <v>RJSC</v>
      </c>
      <c r="L337" s="24" t="str">
        <f t="shared" si="48"/>
        <v>RJRJ</v>
      </c>
      <c r="M337" s="24" t="str">
        <f t="shared" si="48"/>
        <v>RJPR</v>
      </c>
      <c r="N337" s="24" t="str">
        <f t="shared" si="48"/>
        <v>RJAM</v>
      </c>
      <c r="O337" s="24">
        <f>VLOOKUP(H337, KM!$A:$E, 5, 0)</f>
        <v>429</v>
      </c>
      <c r="P337" s="24">
        <f>VLOOKUP(I337, KM!$A:$E, 5, 0)</f>
        <v>434</v>
      </c>
      <c r="Q337" s="24">
        <f>VLOOKUP(J337, KM!$A:$E, 5, 0)</f>
        <v>521</v>
      </c>
      <c r="R337" s="24">
        <f>VLOOKUP(K337, KM!$A:$E, 5, 0)</f>
        <v>1144</v>
      </c>
      <c r="S337" s="24">
        <f>VLOOKUP(L337, KM!$A:$E, 5, 0)</f>
        <v>0</v>
      </c>
      <c r="T337" s="24">
        <f>VLOOKUP(M337, KM!$A:$E, 5, 0)</f>
        <v>852</v>
      </c>
      <c r="U337" s="24">
        <f>VLOOKUP(N337, KM!$A:$E, 5, 0)</f>
        <v>4374</v>
      </c>
      <c r="V337" s="24">
        <f>VLOOKUP(H337, IMPOSTO!$A:$D, 4, 0)</f>
        <v>0.12</v>
      </c>
      <c r="W337" s="24">
        <f>VLOOKUP(I337, IMPOSTO!$A:$D, 4, 0)</f>
        <v>0.12</v>
      </c>
      <c r="X337" s="24">
        <f>VLOOKUP(J337, IMPOSTO!$A:$D, 4, 0)</f>
        <v>7.0000000000000007E-2</v>
      </c>
      <c r="Y337" s="24">
        <f>VLOOKUP(K337, IMPOSTO!$A:$D, 4, 0)</f>
        <v>0.12</v>
      </c>
      <c r="Z337" s="24">
        <f>VLOOKUP(L337, IMPOSTO!$A:$D, 4, 0)</f>
        <v>0.18</v>
      </c>
      <c r="AA337" s="24">
        <f>VLOOKUP(M337, IMPOSTO!$A:$D, 4, 0)</f>
        <v>0.12</v>
      </c>
      <c r="AB337" s="24">
        <f>VLOOKUP(N337, IMPOSTO!$A:$D, 4, 0)</f>
        <v>7.0000000000000007E-2</v>
      </c>
      <c r="AC337" s="25">
        <f t="shared" si="40"/>
        <v>336.36275353807036</v>
      </c>
      <c r="AD337" s="25">
        <f t="shared" si="41"/>
        <v>336.93093535625218</v>
      </c>
      <c r="AE337" s="25">
        <f t="shared" si="42"/>
        <v>328.17120764892678</v>
      </c>
      <c r="AF337" s="25">
        <f t="shared" si="43"/>
        <v>417.61275353807036</v>
      </c>
      <c r="AG337" s="25">
        <f t="shared" si="44"/>
        <v>308.65758916280714</v>
      </c>
      <c r="AH337" s="25">
        <f t="shared" si="45"/>
        <v>384.43093535625212</v>
      </c>
      <c r="AI337" s="25">
        <f t="shared" si="46"/>
        <v>742.472282917744</v>
      </c>
    </row>
    <row r="338" spans="1:35" ht="15.75" customHeight="1">
      <c r="A338" s="12" t="s">
        <v>186</v>
      </c>
      <c r="B338" s="12" t="s">
        <v>187</v>
      </c>
      <c r="C338" s="12" t="s">
        <v>181</v>
      </c>
      <c r="D338" s="12" t="s">
        <v>33</v>
      </c>
      <c r="E338" s="12" t="s">
        <v>27</v>
      </c>
      <c r="F338" s="13">
        <v>577.22206288209645</v>
      </c>
      <c r="G338" s="14">
        <v>24627.324498292022</v>
      </c>
      <c r="H338" s="24" t="str">
        <f t="shared" si="49"/>
        <v>RJSP</v>
      </c>
      <c r="I338" s="24" t="str">
        <f t="shared" si="48"/>
        <v>RJMG</v>
      </c>
      <c r="J338" s="24" t="str">
        <f t="shared" si="48"/>
        <v>RJES</v>
      </c>
      <c r="K338" s="24" t="str">
        <f t="shared" si="48"/>
        <v>RJSC</v>
      </c>
      <c r="L338" s="24" t="str">
        <f t="shared" si="48"/>
        <v>RJRJ</v>
      </c>
      <c r="M338" s="24" t="str">
        <f t="shared" si="48"/>
        <v>RJPR</v>
      </c>
      <c r="N338" s="24" t="str">
        <f t="shared" si="48"/>
        <v>RJAM</v>
      </c>
      <c r="O338" s="24">
        <f>VLOOKUP(H338, KM!$A:$E, 5, 0)</f>
        <v>429</v>
      </c>
      <c r="P338" s="24">
        <f>VLOOKUP(I338, KM!$A:$E, 5, 0)</f>
        <v>434</v>
      </c>
      <c r="Q338" s="24">
        <f>VLOOKUP(J338, KM!$A:$E, 5, 0)</f>
        <v>521</v>
      </c>
      <c r="R338" s="24">
        <f>VLOOKUP(K338, KM!$A:$E, 5, 0)</f>
        <v>1144</v>
      </c>
      <c r="S338" s="24">
        <f>VLOOKUP(L338, KM!$A:$E, 5, 0)</f>
        <v>0</v>
      </c>
      <c r="T338" s="24">
        <f>VLOOKUP(M338, KM!$A:$E, 5, 0)</f>
        <v>852</v>
      </c>
      <c r="U338" s="24">
        <f>VLOOKUP(N338, KM!$A:$E, 5, 0)</f>
        <v>4374</v>
      </c>
      <c r="V338" s="24">
        <f>VLOOKUP(H338, IMPOSTO!$A:$D, 4, 0)</f>
        <v>0.12</v>
      </c>
      <c r="W338" s="24">
        <f>VLOOKUP(I338, IMPOSTO!$A:$D, 4, 0)</f>
        <v>0.12</v>
      </c>
      <c r="X338" s="24">
        <f>VLOOKUP(J338, IMPOSTO!$A:$D, 4, 0)</f>
        <v>7.0000000000000007E-2</v>
      </c>
      <c r="Y338" s="24">
        <f>VLOOKUP(K338, IMPOSTO!$A:$D, 4, 0)</f>
        <v>0.12</v>
      </c>
      <c r="Z338" s="24">
        <f>VLOOKUP(L338, IMPOSTO!$A:$D, 4, 0)</f>
        <v>0.18</v>
      </c>
      <c r="AA338" s="24">
        <f>VLOOKUP(M338, IMPOSTO!$A:$D, 4, 0)</f>
        <v>0.12</v>
      </c>
      <c r="AB338" s="24">
        <f>VLOOKUP(N338, IMPOSTO!$A:$D, 4, 0)</f>
        <v>7.0000000000000007E-2</v>
      </c>
      <c r="AC338" s="25">
        <f t="shared" si="40"/>
        <v>28034.34602078639</v>
      </c>
      <c r="AD338" s="25">
        <f t="shared" si="41"/>
        <v>28034.914202604574</v>
      </c>
      <c r="AE338" s="25">
        <f t="shared" si="42"/>
        <v>26537.015589561313</v>
      </c>
      <c r="AF338" s="25">
        <f t="shared" si="43"/>
        <v>28115.59602078639</v>
      </c>
      <c r="AG338" s="25">
        <f t="shared" si="44"/>
        <v>30033.322558892709</v>
      </c>
      <c r="AH338" s="25">
        <f t="shared" si="45"/>
        <v>28082.41420260457</v>
      </c>
      <c r="AI338" s="25">
        <f t="shared" si="46"/>
        <v>26951.316664830134</v>
      </c>
    </row>
    <row r="339" spans="1:35" ht="15.75" customHeight="1">
      <c r="A339" s="12" t="s">
        <v>186</v>
      </c>
      <c r="B339" s="12" t="s">
        <v>187</v>
      </c>
      <c r="C339" s="12" t="s">
        <v>181</v>
      </c>
      <c r="D339" s="12" t="s">
        <v>33</v>
      </c>
      <c r="E339" s="12" t="s">
        <v>27</v>
      </c>
      <c r="F339" s="13">
        <v>13.198675218340613</v>
      </c>
      <c r="G339" s="14">
        <v>541.93760446506553</v>
      </c>
      <c r="H339" s="24" t="str">
        <f t="shared" si="49"/>
        <v>RJSP</v>
      </c>
      <c r="I339" s="24" t="str">
        <f t="shared" si="48"/>
        <v>RJMG</v>
      </c>
      <c r="J339" s="24" t="str">
        <f t="shared" si="48"/>
        <v>RJES</v>
      </c>
      <c r="K339" s="24" t="str">
        <f t="shared" si="48"/>
        <v>RJSC</v>
      </c>
      <c r="L339" s="24" t="str">
        <f t="shared" si="48"/>
        <v>RJRJ</v>
      </c>
      <c r="M339" s="24" t="str">
        <f t="shared" si="48"/>
        <v>RJPR</v>
      </c>
      <c r="N339" s="24" t="str">
        <f t="shared" si="48"/>
        <v>RJAM</v>
      </c>
      <c r="O339" s="24">
        <f>VLOOKUP(H339, KM!$A:$E, 5, 0)</f>
        <v>429</v>
      </c>
      <c r="P339" s="24">
        <f>VLOOKUP(I339, KM!$A:$E, 5, 0)</f>
        <v>434</v>
      </c>
      <c r="Q339" s="24">
        <f>VLOOKUP(J339, KM!$A:$E, 5, 0)</f>
        <v>521</v>
      </c>
      <c r="R339" s="24">
        <f>VLOOKUP(K339, KM!$A:$E, 5, 0)</f>
        <v>1144</v>
      </c>
      <c r="S339" s="24">
        <f>VLOOKUP(L339, KM!$A:$E, 5, 0)</f>
        <v>0</v>
      </c>
      <c r="T339" s="24">
        <f>VLOOKUP(M339, KM!$A:$E, 5, 0)</f>
        <v>852</v>
      </c>
      <c r="U339" s="24">
        <f>VLOOKUP(N339, KM!$A:$E, 5, 0)</f>
        <v>4374</v>
      </c>
      <c r="V339" s="24">
        <f>VLOOKUP(H339, IMPOSTO!$A:$D, 4, 0)</f>
        <v>0.12</v>
      </c>
      <c r="W339" s="24">
        <f>VLOOKUP(I339, IMPOSTO!$A:$D, 4, 0)</f>
        <v>0.12</v>
      </c>
      <c r="X339" s="24">
        <f>VLOOKUP(J339, IMPOSTO!$A:$D, 4, 0)</f>
        <v>7.0000000000000007E-2</v>
      </c>
      <c r="Y339" s="24">
        <f>VLOOKUP(K339, IMPOSTO!$A:$D, 4, 0)</f>
        <v>0.12</v>
      </c>
      <c r="Z339" s="24">
        <f>VLOOKUP(L339, IMPOSTO!$A:$D, 4, 0)</f>
        <v>0.18</v>
      </c>
      <c r="AA339" s="24">
        <f>VLOOKUP(M339, IMPOSTO!$A:$D, 4, 0)</f>
        <v>0.12</v>
      </c>
      <c r="AB339" s="24">
        <f>VLOOKUP(N339, IMPOSTO!$A:$D, 4, 0)</f>
        <v>7.0000000000000007E-2</v>
      </c>
      <c r="AC339" s="25">
        <f t="shared" ref="AC339:AC402" si="50">($G339 + O339 * $AE$5) / (1 - V339)</f>
        <v>664.58818689211989</v>
      </c>
      <c r="AD339" s="25">
        <f t="shared" ref="AD339:AD402" si="51">($G339 + P339 * $AE$5) / (1 - W339)</f>
        <v>665.15636871030176</v>
      </c>
      <c r="AE339" s="25">
        <f t="shared" ref="AE339:AE402" si="52">($G339 + Q339 * $AE$5) / (1 - X339)</f>
        <v>638.75011232802751</v>
      </c>
      <c r="AF339" s="25">
        <f t="shared" ref="AF339:AF402" si="53">($G339 + R339 * $AE$5) / (1 - Y339)</f>
        <v>745.83818689211989</v>
      </c>
      <c r="AG339" s="25">
        <f t="shared" ref="AG339:AG402" si="54">($G339 + S339 * $AE$5) / (1 - Z339)</f>
        <v>660.89951764032378</v>
      </c>
      <c r="AH339" s="25">
        <f t="shared" ref="AH339:AH402" si="55">($G339 + T339 * $AE$5) / (1 - AA339)</f>
        <v>712.65636871030176</v>
      </c>
      <c r="AI339" s="25">
        <f t="shared" ref="AI339:AI402" si="56">($G339 + U339 * $AE$5) / (1 - AB339)</f>
        <v>1053.0511875968448</v>
      </c>
    </row>
    <row r="340" spans="1:35" ht="15.75" customHeight="1">
      <c r="A340" s="12" t="s">
        <v>197</v>
      </c>
      <c r="B340" s="12" t="s">
        <v>198</v>
      </c>
      <c r="C340" s="12" t="s">
        <v>181</v>
      </c>
      <c r="D340" s="12" t="s">
        <v>33</v>
      </c>
      <c r="E340" s="12" t="s">
        <v>27</v>
      </c>
      <c r="F340" s="13">
        <v>3.7828041543026707</v>
      </c>
      <c r="G340" s="14">
        <v>74.53889492581601</v>
      </c>
      <c r="H340" s="24" t="str">
        <f t="shared" si="49"/>
        <v>RJSP</v>
      </c>
      <c r="I340" s="24" t="str">
        <f t="shared" si="48"/>
        <v>RJMG</v>
      </c>
      <c r="J340" s="24" t="str">
        <f t="shared" si="48"/>
        <v>RJES</v>
      </c>
      <c r="K340" s="24" t="str">
        <f t="shared" si="48"/>
        <v>RJSC</v>
      </c>
      <c r="L340" s="24" t="str">
        <f t="shared" si="48"/>
        <v>RJRJ</v>
      </c>
      <c r="M340" s="24" t="str">
        <f t="shared" si="48"/>
        <v>RJPR</v>
      </c>
      <c r="N340" s="24" t="str">
        <f t="shared" si="48"/>
        <v>RJAM</v>
      </c>
      <c r="O340" s="24">
        <f>VLOOKUP(H340, KM!$A:$E, 5, 0)</f>
        <v>429</v>
      </c>
      <c r="P340" s="24">
        <f>VLOOKUP(I340, KM!$A:$E, 5, 0)</f>
        <v>434</v>
      </c>
      <c r="Q340" s="24">
        <f>VLOOKUP(J340, KM!$A:$E, 5, 0)</f>
        <v>521</v>
      </c>
      <c r="R340" s="24">
        <f>VLOOKUP(K340, KM!$A:$E, 5, 0)</f>
        <v>1144</v>
      </c>
      <c r="S340" s="24">
        <f>VLOOKUP(L340, KM!$A:$E, 5, 0)</f>
        <v>0</v>
      </c>
      <c r="T340" s="24">
        <f>VLOOKUP(M340, KM!$A:$E, 5, 0)</f>
        <v>852</v>
      </c>
      <c r="U340" s="24">
        <f>VLOOKUP(N340, KM!$A:$E, 5, 0)</f>
        <v>4374</v>
      </c>
      <c r="V340" s="24">
        <f>VLOOKUP(H340, IMPOSTO!$A:$D, 4, 0)</f>
        <v>0.12</v>
      </c>
      <c r="W340" s="24">
        <f>VLOOKUP(I340, IMPOSTO!$A:$D, 4, 0)</f>
        <v>0.12</v>
      </c>
      <c r="X340" s="24">
        <f>VLOOKUP(J340, IMPOSTO!$A:$D, 4, 0)</f>
        <v>7.0000000000000007E-2</v>
      </c>
      <c r="Y340" s="24">
        <f>VLOOKUP(K340, IMPOSTO!$A:$D, 4, 0)</f>
        <v>0.12</v>
      </c>
      <c r="Z340" s="24">
        <f>VLOOKUP(L340, IMPOSTO!$A:$D, 4, 0)</f>
        <v>0.18</v>
      </c>
      <c r="AA340" s="24">
        <f>VLOOKUP(M340, IMPOSTO!$A:$D, 4, 0)</f>
        <v>0.12</v>
      </c>
      <c r="AB340" s="24">
        <f>VLOOKUP(N340, IMPOSTO!$A:$D, 4, 0)</f>
        <v>7.0000000000000007E-2</v>
      </c>
      <c r="AC340" s="25">
        <f t="shared" si="50"/>
        <v>133.45328968842728</v>
      </c>
      <c r="AD340" s="25">
        <f t="shared" si="51"/>
        <v>134.02147150660912</v>
      </c>
      <c r="AE340" s="25">
        <f t="shared" si="52"/>
        <v>136.17085475894194</v>
      </c>
      <c r="AF340" s="25">
        <f t="shared" si="53"/>
        <v>214.70328968842728</v>
      </c>
      <c r="AG340" s="25">
        <f t="shared" si="54"/>
        <v>90.90109137294634</v>
      </c>
      <c r="AH340" s="25">
        <f t="shared" si="55"/>
        <v>181.52147150660909</v>
      </c>
      <c r="AI340" s="25">
        <f t="shared" si="56"/>
        <v>550.47193002775919</v>
      </c>
    </row>
    <row r="341" spans="1:35" ht="15.75" customHeight="1">
      <c r="A341" s="12" t="s">
        <v>199</v>
      </c>
      <c r="B341" s="12" t="s">
        <v>200</v>
      </c>
      <c r="C341" s="12" t="s">
        <v>181</v>
      </c>
      <c r="D341" s="12" t="s">
        <v>33</v>
      </c>
      <c r="E341" s="12" t="s">
        <v>27</v>
      </c>
      <c r="F341" s="13">
        <v>42.480625683060111</v>
      </c>
      <c r="G341" s="14">
        <v>514.23777711475407</v>
      </c>
      <c r="H341" s="24" t="str">
        <f t="shared" si="49"/>
        <v>RJSP</v>
      </c>
      <c r="I341" s="24" t="str">
        <f t="shared" si="48"/>
        <v>RJMG</v>
      </c>
      <c r="J341" s="24" t="str">
        <f t="shared" si="48"/>
        <v>RJES</v>
      </c>
      <c r="K341" s="24" t="str">
        <f t="shared" si="48"/>
        <v>RJSC</v>
      </c>
      <c r="L341" s="24" t="str">
        <f t="shared" si="48"/>
        <v>RJRJ</v>
      </c>
      <c r="M341" s="24" t="str">
        <f t="shared" si="48"/>
        <v>RJPR</v>
      </c>
      <c r="N341" s="24" t="str">
        <f t="shared" si="48"/>
        <v>RJAM</v>
      </c>
      <c r="O341" s="24">
        <f>VLOOKUP(H341, KM!$A:$E, 5, 0)</f>
        <v>429</v>
      </c>
      <c r="P341" s="24">
        <f>VLOOKUP(I341, KM!$A:$E, 5, 0)</f>
        <v>434</v>
      </c>
      <c r="Q341" s="24">
        <f>VLOOKUP(J341, KM!$A:$E, 5, 0)</f>
        <v>521</v>
      </c>
      <c r="R341" s="24">
        <f>VLOOKUP(K341, KM!$A:$E, 5, 0)</f>
        <v>1144</v>
      </c>
      <c r="S341" s="24">
        <f>VLOOKUP(L341, KM!$A:$E, 5, 0)</f>
        <v>0</v>
      </c>
      <c r="T341" s="24">
        <f>VLOOKUP(M341, KM!$A:$E, 5, 0)</f>
        <v>852</v>
      </c>
      <c r="U341" s="24">
        <f>VLOOKUP(N341, KM!$A:$E, 5, 0)</f>
        <v>4374</v>
      </c>
      <c r="V341" s="24">
        <f>VLOOKUP(H341, IMPOSTO!$A:$D, 4, 0)</f>
        <v>0.12</v>
      </c>
      <c r="W341" s="24">
        <f>VLOOKUP(I341, IMPOSTO!$A:$D, 4, 0)</f>
        <v>0.12</v>
      </c>
      <c r="X341" s="24">
        <f>VLOOKUP(J341, IMPOSTO!$A:$D, 4, 0)</f>
        <v>7.0000000000000007E-2</v>
      </c>
      <c r="Y341" s="24">
        <f>VLOOKUP(K341, IMPOSTO!$A:$D, 4, 0)</f>
        <v>0.12</v>
      </c>
      <c r="Z341" s="24">
        <f>VLOOKUP(L341, IMPOSTO!$A:$D, 4, 0)</f>
        <v>0.18</v>
      </c>
      <c r="AA341" s="24">
        <f>VLOOKUP(M341, IMPOSTO!$A:$D, 4, 0)</f>
        <v>0.12</v>
      </c>
      <c r="AB341" s="24">
        <f>VLOOKUP(N341, IMPOSTO!$A:$D, 4, 0)</f>
        <v>7.0000000000000007E-2</v>
      </c>
      <c r="AC341" s="25">
        <f t="shared" si="50"/>
        <v>633.1111103576751</v>
      </c>
      <c r="AD341" s="25">
        <f t="shared" si="51"/>
        <v>633.67929217585686</v>
      </c>
      <c r="AE341" s="25">
        <f t="shared" si="52"/>
        <v>608.96535173629479</v>
      </c>
      <c r="AF341" s="25">
        <f t="shared" si="53"/>
        <v>714.3611103576751</v>
      </c>
      <c r="AG341" s="25">
        <f t="shared" si="54"/>
        <v>627.11924038384643</v>
      </c>
      <c r="AH341" s="25">
        <f t="shared" si="55"/>
        <v>681.17929217585697</v>
      </c>
      <c r="AI341" s="25">
        <f t="shared" si="56"/>
        <v>1023.266427005112</v>
      </c>
    </row>
    <row r="342" spans="1:35" ht="15.75" customHeight="1">
      <c r="A342" s="12" t="s">
        <v>404</v>
      </c>
      <c r="B342" s="12" t="s">
        <v>405</v>
      </c>
      <c r="C342" s="12" t="s">
        <v>181</v>
      </c>
      <c r="D342" s="12" t="s">
        <v>33</v>
      </c>
      <c r="E342" s="12" t="s">
        <v>27</v>
      </c>
      <c r="F342" s="13">
        <v>13.265999999999996</v>
      </c>
      <c r="G342" s="14">
        <v>285.19594186056173</v>
      </c>
      <c r="H342" s="24" t="str">
        <f t="shared" si="49"/>
        <v>RJSP</v>
      </c>
      <c r="I342" s="24" t="str">
        <f t="shared" si="48"/>
        <v>RJMG</v>
      </c>
      <c r="J342" s="24" t="str">
        <f t="shared" si="48"/>
        <v>RJES</v>
      </c>
      <c r="K342" s="24" t="str">
        <f t="shared" si="48"/>
        <v>RJSC</v>
      </c>
      <c r="L342" s="24" t="str">
        <f t="shared" si="48"/>
        <v>RJRJ</v>
      </c>
      <c r="M342" s="24" t="str">
        <f t="shared" si="48"/>
        <v>RJPR</v>
      </c>
      <c r="N342" s="24" t="str">
        <f t="shared" si="48"/>
        <v>RJAM</v>
      </c>
      <c r="O342" s="24">
        <f>VLOOKUP(H342, KM!$A:$E, 5, 0)</f>
        <v>429</v>
      </c>
      <c r="P342" s="24">
        <f>VLOOKUP(I342, KM!$A:$E, 5, 0)</f>
        <v>434</v>
      </c>
      <c r="Q342" s="24">
        <f>VLOOKUP(J342, KM!$A:$E, 5, 0)</f>
        <v>521</v>
      </c>
      <c r="R342" s="24">
        <f>VLOOKUP(K342, KM!$A:$E, 5, 0)</f>
        <v>1144</v>
      </c>
      <c r="S342" s="24">
        <f>VLOOKUP(L342, KM!$A:$E, 5, 0)</f>
        <v>0</v>
      </c>
      <c r="T342" s="24">
        <f>VLOOKUP(M342, KM!$A:$E, 5, 0)</f>
        <v>852</v>
      </c>
      <c r="U342" s="24">
        <f>VLOOKUP(N342, KM!$A:$E, 5, 0)</f>
        <v>4374</v>
      </c>
      <c r="V342" s="24">
        <f>VLOOKUP(H342, IMPOSTO!$A:$D, 4, 0)</f>
        <v>0.12</v>
      </c>
      <c r="W342" s="24">
        <f>VLOOKUP(I342, IMPOSTO!$A:$D, 4, 0)</f>
        <v>0.12</v>
      </c>
      <c r="X342" s="24">
        <f>VLOOKUP(J342, IMPOSTO!$A:$D, 4, 0)</f>
        <v>7.0000000000000007E-2</v>
      </c>
      <c r="Y342" s="24">
        <f>VLOOKUP(K342, IMPOSTO!$A:$D, 4, 0)</f>
        <v>0.12</v>
      </c>
      <c r="Z342" s="24">
        <f>VLOOKUP(L342, IMPOSTO!$A:$D, 4, 0)</f>
        <v>0.18</v>
      </c>
      <c r="AA342" s="24">
        <f>VLOOKUP(M342, IMPOSTO!$A:$D, 4, 0)</f>
        <v>0.12</v>
      </c>
      <c r="AB342" s="24">
        <f>VLOOKUP(N342, IMPOSTO!$A:$D, 4, 0)</f>
        <v>7.0000000000000007E-2</v>
      </c>
      <c r="AC342" s="25">
        <f t="shared" si="50"/>
        <v>372.83629756882021</v>
      </c>
      <c r="AD342" s="25">
        <f t="shared" si="51"/>
        <v>373.40447938700203</v>
      </c>
      <c r="AE342" s="25">
        <f t="shared" si="52"/>
        <v>362.68380845221697</v>
      </c>
      <c r="AF342" s="25">
        <f t="shared" si="53"/>
        <v>454.08629756882021</v>
      </c>
      <c r="AG342" s="25">
        <f t="shared" si="54"/>
        <v>347.79992909824597</v>
      </c>
      <c r="AH342" s="25">
        <f t="shared" si="55"/>
        <v>420.90447938700197</v>
      </c>
      <c r="AI342" s="25">
        <f t="shared" si="56"/>
        <v>776.98488372103418</v>
      </c>
    </row>
    <row r="343" spans="1:35" ht="15.75" customHeight="1">
      <c r="A343" s="12" t="s">
        <v>406</v>
      </c>
      <c r="B343" s="12" t="s">
        <v>407</v>
      </c>
      <c r="C343" s="12" t="s">
        <v>314</v>
      </c>
      <c r="D343" s="12" t="s">
        <v>33</v>
      </c>
      <c r="E343" s="12" t="s">
        <v>27</v>
      </c>
      <c r="F343" s="13">
        <v>99.382133754463126</v>
      </c>
      <c r="G343" s="14">
        <v>6688.0571827876929</v>
      </c>
      <c r="H343" s="24" t="str">
        <f t="shared" si="49"/>
        <v>RJSP</v>
      </c>
      <c r="I343" s="24" t="str">
        <f t="shared" si="48"/>
        <v>RJMG</v>
      </c>
      <c r="J343" s="24" t="str">
        <f t="shared" si="48"/>
        <v>RJES</v>
      </c>
      <c r="K343" s="24" t="str">
        <f t="shared" si="48"/>
        <v>RJSC</v>
      </c>
      <c r="L343" s="24" t="str">
        <f t="shared" si="48"/>
        <v>RJRJ</v>
      </c>
      <c r="M343" s="24" t="str">
        <f t="shared" si="48"/>
        <v>RJPR</v>
      </c>
      <c r="N343" s="24" t="str">
        <f t="shared" si="48"/>
        <v>RJAM</v>
      </c>
      <c r="O343" s="24">
        <f>VLOOKUP(H343, KM!$A:$E, 5, 0)</f>
        <v>429</v>
      </c>
      <c r="P343" s="24">
        <f>VLOOKUP(I343, KM!$A:$E, 5, 0)</f>
        <v>434</v>
      </c>
      <c r="Q343" s="24">
        <f>VLOOKUP(J343, KM!$A:$E, 5, 0)</f>
        <v>521</v>
      </c>
      <c r="R343" s="24">
        <f>VLOOKUP(K343, KM!$A:$E, 5, 0)</f>
        <v>1144</v>
      </c>
      <c r="S343" s="24">
        <f>VLOOKUP(L343, KM!$A:$E, 5, 0)</f>
        <v>0</v>
      </c>
      <c r="T343" s="24">
        <f>VLOOKUP(M343, KM!$A:$E, 5, 0)</f>
        <v>852</v>
      </c>
      <c r="U343" s="24">
        <f>VLOOKUP(N343, KM!$A:$E, 5, 0)</f>
        <v>4374</v>
      </c>
      <c r="V343" s="24">
        <f>VLOOKUP(H343, IMPOSTO!$A:$D, 4, 0)</f>
        <v>0.12</v>
      </c>
      <c r="W343" s="24">
        <f>VLOOKUP(I343, IMPOSTO!$A:$D, 4, 0)</f>
        <v>0.12</v>
      </c>
      <c r="X343" s="24">
        <f>VLOOKUP(J343, IMPOSTO!$A:$D, 4, 0)</f>
        <v>7.0000000000000007E-2</v>
      </c>
      <c r="Y343" s="24">
        <f>VLOOKUP(K343, IMPOSTO!$A:$D, 4, 0)</f>
        <v>0.12</v>
      </c>
      <c r="Z343" s="24">
        <f>VLOOKUP(L343, IMPOSTO!$A:$D, 4, 0)</f>
        <v>0.18</v>
      </c>
      <c r="AA343" s="24">
        <f>VLOOKUP(M343, IMPOSTO!$A:$D, 4, 0)</f>
        <v>0.12</v>
      </c>
      <c r="AB343" s="24">
        <f>VLOOKUP(N343, IMPOSTO!$A:$D, 4, 0)</f>
        <v>7.0000000000000007E-2</v>
      </c>
      <c r="AC343" s="25">
        <f t="shared" si="50"/>
        <v>7648.8149804405593</v>
      </c>
      <c r="AD343" s="25">
        <f t="shared" si="51"/>
        <v>7649.3831622587413</v>
      </c>
      <c r="AE343" s="25">
        <f t="shared" si="52"/>
        <v>7247.4808417071972</v>
      </c>
      <c r="AF343" s="25">
        <f t="shared" si="53"/>
        <v>7730.0649804405593</v>
      </c>
      <c r="AG343" s="25">
        <f t="shared" si="54"/>
        <v>8156.1672960825517</v>
      </c>
      <c r="AH343" s="25">
        <f t="shared" si="55"/>
        <v>7696.8831622587413</v>
      </c>
      <c r="AI343" s="25">
        <f t="shared" si="56"/>
        <v>7661.7819169760141</v>
      </c>
    </row>
    <row r="344" spans="1:35" ht="15.75" customHeight="1">
      <c r="A344" s="12" t="s">
        <v>408</v>
      </c>
      <c r="B344" s="12" t="s">
        <v>409</v>
      </c>
      <c r="C344" s="12" t="s">
        <v>143</v>
      </c>
      <c r="D344" s="12" t="s">
        <v>33</v>
      </c>
      <c r="E344" s="12" t="s">
        <v>27</v>
      </c>
      <c r="F344" s="13">
        <v>406.19233146527182</v>
      </c>
      <c r="G344" s="14">
        <v>14369.048583908911</v>
      </c>
      <c r="H344" s="24" t="str">
        <f t="shared" si="49"/>
        <v>RJSP</v>
      </c>
      <c r="I344" s="24" t="str">
        <f t="shared" si="48"/>
        <v>RJMG</v>
      </c>
      <c r="J344" s="24" t="str">
        <f t="shared" si="48"/>
        <v>RJES</v>
      </c>
      <c r="K344" s="24" t="str">
        <f t="shared" si="48"/>
        <v>RJSC</v>
      </c>
      <c r="L344" s="24" t="str">
        <f t="shared" si="48"/>
        <v>RJRJ</v>
      </c>
      <c r="M344" s="24" t="str">
        <f t="shared" si="48"/>
        <v>RJPR</v>
      </c>
      <c r="N344" s="24" t="str">
        <f t="shared" si="48"/>
        <v>RJAM</v>
      </c>
      <c r="O344" s="24">
        <f>VLOOKUP(H344, KM!$A:$E, 5, 0)</f>
        <v>429</v>
      </c>
      <c r="P344" s="24">
        <f>VLOOKUP(I344, KM!$A:$E, 5, 0)</f>
        <v>434</v>
      </c>
      <c r="Q344" s="24">
        <f>VLOOKUP(J344, KM!$A:$E, 5, 0)</f>
        <v>521</v>
      </c>
      <c r="R344" s="24">
        <f>VLOOKUP(K344, KM!$A:$E, 5, 0)</f>
        <v>1144</v>
      </c>
      <c r="S344" s="24">
        <f>VLOOKUP(L344, KM!$A:$E, 5, 0)</f>
        <v>0</v>
      </c>
      <c r="T344" s="24">
        <f>VLOOKUP(M344, KM!$A:$E, 5, 0)</f>
        <v>852</v>
      </c>
      <c r="U344" s="24">
        <f>VLOOKUP(N344, KM!$A:$E, 5, 0)</f>
        <v>4374</v>
      </c>
      <c r="V344" s="24">
        <f>VLOOKUP(H344, IMPOSTO!$A:$D, 4, 0)</f>
        <v>0.12</v>
      </c>
      <c r="W344" s="24">
        <f>VLOOKUP(I344, IMPOSTO!$A:$D, 4, 0)</f>
        <v>0.12</v>
      </c>
      <c r="X344" s="24">
        <f>VLOOKUP(J344, IMPOSTO!$A:$D, 4, 0)</f>
        <v>7.0000000000000007E-2</v>
      </c>
      <c r="Y344" s="24">
        <f>VLOOKUP(K344, IMPOSTO!$A:$D, 4, 0)</f>
        <v>0.12</v>
      </c>
      <c r="Z344" s="24">
        <f>VLOOKUP(L344, IMPOSTO!$A:$D, 4, 0)</f>
        <v>0.18</v>
      </c>
      <c r="AA344" s="24">
        <f>VLOOKUP(M344, IMPOSTO!$A:$D, 4, 0)</f>
        <v>0.12</v>
      </c>
      <c r="AB344" s="24">
        <f>VLOOKUP(N344, IMPOSTO!$A:$D, 4, 0)</f>
        <v>7.0000000000000007E-2</v>
      </c>
      <c r="AC344" s="25">
        <f t="shared" si="50"/>
        <v>16377.214299896488</v>
      </c>
      <c r="AD344" s="25">
        <f t="shared" si="51"/>
        <v>16377.78248171467</v>
      </c>
      <c r="AE344" s="25">
        <f t="shared" si="52"/>
        <v>15506.611380547218</v>
      </c>
      <c r="AF344" s="25">
        <f t="shared" si="53"/>
        <v>16458.464299896488</v>
      </c>
      <c r="AG344" s="25">
        <f t="shared" si="54"/>
        <v>17523.22998037672</v>
      </c>
      <c r="AH344" s="25">
        <f t="shared" si="55"/>
        <v>16425.282481714672</v>
      </c>
      <c r="AI344" s="25">
        <f t="shared" si="56"/>
        <v>15920.912455816033</v>
      </c>
    </row>
    <row r="345" spans="1:35" ht="15.75" customHeight="1">
      <c r="A345" s="12" t="s">
        <v>208</v>
      </c>
      <c r="B345" s="12" t="s">
        <v>209</v>
      </c>
      <c r="C345" s="12" t="s">
        <v>210</v>
      </c>
      <c r="D345" s="12" t="s">
        <v>33</v>
      </c>
      <c r="E345" s="12" t="s">
        <v>27</v>
      </c>
      <c r="F345" s="13">
        <v>174.50399999999993</v>
      </c>
      <c r="G345" s="14">
        <v>5857.9696484571459</v>
      </c>
      <c r="H345" s="24" t="str">
        <f t="shared" si="49"/>
        <v>RJSP</v>
      </c>
      <c r="I345" s="24" t="str">
        <f t="shared" si="48"/>
        <v>RJMG</v>
      </c>
      <c r="J345" s="24" t="str">
        <f t="shared" si="48"/>
        <v>RJES</v>
      </c>
      <c r="K345" s="24" t="str">
        <f t="shared" si="48"/>
        <v>RJSC</v>
      </c>
      <c r="L345" s="24" t="str">
        <f t="shared" si="48"/>
        <v>RJRJ</v>
      </c>
      <c r="M345" s="24" t="str">
        <f t="shared" si="48"/>
        <v>RJPR</v>
      </c>
      <c r="N345" s="24" t="str">
        <f t="shared" si="48"/>
        <v>RJAM</v>
      </c>
      <c r="O345" s="24">
        <f>VLOOKUP(H345, KM!$A:$E, 5, 0)</f>
        <v>429</v>
      </c>
      <c r="P345" s="24">
        <f>VLOOKUP(I345, KM!$A:$E, 5, 0)</f>
        <v>434</v>
      </c>
      <c r="Q345" s="24">
        <f>VLOOKUP(J345, KM!$A:$E, 5, 0)</f>
        <v>521</v>
      </c>
      <c r="R345" s="24">
        <f>VLOOKUP(K345, KM!$A:$E, 5, 0)</f>
        <v>1144</v>
      </c>
      <c r="S345" s="24">
        <f>VLOOKUP(L345, KM!$A:$E, 5, 0)</f>
        <v>0</v>
      </c>
      <c r="T345" s="24">
        <f>VLOOKUP(M345, KM!$A:$E, 5, 0)</f>
        <v>852</v>
      </c>
      <c r="U345" s="24">
        <f>VLOOKUP(N345, KM!$A:$E, 5, 0)</f>
        <v>4374</v>
      </c>
      <c r="V345" s="24">
        <f>VLOOKUP(H345, IMPOSTO!$A:$D, 4, 0)</f>
        <v>0.12</v>
      </c>
      <c r="W345" s="24">
        <f>VLOOKUP(I345, IMPOSTO!$A:$D, 4, 0)</f>
        <v>0.12</v>
      </c>
      <c r="X345" s="24">
        <f>VLOOKUP(J345, IMPOSTO!$A:$D, 4, 0)</f>
        <v>7.0000000000000007E-2</v>
      </c>
      <c r="Y345" s="24">
        <f>VLOOKUP(K345, IMPOSTO!$A:$D, 4, 0)</f>
        <v>0.12</v>
      </c>
      <c r="Z345" s="24">
        <f>VLOOKUP(L345, IMPOSTO!$A:$D, 4, 0)</f>
        <v>0.18</v>
      </c>
      <c r="AA345" s="24">
        <f>VLOOKUP(M345, IMPOSTO!$A:$D, 4, 0)</f>
        <v>0.12</v>
      </c>
      <c r="AB345" s="24">
        <f>VLOOKUP(N345, IMPOSTO!$A:$D, 4, 0)</f>
        <v>7.0000000000000007E-2</v>
      </c>
      <c r="AC345" s="25">
        <f t="shared" si="50"/>
        <v>6705.5336914285745</v>
      </c>
      <c r="AD345" s="25">
        <f t="shared" si="51"/>
        <v>6706.1018732467564</v>
      </c>
      <c r="AE345" s="25">
        <f t="shared" si="52"/>
        <v>6354.9136004915554</v>
      </c>
      <c r="AF345" s="25">
        <f t="shared" si="53"/>
        <v>6786.7836914285745</v>
      </c>
      <c r="AG345" s="25">
        <f t="shared" si="54"/>
        <v>7143.8654249477386</v>
      </c>
      <c r="AH345" s="25">
        <f t="shared" si="55"/>
        <v>6753.6018732467564</v>
      </c>
      <c r="AI345" s="25">
        <f t="shared" si="56"/>
        <v>6769.2146757603723</v>
      </c>
    </row>
    <row r="346" spans="1:35" ht="15.75" customHeight="1">
      <c r="A346" s="12" t="s">
        <v>410</v>
      </c>
      <c r="B346" s="12" t="s">
        <v>411</v>
      </c>
      <c r="C346" s="12" t="s">
        <v>192</v>
      </c>
      <c r="D346" s="12" t="s">
        <v>33</v>
      </c>
      <c r="E346" s="12" t="s">
        <v>27</v>
      </c>
      <c r="F346" s="13">
        <v>5472.3075000000017</v>
      </c>
      <c r="G346" s="14">
        <v>151342.07858305736</v>
      </c>
      <c r="H346" s="24" t="str">
        <f t="shared" si="49"/>
        <v>RJSP</v>
      </c>
      <c r="I346" s="24" t="str">
        <f t="shared" si="48"/>
        <v>RJMG</v>
      </c>
      <c r="J346" s="24" t="str">
        <f t="shared" si="48"/>
        <v>RJES</v>
      </c>
      <c r="K346" s="24" t="str">
        <f t="shared" si="48"/>
        <v>RJSC</v>
      </c>
      <c r="L346" s="24" t="str">
        <f t="shared" si="48"/>
        <v>RJRJ</v>
      </c>
      <c r="M346" s="24" t="str">
        <f t="shared" si="48"/>
        <v>RJPR</v>
      </c>
      <c r="N346" s="24" t="str">
        <f t="shared" si="48"/>
        <v>RJAM</v>
      </c>
      <c r="O346" s="24">
        <f>VLOOKUP(H346, KM!$A:$E, 5, 0)</f>
        <v>429</v>
      </c>
      <c r="P346" s="24">
        <f>VLOOKUP(I346, KM!$A:$E, 5, 0)</f>
        <v>434</v>
      </c>
      <c r="Q346" s="24">
        <f>VLOOKUP(J346, KM!$A:$E, 5, 0)</f>
        <v>521</v>
      </c>
      <c r="R346" s="24">
        <f>VLOOKUP(K346, KM!$A:$E, 5, 0)</f>
        <v>1144</v>
      </c>
      <c r="S346" s="24">
        <f>VLOOKUP(L346, KM!$A:$E, 5, 0)</f>
        <v>0</v>
      </c>
      <c r="T346" s="24">
        <f>VLOOKUP(M346, KM!$A:$E, 5, 0)</f>
        <v>852</v>
      </c>
      <c r="U346" s="24">
        <f>VLOOKUP(N346, KM!$A:$E, 5, 0)</f>
        <v>4374</v>
      </c>
      <c r="V346" s="24">
        <f>VLOOKUP(H346, IMPOSTO!$A:$D, 4, 0)</f>
        <v>0.12</v>
      </c>
      <c r="W346" s="24">
        <f>VLOOKUP(I346, IMPOSTO!$A:$D, 4, 0)</f>
        <v>0.12</v>
      </c>
      <c r="X346" s="24">
        <f>VLOOKUP(J346, IMPOSTO!$A:$D, 4, 0)</f>
        <v>7.0000000000000007E-2</v>
      </c>
      <c r="Y346" s="24">
        <f>VLOOKUP(K346, IMPOSTO!$A:$D, 4, 0)</f>
        <v>0.12</v>
      </c>
      <c r="Z346" s="24">
        <f>VLOOKUP(L346, IMPOSTO!$A:$D, 4, 0)</f>
        <v>0.18</v>
      </c>
      <c r="AA346" s="24">
        <f>VLOOKUP(M346, IMPOSTO!$A:$D, 4, 0)</f>
        <v>0.12</v>
      </c>
      <c r="AB346" s="24">
        <f>VLOOKUP(N346, IMPOSTO!$A:$D, 4, 0)</f>
        <v>7.0000000000000007E-2</v>
      </c>
      <c r="AC346" s="25">
        <f t="shared" si="50"/>
        <v>172028.38475347427</v>
      </c>
      <c r="AD346" s="25">
        <f t="shared" si="51"/>
        <v>172028.95293529244</v>
      </c>
      <c r="AE346" s="25">
        <f t="shared" si="52"/>
        <v>162789.43933662082</v>
      </c>
      <c r="AF346" s="25">
        <f t="shared" si="53"/>
        <v>172109.63475347427</v>
      </c>
      <c r="AG346" s="25">
        <f t="shared" si="54"/>
        <v>184563.51046714312</v>
      </c>
      <c r="AH346" s="25">
        <f t="shared" si="55"/>
        <v>172076.45293529247</v>
      </c>
      <c r="AI346" s="25">
        <f t="shared" si="56"/>
        <v>163203.74041188965</v>
      </c>
    </row>
    <row r="347" spans="1:35" ht="15.75" customHeight="1">
      <c r="A347" s="12" t="s">
        <v>221</v>
      </c>
      <c r="B347" s="12" t="s">
        <v>222</v>
      </c>
      <c r="C347" s="12" t="s">
        <v>223</v>
      </c>
      <c r="D347" s="12" t="s">
        <v>33</v>
      </c>
      <c r="E347" s="12" t="s">
        <v>27</v>
      </c>
      <c r="F347" s="13">
        <v>0.49035585412667937</v>
      </c>
      <c r="G347" s="14">
        <v>10.84571710940499</v>
      </c>
      <c r="H347" s="24" t="str">
        <f t="shared" si="49"/>
        <v>RJSP</v>
      </c>
      <c r="I347" s="24" t="str">
        <f t="shared" si="48"/>
        <v>RJMG</v>
      </c>
      <c r="J347" s="24" t="str">
        <f t="shared" si="48"/>
        <v>RJES</v>
      </c>
      <c r="K347" s="24" t="str">
        <f t="shared" si="48"/>
        <v>RJSC</v>
      </c>
      <c r="L347" s="24" t="str">
        <f t="shared" si="48"/>
        <v>RJRJ</v>
      </c>
      <c r="M347" s="24" t="str">
        <f t="shared" si="48"/>
        <v>RJPR</v>
      </c>
      <c r="N347" s="24" t="str">
        <f t="shared" si="48"/>
        <v>RJAM</v>
      </c>
      <c r="O347" s="24">
        <f>VLOOKUP(H347, KM!$A:$E, 5, 0)</f>
        <v>429</v>
      </c>
      <c r="P347" s="24">
        <f>VLOOKUP(I347, KM!$A:$E, 5, 0)</f>
        <v>434</v>
      </c>
      <c r="Q347" s="24">
        <f>VLOOKUP(J347, KM!$A:$E, 5, 0)</f>
        <v>521</v>
      </c>
      <c r="R347" s="24">
        <f>VLOOKUP(K347, KM!$A:$E, 5, 0)</f>
        <v>1144</v>
      </c>
      <c r="S347" s="24">
        <f>VLOOKUP(L347, KM!$A:$E, 5, 0)</f>
        <v>0</v>
      </c>
      <c r="T347" s="24">
        <f>VLOOKUP(M347, KM!$A:$E, 5, 0)</f>
        <v>852</v>
      </c>
      <c r="U347" s="24">
        <f>VLOOKUP(N347, KM!$A:$E, 5, 0)</f>
        <v>4374</v>
      </c>
      <c r="V347" s="24">
        <f>VLOOKUP(H347, IMPOSTO!$A:$D, 4, 0)</f>
        <v>0.12</v>
      </c>
      <c r="W347" s="24">
        <f>VLOOKUP(I347, IMPOSTO!$A:$D, 4, 0)</f>
        <v>0.12</v>
      </c>
      <c r="X347" s="24">
        <f>VLOOKUP(J347, IMPOSTO!$A:$D, 4, 0)</f>
        <v>7.0000000000000007E-2</v>
      </c>
      <c r="Y347" s="24">
        <f>VLOOKUP(K347, IMPOSTO!$A:$D, 4, 0)</f>
        <v>0.12</v>
      </c>
      <c r="Z347" s="24">
        <f>VLOOKUP(L347, IMPOSTO!$A:$D, 4, 0)</f>
        <v>0.18</v>
      </c>
      <c r="AA347" s="24">
        <f>VLOOKUP(M347, IMPOSTO!$A:$D, 4, 0)</f>
        <v>0.12</v>
      </c>
      <c r="AB347" s="24">
        <f>VLOOKUP(N347, IMPOSTO!$A:$D, 4, 0)</f>
        <v>7.0000000000000007E-2</v>
      </c>
      <c r="AC347" s="25">
        <f t="shared" si="50"/>
        <v>61.074678533414762</v>
      </c>
      <c r="AD347" s="25">
        <f t="shared" si="51"/>
        <v>61.642860351596582</v>
      </c>
      <c r="AE347" s="25">
        <f t="shared" si="52"/>
        <v>67.68356678430645</v>
      </c>
      <c r="AF347" s="25">
        <f t="shared" si="53"/>
        <v>142.32467853341475</v>
      </c>
      <c r="AG347" s="25">
        <f t="shared" si="54"/>
        <v>13.226484279762182</v>
      </c>
      <c r="AH347" s="25">
        <f t="shared" si="55"/>
        <v>109.14286035159658</v>
      </c>
      <c r="AI347" s="25">
        <f t="shared" si="56"/>
        <v>481.98464205312371</v>
      </c>
    </row>
    <row r="348" spans="1:35" ht="15.75" customHeight="1">
      <c r="A348" s="12" t="s">
        <v>224</v>
      </c>
      <c r="B348" s="12" t="s">
        <v>225</v>
      </c>
      <c r="C348" s="12" t="s">
        <v>223</v>
      </c>
      <c r="D348" s="12" t="s">
        <v>33</v>
      </c>
      <c r="E348" s="12" t="s">
        <v>27</v>
      </c>
      <c r="F348" s="13">
        <v>2.429023255813953E-2</v>
      </c>
      <c r="G348" s="14">
        <v>0.44232817116279066</v>
      </c>
      <c r="H348" s="24" t="str">
        <f t="shared" si="49"/>
        <v>RJSP</v>
      </c>
      <c r="I348" s="24" t="str">
        <f t="shared" si="48"/>
        <v>RJMG</v>
      </c>
      <c r="J348" s="24" t="str">
        <f t="shared" si="48"/>
        <v>RJES</v>
      </c>
      <c r="K348" s="24" t="str">
        <f t="shared" si="48"/>
        <v>RJSC</v>
      </c>
      <c r="L348" s="24" t="str">
        <f t="shared" si="48"/>
        <v>RJRJ</v>
      </c>
      <c r="M348" s="24" t="str">
        <f t="shared" si="48"/>
        <v>RJPR</v>
      </c>
      <c r="N348" s="24" t="str">
        <f t="shared" si="48"/>
        <v>RJAM</v>
      </c>
      <c r="O348" s="24">
        <f>VLOOKUP(H348, KM!$A:$E, 5, 0)</f>
        <v>429</v>
      </c>
      <c r="P348" s="24">
        <f>VLOOKUP(I348, KM!$A:$E, 5, 0)</f>
        <v>434</v>
      </c>
      <c r="Q348" s="24">
        <f>VLOOKUP(J348, KM!$A:$E, 5, 0)</f>
        <v>521</v>
      </c>
      <c r="R348" s="24">
        <f>VLOOKUP(K348, KM!$A:$E, 5, 0)</f>
        <v>1144</v>
      </c>
      <c r="S348" s="24">
        <f>VLOOKUP(L348, KM!$A:$E, 5, 0)</f>
        <v>0</v>
      </c>
      <c r="T348" s="24">
        <f>VLOOKUP(M348, KM!$A:$E, 5, 0)</f>
        <v>852</v>
      </c>
      <c r="U348" s="24">
        <f>VLOOKUP(N348, KM!$A:$E, 5, 0)</f>
        <v>4374</v>
      </c>
      <c r="V348" s="24">
        <f>VLOOKUP(H348, IMPOSTO!$A:$D, 4, 0)</f>
        <v>0.12</v>
      </c>
      <c r="W348" s="24">
        <f>VLOOKUP(I348, IMPOSTO!$A:$D, 4, 0)</f>
        <v>0.12</v>
      </c>
      <c r="X348" s="24">
        <f>VLOOKUP(J348, IMPOSTO!$A:$D, 4, 0)</f>
        <v>7.0000000000000007E-2</v>
      </c>
      <c r="Y348" s="24">
        <f>VLOOKUP(K348, IMPOSTO!$A:$D, 4, 0)</f>
        <v>0.12</v>
      </c>
      <c r="Z348" s="24">
        <f>VLOOKUP(L348, IMPOSTO!$A:$D, 4, 0)</f>
        <v>0.18</v>
      </c>
      <c r="AA348" s="24">
        <f>VLOOKUP(M348, IMPOSTO!$A:$D, 4, 0)</f>
        <v>0.12</v>
      </c>
      <c r="AB348" s="24">
        <f>VLOOKUP(N348, IMPOSTO!$A:$D, 4, 0)</f>
        <v>7.0000000000000007E-2</v>
      </c>
      <c r="AC348" s="25">
        <f t="shared" si="50"/>
        <v>49.252645649048631</v>
      </c>
      <c r="AD348" s="25">
        <f t="shared" si="51"/>
        <v>49.820827467230451</v>
      </c>
      <c r="AE348" s="25">
        <f t="shared" si="52"/>
        <v>56.497127065766449</v>
      </c>
      <c r="AF348" s="25">
        <f t="shared" si="53"/>
        <v>130.50264564904862</v>
      </c>
      <c r="AG348" s="25">
        <f t="shared" si="54"/>
        <v>0.53942459897901296</v>
      </c>
      <c r="AH348" s="25">
        <f t="shared" si="55"/>
        <v>97.320827467230444</v>
      </c>
      <c r="AI348" s="25">
        <f t="shared" si="56"/>
        <v>470.79820233458372</v>
      </c>
    </row>
    <row r="349" spans="1:35" ht="15.75" customHeight="1">
      <c r="A349" s="12" t="s">
        <v>226</v>
      </c>
      <c r="B349" s="12" t="s">
        <v>227</v>
      </c>
      <c r="C349" s="12" t="s">
        <v>223</v>
      </c>
      <c r="D349" s="12" t="s">
        <v>33</v>
      </c>
      <c r="E349" s="12" t="s">
        <v>27</v>
      </c>
      <c r="F349" s="13">
        <v>0.23174393203883498</v>
      </c>
      <c r="G349" s="14">
        <v>5.125674708737864</v>
      </c>
      <c r="H349" s="24" t="str">
        <f t="shared" si="49"/>
        <v>RJSP</v>
      </c>
      <c r="I349" s="24" t="str">
        <f t="shared" si="48"/>
        <v>RJMG</v>
      </c>
      <c r="J349" s="24" t="str">
        <f t="shared" si="48"/>
        <v>RJES</v>
      </c>
      <c r="K349" s="24" t="str">
        <f t="shared" si="48"/>
        <v>RJSC</v>
      </c>
      <c r="L349" s="24" t="str">
        <f t="shared" si="48"/>
        <v>RJRJ</v>
      </c>
      <c r="M349" s="24" t="str">
        <f t="shared" si="48"/>
        <v>RJPR</v>
      </c>
      <c r="N349" s="24" t="str">
        <f t="shared" si="48"/>
        <v>RJAM</v>
      </c>
      <c r="O349" s="24">
        <f>VLOOKUP(H349, KM!$A:$E, 5, 0)</f>
        <v>429</v>
      </c>
      <c r="P349" s="24">
        <f>VLOOKUP(I349, KM!$A:$E, 5, 0)</f>
        <v>434</v>
      </c>
      <c r="Q349" s="24">
        <f>VLOOKUP(J349, KM!$A:$E, 5, 0)</f>
        <v>521</v>
      </c>
      <c r="R349" s="24">
        <f>VLOOKUP(K349, KM!$A:$E, 5, 0)</f>
        <v>1144</v>
      </c>
      <c r="S349" s="24">
        <f>VLOOKUP(L349, KM!$A:$E, 5, 0)</f>
        <v>0</v>
      </c>
      <c r="T349" s="24">
        <f>VLOOKUP(M349, KM!$A:$E, 5, 0)</f>
        <v>852</v>
      </c>
      <c r="U349" s="24">
        <f>VLOOKUP(N349, KM!$A:$E, 5, 0)</f>
        <v>4374</v>
      </c>
      <c r="V349" s="24">
        <f>VLOOKUP(H349, IMPOSTO!$A:$D, 4, 0)</f>
        <v>0.12</v>
      </c>
      <c r="W349" s="24">
        <f>VLOOKUP(I349, IMPOSTO!$A:$D, 4, 0)</f>
        <v>0.12</v>
      </c>
      <c r="X349" s="24">
        <f>VLOOKUP(J349, IMPOSTO!$A:$D, 4, 0)</f>
        <v>7.0000000000000007E-2</v>
      </c>
      <c r="Y349" s="24">
        <f>VLOOKUP(K349, IMPOSTO!$A:$D, 4, 0)</f>
        <v>0.12</v>
      </c>
      <c r="Z349" s="24">
        <f>VLOOKUP(L349, IMPOSTO!$A:$D, 4, 0)</f>
        <v>0.18</v>
      </c>
      <c r="AA349" s="24">
        <f>VLOOKUP(M349, IMPOSTO!$A:$D, 4, 0)</f>
        <v>0.12</v>
      </c>
      <c r="AB349" s="24">
        <f>VLOOKUP(N349, IMPOSTO!$A:$D, 4, 0)</f>
        <v>7.0000000000000007E-2</v>
      </c>
      <c r="AC349" s="25">
        <f t="shared" si="50"/>
        <v>54.574630350838483</v>
      </c>
      <c r="AD349" s="25">
        <f t="shared" si="51"/>
        <v>55.142812169020303</v>
      </c>
      <c r="AE349" s="25">
        <f t="shared" si="52"/>
        <v>61.53298355778265</v>
      </c>
      <c r="AF349" s="25">
        <f t="shared" si="53"/>
        <v>135.82463035083848</v>
      </c>
      <c r="AG349" s="25">
        <f t="shared" si="54"/>
        <v>6.2508228155339802</v>
      </c>
      <c r="AH349" s="25">
        <f t="shared" si="55"/>
        <v>102.6428121690203</v>
      </c>
      <c r="AI349" s="25">
        <f t="shared" si="56"/>
        <v>475.83405882659991</v>
      </c>
    </row>
    <row r="350" spans="1:35" ht="15.75" customHeight="1">
      <c r="A350" s="12" t="s">
        <v>412</v>
      </c>
      <c r="B350" s="12" t="s">
        <v>413</v>
      </c>
      <c r="C350" s="12" t="s">
        <v>414</v>
      </c>
      <c r="D350" s="12" t="s">
        <v>33</v>
      </c>
      <c r="E350" s="12" t="s">
        <v>27</v>
      </c>
      <c r="F350" s="13">
        <v>1.322734132268087E-2</v>
      </c>
      <c r="G350" s="14">
        <v>1.7295969764758101</v>
      </c>
      <c r="H350" s="24" t="str">
        <f t="shared" si="49"/>
        <v>RJSP</v>
      </c>
      <c r="I350" s="24" t="str">
        <f t="shared" si="48"/>
        <v>RJMG</v>
      </c>
      <c r="J350" s="24" t="str">
        <f t="shared" si="48"/>
        <v>RJES</v>
      </c>
      <c r="K350" s="24" t="str">
        <f t="shared" si="48"/>
        <v>RJSC</v>
      </c>
      <c r="L350" s="24" t="str">
        <f t="shared" si="48"/>
        <v>RJRJ</v>
      </c>
      <c r="M350" s="24" t="str">
        <f t="shared" si="48"/>
        <v>RJPR</v>
      </c>
      <c r="N350" s="24" t="str">
        <f t="shared" si="48"/>
        <v>RJAM</v>
      </c>
      <c r="O350" s="24">
        <f>VLOOKUP(H350, KM!$A:$E, 5, 0)</f>
        <v>429</v>
      </c>
      <c r="P350" s="24">
        <f>VLOOKUP(I350, KM!$A:$E, 5, 0)</f>
        <v>434</v>
      </c>
      <c r="Q350" s="24">
        <f>VLOOKUP(J350, KM!$A:$E, 5, 0)</f>
        <v>521</v>
      </c>
      <c r="R350" s="24">
        <f>VLOOKUP(K350, KM!$A:$E, 5, 0)</f>
        <v>1144</v>
      </c>
      <c r="S350" s="24">
        <f>VLOOKUP(L350, KM!$A:$E, 5, 0)</f>
        <v>0</v>
      </c>
      <c r="T350" s="24">
        <f>VLOOKUP(M350, KM!$A:$E, 5, 0)</f>
        <v>852</v>
      </c>
      <c r="U350" s="24">
        <f>VLOOKUP(N350, KM!$A:$E, 5, 0)</f>
        <v>4374</v>
      </c>
      <c r="V350" s="24">
        <f>VLOOKUP(H350, IMPOSTO!$A:$D, 4, 0)</f>
        <v>0.12</v>
      </c>
      <c r="W350" s="24">
        <f>VLOOKUP(I350, IMPOSTO!$A:$D, 4, 0)</f>
        <v>0.12</v>
      </c>
      <c r="X350" s="24">
        <f>VLOOKUP(J350, IMPOSTO!$A:$D, 4, 0)</f>
        <v>7.0000000000000007E-2</v>
      </c>
      <c r="Y350" s="24">
        <f>VLOOKUP(K350, IMPOSTO!$A:$D, 4, 0)</f>
        <v>0.12</v>
      </c>
      <c r="Z350" s="24">
        <f>VLOOKUP(L350, IMPOSTO!$A:$D, 4, 0)</f>
        <v>0.18</v>
      </c>
      <c r="AA350" s="24">
        <f>VLOOKUP(M350, IMPOSTO!$A:$D, 4, 0)</f>
        <v>0.12</v>
      </c>
      <c r="AB350" s="24">
        <f>VLOOKUP(N350, IMPOSTO!$A:$D, 4, 0)</f>
        <v>7.0000000000000007E-2</v>
      </c>
      <c r="AC350" s="25">
        <f t="shared" si="50"/>
        <v>50.715451109631609</v>
      </c>
      <c r="AD350" s="25">
        <f t="shared" si="51"/>
        <v>51.283632927813429</v>
      </c>
      <c r="AE350" s="25">
        <f t="shared" si="52"/>
        <v>57.88128707147937</v>
      </c>
      <c r="AF350" s="25">
        <f t="shared" si="53"/>
        <v>131.9654511096316</v>
      </c>
      <c r="AG350" s="25">
        <f t="shared" si="54"/>
        <v>2.1092646054583049</v>
      </c>
      <c r="AH350" s="25">
        <f t="shared" si="55"/>
        <v>98.783632927813414</v>
      </c>
      <c r="AI350" s="25">
        <f t="shared" si="56"/>
        <v>472.18236234029666</v>
      </c>
    </row>
    <row r="351" spans="1:35" ht="15.75" customHeight="1">
      <c r="A351" s="12" t="s">
        <v>170</v>
      </c>
      <c r="B351" s="12" t="s">
        <v>171</v>
      </c>
      <c r="C351" s="12" t="s">
        <v>163</v>
      </c>
      <c r="D351" s="12" t="s">
        <v>33</v>
      </c>
      <c r="E351" s="12" t="s">
        <v>27</v>
      </c>
      <c r="F351" s="13">
        <v>39.535775186388847</v>
      </c>
      <c r="G351" s="14">
        <v>579.44885007455548</v>
      </c>
      <c r="H351" s="24" t="str">
        <f t="shared" si="49"/>
        <v>RJSP</v>
      </c>
      <c r="I351" s="24" t="str">
        <f t="shared" si="48"/>
        <v>RJMG</v>
      </c>
      <c r="J351" s="24" t="str">
        <f t="shared" si="48"/>
        <v>RJES</v>
      </c>
      <c r="K351" s="24" t="str">
        <f t="shared" si="48"/>
        <v>RJSC</v>
      </c>
      <c r="L351" s="24" t="str">
        <f t="shared" si="48"/>
        <v>RJRJ</v>
      </c>
      <c r="M351" s="24" t="str">
        <f t="shared" si="48"/>
        <v>RJPR</v>
      </c>
      <c r="N351" s="24" t="str">
        <f t="shared" si="48"/>
        <v>RJAM</v>
      </c>
      <c r="O351" s="24">
        <f>VLOOKUP(H351, KM!$A:$E, 5, 0)</f>
        <v>429</v>
      </c>
      <c r="P351" s="24">
        <f>VLOOKUP(I351, KM!$A:$E, 5, 0)</f>
        <v>434</v>
      </c>
      <c r="Q351" s="24">
        <f>VLOOKUP(J351, KM!$A:$E, 5, 0)</f>
        <v>521</v>
      </c>
      <c r="R351" s="24">
        <f>VLOOKUP(K351, KM!$A:$E, 5, 0)</f>
        <v>1144</v>
      </c>
      <c r="S351" s="24">
        <f>VLOOKUP(L351, KM!$A:$E, 5, 0)</f>
        <v>0</v>
      </c>
      <c r="T351" s="24">
        <f>VLOOKUP(M351, KM!$A:$E, 5, 0)</f>
        <v>852</v>
      </c>
      <c r="U351" s="24">
        <f>VLOOKUP(N351, KM!$A:$E, 5, 0)</f>
        <v>4374</v>
      </c>
      <c r="V351" s="24">
        <f>VLOOKUP(H351, IMPOSTO!$A:$D, 4, 0)</f>
        <v>0.12</v>
      </c>
      <c r="W351" s="24">
        <f>VLOOKUP(I351, IMPOSTO!$A:$D, 4, 0)</f>
        <v>0.12</v>
      </c>
      <c r="X351" s="24">
        <f>VLOOKUP(J351, IMPOSTO!$A:$D, 4, 0)</f>
        <v>7.0000000000000007E-2</v>
      </c>
      <c r="Y351" s="24">
        <f>VLOOKUP(K351, IMPOSTO!$A:$D, 4, 0)</f>
        <v>0.12</v>
      </c>
      <c r="Z351" s="24">
        <f>VLOOKUP(L351, IMPOSTO!$A:$D, 4, 0)</f>
        <v>0.18</v>
      </c>
      <c r="AA351" s="24">
        <f>VLOOKUP(M351, IMPOSTO!$A:$D, 4, 0)</f>
        <v>0.12</v>
      </c>
      <c r="AB351" s="24">
        <f>VLOOKUP(N351, IMPOSTO!$A:$D, 4, 0)</f>
        <v>7.0000000000000007E-2</v>
      </c>
      <c r="AC351" s="25">
        <f t="shared" si="50"/>
        <v>707.21460235744939</v>
      </c>
      <c r="AD351" s="25">
        <f t="shared" si="51"/>
        <v>707.78278417563115</v>
      </c>
      <c r="AE351" s="25">
        <f t="shared" si="52"/>
        <v>679.08478502640378</v>
      </c>
      <c r="AF351" s="25">
        <f t="shared" si="53"/>
        <v>788.46460235744939</v>
      </c>
      <c r="AG351" s="25">
        <f t="shared" si="54"/>
        <v>706.64493911531156</v>
      </c>
      <c r="AH351" s="25">
        <f t="shared" si="55"/>
        <v>755.28278417563126</v>
      </c>
      <c r="AI351" s="25">
        <f t="shared" si="56"/>
        <v>1093.3858602952209</v>
      </c>
    </row>
    <row r="352" spans="1:35" ht="15.75" customHeight="1">
      <c r="A352" s="12" t="s">
        <v>170</v>
      </c>
      <c r="B352" s="12" t="s">
        <v>171</v>
      </c>
      <c r="C352" s="12" t="s">
        <v>163</v>
      </c>
      <c r="D352" s="12" t="s">
        <v>33</v>
      </c>
      <c r="E352" s="12" t="s">
        <v>27</v>
      </c>
      <c r="F352" s="13">
        <v>11.136838080672913</v>
      </c>
      <c r="G352" s="14">
        <v>162.40182762760463</v>
      </c>
      <c r="H352" s="24" t="str">
        <f t="shared" si="49"/>
        <v>RJSP</v>
      </c>
      <c r="I352" s="24" t="str">
        <f t="shared" si="48"/>
        <v>RJMG</v>
      </c>
      <c r="J352" s="24" t="str">
        <f t="shared" si="48"/>
        <v>RJES</v>
      </c>
      <c r="K352" s="24" t="str">
        <f t="shared" si="48"/>
        <v>RJSC</v>
      </c>
      <c r="L352" s="24" t="str">
        <f t="shared" si="48"/>
        <v>RJRJ</v>
      </c>
      <c r="M352" s="24" t="str">
        <f t="shared" si="48"/>
        <v>RJPR</v>
      </c>
      <c r="N352" s="24" t="str">
        <f t="shared" si="48"/>
        <v>RJAM</v>
      </c>
      <c r="O352" s="24">
        <f>VLOOKUP(H352, KM!$A:$E, 5, 0)</f>
        <v>429</v>
      </c>
      <c r="P352" s="24">
        <f>VLOOKUP(I352, KM!$A:$E, 5, 0)</f>
        <v>434</v>
      </c>
      <c r="Q352" s="24">
        <f>VLOOKUP(J352, KM!$A:$E, 5, 0)</f>
        <v>521</v>
      </c>
      <c r="R352" s="24">
        <f>VLOOKUP(K352, KM!$A:$E, 5, 0)</f>
        <v>1144</v>
      </c>
      <c r="S352" s="24">
        <f>VLOOKUP(L352, KM!$A:$E, 5, 0)</f>
        <v>0</v>
      </c>
      <c r="T352" s="24">
        <f>VLOOKUP(M352, KM!$A:$E, 5, 0)</f>
        <v>852</v>
      </c>
      <c r="U352" s="24">
        <f>VLOOKUP(N352, KM!$A:$E, 5, 0)</f>
        <v>4374</v>
      </c>
      <c r="V352" s="24">
        <f>VLOOKUP(H352, IMPOSTO!$A:$D, 4, 0)</f>
        <v>0.12</v>
      </c>
      <c r="W352" s="24">
        <f>VLOOKUP(I352, IMPOSTO!$A:$D, 4, 0)</f>
        <v>0.12</v>
      </c>
      <c r="X352" s="24">
        <f>VLOOKUP(J352, IMPOSTO!$A:$D, 4, 0)</f>
        <v>7.0000000000000007E-2</v>
      </c>
      <c r="Y352" s="24">
        <f>VLOOKUP(K352, IMPOSTO!$A:$D, 4, 0)</f>
        <v>0.12</v>
      </c>
      <c r="Z352" s="24">
        <f>VLOOKUP(L352, IMPOSTO!$A:$D, 4, 0)</f>
        <v>0.18</v>
      </c>
      <c r="AA352" s="24">
        <f>VLOOKUP(M352, IMPOSTO!$A:$D, 4, 0)</f>
        <v>0.12</v>
      </c>
      <c r="AB352" s="24">
        <f>VLOOKUP(N352, IMPOSTO!$A:$D, 4, 0)</f>
        <v>7.0000000000000007E-2</v>
      </c>
      <c r="AC352" s="25">
        <f t="shared" si="50"/>
        <v>233.29753139500528</v>
      </c>
      <c r="AD352" s="25">
        <f t="shared" si="51"/>
        <v>233.86571321318709</v>
      </c>
      <c r="AE352" s="25">
        <f t="shared" si="52"/>
        <v>230.64712648129532</v>
      </c>
      <c r="AF352" s="25">
        <f t="shared" si="53"/>
        <v>314.54753139500531</v>
      </c>
      <c r="AG352" s="25">
        <f t="shared" si="54"/>
        <v>198.05100930195687</v>
      </c>
      <c r="AH352" s="25">
        <f t="shared" si="55"/>
        <v>281.36571321318706</v>
      </c>
      <c r="AI352" s="25">
        <f t="shared" si="56"/>
        <v>644.94820175011262</v>
      </c>
    </row>
    <row r="353" spans="1:35" ht="15.75" customHeight="1">
      <c r="A353" s="12" t="s">
        <v>99</v>
      </c>
      <c r="B353" s="12" t="s">
        <v>100</v>
      </c>
      <c r="C353" s="12" t="s">
        <v>101</v>
      </c>
      <c r="D353" s="12" t="s">
        <v>33</v>
      </c>
      <c r="E353" s="12" t="s">
        <v>27</v>
      </c>
      <c r="F353" s="13">
        <v>0</v>
      </c>
      <c r="G353" s="14">
        <v>0</v>
      </c>
      <c r="H353" s="24" t="str">
        <f t="shared" si="49"/>
        <v>RJSP</v>
      </c>
      <c r="I353" s="24" t="str">
        <f t="shared" si="48"/>
        <v>RJMG</v>
      </c>
      <c r="J353" s="24" t="str">
        <f t="shared" si="48"/>
        <v>RJES</v>
      </c>
      <c r="K353" s="24" t="str">
        <f t="shared" si="48"/>
        <v>RJSC</v>
      </c>
      <c r="L353" s="24" t="str">
        <f t="shared" si="48"/>
        <v>RJRJ</v>
      </c>
      <c r="M353" s="24" t="str">
        <f t="shared" si="48"/>
        <v>RJPR</v>
      </c>
      <c r="N353" s="24" t="str">
        <f t="shared" si="48"/>
        <v>RJAM</v>
      </c>
      <c r="O353" s="24">
        <f>VLOOKUP(H353, KM!$A:$E, 5, 0)</f>
        <v>429</v>
      </c>
      <c r="P353" s="24">
        <f>VLOOKUP(I353, KM!$A:$E, 5, 0)</f>
        <v>434</v>
      </c>
      <c r="Q353" s="24">
        <f>VLOOKUP(J353, KM!$A:$E, 5, 0)</f>
        <v>521</v>
      </c>
      <c r="R353" s="24">
        <f>VLOOKUP(K353, KM!$A:$E, 5, 0)</f>
        <v>1144</v>
      </c>
      <c r="S353" s="24">
        <f>VLOOKUP(L353, KM!$A:$E, 5, 0)</f>
        <v>0</v>
      </c>
      <c r="T353" s="24">
        <f>VLOOKUP(M353, KM!$A:$E, 5, 0)</f>
        <v>852</v>
      </c>
      <c r="U353" s="24">
        <f>VLOOKUP(N353, KM!$A:$E, 5, 0)</f>
        <v>4374</v>
      </c>
      <c r="V353" s="24">
        <f>VLOOKUP(H353, IMPOSTO!$A:$D, 4, 0)</f>
        <v>0.12</v>
      </c>
      <c r="W353" s="24">
        <f>VLOOKUP(I353, IMPOSTO!$A:$D, 4, 0)</f>
        <v>0.12</v>
      </c>
      <c r="X353" s="24">
        <f>VLOOKUP(J353, IMPOSTO!$A:$D, 4, 0)</f>
        <v>7.0000000000000007E-2</v>
      </c>
      <c r="Y353" s="24">
        <f>VLOOKUP(K353, IMPOSTO!$A:$D, 4, 0)</f>
        <v>0.12</v>
      </c>
      <c r="Z353" s="24">
        <f>VLOOKUP(L353, IMPOSTO!$A:$D, 4, 0)</f>
        <v>0.18</v>
      </c>
      <c r="AA353" s="24">
        <f>VLOOKUP(M353, IMPOSTO!$A:$D, 4, 0)</f>
        <v>0.12</v>
      </c>
      <c r="AB353" s="24">
        <f>VLOOKUP(N353, IMPOSTO!$A:$D, 4, 0)</f>
        <v>7.0000000000000007E-2</v>
      </c>
      <c r="AC353" s="25">
        <f t="shared" si="50"/>
        <v>48.750000000000007</v>
      </c>
      <c r="AD353" s="25">
        <f t="shared" si="51"/>
        <v>49.318181818181827</v>
      </c>
      <c r="AE353" s="25">
        <f t="shared" si="52"/>
        <v>56.021505376344088</v>
      </c>
      <c r="AF353" s="25">
        <f t="shared" si="53"/>
        <v>130</v>
      </c>
      <c r="AG353" s="25">
        <f t="shared" si="54"/>
        <v>0</v>
      </c>
      <c r="AH353" s="25">
        <f t="shared" si="55"/>
        <v>96.818181818181827</v>
      </c>
      <c r="AI353" s="25">
        <f t="shared" si="56"/>
        <v>470.32258064516134</v>
      </c>
    </row>
    <row r="354" spans="1:35" ht="15.75" customHeight="1">
      <c r="A354" s="12" t="s">
        <v>402</v>
      </c>
      <c r="B354" s="12" t="s">
        <v>403</v>
      </c>
      <c r="C354" s="12" t="s">
        <v>181</v>
      </c>
      <c r="D354" s="12" t="s">
        <v>33</v>
      </c>
      <c r="E354" s="12" t="s">
        <v>27</v>
      </c>
      <c r="F354" s="13">
        <v>1.1028</v>
      </c>
      <c r="G354" s="14">
        <v>22.449642996106192</v>
      </c>
      <c r="H354" s="24" t="str">
        <f t="shared" si="49"/>
        <v>RJSP</v>
      </c>
      <c r="I354" s="24" t="str">
        <f t="shared" si="48"/>
        <v>RJMG</v>
      </c>
      <c r="J354" s="24" t="str">
        <f t="shared" si="48"/>
        <v>RJES</v>
      </c>
      <c r="K354" s="24" t="str">
        <f t="shared" si="48"/>
        <v>RJSC</v>
      </c>
      <c r="L354" s="24" t="str">
        <f t="shared" si="48"/>
        <v>RJRJ</v>
      </c>
      <c r="M354" s="24" t="str">
        <f t="shared" si="48"/>
        <v>RJPR</v>
      </c>
      <c r="N354" s="24" t="str">
        <f t="shared" si="48"/>
        <v>RJAM</v>
      </c>
      <c r="O354" s="24">
        <f>VLOOKUP(H354, KM!$A:$E, 5, 0)</f>
        <v>429</v>
      </c>
      <c r="P354" s="24">
        <f>VLOOKUP(I354, KM!$A:$E, 5, 0)</f>
        <v>434</v>
      </c>
      <c r="Q354" s="24">
        <f>VLOOKUP(J354, KM!$A:$E, 5, 0)</f>
        <v>521</v>
      </c>
      <c r="R354" s="24">
        <f>VLOOKUP(K354, KM!$A:$E, 5, 0)</f>
        <v>1144</v>
      </c>
      <c r="S354" s="24">
        <f>VLOOKUP(L354, KM!$A:$E, 5, 0)</f>
        <v>0</v>
      </c>
      <c r="T354" s="24">
        <f>VLOOKUP(M354, KM!$A:$E, 5, 0)</f>
        <v>852</v>
      </c>
      <c r="U354" s="24">
        <f>VLOOKUP(N354, KM!$A:$E, 5, 0)</f>
        <v>4374</v>
      </c>
      <c r="V354" s="24">
        <f>VLOOKUP(H354, IMPOSTO!$A:$D, 4, 0)</f>
        <v>0.12</v>
      </c>
      <c r="W354" s="24">
        <f>VLOOKUP(I354, IMPOSTO!$A:$D, 4, 0)</f>
        <v>0.12</v>
      </c>
      <c r="X354" s="24">
        <f>VLOOKUP(J354, IMPOSTO!$A:$D, 4, 0)</f>
        <v>7.0000000000000007E-2</v>
      </c>
      <c r="Y354" s="24">
        <f>VLOOKUP(K354, IMPOSTO!$A:$D, 4, 0)</f>
        <v>0.12</v>
      </c>
      <c r="Z354" s="24">
        <f>VLOOKUP(L354, IMPOSTO!$A:$D, 4, 0)</f>
        <v>0.18</v>
      </c>
      <c r="AA354" s="24">
        <f>VLOOKUP(M354, IMPOSTO!$A:$D, 4, 0)</f>
        <v>0.12</v>
      </c>
      <c r="AB354" s="24">
        <f>VLOOKUP(N354, IMPOSTO!$A:$D, 4, 0)</f>
        <v>7.0000000000000007E-2</v>
      </c>
      <c r="AC354" s="25">
        <f t="shared" si="50"/>
        <v>74.260957950120684</v>
      </c>
      <c r="AD354" s="25">
        <f t="shared" si="51"/>
        <v>74.829139768302497</v>
      </c>
      <c r="AE354" s="25">
        <f t="shared" si="52"/>
        <v>80.160906447426029</v>
      </c>
      <c r="AF354" s="25">
        <f t="shared" si="53"/>
        <v>155.51095795012066</v>
      </c>
      <c r="AG354" s="25">
        <f t="shared" si="54"/>
        <v>27.377613409885598</v>
      </c>
      <c r="AH354" s="25">
        <f t="shared" si="55"/>
        <v>122.3291397683025</v>
      </c>
      <c r="AI354" s="25">
        <f t="shared" si="56"/>
        <v>494.46198171624332</v>
      </c>
    </row>
    <row r="355" spans="1:35" ht="15.75" customHeight="1">
      <c r="A355" s="12" t="s">
        <v>182</v>
      </c>
      <c r="B355" s="12" t="s">
        <v>183</v>
      </c>
      <c r="C355" s="12" t="s">
        <v>160</v>
      </c>
      <c r="D355" s="12" t="s">
        <v>33</v>
      </c>
      <c r="E355" s="12" t="s">
        <v>27</v>
      </c>
      <c r="F355" s="13">
        <v>0.56514550833781596</v>
      </c>
      <c r="G355" s="14">
        <v>3.4464906602474437</v>
      </c>
      <c r="H355" s="24" t="str">
        <f t="shared" si="49"/>
        <v>RJSP</v>
      </c>
      <c r="I355" s="24" t="str">
        <f t="shared" si="48"/>
        <v>RJMG</v>
      </c>
      <c r="J355" s="24" t="str">
        <f t="shared" si="48"/>
        <v>RJES</v>
      </c>
      <c r="K355" s="24" t="str">
        <f t="shared" si="48"/>
        <v>RJSC</v>
      </c>
      <c r="L355" s="24" t="str">
        <f t="shared" si="48"/>
        <v>RJRJ</v>
      </c>
      <c r="M355" s="24" t="str">
        <f t="shared" si="48"/>
        <v>RJPR</v>
      </c>
      <c r="N355" s="24" t="str">
        <f t="shared" si="48"/>
        <v>RJAM</v>
      </c>
      <c r="O355" s="24">
        <f>VLOOKUP(H355, KM!$A:$E, 5, 0)</f>
        <v>429</v>
      </c>
      <c r="P355" s="24">
        <f>VLOOKUP(I355, KM!$A:$E, 5, 0)</f>
        <v>434</v>
      </c>
      <c r="Q355" s="24">
        <f>VLOOKUP(J355, KM!$A:$E, 5, 0)</f>
        <v>521</v>
      </c>
      <c r="R355" s="24">
        <f>VLOOKUP(K355, KM!$A:$E, 5, 0)</f>
        <v>1144</v>
      </c>
      <c r="S355" s="24">
        <f>VLOOKUP(L355, KM!$A:$E, 5, 0)</f>
        <v>0</v>
      </c>
      <c r="T355" s="24">
        <f>VLOOKUP(M355, KM!$A:$E, 5, 0)</f>
        <v>852</v>
      </c>
      <c r="U355" s="24">
        <f>VLOOKUP(N355, KM!$A:$E, 5, 0)</f>
        <v>4374</v>
      </c>
      <c r="V355" s="24">
        <f>VLOOKUP(H355, IMPOSTO!$A:$D, 4, 0)</f>
        <v>0.12</v>
      </c>
      <c r="W355" s="24">
        <f>VLOOKUP(I355, IMPOSTO!$A:$D, 4, 0)</f>
        <v>0.12</v>
      </c>
      <c r="X355" s="24">
        <f>VLOOKUP(J355, IMPOSTO!$A:$D, 4, 0)</f>
        <v>7.0000000000000007E-2</v>
      </c>
      <c r="Y355" s="24">
        <f>VLOOKUP(K355, IMPOSTO!$A:$D, 4, 0)</f>
        <v>0.12</v>
      </c>
      <c r="Z355" s="24">
        <f>VLOOKUP(L355, IMPOSTO!$A:$D, 4, 0)</f>
        <v>0.18</v>
      </c>
      <c r="AA355" s="24">
        <f>VLOOKUP(M355, IMPOSTO!$A:$D, 4, 0)</f>
        <v>0.12</v>
      </c>
      <c r="AB355" s="24">
        <f>VLOOKUP(N355, IMPOSTO!$A:$D, 4, 0)</f>
        <v>7.0000000000000007E-2</v>
      </c>
      <c r="AC355" s="25">
        <f t="shared" si="50"/>
        <v>52.666466659372098</v>
      </c>
      <c r="AD355" s="25">
        <f t="shared" si="51"/>
        <v>53.234648477553918</v>
      </c>
      <c r="AE355" s="25">
        <f t="shared" si="52"/>
        <v>59.727409312094025</v>
      </c>
      <c r="AF355" s="25">
        <f t="shared" si="53"/>
        <v>133.91646665937211</v>
      </c>
      <c r="AG355" s="25">
        <f t="shared" si="54"/>
        <v>4.2030373905456626</v>
      </c>
      <c r="AH355" s="25">
        <f t="shared" si="55"/>
        <v>100.73464847755392</v>
      </c>
      <c r="AI355" s="25">
        <f t="shared" si="56"/>
        <v>474.02848458091131</v>
      </c>
    </row>
    <row r="356" spans="1:35" ht="15.75" customHeight="1">
      <c r="A356" s="12" t="s">
        <v>184</v>
      </c>
      <c r="B356" s="12" t="s">
        <v>185</v>
      </c>
      <c r="C356" s="12" t="s">
        <v>181</v>
      </c>
      <c r="D356" s="12" t="s">
        <v>33</v>
      </c>
      <c r="E356" s="12" t="s">
        <v>27</v>
      </c>
      <c r="F356" s="13">
        <v>211.09139999999988</v>
      </c>
      <c r="G356" s="14">
        <v>3806.1197887061617</v>
      </c>
      <c r="H356" s="24" t="str">
        <f t="shared" si="49"/>
        <v>RJSP</v>
      </c>
      <c r="I356" s="24" t="str">
        <f t="shared" si="48"/>
        <v>RJMG</v>
      </c>
      <c r="J356" s="24" t="str">
        <f t="shared" si="48"/>
        <v>RJES</v>
      </c>
      <c r="K356" s="24" t="str">
        <f t="shared" si="48"/>
        <v>RJSC</v>
      </c>
      <c r="L356" s="24" t="str">
        <f t="shared" si="48"/>
        <v>RJRJ</v>
      </c>
      <c r="M356" s="24" t="str">
        <f t="shared" si="48"/>
        <v>RJPR</v>
      </c>
      <c r="N356" s="24" t="str">
        <f t="shared" si="48"/>
        <v>RJAM</v>
      </c>
      <c r="O356" s="24">
        <f>VLOOKUP(H356, KM!$A:$E, 5, 0)</f>
        <v>429</v>
      </c>
      <c r="P356" s="24">
        <f>VLOOKUP(I356, KM!$A:$E, 5, 0)</f>
        <v>434</v>
      </c>
      <c r="Q356" s="24">
        <f>VLOOKUP(J356, KM!$A:$E, 5, 0)</f>
        <v>521</v>
      </c>
      <c r="R356" s="24">
        <f>VLOOKUP(K356, KM!$A:$E, 5, 0)</f>
        <v>1144</v>
      </c>
      <c r="S356" s="24">
        <f>VLOOKUP(L356, KM!$A:$E, 5, 0)</f>
        <v>0</v>
      </c>
      <c r="T356" s="24">
        <f>VLOOKUP(M356, KM!$A:$E, 5, 0)</f>
        <v>852</v>
      </c>
      <c r="U356" s="24">
        <f>VLOOKUP(N356, KM!$A:$E, 5, 0)</f>
        <v>4374</v>
      </c>
      <c r="V356" s="24">
        <f>VLOOKUP(H356, IMPOSTO!$A:$D, 4, 0)</f>
        <v>0.12</v>
      </c>
      <c r="W356" s="24">
        <f>VLOOKUP(I356, IMPOSTO!$A:$D, 4, 0)</f>
        <v>0.12</v>
      </c>
      <c r="X356" s="24">
        <f>VLOOKUP(J356, IMPOSTO!$A:$D, 4, 0)</f>
        <v>7.0000000000000007E-2</v>
      </c>
      <c r="Y356" s="24">
        <f>VLOOKUP(K356, IMPOSTO!$A:$D, 4, 0)</f>
        <v>0.12</v>
      </c>
      <c r="Z356" s="24">
        <f>VLOOKUP(L356, IMPOSTO!$A:$D, 4, 0)</f>
        <v>0.18</v>
      </c>
      <c r="AA356" s="24">
        <f>VLOOKUP(M356, IMPOSTO!$A:$D, 4, 0)</f>
        <v>0.12</v>
      </c>
      <c r="AB356" s="24">
        <f>VLOOKUP(N356, IMPOSTO!$A:$D, 4, 0)</f>
        <v>7.0000000000000007E-2</v>
      </c>
      <c r="AC356" s="25">
        <f t="shared" si="50"/>
        <v>4373.886123529729</v>
      </c>
      <c r="AD356" s="25">
        <f t="shared" si="51"/>
        <v>4374.454305347911</v>
      </c>
      <c r="AE356" s="25">
        <f t="shared" si="52"/>
        <v>4148.6234287163034</v>
      </c>
      <c r="AF356" s="25">
        <f t="shared" si="53"/>
        <v>4455.136123529729</v>
      </c>
      <c r="AG356" s="25">
        <f t="shared" si="54"/>
        <v>4641.6094984221481</v>
      </c>
      <c r="AH356" s="25">
        <f t="shared" si="55"/>
        <v>4421.954305347911</v>
      </c>
      <c r="AI356" s="25">
        <f t="shared" si="56"/>
        <v>4562.9245039851203</v>
      </c>
    </row>
    <row r="357" spans="1:35" ht="15.75" customHeight="1">
      <c r="A357" s="12" t="s">
        <v>415</v>
      </c>
      <c r="B357" s="12" t="s">
        <v>416</v>
      </c>
      <c r="C357" s="12" t="s">
        <v>192</v>
      </c>
      <c r="D357" s="12" t="s">
        <v>33</v>
      </c>
      <c r="E357" s="12" t="s">
        <v>27</v>
      </c>
      <c r="F357" s="13">
        <v>1.0004000000000002</v>
      </c>
      <c r="G357" s="14">
        <v>37.348606938775511</v>
      </c>
      <c r="H357" s="24" t="str">
        <f t="shared" si="49"/>
        <v>RJSP</v>
      </c>
      <c r="I357" s="24" t="str">
        <f t="shared" si="48"/>
        <v>RJMG</v>
      </c>
      <c r="J357" s="24" t="str">
        <f t="shared" si="48"/>
        <v>RJES</v>
      </c>
      <c r="K357" s="24" t="str">
        <f t="shared" si="48"/>
        <v>RJSC</v>
      </c>
      <c r="L357" s="24" t="str">
        <f t="shared" si="48"/>
        <v>RJRJ</v>
      </c>
      <c r="M357" s="24" t="str">
        <f t="shared" si="48"/>
        <v>RJPR</v>
      </c>
      <c r="N357" s="24" t="str">
        <f t="shared" si="48"/>
        <v>RJAM</v>
      </c>
      <c r="O357" s="24">
        <f>VLOOKUP(H357, KM!$A:$E, 5, 0)</f>
        <v>429</v>
      </c>
      <c r="P357" s="24">
        <f>VLOOKUP(I357, KM!$A:$E, 5, 0)</f>
        <v>434</v>
      </c>
      <c r="Q357" s="24">
        <f>VLOOKUP(J357, KM!$A:$E, 5, 0)</f>
        <v>521</v>
      </c>
      <c r="R357" s="24">
        <f>VLOOKUP(K357, KM!$A:$E, 5, 0)</f>
        <v>1144</v>
      </c>
      <c r="S357" s="24">
        <f>VLOOKUP(L357, KM!$A:$E, 5, 0)</f>
        <v>0</v>
      </c>
      <c r="T357" s="24">
        <f>VLOOKUP(M357, KM!$A:$E, 5, 0)</f>
        <v>852</v>
      </c>
      <c r="U357" s="24">
        <f>VLOOKUP(N357, KM!$A:$E, 5, 0)</f>
        <v>4374</v>
      </c>
      <c r="V357" s="24">
        <f>VLOOKUP(H357, IMPOSTO!$A:$D, 4, 0)</f>
        <v>0.12</v>
      </c>
      <c r="W357" s="24">
        <f>VLOOKUP(I357, IMPOSTO!$A:$D, 4, 0)</f>
        <v>0.12</v>
      </c>
      <c r="X357" s="24">
        <f>VLOOKUP(J357, IMPOSTO!$A:$D, 4, 0)</f>
        <v>7.0000000000000007E-2</v>
      </c>
      <c r="Y357" s="24">
        <f>VLOOKUP(K357, IMPOSTO!$A:$D, 4, 0)</f>
        <v>0.12</v>
      </c>
      <c r="Z357" s="24">
        <f>VLOOKUP(L357, IMPOSTO!$A:$D, 4, 0)</f>
        <v>0.18</v>
      </c>
      <c r="AA357" s="24">
        <f>VLOOKUP(M357, IMPOSTO!$A:$D, 4, 0)</f>
        <v>0.12</v>
      </c>
      <c r="AB357" s="24">
        <f>VLOOKUP(N357, IMPOSTO!$A:$D, 4, 0)</f>
        <v>7.0000000000000007E-2</v>
      </c>
      <c r="AC357" s="25">
        <f t="shared" si="50"/>
        <v>91.191598794063083</v>
      </c>
      <c r="AD357" s="25">
        <f t="shared" si="51"/>
        <v>91.759780612244896</v>
      </c>
      <c r="AE357" s="25">
        <f t="shared" si="52"/>
        <v>96.181297783629589</v>
      </c>
      <c r="AF357" s="25">
        <f t="shared" si="53"/>
        <v>172.44159879406308</v>
      </c>
      <c r="AG357" s="25">
        <f t="shared" si="54"/>
        <v>45.547081632653061</v>
      </c>
      <c r="AH357" s="25">
        <f t="shared" si="55"/>
        <v>139.2597806122449</v>
      </c>
      <c r="AI357" s="25">
        <f t="shared" si="56"/>
        <v>510.48237305244686</v>
      </c>
    </row>
    <row r="358" spans="1:35" ht="15.75" customHeight="1">
      <c r="A358" s="12" t="s">
        <v>417</v>
      </c>
      <c r="B358" s="12" t="s">
        <v>418</v>
      </c>
      <c r="C358" s="12" t="s">
        <v>192</v>
      </c>
      <c r="D358" s="12" t="s">
        <v>33</v>
      </c>
      <c r="E358" s="12" t="s">
        <v>27</v>
      </c>
      <c r="F358" s="13">
        <v>11.240329734675207</v>
      </c>
      <c r="G358" s="14">
        <v>107.00516368405002</v>
      </c>
      <c r="H358" s="24" t="str">
        <f t="shared" si="49"/>
        <v>RJSP</v>
      </c>
      <c r="I358" s="24" t="str">
        <f t="shared" si="48"/>
        <v>RJMG</v>
      </c>
      <c r="J358" s="24" t="str">
        <f t="shared" si="48"/>
        <v>RJES</v>
      </c>
      <c r="K358" s="24" t="str">
        <f t="shared" si="48"/>
        <v>RJSC</v>
      </c>
      <c r="L358" s="24" t="str">
        <f t="shared" si="48"/>
        <v>RJRJ</v>
      </c>
      <c r="M358" s="24" t="str">
        <f t="shared" si="48"/>
        <v>RJPR</v>
      </c>
      <c r="N358" s="24" t="str">
        <f t="shared" si="48"/>
        <v>RJAM</v>
      </c>
      <c r="O358" s="24">
        <f>VLOOKUP(H358, KM!$A:$E, 5, 0)</f>
        <v>429</v>
      </c>
      <c r="P358" s="24">
        <f>VLOOKUP(I358, KM!$A:$E, 5, 0)</f>
        <v>434</v>
      </c>
      <c r="Q358" s="24">
        <f>VLOOKUP(J358, KM!$A:$E, 5, 0)</f>
        <v>521</v>
      </c>
      <c r="R358" s="24">
        <f>VLOOKUP(K358, KM!$A:$E, 5, 0)</f>
        <v>1144</v>
      </c>
      <c r="S358" s="24">
        <f>VLOOKUP(L358, KM!$A:$E, 5, 0)</f>
        <v>0</v>
      </c>
      <c r="T358" s="24">
        <f>VLOOKUP(M358, KM!$A:$E, 5, 0)</f>
        <v>852</v>
      </c>
      <c r="U358" s="24">
        <f>VLOOKUP(N358, KM!$A:$E, 5, 0)</f>
        <v>4374</v>
      </c>
      <c r="V358" s="24">
        <f>VLOOKUP(H358, IMPOSTO!$A:$D, 4, 0)</f>
        <v>0.12</v>
      </c>
      <c r="W358" s="24">
        <f>VLOOKUP(I358, IMPOSTO!$A:$D, 4, 0)</f>
        <v>0.12</v>
      </c>
      <c r="X358" s="24">
        <f>VLOOKUP(J358, IMPOSTO!$A:$D, 4, 0)</f>
        <v>7.0000000000000007E-2</v>
      </c>
      <c r="Y358" s="24">
        <f>VLOOKUP(K358, IMPOSTO!$A:$D, 4, 0)</f>
        <v>0.12</v>
      </c>
      <c r="Z358" s="24">
        <f>VLOOKUP(L358, IMPOSTO!$A:$D, 4, 0)</f>
        <v>0.18</v>
      </c>
      <c r="AA358" s="24">
        <f>VLOOKUP(M358, IMPOSTO!$A:$D, 4, 0)</f>
        <v>0.12</v>
      </c>
      <c r="AB358" s="24">
        <f>VLOOKUP(N358, IMPOSTO!$A:$D, 4, 0)</f>
        <v>7.0000000000000007E-2</v>
      </c>
      <c r="AC358" s="25">
        <f t="shared" si="50"/>
        <v>170.34677691369322</v>
      </c>
      <c r="AD358" s="25">
        <f t="shared" si="51"/>
        <v>170.91495873187503</v>
      </c>
      <c r="AE358" s="25">
        <f t="shared" si="52"/>
        <v>171.08082116564518</v>
      </c>
      <c r="AF358" s="25">
        <f t="shared" si="53"/>
        <v>251.59677691369322</v>
      </c>
      <c r="AG358" s="25">
        <f t="shared" si="54"/>
        <v>130.49410205371953</v>
      </c>
      <c r="AH358" s="25">
        <f t="shared" si="55"/>
        <v>218.41495873187503</v>
      </c>
      <c r="AI358" s="25">
        <f t="shared" si="56"/>
        <v>585.38189643446253</v>
      </c>
    </row>
    <row r="359" spans="1:35" ht="15.75" customHeight="1">
      <c r="A359" s="12" t="s">
        <v>195</v>
      </c>
      <c r="B359" s="12" t="s">
        <v>196</v>
      </c>
      <c r="C359" s="12" t="s">
        <v>98</v>
      </c>
      <c r="D359" s="12" t="s">
        <v>33</v>
      </c>
      <c r="E359" s="12" t="s">
        <v>27</v>
      </c>
      <c r="F359" s="13">
        <v>501.56307692307689</v>
      </c>
      <c r="G359" s="14">
        <v>3019.1852736000001</v>
      </c>
      <c r="H359" s="24" t="str">
        <f t="shared" si="49"/>
        <v>RJSP</v>
      </c>
      <c r="I359" s="24" t="str">
        <f t="shared" si="48"/>
        <v>RJMG</v>
      </c>
      <c r="J359" s="24" t="str">
        <f t="shared" si="48"/>
        <v>RJES</v>
      </c>
      <c r="K359" s="24" t="str">
        <f t="shared" si="48"/>
        <v>RJSC</v>
      </c>
      <c r="L359" s="24" t="str">
        <f t="shared" si="48"/>
        <v>RJRJ</v>
      </c>
      <c r="M359" s="24" t="str">
        <f t="shared" si="48"/>
        <v>RJPR</v>
      </c>
      <c r="N359" s="24" t="str">
        <f t="shared" si="48"/>
        <v>RJAM</v>
      </c>
      <c r="O359" s="24">
        <f>VLOOKUP(H359, KM!$A:$E, 5, 0)</f>
        <v>429</v>
      </c>
      <c r="P359" s="24">
        <f>VLOOKUP(I359, KM!$A:$E, 5, 0)</f>
        <v>434</v>
      </c>
      <c r="Q359" s="24">
        <f>VLOOKUP(J359, KM!$A:$E, 5, 0)</f>
        <v>521</v>
      </c>
      <c r="R359" s="24">
        <f>VLOOKUP(K359, KM!$A:$E, 5, 0)</f>
        <v>1144</v>
      </c>
      <c r="S359" s="24">
        <f>VLOOKUP(L359, KM!$A:$E, 5, 0)</f>
        <v>0</v>
      </c>
      <c r="T359" s="24">
        <f>VLOOKUP(M359, KM!$A:$E, 5, 0)</f>
        <v>852</v>
      </c>
      <c r="U359" s="24">
        <f>VLOOKUP(N359, KM!$A:$E, 5, 0)</f>
        <v>4374</v>
      </c>
      <c r="V359" s="24">
        <f>VLOOKUP(H359, IMPOSTO!$A:$D, 4, 0)</f>
        <v>0.12</v>
      </c>
      <c r="W359" s="24">
        <f>VLOOKUP(I359, IMPOSTO!$A:$D, 4, 0)</f>
        <v>0.12</v>
      </c>
      <c r="X359" s="24">
        <f>VLOOKUP(J359, IMPOSTO!$A:$D, 4, 0)</f>
        <v>7.0000000000000007E-2</v>
      </c>
      <c r="Y359" s="24">
        <f>VLOOKUP(K359, IMPOSTO!$A:$D, 4, 0)</f>
        <v>0.12</v>
      </c>
      <c r="Z359" s="24">
        <f>VLOOKUP(L359, IMPOSTO!$A:$D, 4, 0)</f>
        <v>0.18</v>
      </c>
      <c r="AA359" s="24">
        <f>VLOOKUP(M359, IMPOSTO!$A:$D, 4, 0)</f>
        <v>0.12</v>
      </c>
      <c r="AB359" s="24">
        <f>VLOOKUP(N359, IMPOSTO!$A:$D, 4, 0)</f>
        <v>7.0000000000000007E-2</v>
      </c>
      <c r="AC359" s="25">
        <f t="shared" si="50"/>
        <v>3479.6423563636367</v>
      </c>
      <c r="AD359" s="25">
        <f t="shared" si="51"/>
        <v>3480.2105381818183</v>
      </c>
      <c r="AE359" s="25">
        <f t="shared" si="52"/>
        <v>3302.4572834408605</v>
      </c>
      <c r="AF359" s="25">
        <f t="shared" si="53"/>
        <v>3560.8923563636367</v>
      </c>
      <c r="AG359" s="25">
        <f t="shared" si="54"/>
        <v>3681.9332604878045</v>
      </c>
      <c r="AH359" s="25">
        <f t="shared" si="55"/>
        <v>3527.7105381818183</v>
      </c>
      <c r="AI359" s="25">
        <f t="shared" si="56"/>
        <v>3716.7583587096779</v>
      </c>
    </row>
    <row r="360" spans="1:35" ht="15.75" customHeight="1">
      <c r="A360" s="12" t="s">
        <v>199</v>
      </c>
      <c r="B360" s="12" t="s">
        <v>200</v>
      </c>
      <c r="C360" s="12" t="s">
        <v>181</v>
      </c>
      <c r="D360" s="12" t="s">
        <v>33</v>
      </c>
      <c r="E360" s="12" t="s">
        <v>27</v>
      </c>
      <c r="F360" s="13">
        <v>89.757816939890702</v>
      </c>
      <c r="G360" s="14">
        <v>1155.2948779016392</v>
      </c>
      <c r="H360" s="24" t="str">
        <f t="shared" si="49"/>
        <v>RJSP</v>
      </c>
      <c r="I360" s="24" t="str">
        <f t="shared" si="48"/>
        <v>RJMG</v>
      </c>
      <c r="J360" s="24" t="str">
        <f t="shared" si="48"/>
        <v>RJES</v>
      </c>
      <c r="K360" s="24" t="str">
        <f t="shared" si="48"/>
        <v>RJSC</v>
      </c>
      <c r="L360" s="24" t="str">
        <f t="shared" si="48"/>
        <v>RJRJ</v>
      </c>
      <c r="M360" s="24" t="str">
        <f t="shared" si="48"/>
        <v>RJPR</v>
      </c>
      <c r="N360" s="24" t="str">
        <f t="shared" si="48"/>
        <v>RJAM</v>
      </c>
      <c r="O360" s="24">
        <f>VLOOKUP(H360, KM!$A:$E, 5, 0)</f>
        <v>429</v>
      </c>
      <c r="P360" s="24">
        <f>VLOOKUP(I360, KM!$A:$E, 5, 0)</f>
        <v>434</v>
      </c>
      <c r="Q360" s="24">
        <f>VLOOKUP(J360, KM!$A:$E, 5, 0)</f>
        <v>521</v>
      </c>
      <c r="R360" s="24">
        <f>VLOOKUP(K360, KM!$A:$E, 5, 0)</f>
        <v>1144</v>
      </c>
      <c r="S360" s="24">
        <f>VLOOKUP(L360, KM!$A:$E, 5, 0)</f>
        <v>0</v>
      </c>
      <c r="T360" s="24">
        <f>VLOOKUP(M360, KM!$A:$E, 5, 0)</f>
        <v>852</v>
      </c>
      <c r="U360" s="24">
        <f>VLOOKUP(N360, KM!$A:$E, 5, 0)</f>
        <v>4374</v>
      </c>
      <c r="V360" s="24">
        <f>VLOOKUP(H360, IMPOSTO!$A:$D, 4, 0)</f>
        <v>0.12</v>
      </c>
      <c r="W360" s="24">
        <f>VLOOKUP(I360, IMPOSTO!$A:$D, 4, 0)</f>
        <v>0.12</v>
      </c>
      <c r="X360" s="24">
        <f>VLOOKUP(J360, IMPOSTO!$A:$D, 4, 0)</f>
        <v>7.0000000000000007E-2</v>
      </c>
      <c r="Y360" s="24">
        <f>VLOOKUP(K360, IMPOSTO!$A:$D, 4, 0)</f>
        <v>0.12</v>
      </c>
      <c r="Z360" s="24">
        <f>VLOOKUP(L360, IMPOSTO!$A:$D, 4, 0)</f>
        <v>0.18</v>
      </c>
      <c r="AA360" s="24">
        <f>VLOOKUP(M360, IMPOSTO!$A:$D, 4, 0)</f>
        <v>0.12</v>
      </c>
      <c r="AB360" s="24">
        <f>VLOOKUP(N360, IMPOSTO!$A:$D, 4, 0)</f>
        <v>7.0000000000000007E-2</v>
      </c>
      <c r="AC360" s="25">
        <f t="shared" si="50"/>
        <v>1361.5850885245902</v>
      </c>
      <c r="AD360" s="25">
        <f t="shared" si="51"/>
        <v>1362.153270342772</v>
      </c>
      <c r="AE360" s="25">
        <f t="shared" si="52"/>
        <v>1298.2740622598271</v>
      </c>
      <c r="AF360" s="25">
        <f t="shared" si="53"/>
        <v>1442.8350885245902</v>
      </c>
      <c r="AG360" s="25">
        <f t="shared" si="54"/>
        <v>1408.8961925629746</v>
      </c>
      <c r="AH360" s="25">
        <f t="shared" si="55"/>
        <v>1409.653270342772</v>
      </c>
      <c r="AI360" s="25">
        <f t="shared" si="56"/>
        <v>1712.5751375286445</v>
      </c>
    </row>
    <row r="361" spans="1:35" ht="15.75" customHeight="1">
      <c r="A361" s="12" t="s">
        <v>419</v>
      </c>
      <c r="B361" s="12" t="s">
        <v>420</v>
      </c>
      <c r="C361" s="12" t="s">
        <v>143</v>
      </c>
      <c r="D361" s="12" t="s">
        <v>33</v>
      </c>
      <c r="E361" s="12" t="s">
        <v>27</v>
      </c>
      <c r="F361" s="13">
        <v>862.96950000000015</v>
      </c>
      <c r="G361" s="14">
        <v>45206.351314767737</v>
      </c>
      <c r="H361" s="24" t="str">
        <f t="shared" si="49"/>
        <v>RJSP</v>
      </c>
      <c r="I361" s="24" t="str">
        <f t="shared" si="48"/>
        <v>RJMG</v>
      </c>
      <c r="J361" s="24" t="str">
        <f t="shared" si="48"/>
        <v>RJES</v>
      </c>
      <c r="K361" s="24" t="str">
        <f t="shared" si="48"/>
        <v>RJSC</v>
      </c>
      <c r="L361" s="24" t="str">
        <f t="shared" si="48"/>
        <v>RJRJ</v>
      </c>
      <c r="M361" s="24" t="str">
        <f t="shared" si="48"/>
        <v>RJPR</v>
      </c>
      <c r="N361" s="24" t="str">
        <f t="shared" si="48"/>
        <v>RJAM</v>
      </c>
      <c r="O361" s="24">
        <f>VLOOKUP(H361, KM!$A:$E, 5, 0)</f>
        <v>429</v>
      </c>
      <c r="P361" s="24">
        <f>VLOOKUP(I361, KM!$A:$E, 5, 0)</f>
        <v>434</v>
      </c>
      <c r="Q361" s="24">
        <f>VLOOKUP(J361, KM!$A:$E, 5, 0)</f>
        <v>521</v>
      </c>
      <c r="R361" s="24">
        <f>VLOOKUP(K361, KM!$A:$E, 5, 0)</f>
        <v>1144</v>
      </c>
      <c r="S361" s="24">
        <f>VLOOKUP(L361, KM!$A:$E, 5, 0)</f>
        <v>0</v>
      </c>
      <c r="T361" s="24">
        <f>VLOOKUP(M361, KM!$A:$E, 5, 0)</f>
        <v>852</v>
      </c>
      <c r="U361" s="24">
        <f>VLOOKUP(N361, KM!$A:$E, 5, 0)</f>
        <v>4374</v>
      </c>
      <c r="V361" s="24">
        <f>VLOOKUP(H361, IMPOSTO!$A:$D, 4, 0)</f>
        <v>0.12</v>
      </c>
      <c r="W361" s="24">
        <f>VLOOKUP(I361, IMPOSTO!$A:$D, 4, 0)</f>
        <v>0.12</v>
      </c>
      <c r="X361" s="24">
        <f>VLOOKUP(J361, IMPOSTO!$A:$D, 4, 0)</f>
        <v>7.0000000000000007E-2</v>
      </c>
      <c r="Y361" s="24">
        <f>VLOOKUP(K361, IMPOSTO!$A:$D, 4, 0)</f>
        <v>0.12</v>
      </c>
      <c r="Z361" s="24">
        <f>VLOOKUP(L361, IMPOSTO!$A:$D, 4, 0)</f>
        <v>0.18</v>
      </c>
      <c r="AA361" s="24">
        <f>VLOOKUP(M361, IMPOSTO!$A:$D, 4, 0)</f>
        <v>0.12</v>
      </c>
      <c r="AB361" s="24">
        <f>VLOOKUP(N361, IMPOSTO!$A:$D, 4, 0)</f>
        <v>7.0000000000000007E-2</v>
      </c>
      <c r="AC361" s="25">
        <f t="shared" si="50"/>
        <v>51419.603766781518</v>
      </c>
      <c r="AD361" s="25">
        <f t="shared" si="51"/>
        <v>51420.171948599702</v>
      </c>
      <c r="AE361" s="25">
        <f t="shared" si="52"/>
        <v>48665.001413728751</v>
      </c>
      <c r="AF361" s="25">
        <f t="shared" si="53"/>
        <v>51500.853766781518</v>
      </c>
      <c r="AG361" s="25">
        <f t="shared" si="54"/>
        <v>55129.696725326503</v>
      </c>
      <c r="AH361" s="25">
        <f t="shared" si="55"/>
        <v>51467.671948599695</v>
      </c>
      <c r="AI361" s="25">
        <f t="shared" si="56"/>
        <v>49079.302488997571</v>
      </c>
    </row>
    <row r="362" spans="1:35" ht="15.75" customHeight="1">
      <c r="A362" s="12" t="s">
        <v>421</v>
      </c>
      <c r="B362" s="12" t="s">
        <v>422</v>
      </c>
      <c r="C362" s="12" t="s">
        <v>192</v>
      </c>
      <c r="D362" s="12" t="s">
        <v>33</v>
      </c>
      <c r="E362" s="12" t="s">
        <v>27</v>
      </c>
      <c r="F362" s="13">
        <v>4.9987000000000004</v>
      </c>
      <c r="G362" s="14">
        <v>622.97662031818174</v>
      </c>
      <c r="H362" s="24" t="str">
        <f t="shared" si="49"/>
        <v>RJSP</v>
      </c>
      <c r="I362" s="24" t="str">
        <f t="shared" si="48"/>
        <v>RJMG</v>
      </c>
      <c r="J362" s="24" t="str">
        <f t="shared" si="48"/>
        <v>RJES</v>
      </c>
      <c r="K362" s="24" t="str">
        <f t="shared" si="48"/>
        <v>RJSC</v>
      </c>
      <c r="L362" s="24" t="str">
        <f t="shared" si="48"/>
        <v>RJRJ</v>
      </c>
      <c r="M362" s="24" t="str">
        <f t="shared" si="48"/>
        <v>RJPR</v>
      </c>
      <c r="N362" s="24" t="str">
        <f t="shared" si="48"/>
        <v>RJAM</v>
      </c>
      <c r="O362" s="24">
        <f>VLOOKUP(H362, KM!$A:$E, 5, 0)</f>
        <v>429</v>
      </c>
      <c r="P362" s="24">
        <f>VLOOKUP(I362, KM!$A:$E, 5, 0)</f>
        <v>434</v>
      </c>
      <c r="Q362" s="24">
        <f>VLOOKUP(J362, KM!$A:$E, 5, 0)</f>
        <v>521</v>
      </c>
      <c r="R362" s="24">
        <f>VLOOKUP(K362, KM!$A:$E, 5, 0)</f>
        <v>1144</v>
      </c>
      <c r="S362" s="24">
        <f>VLOOKUP(L362, KM!$A:$E, 5, 0)</f>
        <v>0</v>
      </c>
      <c r="T362" s="24">
        <f>VLOOKUP(M362, KM!$A:$E, 5, 0)</f>
        <v>852</v>
      </c>
      <c r="U362" s="24">
        <f>VLOOKUP(N362, KM!$A:$E, 5, 0)</f>
        <v>4374</v>
      </c>
      <c r="V362" s="24">
        <f>VLOOKUP(H362, IMPOSTO!$A:$D, 4, 0)</f>
        <v>0.12</v>
      </c>
      <c r="W362" s="24">
        <f>VLOOKUP(I362, IMPOSTO!$A:$D, 4, 0)</f>
        <v>0.12</v>
      </c>
      <c r="X362" s="24">
        <f>VLOOKUP(J362, IMPOSTO!$A:$D, 4, 0)</f>
        <v>7.0000000000000007E-2</v>
      </c>
      <c r="Y362" s="24">
        <f>VLOOKUP(K362, IMPOSTO!$A:$D, 4, 0)</f>
        <v>0.12</v>
      </c>
      <c r="Z362" s="24">
        <f>VLOOKUP(L362, IMPOSTO!$A:$D, 4, 0)</f>
        <v>0.18</v>
      </c>
      <c r="AA362" s="24">
        <f>VLOOKUP(M362, IMPOSTO!$A:$D, 4, 0)</f>
        <v>0.12</v>
      </c>
      <c r="AB362" s="24">
        <f>VLOOKUP(N362, IMPOSTO!$A:$D, 4, 0)</f>
        <v>7.0000000000000007E-2</v>
      </c>
      <c r="AC362" s="25">
        <f t="shared" si="50"/>
        <v>756.67797763429746</v>
      </c>
      <c r="AD362" s="25">
        <f t="shared" si="51"/>
        <v>757.24615945247922</v>
      </c>
      <c r="AE362" s="25">
        <f t="shared" si="52"/>
        <v>725.88883905180842</v>
      </c>
      <c r="AF362" s="25">
        <f t="shared" si="53"/>
        <v>837.92797763429746</v>
      </c>
      <c r="AG362" s="25">
        <f t="shared" si="54"/>
        <v>759.72758575388013</v>
      </c>
      <c r="AH362" s="25">
        <f t="shared" si="55"/>
        <v>804.74615945247933</v>
      </c>
      <c r="AI362" s="25">
        <f t="shared" si="56"/>
        <v>1140.1899143206256</v>
      </c>
    </row>
    <row r="363" spans="1:35" ht="15.75" customHeight="1">
      <c r="A363" s="12" t="s">
        <v>215</v>
      </c>
      <c r="B363" s="12" t="s">
        <v>216</v>
      </c>
      <c r="C363" s="12" t="s">
        <v>217</v>
      </c>
      <c r="D363" s="12" t="s">
        <v>33</v>
      </c>
      <c r="E363" s="12" t="s">
        <v>27</v>
      </c>
      <c r="F363" s="13">
        <v>17</v>
      </c>
      <c r="G363" s="14">
        <v>1335.7812962962962</v>
      </c>
      <c r="H363" s="24" t="str">
        <f t="shared" si="49"/>
        <v>RJSP</v>
      </c>
      <c r="I363" s="24" t="str">
        <f t="shared" si="48"/>
        <v>RJMG</v>
      </c>
      <c r="J363" s="24" t="str">
        <f t="shared" si="48"/>
        <v>RJES</v>
      </c>
      <c r="K363" s="24" t="str">
        <f t="shared" si="48"/>
        <v>RJSC</v>
      </c>
      <c r="L363" s="24" t="str">
        <f t="shared" si="48"/>
        <v>RJRJ</v>
      </c>
      <c r="M363" s="24" t="str">
        <f t="shared" si="48"/>
        <v>RJPR</v>
      </c>
      <c r="N363" s="24" t="str">
        <f t="shared" si="48"/>
        <v>RJAM</v>
      </c>
      <c r="O363" s="24">
        <f>VLOOKUP(H363, KM!$A:$E, 5, 0)</f>
        <v>429</v>
      </c>
      <c r="P363" s="24">
        <f>VLOOKUP(I363, KM!$A:$E, 5, 0)</f>
        <v>434</v>
      </c>
      <c r="Q363" s="24">
        <f>VLOOKUP(J363, KM!$A:$E, 5, 0)</f>
        <v>521</v>
      </c>
      <c r="R363" s="24">
        <f>VLOOKUP(K363, KM!$A:$E, 5, 0)</f>
        <v>1144</v>
      </c>
      <c r="S363" s="24">
        <f>VLOOKUP(L363, KM!$A:$E, 5, 0)</f>
        <v>0</v>
      </c>
      <c r="T363" s="24">
        <f>VLOOKUP(M363, KM!$A:$E, 5, 0)</f>
        <v>852</v>
      </c>
      <c r="U363" s="24">
        <f>VLOOKUP(N363, KM!$A:$E, 5, 0)</f>
        <v>4374</v>
      </c>
      <c r="V363" s="24">
        <f>VLOOKUP(H363, IMPOSTO!$A:$D, 4, 0)</f>
        <v>0.12</v>
      </c>
      <c r="W363" s="24">
        <f>VLOOKUP(I363, IMPOSTO!$A:$D, 4, 0)</f>
        <v>0.12</v>
      </c>
      <c r="X363" s="24">
        <f>VLOOKUP(J363, IMPOSTO!$A:$D, 4, 0)</f>
        <v>7.0000000000000007E-2</v>
      </c>
      <c r="Y363" s="24">
        <f>VLOOKUP(K363, IMPOSTO!$A:$D, 4, 0)</f>
        <v>0.12</v>
      </c>
      <c r="Z363" s="24">
        <f>VLOOKUP(L363, IMPOSTO!$A:$D, 4, 0)</f>
        <v>0.18</v>
      </c>
      <c r="AA363" s="24">
        <f>VLOOKUP(M363, IMPOSTO!$A:$D, 4, 0)</f>
        <v>0.12</v>
      </c>
      <c r="AB363" s="24">
        <f>VLOOKUP(N363, IMPOSTO!$A:$D, 4, 0)</f>
        <v>7.0000000000000007E-2</v>
      </c>
      <c r="AC363" s="25">
        <f t="shared" si="50"/>
        <v>1566.6832912457912</v>
      </c>
      <c r="AD363" s="25">
        <f t="shared" si="51"/>
        <v>1567.251473063973</v>
      </c>
      <c r="AE363" s="25">
        <f t="shared" si="52"/>
        <v>1492.3454798884904</v>
      </c>
      <c r="AF363" s="25">
        <f t="shared" si="53"/>
        <v>1647.9332912457912</v>
      </c>
      <c r="AG363" s="25">
        <f t="shared" si="54"/>
        <v>1629.0015808491416</v>
      </c>
      <c r="AH363" s="25">
        <f t="shared" si="55"/>
        <v>1614.751473063973</v>
      </c>
      <c r="AI363" s="25">
        <f t="shared" si="56"/>
        <v>1906.6465551573081</v>
      </c>
    </row>
    <row r="364" spans="1:35" ht="15.75" customHeight="1">
      <c r="A364" s="12" t="s">
        <v>423</v>
      </c>
      <c r="B364" s="12" t="s">
        <v>424</v>
      </c>
      <c r="C364" s="12" t="s">
        <v>192</v>
      </c>
      <c r="D364" s="12" t="s">
        <v>50</v>
      </c>
      <c r="E364" s="12" t="s">
        <v>27</v>
      </c>
      <c r="F364" s="13">
        <v>72.355930263157887</v>
      </c>
      <c r="G364" s="14">
        <v>1487.7863486315791</v>
      </c>
      <c r="H364" s="24" t="str">
        <f t="shared" si="49"/>
        <v>RJSP</v>
      </c>
      <c r="I364" s="24" t="str">
        <f t="shared" si="48"/>
        <v>RJMG</v>
      </c>
      <c r="J364" s="24" t="str">
        <f t="shared" si="48"/>
        <v>RJES</v>
      </c>
      <c r="K364" s="24" t="str">
        <f t="shared" si="48"/>
        <v>RJSC</v>
      </c>
      <c r="L364" s="24" t="str">
        <f t="shared" si="48"/>
        <v>RJRJ</v>
      </c>
      <c r="M364" s="24" t="str">
        <f t="shared" si="48"/>
        <v>RJPR</v>
      </c>
      <c r="N364" s="24" t="str">
        <f t="shared" si="48"/>
        <v>RJAM</v>
      </c>
      <c r="O364" s="24">
        <f>VLOOKUP(H364, KM!$A:$E, 5, 0)</f>
        <v>429</v>
      </c>
      <c r="P364" s="24">
        <f>VLOOKUP(I364, KM!$A:$E, 5, 0)</f>
        <v>434</v>
      </c>
      <c r="Q364" s="24">
        <f>VLOOKUP(J364, KM!$A:$E, 5, 0)</f>
        <v>521</v>
      </c>
      <c r="R364" s="24">
        <f>VLOOKUP(K364, KM!$A:$E, 5, 0)</f>
        <v>1144</v>
      </c>
      <c r="S364" s="24">
        <f>VLOOKUP(L364, KM!$A:$E, 5, 0)</f>
        <v>0</v>
      </c>
      <c r="T364" s="24">
        <f>VLOOKUP(M364, KM!$A:$E, 5, 0)</f>
        <v>852</v>
      </c>
      <c r="U364" s="24">
        <f>VLOOKUP(N364, KM!$A:$E, 5, 0)</f>
        <v>4374</v>
      </c>
      <c r="V364" s="24">
        <f>VLOOKUP(H364, IMPOSTO!$A:$D, 4, 0)</f>
        <v>0.12</v>
      </c>
      <c r="W364" s="24">
        <f>VLOOKUP(I364, IMPOSTO!$A:$D, 4, 0)</f>
        <v>0.12</v>
      </c>
      <c r="X364" s="24">
        <f>VLOOKUP(J364, IMPOSTO!$A:$D, 4, 0)</f>
        <v>7.0000000000000007E-2</v>
      </c>
      <c r="Y364" s="24">
        <f>VLOOKUP(K364, IMPOSTO!$A:$D, 4, 0)</f>
        <v>0.12</v>
      </c>
      <c r="Z364" s="24">
        <f>VLOOKUP(L364, IMPOSTO!$A:$D, 4, 0)</f>
        <v>0.18</v>
      </c>
      <c r="AA364" s="24">
        <f>VLOOKUP(M364, IMPOSTO!$A:$D, 4, 0)</f>
        <v>0.12</v>
      </c>
      <c r="AB364" s="24">
        <f>VLOOKUP(N364, IMPOSTO!$A:$D, 4, 0)</f>
        <v>7.0000000000000007E-2</v>
      </c>
      <c r="AC364" s="25">
        <f t="shared" si="50"/>
        <v>1739.4163052631582</v>
      </c>
      <c r="AD364" s="25">
        <f t="shared" si="51"/>
        <v>1739.9844870813399</v>
      </c>
      <c r="AE364" s="25">
        <f t="shared" si="52"/>
        <v>1655.7917727221281</v>
      </c>
      <c r="AF364" s="25">
        <f t="shared" si="53"/>
        <v>1820.6663052631582</v>
      </c>
      <c r="AG364" s="25">
        <f t="shared" si="54"/>
        <v>1814.3735958921695</v>
      </c>
      <c r="AH364" s="25">
        <f t="shared" si="55"/>
        <v>1787.4844870813399</v>
      </c>
      <c r="AI364" s="25">
        <f t="shared" si="56"/>
        <v>2070.0928479909458</v>
      </c>
    </row>
    <row r="365" spans="1:35" ht="15.75" customHeight="1">
      <c r="A365" s="12" t="s">
        <v>423</v>
      </c>
      <c r="B365" s="12" t="s">
        <v>424</v>
      </c>
      <c r="C365" s="12" t="s">
        <v>192</v>
      </c>
      <c r="D365" s="12" t="s">
        <v>50</v>
      </c>
      <c r="E365" s="12" t="s">
        <v>27</v>
      </c>
      <c r="F365" s="13">
        <v>66.790089473684205</v>
      </c>
      <c r="G365" s="14">
        <v>1401.4292366491227</v>
      </c>
      <c r="H365" s="24" t="str">
        <f t="shared" si="49"/>
        <v>RJSP</v>
      </c>
      <c r="I365" s="24" t="str">
        <f t="shared" si="48"/>
        <v>RJMG</v>
      </c>
      <c r="J365" s="24" t="str">
        <f t="shared" si="48"/>
        <v>RJES</v>
      </c>
      <c r="K365" s="24" t="str">
        <f t="shared" si="48"/>
        <v>RJSC</v>
      </c>
      <c r="L365" s="24" t="str">
        <f t="shared" si="48"/>
        <v>RJRJ</v>
      </c>
      <c r="M365" s="24" t="str">
        <f t="shared" ref="I365:N428" si="57">$E365 &amp; M$17</f>
        <v>RJPR</v>
      </c>
      <c r="N365" s="24" t="str">
        <f t="shared" si="57"/>
        <v>RJAM</v>
      </c>
      <c r="O365" s="24">
        <f>VLOOKUP(H365, KM!$A:$E, 5, 0)</f>
        <v>429</v>
      </c>
      <c r="P365" s="24">
        <f>VLOOKUP(I365, KM!$A:$E, 5, 0)</f>
        <v>434</v>
      </c>
      <c r="Q365" s="24">
        <f>VLOOKUP(J365, KM!$A:$E, 5, 0)</f>
        <v>521</v>
      </c>
      <c r="R365" s="24">
        <f>VLOOKUP(K365, KM!$A:$E, 5, 0)</f>
        <v>1144</v>
      </c>
      <c r="S365" s="24">
        <f>VLOOKUP(L365, KM!$A:$E, 5, 0)</f>
        <v>0</v>
      </c>
      <c r="T365" s="24">
        <f>VLOOKUP(M365, KM!$A:$E, 5, 0)</f>
        <v>852</v>
      </c>
      <c r="U365" s="24">
        <f>VLOOKUP(N365, KM!$A:$E, 5, 0)</f>
        <v>4374</v>
      </c>
      <c r="V365" s="24">
        <f>VLOOKUP(H365, IMPOSTO!$A:$D, 4, 0)</f>
        <v>0.12</v>
      </c>
      <c r="W365" s="24">
        <f>VLOOKUP(I365, IMPOSTO!$A:$D, 4, 0)</f>
        <v>0.12</v>
      </c>
      <c r="X365" s="24">
        <f>VLOOKUP(J365, IMPOSTO!$A:$D, 4, 0)</f>
        <v>7.0000000000000007E-2</v>
      </c>
      <c r="Y365" s="24">
        <f>VLOOKUP(K365, IMPOSTO!$A:$D, 4, 0)</f>
        <v>0.12</v>
      </c>
      <c r="Z365" s="24">
        <f>VLOOKUP(L365, IMPOSTO!$A:$D, 4, 0)</f>
        <v>0.18</v>
      </c>
      <c r="AA365" s="24">
        <f>VLOOKUP(M365, IMPOSTO!$A:$D, 4, 0)</f>
        <v>0.12</v>
      </c>
      <c r="AB365" s="24">
        <f>VLOOKUP(N365, IMPOSTO!$A:$D, 4, 0)</f>
        <v>7.0000000000000007E-2</v>
      </c>
      <c r="AC365" s="25">
        <f t="shared" si="50"/>
        <v>1641.2832234649122</v>
      </c>
      <c r="AD365" s="25">
        <f t="shared" si="51"/>
        <v>1641.851405283094</v>
      </c>
      <c r="AE365" s="25">
        <f t="shared" si="52"/>
        <v>1562.9346630635728</v>
      </c>
      <c r="AF365" s="25">
        <f t="shared" si="53"/>
        <v>1722.5332234649122</v>
      </c>
      <c r="AG365" s="25">
        <f t="shared" si="54"/>
        <v>1709.0600446940518</v>
      </c>
      <c r="AH365" s="25">
        <f t="shared" si="55"/>
        <v>1689.351405283094</v>
      </c>
      <c r="AI365" s="25">
        <f t="shared" si="56"/>
        <v>1977.2357383323902</v>
      </c>
    </row>
    <row r="366" spans="1:35" ht="15.75" customHeight="1">
      <c r="A366" s="12" t="s">
        <v>425</v>
      </c>
      <c r="B366" s="12" t="s">
        <v>426</v>
      </c>
      <c r="C366" s="12" t="s">
        <v>119</v>
      </c>
      <c r="D366" s="12" t="s">
        <v>33</v>
      </c>
      <c r="E366" s="12" t="s">
        <v>27</v>
      </c>
      <c r="F366" s="13">
        <v>22396.000000000011</v>
      </c>
      <c r="G366" s="14">
        <v>40118.694250474393</v>
      </c>
      <c r="H366" s="24" t="str">
        <f t="shared" si="49"/>
        <v>RJSP</v>
      </c>
      <c r="I366" s="24" t="str">
        <f t="shared" si="57"/>
        <v>RJMG</v>
      </c>
      <c r="J366" s="24" t="str">
        <f t="shared" si="57"/>
        <v>RJES</v>
      </c>
      <c r="K366" s="24" t="str">
        <f t="shared" si="57"/>
        <v>RJSC</v>
      </c>
      <c r="L366" s="24" t="str">
        <f t="shared" si="57"/>
        <v>RJRJ</v>
      </c>
      <c r="M366" s="24" t="str">
        <f t="shared" si="57"/>
        <v>RJPR</v>
      </c>
      <c r="N366" s="24" t="str">
        <f t="shared" si="57"/>
        <v>RJAM</v>
      </c>
      <c r="O366" s="24">
        <f>VLOOKUP(H366, KM!$A:$E, 5, 0)</f>
        <v>429</v>
      </c>
      <c r="P366" s="24">
        <f>VLOOKUP(I366, KM!$A:$E, 5, 0)</f>
        <v>434</v>
      </c>
      <c r="Q366" s="24">
        <f>VLOOKUP(J366, KM!$A:$E, 5, 0)</f>
        <v>521</v>
      </c>
      <c r="R366" s="24">
        <f>VLOOKUP(K366, KM!$A:$E, 5, 0)</f>
        <v>1144</v>
      </c>
      <c r="S366" s="24">
        <f>VLOOKUP(L366, KM!$A:$E, 5, 0)</f>
        <v>0</v>
      </c>
      <c r="T366" s="24">
        <f>VLOOKUP(M366, KM!$A:$E, 5, 0)</f>
        <v>852</v>
      </c>
      <c r="U366" s="24">
        <f>VLOOKUP(N366, KM!$A:$E, 5, 0)</f>
        <v>4374</v>
      </c>
      <c r="V366" s="24">
        <f>VLOOKUP(H366, IMPOSTO!$A:$D, 4, 0)</f>
        <v>0.12</v>
      </c>
      <c r="W366" s="24">
        <f>VLOOKUP(I366, IMPOSTO!$A:$D, 4, 0)</f>
        <v>0.12</v>
      </c>
      <c r="X366" s="24">
        <f>VLOOKUP(J366, IMPOSTO!$A:$D, 4, 0)</f>
        <v>7.0000000000000007E-2</v>
      </c>
      <c r="Y366" s="24">
        <f>VLOOKUP(K366, IMPOSTO!$A:$D, 4, 0)</f>
        <v>0.12</v>
      </c>
      <c r="Z366" s="24">
        <f>VLOOKUP(L366, IMPOSTO!$A:$D, 4, 0)</f>
        <v>0.18</v>
      </c>
      <c r="AA366" s="24">
        <f>VLOOKUP(M366, IMPOSTO!$A:$D, 4, 0)</f>
        <v>0.12</v>
      </c>
      <c r="AB366" s="24">
        <f>VLOOKUP(N366, IMPOSTO!$A:$D, 4, 0)</f>
        <v>7.0000000000000007E-2</v>
      </c>
      <c r="AC366" s="25">
        <f t="shared" si="50"/>
        <v>45638.175284629993</v>
      </c>
      <c r="AD366" s="25">
        <f t="shared" si="51"/>
        <v>45638.743466448177</v>
      </c>
      <c r="AE366" s="25">
        <f t="shared" si="52"/>
        <v>43194.402419864942</v>
      </c>
      <c r="AF366" s="25">
        <f t="shared" si="53"/>
        <v>45719.425284629993</v>
      </c>
      <c r="AG366" s="25">
        <f t="shared" si="54"/>
        <v>48925.236890822423</v>
      </c>
      <c r="AH366" s="25">
        <f t="shared" si="55"/>
        <v>45686.24346644817</v>
      </c>
      <c r="AI366" s="25">
        <f t="shared" si="56"/>
        <v>43608.703495133763</v>
      </c>
    </row>
    <row r="367" spans="1:35" ht="15.75" customHeight="1">
      <c r="A367" s="12" t="s">
        <v>427</v>
      </c>
      <c r="B367" s="12" t="s">
        <v>428</v>
      </c>
      <c r="C367" s="12" t="s">
        <v>176</v>
      </c>
      <c r="D367" s="12" t="s">
        <v>33</v>
      </c>
      <c r="E367" s="12" t="s">
        <v>27</v>
      </c>
      <c r="F367" s="13">
        <v>8369.9999999999982</v>
      </c>
      <c r="G367" s="14">
        <v>222548.43713436372</v>
      </c>
      <c r="H367" s="24" t="str">
        <f t="shared" si="49"/>
        <v>RJSP</v>
      </c>
      <c r="I367" s="24" t="str">
        <f t="shared" si="57"/>
        <v>RJMG</v>
      </c>
      <c r="J367" s="24" t="str">
        <f t="shared" si="57"/>
        <v>RJES</v>
      </c>
      <c r="K367" s="24" t="str">
        <f t="shared" si="57"/>
        <v>RJSC</v>
      </c>
      <c r="L367" s="24" t="str">
        <f t="shared" si="57"/>
        <v>RJRJ</v>
      </c>
      <c r="M367" s="24" t="str">
        <f t="shared" si="57"/>
        <v>RJPR</v>
      </c>
      <c r="N367" s="24" t="str">
        <f t="shared" si="57"/>
        <v>RJAM</v>
      </c>
      <c r="O367" s="24">
        <f>VLOOKUP(H367, KM!$A:$E, 5, 0)</f>
        <v>429</v>
      </c>
      <c r="P367" s="24">
        <f>VLOOKUP(I367, KM!$A:$E, 5, 0)</f>
        <v>434</v>
      </c>
      <c r="Q367" s="24">
        <f>VLOOKUP(J367, KM!$A:$E, 5, 0)</f>
        <v>521</v>
      </c>
      <c r="R367" s="24">
        <f>VLOOKUP(K367, KM!$A:$E, 5, 0)</f>
        <v>1144</v>
      </c>
      <c r="S367" s="24">
        <f>VLOOKUP(L367, KM!$A:$E, 5, 0)</f>
        <v>0</v>
      </c>
      <c r="T367" s="24">
        <f>VLOOKUP(M367, KM!$A:$E, 5, 0)</f>
        <v>852</v>
      </c>
      <c r="U367" s="24">
        <f>VLOOKUP(N367, KM!$A:$E, 5, 0)</f>
        <v>4374</v>
      </c>
      <c r="V367" s="24">
        <f>VLOOKUP(H367, IMPOSTO!$A:$D, 4, 0)</f>
        <v>0.12</v>
      </c>
      <c r="W367" s="24">
        <f>VLOOKUP(I367, IMPOSTO!$A:$D, 4, 0)</f>
        <v>0.12</v>
      </c>
      <c r="X367" s="24">
        <f>VLOOKUP(J367, IMPOSTO!$A:$D, 4, 0)</f>
        <v>7.0000000000000007E-2</v>
      </c>
      <c r="Y367" s="24">
        <f>VLOOKUP(K367, IMPOSTO!$A:$D, 4, 0)</f>
        <v>0.12</v>
      </c>
      <c r="Z367" s="24">
        <f>VLOOKUP(L367, IMPOSTO!$A:$D, 4, 0)</f>
        <v>0.18</v>
      </c>
      <c r="AA367" s="24">
        <f>VLOOKUP(M367, IMPOSTO!$A:$D, 4, 0)</f>
        <v>0.12</v>
      </c>
      <c r="AB367" s="24">
        <f>VLOOKUP(N367, IMPOSTO!$A:$D, 4, 0)</f>
        <v>7.0000000000000007E-2</v>
      </c>
      <c r="AC367" s="25">
        <f t="shared" si="50"/>
        <v>252944.70128904967</v>
      </c>
      <c r="AD367" s="25">
        <f t="shared" si="51"/>
        <v>252945.26947086785</v>
      </c>
      <c r="AE367" s="25">
        <f t="shared" si="52"/>
        <v>239355.41627350939</v>
      </c>
      <c r="AF367" s="25">
        <f t="shared" si="53"/>
        <v>253025.95128904967</v>
      </c>
      <c r="AG367" s="25">
        <f t="shared" si="54"/>
        <v>271400.53309068742</v>
      </c>
      <c r="AH367" s="25">
        <f t="shared" si="55"/>
        <v>252992.76947086788</v>
      </c>
      <c r="AI367" s="25">
        <f t="shared" si="56"/>
        <v>239769.71734877821</v>
      </c>
    </row>
    <row r="368" spans="1:35" ht="15.75" customHeight="1">
      <c r="A368" s="12" t="s">
        <v>429</v>
      </c>
      <c r="B368" s="12" t="s">
        <v>430</v>
      </c>
      <c r="C368" s="12" t="s">
        <v>299</v>
      </c>
      <c r="D368" s="12" t="s">
        <v>33</v>
      </c>
      <c r="E368" s="12" t="s">
        <v>27</v>
      </c>
      <c r="F368" s="13">
        <v>12041.92333434743</v>
      </c>
      <c r="G368" s="14">
        <v>371307.29499482812</v>
      </c>
      <c r="H368" s="24" t="str">
        <f t="shared" si="49"/>
        <v>RJSP</v>
      </c>
      <c r="I368" s="24" t="str">
        <f t="shared" si="57"/>
        <v>RJMG</v>
      </c>
      <c r="J368" s="24" t="str">
        <f t="shared" si="57"/>
        <v>RJES</v>
      </c>
      <c r="K368" s="24" t="str">
        <f t="shared" si="57"/>
        <v>RJSC</v>
      </c>
      <c r="L368" s="24" t="str">
        <f t="shared" si="57"/>
        <v>RJRJ</v>
      </c>
      <c r="M368" s="24" t="str">
        <f t="shared" si="57"/>
        <v>RJPR</v>
      </c>
      <c r="N368" s="24" t="str">
        <f t="shared" si="57"/>
        <v>RJAM</v>
      </c>
      <c r="O368" s="24">
        <f>VLOOKUP(H368, KM!$A:$E, 5, 0)</f>
        <v>429</v>
      </c>
      <c r="P368" s="24">
        <f>VLOOKUP(I368, KM!$A:$E, 5, 0)</f>
        <v>434</v>
      </c>
      <c r="Q368" s="24">
        <f>VLOOKUP(J368, KM!$A:$E, 5, 0)</f>
        <v>521</v>
      </c>
      <c r="R368" s="24">
        <f>VLOOKUP(K368, KM!$A:$E, 5, 0)</f>
        <v>1144</v>
      </c>
      <c r="S368" s="24">
        <f>VLOOKUP(L368, KM!$A:$E, 5, 0)</f>
        <v>0</v>
      </c>
      <c r="T368" s="24">
        <f>VLOOKUP(M368, KM!$A:$E, 5, 0)</f>
        <v>852</v>
      </c>
      <c r="U368" s="24">
        <f>VLOOKUP(N368, KM!$A:$E, 5, 0)</f>
        <v>4374</v>
      </c>
      <c r="V368" s="24">
        <f>VLOOKUP(H368, IMPOSTO!$A:$D, 4, 0)</f>
        <v>0.12</v>
      </c>
      <c r="W368" s="24">
        <f>VLOOKUP(I368, IMPOSTO!$A:$D, 4, 0)</f>
        <v>0.12</v>
      </c>
      <c r="X368" s="24">
        <f>VLOOKUP(J368, IMPOSTO!$A:$D, 4, 0)</f>
        <v>7.0000000000000007E-2</v>
      </c>
      <c r="Y368" s="24">
        <f>VLOOKUP(K368, IMPOSTO!$A:$D, 4, 0)</f>
        <v>0.12</v>
      </c>
      <c r="Z368" s="24">
        <f>VLOOKUP(L368, IMPOSTO!$A:$D, 4, 0)</f>
        <v>0.18</v>
      </c>
      <c r="AA368" s="24">
        <f>VLOOKUP(M368, IMPOSTO!$A:$D, 4, 0)</f>
        <v>0.12</v>
      </c>
      <c r="AB368" s="24">
        <f>VLOOKUP(N368, IMPOSTO!$A:$D, 4, 0)</f>
        <v>7.0000000000000007E-2</v>
      </c>
      <c r="AC368" s="25">
        <f t="shared" si="50"/>
        <v>421988.85794866836</v>
      </c>
      <c r="AD368" s="25">
        <f t="shared" si="51"/>
        <v>421989.42613048654</v>
      </c>
      <c r="AE368" s="25">
        <f t="shared" si="52"/>
        <v>399311.17741379369</v>
      </c>
      <c r="AF368" s="25">
        <f t="shared" si="53"/>
        <v>422070.10794866836</v>
      </c>
      <c r="AG368" s="25">
        <f t="shared" si="54"/>
        <v>452813.77438393672</v>
      </c>
      <c r="AH368" s="25">
        <f t="shared" si="55"/>
        <v>422036.92613048654</v>
      </c>
      <c r="AI368" s="25">
        <f t="shared" si="56"/>
        <v>399725.47848906252</v>
      </c>
    </row>
    <row r="369" spans="1:35" ht="15.75" customHeight="1">
      <c r="A369" s="12" t="s">
        <v>429</v>
      </c>
      <c r="B369" s="12" t="s">
        <v>430</v>
      </c>
      <c r="C369" s="12" t="s">
        <v>299</v>
      </c>
      <c r="D369" s="12" t="s">
        <v>33</v>
      </c>
      <c r="E369" s="12" t="s">
        <v>27</v>
      </c>
      <c r="F369" s="13">
        <v>2176.5561302099181</v>
      </c>
      <c r="G369" s="14">
        <v>67192.474419227263</v>
      </c>
      <c r="H369" s="24" t="str">
        <f t="shared" si="49"/>
        <v>RJSP</v>
      </c>
      <c r="I369" s="24" t="str">
        <f t="shared" si="57"/>
        <v>RJMG</v>
      </c>
      <c r="J369" s="24" t="str">
        <f t="shared" si="57"/>
        <v>RJES</v>
      </c>
      <c r="K369" s="24" t="str">
        <f t="shared" si="57"/>
        <v>RJSC</v>
      </c>
      <c r="L369" s="24" t="str">
        <f t="shared" si="57"/>
        <v>RJRJ</v>
      </c>
      <c r="M369" s="24" t="str">
        <f t="shared" si="57"/>
        <v>RJPR</v>
      </c>
      <c r="N369" s="24" t="str">
        <f t="shared" si="57"/>
        <v>RJAM</v>
      </c>
      <c r="O369" s="24">
        <f>VLOOKUP(H369, KM!$A:$E, 5, 0)</f>
        <v>429</v>
      </c>
      <c r="P369" s="24">
        <f>VLOOKUP(I369, KM!$A:$E, 5, 0)</f>
        <v>434</v>
      </c>
      <c r="Q369" s="24">
        <f>VLOOKUP(J369, KM!$A:$E, 5, 0)</f>
        <v>521</v>
      </c>
      <c r="R369" s="24">
        <f>VLOOKUP(K369, KM!$A:$E, 5, 0)</f>
        <v>1144</v>
      </c>
      <c r="S369" s="24">
        <f>VLOOKUP(L369, KM!$A:$E, 5, 0)</f>
        <v>0</v>
      </c>
      <c r="T369" s="24">
        <f>VLOOKUP(M369, KM!$A:$E, 5, 0)</f>
        <v>852</v>
      </c>
      <c r="U369" s="24">
        <f>VLOOKUP(N369, KM!$A:$E, 5, 0)</f>
        <v>4374</v>
      </c>
      <c r="V369" s="24">
        <f>VLOOKUP(H369, IMPOSTO!$A:$D, 4, 0)</f>
        <v>0.12</v>
      </c>
      <c r="W369" s="24">
        <f>VLOOKUP(I369, IMPOSTO!$A:$D, 4, 0)</f>
        <v>0.12</v>
      </c>
      <c r="X369" s="24">
        <f>VLOOKUP(J369, IMPOSTO!$A:$D, 4, 0)</f>
        <v>7.0000000000000007E-2</v>
      </c>
      <c r="Y369" s="24">
        <f>VLOOKUP(K369, IMPOSTO!$A:$D, 4, 0)</f>
        <v>0.12</v>
      </c>
      <c r="Z369" s="24">
        <f>VLOOKUP(L369, IMPOSTO!$A:$D, 4, 0)</f>
        <v>0.18</v>
      </c>
      <c r="AA369" s="24">
        <f>VLOOKUP(M369, IMPOSTO!$A:$D, 4, 0)</f>
        <v>0.12</v>
      </c>
      <c r="AB369" s="24">
        <f>VLOOKUP(N369, IMPOSTO!$A:$D, 4, 0)</f>
        <v>7.0000000000000007E-2</v>
      </c>
      <c r="AC369" s="25">
        <f t="shared" si="50"/>
        <v>76403.834567303697</v>
      </c>
      <c r="AD369" s="25">
        <f t="shared" si="51"/>
        <v>76404.402749121888</v>
      </c>
      <c r="AE369" s="25">
        <f t="shared" si="52"/>
        <v>72305.993999169106</v>
      </c>
      <c r="AF369" s="25">
        <f t="shared" si="53"/>
        <v>76485.084567303697</v>
      </c>
      <c r="AG369" s="25">
        <f t="shared" si="54"/>
        <v>81942.041974667387</v>
      </c>
      <c r="AH369" s="25">
        <f t="shared" si="55"/>
        <v>76451.902749121888</v>
      </c>
      <c r="AI369" s="25">
        <f t="shared" si="56"/>
        <v>72720.29507443792</v>
      </c>
    </row>
    <row r="370" spans="1:35" ht="15.75" customHeight="1">
      <c r="A370" s="12" t="s">
        <v>431</v>
      </c>
      <c r="B370" s="12" t="s">
        <v>432</v>
      </c>
      <c r="C370" s="12" t="s">
        <v>433</v>
      </c>
      <c r="D370" s="12" t="s">
        <v>33</v>
      </c>
      <c r="E370" s="12" t="s">
        <v>27</v>
      </c>
      <c r="F370" s="13">
        <v>1982.8863636363644</v>
      </c>
      <c r="G370" s="14">
        <v>158674.37887878786</v>
      </c>
      <c r="H370" s="24" t="str">
        <f t="shared" si="49"/>
        <v>RJSP</v>
      </c>
      <c r="I370" s="24" t="str">
        <f t="shared" si="57"/>
        <v>RJMG</v>
      </c>
      <c r="J370" s="24" t="str">
        <f t="shared" si="57"/>
        <v>RJES</v>
      </c>
      <c r="K370" s="24" t="str">
        <f t="shared" si="57"/>
        <v>RJSC</v>
      </c>
      <c r="L370" s="24" t="str">
        <f t="shared" si="57"/>
        <v>RJRJ</v>
      </c>
      <c r="M370" s="24" t="str">
        <f t="shared" si="57"/>
        <v>RJPR</v>
      </c>
      <c r="N370" s="24" t="str">
        <f t="shared" si="57"/>
        <v>RJAM</v>
      </c>
      <c r="O370" s="24">
        <f>VLOOKUP(H370, KM!$A:$E, 5, 0)</f>
        <v>429</v>
      </c>
      <c r="P370" s="24">
        <f>VLOOKUP(I370, KM!$A:$E, 5, 0)</f>
        <v>434</v>
      </c>
      <c r="Q370" s="24">
        <f>VLOOKUP(J370, KM!$A:$E, 5, 0)</f>
        <v>521</v>
      </c>
      <c r="R370" s="24">
        <f>VLOOKUP(K370, KM!$A:$E, 5, 0)</f>
        <v>1144</v>
      </c>
      <c r="S370" s="24">
        <f>VLOOKUP(L370, KM!$A:$E, 5, 0)</f>
        <v>0</v>
      </c>
      <c r="T370" s="24">
        <f>VLOOKUP(M370, KM!$A:$E, 5, 0)</f>
        <v>852</v>
      </c>
      <c r="U370" s="24">
        <f>VLOOKUP(N370, KM!$A:$E, 5, 0)</f>
        <v>4374</v>
      </c>
      <c r="V370" s="24">
        <f>VLOOKUP(H370, IMPOSTO!$A:$D, 4, 0)</f>
        <v>0.12</v>
      </c>
      <c r="W370" s="24">
        <f>VLOOKUP(I370, IMPOSTO!$A:$D, 4, 0)</f>
        <v>0.12</v>
      </c>
      <c r="X370" s="24">
        <f>VLOOKUP(J370, IMPOSTO!$A:$D, 4, 0)</f>
        <v>7.0000000000000007E-2</v>
      </c>
      <c r="Y370" s="24">
        <f>VLOOKUP(K370, IMPOSTO!$A:$D, 4, 0)</f>
        <v>0.12</v>
      </c>
      <c r="Z370" s="24">
        <f>VLOOKUP(L370, IMPOSTO!$A:$D, 4, 0)</f>
        <v>0.18</v>
      </c>
      <c r="AA370" s="24">
        <f>VLOOKUP(M370, IMPOSTO!$A:$D, 4, 0)</f>
        <v>0.12</v>
      </c>
      <c r="AB370" s="24">
        <f>VLOOKUP(N370, IMPOSTO!$A:$D, 4, 0)</f>
        <v>7.0000000000000007E-2</v>
      </c>
      <c r="AC370" s="25">
        <f t="shared" si="50"/>
        <v>180360.54418044075</v>
      </c>
      <c r="AD370" s="25">
        <f t="shared" si="51"/>
        <v>180361.11236225892</v>
      </c>
      <c r="AE370" s="25">
        <f t="shared" si="52"/>
        <v>170673.63320299771</v>
      </c>
      <c r="AF370" s="25">
        <f t="shared" si="53"/>
        <v>180441.79418044075</v>
      </c>
      <c r="AG370" s="25">
        <f t="shared" si="54"/>
        <v>193505.34009608274</v>
      </c>
      <c r="AH370" s="25">
        <f t="shared" si="55"/>
        <v>180408.61236225895</v>
      </c>
      <c r="AI370" s="25">
        <f t="shared" si="56"/>
        <v>171087.93427826653</v>
      </c>
    </row>
    <row r="371" spans="1:35" ht="15.75" customHeight="1">
      <c r="A371" s="12" t="s">
        <v>434</v>
      </c>
      <c r="B371" s="12" t="s">
        <v>435</v>
      </c>
      <c r="C371" s="12" t="s">
        <v>220</v>
      </c>
      <c r="D371" s="12" t="s">
        <v>33</v>
      </c>
      <c r="E371" s="12" t="s">
        <v>27</v>
      </c>
      <c r="F371" s="13">
        <v>4403.2115509409459</v>
      </c>
      <c r="G371" s="14">
        <v>170802.40361972744</v>
      </c>
      <c r="H371" s="24" t="str">
        <f t="shared" si="49"/>
        <v>RJSP</v>
      </c>
      <c r="I371" s="24" t="str">
        <f t="shared" si="57"/>
        <v>RJMG</v>
      </c>
      <c r="J371" s="24" t="str">
        <f t="shared" si="57"/>
        <v>RJES</v>
      </c>
      <c r="K371" s="24" t="str">
        <f t="shared" si="57"/>
        <v>RJSC</v>
      </c>
      <c r="L371" s="24" t="str">
        <f t="shared" si="57"/>
        <v>RJRJ</v>
      </c>
      <c r="M371" s="24" t="str">
        <f t="shared" si="57"/>
        <v>RJPR</v>
      </c>
      <c r="N371" s="24" t="str">
        <f t="shared" si="57"/>
        <v>RJAM</v>
      </c>
      <c r="O371" s="24">
        <f>VLOOKUP(H371, KM!$A:$E, 5, 0)</f>
        <v>429</v>
      </c>
      <c r="P371" s="24">
        <f>VLOOKUP(I371, KM!$A:$E, 5, 0)</f>
        <v>434</v>
      </c>
      <c r="Q371" s="24">
        <f>VLOOKUP(J371, KM!$A:$E, 5, 0)</f>
        <v>521</v>
      </c>
      <c r="R371" s="24">
        <f>VLOOKUP(K371, KM!$A:$E, 5, 0)</f>
        <v>1144</v>
      </c>
      <c r="S371" s="24">
        <f>VLOOKUP(L371, KM!$A:$E, 5, 0)</f>
        <v>0</v>
      </c>
      <c r="T371" s="24">
        <f>VLOOKUP(M371, KM!$A:$E, 5, 0)</f>
        <v>852</v>
      </c>
      <c r="U371" s="24">
        <f>VLOOKUP(N371, KM!$A:$E, 5, 0)</f>
        <v>4374</v>
      </c>
      <c r="V371" s="24">
        <f>VLOOKUP(H371, IMPOSTO!$A:$D, 4, 0)</f>
        <v>0.12</v>
      </c>
      <c r="W371" s="24">
        <f>VLOOKUP(I371, IMPOSTO!$A:$D, 4, 0)</f>
        <v>0.12</v>
      </c>
      <c r="X371" s="24">
        <f>VLOOKUP(J371, IMPOSTO!$A:$D, 4, 0)</f>
        <v>7.0000000000000007E-2</v>
      </c>
      <c r="Y371" s="24">
        <f>VLOOKUP(K371, IMPOSTO!$A:$D, 4, 0)</f>
        <v>0.12</v>
      </c>
      <c r="Z371" s="24">
        <f>VLOOKUP(L371, IMPOSTO!$A:$D, 4, 0)</f>
        <v>0.18</v>
      </c>
      <c r="AA371" s="24">
        <f>VLOOKUP(M371, IMPOSTO!$A:$D, 4, 0)</f>
        <v>0.12</v>
      </c>
      <c r="AB371" s="24">
        <f>VLOOKUP(N371, IMPOSTO!$A:$D, 4, 0)</f>
        <v>7.0000000000000007E-2</v>
      </c>
      <c r="AC371" s="25">
        <f t="shared" si="50"/>
        <v>194142.39047696299</v>
      </c>
      <c r="AD371" s="25">
        <f t="shared" si="51"/>
        <v>194142.95865878116</v>
      </c>
      <c r="AE371" s="25">
        <f t="shared" si="52"/>
        <v>183714.52002121232</v>
      </c>
      <c r="AF371" s="25">
        <f t="shared" si="53"/>
        <v>194223.64047696299</v>
      </c>
      <c r="AG371" s="25">
        <f t="shared" si="54"/>
        <v>208295.61417039929</v>
      </c>
      <c r="AH371" s="25">
        <f t="shared" si="55"/>
        <v>194190.45865878119</v>
      </c>
      <c r="AI371" s="25">
        <f t="shared" si="56"/>
        <v>184128.82109648112</v>
      </c>
    </row>
    <row r="372" spans="1:35" ht="15.75" customHeight="1">
      <c r="A372" s="12" t="s">
        <v>436</v>
      </c>
      <c r="B372" s="12" t="s">
        <v>437</v>
      </c>
      <c r="C372" s="12" t="s">
        <v>169</v>
      </c>
      <c r="D372" s="12" t="s">
        <v>33</v>
      </c>
      <c r="E372" s="12" t="s">
        <v>27</v>
      </c>
      <c r="F372" s="13">
        <v>18</v>
      </c>
      <c r="G372" s="14">
        <v>1707.6799999999998</v>
      </c>
      <c r="H372" s="24" t="str">
        <f t="shared" si="49"/>
        <v>RJSP</v>
      </c>
      <c r="I372" s="24" t="str">
        <f t="shared" si="57"/>
        <v>RJMG</v>
      </c>
      <c r="J372" s="24" t="str">
        <f t="shared" si="57"/>
        <v>RJES</v>
      </c>
      <c r="K372" s="24" t="str">
        <f t="shared" si="57"/>
        <v>RJSC</v>
      </c>
      <c r="L372" s="24" t="str">
        <f t="shared" si="57"/>
        <v>RJRJ</v>
      </c>
      <c r="M372" s="24" t="str">
        <f t="shared" si="57"/>
        <v>RJPR</v>
      </c>
      <c r="N372" s="24" t="str">
        <f t="shared" si="57"/>
        <v>RJAM</v>
      </c>
      <c r="O372" s="24">
        <f>VLOOKUP(H372, KM!$A:$E, 5, 0)</f>
        <v>429</v>
      </c>
      <c r="P372" s="24">
        <f>VLOOKUP(I372, KM!$A:$E, 5, 0)</f>
        <v>434</v>
      </c>
      <c r="Q372" s="24">
        <f>VLOOKUP(J372, KM!$A:$E, 5, 0)</f>
        <v>521</v>
      </c>
      <c r="R372" s="24">
        <f>VLOOKUP(K372, KM!$A:$E, 5, 0)</f>
        <v>1144</v>
      </c>
      <c r="S372" s="24">
        <f>VLOOKUP(L372, KM!$A:$E, 5, 0)</f>
        <v>0</v>
      </c>
      <c r="T372" s="24">
        <f>VLOOKUP(M372, KM!$A:$E, 5, 0)</f>
        <v>852</v>
      </c>
      <c r="U372" s="24">
        <f>VLOOKUP(N372, KM!$A:$E, 5, 0)</f>
        <v>4374</v>
      </c>
      <c r="V372" s="24">
        <f>VLOOKUP(H372, IMPOSTO!$A:$D, 4, 0)</f>
        <v>0.12</v>
      </c>
      <c r="W372" s="24">
        <f>VLOOKUP(I372, IMPOSTO!$A:$D, 4, 0)</f>
        <v>0.12</v>
      </c>
      <c r="X372" s="24">
        <f>VLOOKUP(J372, IMPOSTO!$A:$D, 4, 0)</f>
        <v>7.0000000000000007E-2</v>
      </c>
      <c r="Y372" s="24">
        <f>VLOOKUP(K372, IMPOSTO!$A:$D, 4, 0)</f>
        <v>0.12</v>
      </c>
      <c r="Z372" s="24">
        <f>VLOOKUP(L372, IMPOSTO!$A:$D, 4, 0)</f>
        <v>0.18</v>
      </c>
      <c r="AA372" s="24">
        <f>VLOOKUP(M372, IMPOSTO!$A:$D, 4, 0)</f>
        <v>0.12</v>
      </c>
      <c r="AB372" s="24">
        <f>VLOOKUP(N372, IMPOSTO!$A:$D, 4, 0)</f>
        <v>7.0000000000000007E-2</v>
      </c>
      <c r="AC372" s="25">
        <f t="shared" si="50"/>
        <v>1989.2954545454545</v>
      </c>
      <c r="AD372" s="25">
        <f t="shared" si="51"/>
        <v>1989.8636363636363</v>
      </c>
      <c r="AE372" s="25">
        <f t="shared" si="52"/>
        <v>1892.2365591397847</v>
      </c>
      <c r="AF372" s="25">
        <f t="shared" si="53"/>
        <v>2070.5454545454545</v>
      </c>
      <c r="AG372" s="25">
        <f t="shared" si="54"/>
        <v>2082.5365853658532</v>
      </c>
      <c r="AH372" s="25">
        <f t="shared" si="55"/>
        <v>2037.3636363636363</v>
      </c>
      <c r="AI372" s="25">
        <f t="shared" si="56"/>
        <v>2306.5376344086021</v>
      </c>
    </row>
    <row r="373" spans="1:35" ht="15.75" customHeight="1">
      <c r="A373" s="12" t="s">
        <v>436</v>
      </c>
      <c r="B373" s="12" t="s">
        <v>437</v>
      </c>
      <c r="C373" s="12" t="s">
        <v>169</v>
      </c>
      <c r="D373" s="12" t="s">
        <v>33</v>
      </c>
      <c r="E373" s="12" t="s">
        <v>27</v>
      </c>
      <c r="F373" s="13">
        <v>1264</v>
      </c>
      <c r="G373" s="14">
        <v>119915.1699999999</v>
      </c>
      <c r="H373" s="24" t="str">
        <f t="shared" si="49"/>
        <v>RJSP</v>
      </c>
      <c r="I373" s="24" t="str">
        <f t="shared" si="57"/>
        <v>RJMG</v>
      </c>
      <c r="J373" s="24" t="str">
        <f t="shared" si="57"/>
        <v>RJES</v>
      </c>
      <c r="K373" s="24" t="str">
        <f t="shared" si="57"/>
        <v>RJSC</v>
      </c>
      <c r="L373" s="24" t="str">
        <f t="shared" si="57"/>
        <v>RJRJ</v>
      </c>
      <c r="M373" s="24" t="str">
        <f t="shared" si="57"/>
        <v>RJPR</v>
      </c>
      <c r="N373" s="24" t="str">
        <f t="shared" si="57"/>
        <v>RJAM</v>
      </c>
      <c r="O373" s="24">
        <f>VLOOKUP(H373, KM!$A:$E, 5, 0)</f>
        <v>429</v>
      </c>
      <c r="P373" s="24">
        <f>VLOOKUP(I373, KM!$A:$E, 5, 0)</f>
        <v>434</v>
      </c>
      <c r="Q373" s="24">
        <f>VLOOKUP(J373, KM!$A:$E, 5, 0)</f>
        <v>521</v>
      </c>
      <c r="R373" s="24">
        <f>VLOOKUP(K373, KM!$A:$E, 5, 0)</f>
        <v>1144</v>
      </c>
      <c r="S373" s="24">
        <f>VLOOKUP(L373, KM!$A:$E, 5, 0)</f>
        <v>0</v>
      </c>
      <c r="T373" s="24">
        <f>VLOOKUP(M373, KM!$A:$E, 5, 0)</f>
        <v>852</v>
      </c>
      <c r="U373" s="24">
        <f>VLOOKUP(N373, KM!$A:$E, 5, 0)</f>
        <v>4374</v>
      </c>
      <c r="V373" s="24">
        <f>VLOOKUP(H373, IMPOSTO!$A:$D, 4, 0)</f>
        <v>0.12</v>
      </c>
      <c r="W373" s="24">
        <f>VLOOKUP(I373, IMPOSTO!$A:$D, 4, 0)</f>
        <v>0.12</v>
      </c>
      <c r="X373" s="24">
        <f>VLOOKUP(J373, IMPOSTO!$A:$D, 4, 0)</f>
        <v>7.0000000000000007E-2</v>
      </c>
      <c r="Y373" s="24">
        <f>VLOOKUP(K373, IMPOSTO!$A:$D, 4, 0)</f>
        <v>0.12</v>
      </c>
      <c r="Z373" s="24">
        <f>VLOOKUP(L373, IMPOSTO!$A:$D, 4, 0)</f>
        <v>0.18</v>
      </c>
      <c r="AA373" s="24">
        <f>VLOOKUP(M373, IMPOSTO!$A:$D, 4, 0)</f>
        <v>0.12</v>
      </c>
      <c r="AB373" s="24">
        <f>VLOOKUP(N373, IMPOSTO!$A:$D, 4, 0)</f>
        <v>7.0000000000000007E-2</v>
      </c>
      <c r="AC373" s="25">
        <f t="shared" si="50"/>
        <v>136315.9886363635</v>
      </c>
      <c r="AD373" s="25">
        <f t="shared" si="51"/>
        <v>136316.55681818171</v>
      </c>
      <c r="AE373" s="25">
        <f t="shared" si="52"/>
        <v>128997.06451612893</v>
      </c>
      <c r="AF373" s="25">
        <f t="shared" si="53"/>
        <v>136397.2386363635</v>
      </c>
      <c r="AG373" s="25">
        <f t="shared" si="54"/>
        <v>146238.01219512182</v>
      </c>
      <c r="AH373" s="25">
        <f t="shared" si="55"/>
        <v>136364.05681818171</v>
      </c>
      <c r="AI373" s="25">
        <f t="shared" si="56"/>
        <v>129411.36559139774</v>
      </c>
    </row>
    <row r="374" spans="1:35" ht="15.75" customHeight="1">
      <c r="A374" s="12" t="s">
        <v>438</v>
      </c>
      <c r="B374" s="12" t="s">
        <v>439</v>
      </c>
      <c r="C374" s="12" t="s">
        <v>333</v>
      </c>
      <c r="D374" s="12" t="s">
        <v>50</v>
      </c>
      <c r="E374" s="12" t="s">
        <v>27</v>
      </c>
      <c r="F374" s="13">
        <v>1494.1337258200169</v>
      </c>
      <c r="G374" s="14">
        <v>7022.4285113540791</v>
      </c>
      <c r="H374" s="24" t="str">
        <f t="shared" si="49"/>
        <v>RJSP</v>
      </c>
      <c r="I374" s="24" t="str">
        <f t="shared" si="57"/>
        <v>RJMG</v>
      </c>
      <c r="J374" s="24" t="str">
        <f t="shared" si="57"/>
        <v>RJES</v>
      </c>
      <c r="K374" s="24" t="str">
        <f t="shared" si="57"/>
        <v>RJSC</v>
      </c>
      <c r="L374" s="24" t="str">
        <f t="shared" si="57"/>
        <v>RJRJ</v>
      </c>
      <c r="M374" s="24" t="str">
        <f t="shared" si="57"/>
        <v>RJPR</v>
      </c>
      <c r="N374" s="24" t="str">
        <f t="shared" si="57"/>
        <v>RJAM</v>
      </c>
      <c r="O374" s="24">
        <f>VLOOKUP(H374, KM!$A:$E, 5, 0)</f>
        <v>429</v>
      </c>
      <c r="P374" s="24">
        <f>VLOOKUP(I374, KM!$A:$E, 5, 0)</f>
        <v>434</v>
      </c>
      <c r="Q374" s="24">
        <f>VLOOKUP(J374, KM!$A:$E, 5, 0)</f>
        <v>521</v>
      </c>
      <c r="R374" s="24">
        <f>VLOOKUP(K374, KM!$A:$E, 5, 0)</f>
        <v>1144</v>
      </c>
      <c r="S374" s="24">
        <f>VLOOKUP(L374, KM!$A:$E, 5, 0)</f>
        <v>0</v>
      </c>
      <c r="T374" s="24">
        <f>VLOOKUP(M374, KM!$A:$E, 5, 0)</f>
        <v>852</v>
      </c>
      <c r="U374" s="24">
        <f>VLOOKUP(N374, KM!$A:$E, 5, 0)</f>
        <v>4374</v>
      </c>
      <c r="V374" s="24">
        <f>VLOOKUP(H374, IMPOSTO!$A:$D, 4, 0)</f>
        <v>0.12</v>
      </c>
      <c r="W374" s="24">
        <f>VLOOKUP(I374, IMPOSTO!$A:$D, 4, 0)</f>
        <v>0.12</v>
      </c>
      <c r="X374" s="24">
        <f>VLOOKUP(J374, IMPOSTO!$A:$D, 4, 0)</f>
        <v>7.0000000000000007E-2</v>
      </c>
      <c r="Y374" s="24">
        <f>VLOOKUP(K374, IMPOSTO!$A:$D, 4, 0)</f>
        <v>0.12</v>
      </c>
      <c r="Z374" s="24">
        <f>VLOOKUP(L374, IMPOSTO!$A:$D, 4, 0)</f>
        <v>0.18</v>
      </c>
      <c r="AA374" s="24">
        <f>VLOOKUP(M374, IMPOSTO!$A:$D, 4, 0)</f>
        <v>0.12</v>
      </c>
      <c r="AB374" s="24">
        <f>VLOOKUP(N374, IMPOSTO!$A:$D, 4, 0)</f>
        <v>7.0000000000000007E-2</v>
      </c>
      <c r="AC374" s="25">
        <f t="shared" si="50"/>
        <v>8028.7823992659987</v>
      </c>
      <c r="AD374" s="25">
        <f t="shared" si="51"/>
        <v>8029.3505810841807</v>
      </c>
      <c r="AE374" s="25">
        <f t="shared" si="52"/>
        <v>7607.0199046818061</v>
      </c>
      <c r="AF374" s="25">
        <f t="shared" si="53"/>
        <v>8110.0323992659987</v>
      </c>
      <c r="AG374" s="25">
        <f t="shared" si="54"/>
        <v>8563.9372089683893</v>
      </c>
      <c r="AH374" s="25">
        <f t="shared" si="55"/>
        <v>8076.8505810841807</v>
      </c>
      <c r="AI374" s="25">
        <f t="shared" si="56"/>
        <v>8021.320979950623</v>
      </c>
    </row>
    <row r="375" spans="1:35" ht="15.75" customHeight="1">
      <c r="A375" s="12" t="s">
        <v>84</v>
      </c>
      <c r="B375" s="12" t="s">
        <v>85</v>
      </c>
      <c r="C375" s="12" t="s">
        <v>86</v>
      </c>
      <c r="D375" s="12" t="s">
        <v>33</v>
      </c>
      <c r="E375" s="12" t="s">
        <v>27</v>
      </c>
      <c r="F375" s="13">
        <v>1748.4090909090914</v>
      </c>
      <c r="G375" s="14">
        <v>3725.2665625000004</v>
      </c>
      <c r="H375" s="24" t="str">
        <f t="shared" si="49"/>
        <v>RJSP</v>
      </c>
      <c r="I375" s="24" t="str">
        <f t="shared" si="57"/>
        <v>RJMG</v>
      </c>
      <c r="J375" s="24" t="str">
        <f t="shared" si="57"/>
        <v>RJES</v>
      </c>
      <c r="K375" s="24" t="str">
        <f t="shared" si="57"/>
        <v>RJSC</v>
      </c>
      <c r="L375" s="24" t="str">
        <f t="shared" si="57"/>
        <v>RJRJ</v>
      </c>
      <c r="M375" s="24" t="str">
        <f t="shared" si="57"/>
        <v>RJPR</v>
      </c>
      <c r="N375" s="24" t="str">
        <f t="shared" si="57"/>
        <v>RJAM</v>
      </c>
      <c r="O375" s="24">
        <f>VLOOKUP(H375, KM!$A:$E, 5, 0)</f>
        <v>429</v>
      </c>
      <c r="P375" s="24">
        <f>VLOOKUP(I375, KM!$A:$E, 5, 0)</f>
        <v>434</v>
      </c>
      <c r="Q375" s="24">
        <f>VLOOKUP(J375, KM!$A:$E, 5, 0)</f>
        <v>521</v>
      </c>
      <c r="R375" s="24">
        <f>VLOOKUP(K375, KM!$A:$E, 5, 0)</f>
        <v>1144</v>
      </c>
      <c r="S375" s="24">
        <f>VLOOKUP(L375, KM!$A:$E, 5, 0)</f>
        <v>0</v>
      </c>
      <c r="T375" s="24">
        <f>VLOOKUP(M375, KM!$A:$E, 5, 0)</f>
        <v>852</v>
      </c>
      <c r="U375" s="24">
        <f>VLOOKUP(N375, KM!$A:$E, 5, 0)</f>
        <v>4374</v>
      </c>
      <c r="V375" s="24">
        <f>VLOOKUP(H375, IMPOSTO!$A:$D, 4, 0)</f>
        <v>0.12</v>
      </c>
      <c r="W375" s="24">
        <f>VLOOKUP(I375, IMPOSTO!$A:$D, 4, 0)</f>
        <v>0.12</v>
      </c>
      <c r="X375" s="24">
        <f>VLOOKUP(J375, IMPOSTO!$A:$D, 4, 0)</f>
        <v>7.0000000000000007E-2</v>
      </c>
      <c r="Y375" s="24">
        <f>VLOOKUP(K375, IMPOSTO!$A:$D, 4, 0)</f>
        <v>0.12</v>
      </c>
      <c r="Z375" s="24">
        <f>VLOOKUP(L375, IMPOSTO!$A:$D, 4, 0)</f>
        <v>0.18</v>
      </c>
      <c r="AA375" s="24">
        <f>VLOOKUP(M375, IMPOSTO!$A:$D, 4, 0)</f>
        <v>0.12</v>
      </c>
      <c r="AB375" s="24">
        <f>VLOOKUP(N375, IMPOSTO!$A:$D, 4, 0)</f>
        <v>7.0000000000000007E-2</v>
      </c>
      <c r="AC375" s="25">
        <f t="shared" si="50"/>
        <v>4282.007457386364</v>
      </c>
      <c r="AD375" s="25">
        <f t="shared" si="51"/>
        <v>4282.575639204546</v>
      </c>
      <c r="AE375" s="25">
        <f t="shared" si="52"/>
        <v>4061.6844758064522</v>
      </c>
      <c r="AF375" s="25">
        <f t="shared" si="53"/>
        <v>4363.257457386364</v>
      </c>
      <c r="AG375" s="25">
        <f t="shared" si="54"/>
        <v>4543.0080030487807</v>
      </c>
      <c r="AH375" s="25">
        <f t="shared" si="55"/>
        <v>4330.075639204546</v>
      </c>
      <c r="AI375" s="25">
        <f t="shared" si="56"/>
        <v>4475.9855510752695</v>
      </c>
    </row>
    <row r="376" spans="1:35" ht="15.75" customHeight="1">
      <c r="A376" s="12" t="s">
        <v>440</v>
      </c>
      <c r="B376" s="12" t="s">
        <v>441</v>
      </c>
      <c r="C376" s="12" t="s">
        <v>442</v>
      </c>
      <c r="D376" s="12" t="s">
        <v>33</v>
      </c>
      <c r="E376" s="12" t="s">
        <v>27</v>
      </c>
      <c r="F376" s="13">
        <v>2025.3619417108252</v>
      </c>
      <c r="G376" s="14">
        <v>25504.351547123391</v>
      </c>
      <c r="H376" s="24" t="str">
        <f t="shared" si="49"/>
        <v>RJSP</v>
      </c>
      <c r="I376" s="24" t="str">
        <f t="shared" si="57"/>
        <v>RJMG</v>
      </c>
      <c r="J376" s="24" t="str">
        <f t="shared" si="57"/>
        <v>RJES</v>
      </c>
      <c r="K376" s="24" t="str">
        <f t="shared" si="57"/>
        <v>RJSC</v>
      </c>
      <c r="L376" s="24" t="str">
        <f t="shared" si="57"/>
        <v>RJRJ</v>
      </c>
      <c r="M376" s="24" t="str">
        <f t="shared" si="57"/>
        <v>RJPR</v>
      </c>
      <c r="N376" s="24" t="str">
        <f t="shared" si="57"/>
        <v>RJAM</v>
      </c>
      <c r="O376" s="24">
        <f>VLOOKUP(H376, KM!$A:$E, 5, 0)</f>
        <v>429</v>
      </c>
      <c r="P376" s="24">
        <f>VLOOKUP(I376, KM!$A:$E, 5, 0)</f>
        <v>434</v>
      </c>
      <c r="Q376" s="24">
        <f>VLOOKUP(J376, KM!$A:$E, 5, 0)</f>
        <v>521</v>
      </c>
      <c r="R376" s="24">
        <f>VLOOKUP(K376, KM!$A:$E, 5, 0)</f>
        <v>1144</v>
      </c>
      <c r="S376" s="24">
        <f>VLOOKUP(L376, KM!$A:$E, 5, 0)</f>
        <v>0</v>
      </c>
      <c r="T376" s="24">
        <f>VLOOKUP(M376, KM!$A:$E, 5, 0)</f>
        <v>852</v>
      </c>
      <c r="U376" s="24">
        <f>VLOOKUP(N376, KM!$A:$E, 5, 0)</f>
        <v>4374</v>
      </c>
      <c r="V376" s="24">
        <f>VLOOKUP(H376, IMPOSTO!$A:$D, 4, 0)</f>
        <v>0.12</v>
      </c>
      <c r="W376" s="24">
        <f>VLOOKUP(I376, IMPOSTO!$A:$D, 4, 0)</f>
        <v>0.12</v>
      </c>
      <c r="X376" s="24">
        <f>VLOOKUP(J376, IMPOSTO!$A:$D, 4, 0)</f>
        <v>7.0000000000000007E-2</v>
      </c>
      <c r="Y376" s="24">
        <f>VLOOKUP(K376, IMPOSTO!$A:$D, 4, 0)</f>
        <v>0.12</v>
      </c>
      <c r="Z376" s="24">
        <f>VLOOKUP(L376, IMPOSTO!$A:$D, 4, 0)</f>
        <v>0.18</v>
      </c>
      <c r="AA376" s="24">
        <f>VLOOKUP(M376, IMPOSTO!$A:$D, 4, 0)</f>
        <v>0.12</v>
      </c>
      <c r="AB376" s="24">
        <f>VLOOKUP(N376, IMPOSTO!$A:$D, 4, 0)</f>
        <v>7.0000000000000007E-2</v>
      </c>
      <c r="AC376" s="25">
        <f t="shared" si="50"/>
        <v>29030.967667185672</v>
      </c>
      <c r="AD376" s="25">
        <f t="shared" si="51"/>
        <v>29031.535849003856</v>
      </c>
      <c r="AE376" s="25">
        <f t="shared" si="52"/>
        <v>27480.055427014398</v>
      </c>
      <c r="AF376" s="25">
        <f t="shared" si="53"/>
        <v>29112.217667185672</v>
      </c>
      <c r="AG376" s="25">
        <f t="shared" si="54"/>
        <v>31102.867740394377</v>
      </c>
      <c r="AH376" s="25">
        <f t="shared" si="55"/>
        <v>29079.035849003856</v>
      </c>
      <c r="AI376" s="25">
        <f t="shared" si="56"/>
        <v>27894.356502283219</v>
      </c>
    </row>
    <row r="377" spans="1:35" ht="15.75" customHeight="1">
      <c r="A377" s="12" t="s">
        <v>440</v>
      </c>
      <c r="B377" s="12" t="s">
        <v>441</v>
      </c>
      <c r="C377" s="12" t="s">
        <v>442</v>
      </c>
      <c r="D377" s="12" t="s">
        <v>33</v>
      </c>
      <c r="E377" s="12" t="s">
        <v>27</v>
      </c>
      <c r="F377" s="13">
        <v>213.75851627554883</v>
      </c>
      <c r="G377" s="14">
        <v>2862.3334121877365</v>
      </c>
      <c r="H377" s="24" t="str">
        <f t="shared" si="49"/>
        <v>RJSP</v>
      </c>
      <c r="I377" s="24" t="str">
        <f t="shared" si="57"/>
        <v>RJMG</v>
      </c>
      <c r="J377" s="24" t="str">
        <f t="shared" si="57"/>
        <v>RJES</v>
      </c>
      <c r="K377" s="24" t="str">
        <f t="shared" si="57"/>
        <v>RJSC</v>
      </c>
      <c r="L377" s="24" t="str">
        <f t="shared" si="57"/>
        <v>RJRJ</v>
      </c>
      <c r="M377" s="24" t="str">
        <f t="shared" si="57"/>
        <v>RJPR</v>
      </c>
      <c r="N377" s="24" t="str">
        <f t="shared" si="57"/>
        <v>RJAM</v>
      </c>
      <c r="O377" s="24">
        <f>VLOOKUP(H377, KM!$A:$E, 5, 0)</f>
        <v>429</v>
      </c>
      <c r="P377" s="24">
        <f>VLOOKUP(I377, KM!$A:$E, 5, 0)</f>
        <v>434</v>
      </c>
      <c r="Q377" s="24">
        <f>VLOOKUP(J377, KM!$A:$E, 5, 0)</f>
        <v>521</v>
      </c>
      <c r="R377" s="24">
        <f>VLOOKUP(K377, KM!$A:$E, 5, 0)</f>
        <v>1144</v>
      </c>
      <c r="S377" s="24">
        <f>VLOOKUP(L377, KM!$A:$E, 5, 0)</f>
        <v>0</v>
      </c>
      <c r="T377" s="24">
        <f>VLOOKUP(M377, KM!$A:$E, 5, 0)</f>
        <v>852</v>
      </c>
      <c r="U377" s="24">
        <f>VLOOKUP(N377, KM!$A:$E, 5, 0)</f>
        <v>4374</v>
      </c>
      <c r="V377" s="24">
        <f>VLOOKUP(H377, IMPOSTO!$A:$D, 4, 0)</f>
        <v>0.12</v>
      </c>
      <c r="W377" s="24">
        <f>VLOOKUP(I377, IMPOSTO!$A:$D, 4, 0)</f>
        <v>0.12</v>
      </c>
      <c r="X377" s="24">
        <f>VLOOKUP(J377, IMPOSTO!$A:$D, 4, 0)</f>
        <v>7.0000000000000007E-2</v>
      </c>
      <c r="Y377" s="24">
        <f>VLOOKUP(K377, IMPOSTO!$A:$D, 4, 0)</f>
        <v>0.12</v>
      </c>
      <c r="Z377" s="24">
        <f>VLOOKUP(L377, IMPOSTO!$A:$D, 4, 0)</f>
        <v>0.18</v>
      </c>
      <c r="AA377" s="24">
        <f>VLOOKUP(M377, IMPOSTO!$A:$D, 4, 0)</f>
        <v>0.12</v>
      </c>
      <c r="AB377" s="24">
        <f>VLOOKUP(N377, IMPOSTO!$A:$D, 4, 0)</f>
        <v>7.0000000000000007E-2</v>
      </c>
      <c r="AC377" s="25">
        <f t="shared" si="50"/>
        <v>3301.4016047587916</v>
      </c>
      <c r="AD377" s="25">
        <f t="shared" si="51"/>
        <v>3301.9697865769735</v>
      </c>
      <c r="AE377" s="25">
        <f t="shared" si="52"/>
        <v>3133.7993679438027</v>
      </c>
      <c r="AF377" s="25">
        <f t="shared" si="53"/>
        <v>3382.6516047587916</v>
      </c>
      <c r="AG377" s="25">
        <f t="shared" si="54"/>
        <v>3490.6505026679711</v>
      </c>
      <c r="AH377" s="25">
        <f t="shared" si="55"/>
        <v>3349.4697865769731</v>
      </c>
      <c r="AI377" s="25">
        <f t="shared" si="56"/>
        <v>3548.1004432126201</v>
      </c>
    </row>
    <row r="378" spans="1:35" ht="15.75" customHeight="1">
      <c r="A378" s="12" t="s">
        <v>443</v>
      </c>
      <c r="B378" s="12" t="s">
        <v>444</v>
      </c>
      <c r="C378" s="12" t="s">
        <v>160</v>
      </c>
      <c r="D378" s="12" t="s">
        <v>33</v>
      </c>
      <c r="E378" s="12" t="s">
        <v>27</v>
      </c>
      <c r="F378" s="13">
        <v>41</v>
      </c>
      <c r="G378" s="14">
        <v>241.84142857142854</v>
      </c>
      <c r="H378" s="24" t="str">
        <f t="shared" si="49"/>
        <v>RJSP</v>
      </c>
      <c r="I378" s="24" t="str">
        <f t="shared" si="57"/>
        <v>RJMG</v>
      </c>
      <c r="J378" s="24" t="str">
        <f t="shared" si="57"/>
        <v>RJES</v>
      </c>
      <c r="K378" s="24" t="str">
        <f t="shared" si="57"/>
        <v>RJSC</v>
      </c>
      <c r="L378" s="24" t="str">
        <f t="shared" si="57"/>
        <v>RJRJ</v>
      </c>
      <c r="M378" s="24" t="str">
        <f t="shared" si="57"/>
        <v>RJPR</v>
      </c>
      <c r="N378" s="24" t="str">
        <f t="shared" si="57"/>
        <v>RJAM</v>
      </c>
      <c r="O378" s="24">
        <f>VLOOKUP(H378, KM!$A:$E, 5, 0)</f>
        <v>429</v>
      </c>
      <c r="P378" s="24">
        <f>VLOOKUP(I378, KM!$A:$E, 5, 0)</f>
        <v>434</v>
      </c>
      <c r="Q378" s="24">
        <f>VLOOKUP(J378, KM!$A:$E, 5, 0)</f>
        <v>521</v>
      </c>
      <c r="R378" s="24">
        <f>VLOOKUP(K378, KM!$A:$E, 5, 0)</f>
        <v>1144</v>
      </c>
      <c r="S378" s="24">
        <f>VLOOKUP(L378, KM!$A:$E, 5, 0)</f>
        <v>0</v>
      </c>
      <c r="T378" s="24">
        <f>VLOOKUP(M378, KM!$A:$E, 5, 0)</f>
        <v>852</v>
      </c>
      <c r="U378" s="24">
        <f>VLOOKUP(N378, KM!$A:$E, 5, 0)</f>
        <v>4374</v>
      </c>
      <c r="V378" s="24">
        <f>VLOOKUP(H378, IMPOSTO!$A:$D, 4, 0)</f>
        <v>0.12</v>
      </c>
      <c r="W378" s="24">
        <f>VLOOKUP(I378, IMPOSTO!$A:$D, 4, 0)</f>
        <v>0.12</v>
      </c>
      <c r="X378" s="24">
        <f>VLOOKUP(J378, IMPOSTO!$A:$D, 4, 0)</f>
        <v>7.0000000000000007E-2</v>
      </c>
      <c r="Y378" s="24">
        <f>VLOOKUP(K378, IMPOSTO!$A:$D, 4, 0)</f>
        <v>0.12</v>
      </c>
      <c r="Z378" s="24">
        <f>VLOOKUP(L378, IMPOSTO!$A:$D, 4, 0)</f>
        <v>0.18</v>
      </c>
      <c r="AA378" s="24">
        <f>VLOOKUP(M378, IMPOSTO!$A:$D, 4, 0)</f>
        <v>0.12</v>
      </c>
      <c r="AB378" s="24">
        <f>VLOOKUP(N378, IMPOSTO!$A:$D, 4, 0)</f>
        <v>7.0000000000000007E-2</v>
      </c>
      <c r="AC378" s="25">
        <f t="shared" si="50"/>
        <v>323.56980519480516</v>
      </c>
      <c r="AD378" s="25">
        <f t="shared" si="51"/>
        <v>324.13798701298697</v>
      </c>
      <c r="AE378" s="25">
        <f t="shared" si="52"/>
        <v>316.06605222734254</v>
      </c>
      <c r="AF378" s="25">
        <f t="shared" si="53"/>
        <v>404.81980519480516</v>
      </c>
      <c r="AG378" s="25">
        <f t="shared" si="54"/>
        <v>294.92857142857139</v>
      </c>
      <c r="AH378" s="25">
        <f t="shared" si="55"/>
        <v>371.63798701298697</v>
      </c>
      <c r="AI378" s="25">
        <f t="shared" si="56"/>
        <v>730.3671274961597</v>
      </c>
    </row>
    <row r="379" spans="1:35" ht="15.75" customHeight="1">
      <c r="A379" s="12" t="s">
        <v>445</v>
      </c>
      <c r="B379" s="12" t="s">
        <v>446</v>
      </c>
      <c r="C379" s="12" t="s">
        <v>433</v>
      </c>
      <c r="D379" s="12" t="s">
        <v>33</v>
      </c>
      <c r="E379" s="12" t="s">
        <v>27</v>
      </c>
      <c r="F379" s="13">
        <v>428.89016018306631</v>
      </c>
      <c r="G379" s="14">
        <v>21201.574530892449</v>
      </c>
      <c r="H379" s="24" t="str">
        <f t="shared" si="49"/>
        <v>RJSP</v>
      </c>
      <c r="I379" s="24" t="str">
        <f t="shared" si="57"/>
        <v>RJMG</v>
      </c>
      <c r="J379" s="24" t="str">
        <f t="shared" si="57"/>
        <v>RJES</v>
      </c>
      <c r="K379" s="24" t="str">
        <f t="shared" si="57"/>
        <v>RJSC</v>
      </c>
      <c r="L379" s="24" t="str">
        <f t="shared" si="57"/>
        <v>RJRJ</v>
      </c>
      <c r="M379" s="24" t="str">
        <f t="shared" si="57"/>
        <v>RJPR</v>
      </c>
      <c r="N379" s="24" t="str">
        <f t="shared" si="57"/>
        <v>RJAM</v>
      </c>
      <c r="O379" s="24">
        <f>VLOOKUP(H379, KM!$A:$E, 5, 0)</f>
        <v>429</v>
      </c>
      <c r="P379" s="24">
        <f>VLOOKUP(I379, KM!$A:$E, 5, 0)</f>
        <v>434</v>
      </c>
      <c r="Q379" s="24">
        <f>VLOOKUP(J379, KM!$A:$E, 5, 0)</f>
        <v>521</v>
      </c>
      <c r="R379" s="24">
        <f>VLOOKUP(K379, KM!$A:$E, 5, 0)</f>
        <v>1144</v>
      </c>
      <c r="S379" s="24">
        <f>VLOOKUP(L379, KM!$A:$E, 5, 0)</f>
        <v>0</v>
      </c>
      <c r="T379" s="24">
        <f>VLOOKUP(M379, KM!$A:$E, 5, 0)</f>
        <v>852</v>
      </c>
      <c r="U379" s="24">
        <f>VLOOKUP(N379, KM!$A:$E, 5, 0)</f>
        <v>4374</v>
      </c>
      <c r="V379" s="24">
        <f>VLOOKUP(H379, IMPOSTO!$A:$D, 4, 0)</f>
        <v>0.12</v>
      </c>
      <c r="W379" s="24">
        <f>VLOOKUP(I379, IMPOSTO!$A:$D, 4, 0)</f>
        <v>0.12</v>
      </c>
      <c r="X379" s="24">
        <f>VLOOKUP(J379, IMPOSTO!$A:$D, 4, 0)</f>
        <v>7.0000000000000007E-2</v>
      </c>
      <c r="Y379" s="24">
        <f>VLOOKUP(K379, IMPOSTO!$A:$D, 4, 0)</f>
        <v>0.12</v>
      </c>
      <c r="Z379" s="24">
        <f>VLOOKUP(L379, IMPOSTO!$A:$D, 4, 0)</f>
        <v>0.18</v>
      </c>
      <c r="AA379" s="24">
        <f>VLOOKUP(M379, IMPOSTO!$A:$D, 4, 0)</f>
        <v>0.12</v>
      </c>
      <c r="AB379" s="24">
        <f>VLOOKUP(N379, IMPOSTO!$A:$D, 4, 0)</f>
        <v>7.0000000000000007E-2</v>
      </c>
      <c r="AC379" s="25">
        <f t="shared" si="50"/>
        <v>24141.448330559604</v>
      </c>
      <c r="AD379" s="25">
        <f t="shared" si="51"/>
        <v>24142.016512377784</v>
      </c>
      <c r="AE379" s="25">
        <f t="shared" si="52"/>
        <v>22853.413474077901</v>
      </c>
      <c r="AF379" s="25">
        <f t="shared" si="53"/>
        <v>24222.698330559604</v>
      </c>
      <c r="AG379" s="25">
        <f t="shared" si="54"/>
        <v>25855.578696210301</v>
      </c>
      <c r="AH379" s="25">
        <f t="shared" si="55"/>
        <v>24189.516512377784</v>
      </c>
      <c r="AI379" s="25">
        <f t="shared" si="56"/>
        <v>23267.714549346721</v>
      </c>
    </row>
    <row r="380" spans="1:35" ht="15.75" customHeight="1">
      <c r="A380" s="12" t="s">
        <v>447</v>
      </c>
      <c r="B380" s="12" t="s">
        <v>448</v>
      </c>
      <c r="C380" s="12" t="s">
        <v>433</v>
      </c>
      <c r="D380" s="12" t="s">
        <v>33</v>
      </c>
      <c r="E380" s="12" t="s">
        <v>27</v>
      </c>
      <c r="F380" s="13">
        <v>21.688555347091931</v>
      </c>
      <c r="G380" s="14">
        <v>1932.645478424015</v>
      </c>
      <c r="H380" s="24" t="str">
        <f t="shared" si="49"/>
        <v>RJSP</v>
      </c>
      <c r="I380" s="24" t="str">
        <f t="shared" si="57"/>
        <v>RJMG</v>
      </c>
      <c r="J380" s="24" t="str">
        <f t="shared" si="57"/>
        <v>RJES</v>
      </c>
      <c r="K380" s="24" t="str">
        <f t="shared" si="57"/>
        <v>RJSC</v>
      </c>
      <c r="L380" s="24" t="str">
        <f t="shared" si="57"/>
        <v>RJRJ</v>
      </c>
      <c r="M380" s="24" t="str">
        <f t="shared" si="57"/>
        <v>RJPR</v>
      </c>
      <c r="N380" s="24" t="str">
        <f t="shared" si="57"/>
        <v>RJAM</v>
      </c>
      <c r="O380" s="24">
        <f>VLOOKUP(H380, KM!$A:$E, 5, 0)</f>
        <v>429</v>
      </c>
      <c r="P380" s="24">
        <f>VLOOKUP(I380, KM!$A:$E, 5, 0)</f>
        <v>434</v>
      </c>
      <c r="Q380" s="24">
        <f>VLOOKUP(J380, KM!$A:$E, 5, 0)</f>
        <v>521</v>
      </c>
      <c r="R380" s="24">
        <f>VLOOKUP(K380, KM!$A:$E, 5, 0)</f>
        <v>1144</v>
      </c>
      <c r="S380" s="24">
        <f>VLOOKUP(L380, KM!$A:$E, 5, 0)</f>
        <v>0</v>
      </c>
      <c r="T380" s="24">
        <f>VLOOKUP(M380, KM!$A:$E, 5, 0)</f>
        <v>852</v>
      </c>
      <c r="U380" s="24">
        <f>VLOOKUP(N380, KM!$A:$E, 5, 0)</f>
        <v>4374</v>
      </c>
      <c r="V380" s="24">
        <f>VLOOKUP(H380, IMPOSTO!$A:$D, 4, 0)</f>
        <v>0.12</v>
      </c>
      <c r="W380" s="24">
        <f>VLOOKUP(I380, IMPOSTO!$A:$D, 4, 0)</f>
        <v>0.12</v>
      </c>
      <c r="X380" s="24">
        <f>VLOOKUP(J380, IMPOSTO!$A:$D, 4, 0)</f>
        <v>7.0000000000000007E-2</v>
      </c>
      <c r="Y380" s="24">
        <f>VLOOKUP(K380, IMPOSTO!$A:$D, 4, 0)</f>
        <v>0.12</v>
      </c>
      <c r="Z380" s="24">
        <f>VLOOKUP(L380, IMPOSTO!$A:$D, 4, 0)</f>
        <v>0.18</v>
      </c>
      <c r="AA380" s="24">
        <f>VLOOKUP(M380, IMPOSTO!$A:$D, 4, 0)</f>
        <v>0.12</v>
      </c>
      <c r="AB380" s="24">
        <f>VLOOKUP(N380, IMPOSTO!$A:$D, 4, 0)</f>
        <v>7.0000000000000007E-2</v>
      </c>
      <c r="AC380" s="25">
        <f t="shared" si="50"/>
        <v>2244.9380436636534</v>
      </c>
      <c r="AD380" s="25">
        <f t="shared" si="51"/>
        <v>2245.5062254818354</v>
      </c>
      <c r="AE380" s="25">
        <f t="shared" si="52"/>
        <v>2134.1349230365754</v>
      </c>
      <c r="AF380" s="25">
        <f t="shared" si="53"/>
        <v>2326.1880436636534</v>
      </c>
      <c r="AG380" s="25">
        <f t="shared" si="54"/>
        <v>2356.884729785384</v>
      </c>
      <c r="AH380" s="25">
        <f t="shared" si="55"/>
        <v>2293.0062254818354</v>
      </c>
      <c r="AI380" s="25">
        <f t="shared" si="56"/>
        <v>2548.4359983053928</v>
      </c>
    </row>
    <row r="381" spans="1:35" ht="15.75" customHeight="1">
      <c r="A381" s="12" t="s">
        <v>449</v>
      </c>
      <c r="B381" s="12" t="s">
        <v>450</v>
      </c>
      <c r="C381" s="12" t="s">
        <v>451</v>
      </c>
      <c r="D381" s="12" t="s">
        <v>33</v>
      </c>
      <c r="E381" s="12" t="s">
        <v>27</v>
      </c>
      <c r="F381" s="13">
        <v>3646.6402714932119</v>
      </c>
      <c r="G381" s="14">
        <v>366739.16513574665</v>
      </c>
      <c r="H381" s="24" t="str">
        <f t="shared" si="49"/>
        <v>RJSP</v>
      </c>
      <c r="I381" s="24" t="str">
        <f t="shared" si="57"/>
        <v>RJMG</v>
      </c>
      <c r="J381" s="24" t="str">
        <f t="shared" si="57"/>
        <v>RJES</v>
      </c>
      <c r="K381" s="24" t="str">
        <f t="shared" si="57"/>
        <v>RJSC</v>
      </c>
      <c r="L381" s="24" t="str">
        <f t="shared" si="57"/>
        <v>RJRJ</v>
      </c>
      <c r="M381" s="24" t="str">
        <f t="shared" si="57"/>
        <v>RJPR</v>
      </c>
      <c r="N381" s="24" t="str">
        <f t="shared" si="57"/>
        <v>RJAM</v>
      </c>
      <c r="O381" s="24">
        <f>VLOOKUP(H381, KM!$A:$E, 5, 0)</f>
        <v>429</v>
      </c>
      <c r="P381" s="24">
        <f>VLOOKUP(I381, KM!$A:$E, 5, 0)</f>
        <v>434</v>
      </c>
      <c r="Q381" s="24">
        <f>VLOOKUP(J381, KM!$A:$E, 5, 0)</f>
        <v>521</v>
      </c>
      <c r="R381" s="24">
        <f>VLOOKUP(K381, KM!$A:$E, 5, 0)</f>
        <v>1144</v>
      </c>
      <c r="S381" s="24">
        <f>VLOOKUP(L381, KM!$A:$E, 5, 0)</f>
        <v>0</v>
      </c>
      <c r="T381" s="24">
        <f>VLOOKUP(M381, KM!$A:$E, 5, 0)</f>
        <v>852</v>
      </c>
      <c r="U381" s="24">
        <f>VLOOKUP(N381, KM!$A:$E, 5, 0)</f>
        <v>4374</v>
      </c>
      <c r="V381" s="24">
        <f>VLOOKUP(H381, IMPOSTO!$A:$D, 4, 0)</f>
        <v>0.12</v>
      </c>
      <c r="W381" s="24">
        <f>VLOOKUP(I381, IMPOSTO!$A:$D, 4, 0)</f>
        <v>0.12</v>
      </c>
      <c r="X381" s="24">
        <f>VLOOKUP(J381, IMPOSTO!$A:$D, 4, 0)</f>
        <v>7.0000000000000007E-2</v>
      </c>
      <c r="Y381" s="24">
        <f>VLOOKUP(K381, IMPOSTO!$A:$D, 4, 0)</f>
        <v>0.12</v>
      </c>
      <c r="Z381" s="24">
        <f>VLOOKUP(L381, IMPOSTO!$A:$D, 4, 0)</f>
        <v>0.18</v>
      </c>
      <c r="AA381" s="24">
        <f>VLOOKUP(M381, IMPOSTO!$A:$D, 4, 0)</f>
        <v>0.12</v>
      </c>
      <c r="AB381" s="24">
        <f>VLOOKUP(N381, IMPOSTO!$A:$D, 4, 0)</f>
        <v>7.0000000000000007E-2</v>
      </c>
      <c r="AC381" s="25">
        <f t="shared" si="50"/>
        <v>416797.80129062122</v>
      </c>
      <c r="AD381" s="25">
        <f t="shared" si="51"/>
        <v>416798.3694724394</v>
      </c>
      <c r="AE381" s="25">
        <f t="shared" si="52"/>
        <v>394399.20982338348</v>
      </c>
      <c r="AF381" s="25">
        <f t="shared" si="53"/>
        <v>416879.05129062122</v>
      </c>
      <c r="AG381" s="25">
        <f t="shared" si="54"/>
        <v>447242.8843118861</v>
      </c>
      <c r="AH381" s="25">
        <f t="shared" si="55"/>
        <v>416845.8694724394</v>
      </c>
      <c r="AI381" s="25">
        <f t="shared" si="56"/>
        <v>394813.51089865237</v>
      </c>
    </row>
    <row r="382" spans="1:35" ht="15.75" customHeight="1">
      <c r="A382" s="12" t="s">
        <v>449</v>
      </c>
      <c r="B382" s="12" t="s">
        <v>450</v>
      </c>
      <c r="C382" s="12" t="s">
        <v>451</v>
      </c>
      <c r="D382" s="12" t="s">
        <v>33</v>
      </c>
      <c r="E382" s="12" t="s">
        <v>27</v>
      </c>
      <c r="F382" s="13">
        <v>105.09049773755656</v>
      </c>
      <c r="G382" s="14">
        <v>8505.8147058823524</v>
      </c>
      <c r="H382" s="24" t="str">
        <f t="shared" si="49"/>
        <v>RJSP</v>
      </c>
      <c r="I382" s="24" t="str">
        <f t="shared" si="57"/>
        <v>RJMG</v>
      </c>
      <c r="J382" s="24" t="str">
        <f t="shared" si="57"/>
        <v>RJES</v>
      </c>
      <c r="K382" s="24" t="str">
        <f t="shared" si="57"/>
        <v>RJSC</v>
      </c>
      <c r="L382" s="24" t="str">
        <f t="shared" si="57"/>
        <v>RJRJ</v>
      </c>
      <c r="M382" s="24" t="str">
        <f t="shared" si="57"/>
        <v>RJPR</v>
      </c>
      <c r="N382" s="24" t="str">
        <f t="shared" si="57"/>
        <v>RJAM</v>
      </c>
      <c r="O382" s="24">
        <f>VLOOKUP(H382, KM!$A:$E, 5, 0)</f>
        <v>429</v>
      </c>
      <c r="P382" s="24">
        <f>VLOOKUP(I382, KM!$A:$E, 5, 0)</f>
        <v>434</v>
      </c>
      <c r="Q382" s="24">
        <f>VLOOKUP(J382, KM!$A:$E, 5, 0)</f>
        <v>521</v>
      </c>
      <c r="R382" s="24">
        <f>VLOOKUP(K382, KM!$A:$E, 5, 0)</f>
        <v>1144</v>
      </c>
      <c r="S382" s="24">
        <f>VLOOKUP(L382, KM!$A:$E, 5, 0)</f>
        <v>0</v>
      </c>
      <c r="T382" s="24">
        <f>VLOOKUP(M382, KM!$A:$E, 5, 0)</f>
        <v>852</v>
      </c>
      <c r="U382" s="24">
        <f>VLOOKUP(N382, KM!$A:$E, 5, 0)</f>
        <v>4374</v>
      </c>
      <c r="V382" s="24">
        <f>VLOOKUP(H382, IMPOSTO!$A:$D, 4, 0)</f>
        <v>0.12</v>
      </c>
      <c r="W382" s="24">
        <f>VLOOKUP(I382, IMPOSTO!$A:$D, 4, 0)</f>
        <v>0.12</v>
      </c>
      <c r="X382" s="24">
        <f>VLOOKUP(J382, IMPOSTO!$A:$D, 4, 0)</f>
        <v>7.0000000000000007E-2</v>
      </c>
      <c r="Y382" s="24">
        <f>VLOOKUP(K382, IMPOSTO!$A:$D, 4, 0)</f>
        <v>0.12</v>
      </c>
      <c r="Z382" s="24">
        <f>VLOOKUP(L382, IMPOSTO!$A:$D, 4, 0)</f>
        <v>0.18</v>
      </c>
      <c r="AA382" s="24">
        <f>VLOOKUP(M382, IMPOSTO!$A:$D, 4, 0)</f>
        <v>0.12</v>
      </c>
      <c r="AB382" s="24">
        <f>VLOOKUP(N382, IMPOSTO!$A:$D, 4, 0)</f>
        <v>7.0000000000000007E-2</v>
      </c>
      <c r="AC382" s="25">
        <f t="shared" si="50"/>
        <v>9714.448529411764</v>
      </c>
      <c r="AD382" s="25">
        <f t="shared" si="51"/>
        <v>9715.0167112299459</v>
      </c>
      <c r="AE382" s="25">
        <f t="shared" si="52"/>
        <v>9202.0588235294126</v>
      </c>
      <c r="AF382" s="25">
        <f t="shared" si="53"/>
        <v>9795.698529411764</v>
      </c>
      <c r="AG382" s="25">
        <f t="shared" si="54"/>
        <v>10372.94476327116</v>
      </c>
      <c r="AH382" s="25">
        <f t="shared" si="55"/>
        <v>9762.5167112299459</v>
      </c>
      <c r="AI382" s="25">
        <f t="shared" si="56"/>
        <v>9616.3598987982296</v>
      </c>
    </row>
    <row r="383" spans="1:35" ht="15.75" customHeight="1">
      <c r="A383" s="12" t="s">
        <v>452</v>
      </c>
      <c r="B383" s="12" t="s">
        <v>453</v>
      </c>
      <c r="C383" s="12" t="s">
        <v>454</v>
      </c>
      <c r="D383" s="12" t="s">
        <v>33</v>
      </c>
      <c r="E383" s="12" t="s">
        <v>27</v>
      </c>
      <c r="F383" s="13">
        <v>1819.9999999999998</v>
      </c>
      <c r="G383" s="14">
        <v>298375.95028680685</v>
      </c>
      <c r="H383" s="24" t="str">
        <f t="shared" si="49"/>
        <v>RJSP</v>
      </c>
      <c r="I383" s="24" t="str">
        <f t="shared" si="57"/>
        <v>RJMG</v>
      </c>
      <c r="J383" s="24" t="str">
        <f t="shared" si="57"/>
        <v>RJES</v>
      </c>
      <c r="K383" s="24" t="str">
        <f t="shared" si="57"/>
        <v>RJSC</v>
      </c>
      <c r="L383" s="24" t="str">
        <f t="shared" si="57"/>
        <v>RJRJ</v>
      </c>
      <c r="M383" s="24" t="str">
        <f t="shared" si="57"/>
        <v>RJPR</v>
      </c>
      <c r="N383" s="24" t="str">
        <f t="shared" si="57"/>
        <v>RJAM</v>
      </c>
      <c r="O383" s="24">
        <f>VLOOKUP(H383, KM!$A:$E, 5, 0)</f>
        <v>429</v>
      </c>
      <c r="P383" s="24">
        <f>VLOOKUP(I383, KM!$A:$E, 5, 0)</f>
        <v>434</v>
      </c>
      <c r="Q383" s="24">
        <f>VLOOKUP(J383, KM!$A:$E, 5, 0)</f>
        <v>521</v>
      </c>
      <c r="R383" s="24">
        <f>VLOOKUP(K383, KM!$A:$E, 5, 0)</f>
        <v>1144</v>
      </c>
      <c r="S383" s="24">
        <f>VLOOKUP(L383, KM!$A:$E, 5, 0)</f>
        <v>0</v>
      </c>
      <c r="T383" s="24">
        <f>VLOOKUP(M383, KM!$A:$E, 5, 0)</f>
        <v>852</v>
      </c>
      <c r="U383" s="24">
        <f>VLOOKUP(N383, KM!$A:$E, 5, 0)</f>
        <v>4374</v>
      </c>
      <c r="V383" s="24">
        <f>VLOOKUP(H383, IMPOSTO!$A:$D, 4, 0)</f>
        <v>0.12</v>
      </c>
      <c r="W383" s="24">
        <f>VLOOKUP(I383, IMPOSTO!$A:$D, 4, 0)</f>
        <v>0.12</v>
      </c>
      <c r="X383" s="24">
        <f>VLOOKUP(J383, IMPOSTO!$A:$D, 4, 0)</f>
        <v>7.0000000000000007E-2</v>
      </c>
      <c r="Y383" s="24">
        <f>VLOOKUP(K383, IMPOSTO!$A:$D, 4, 0)</f>
        <v>0.12</v>
      </c>
      <c r="Z383" s="24">
        <f>VLOOKUP(L383, IMPOSTO!$A:$D, 4, 0)</f>
        <v>0.18</v>
      </c>
      <c r="AA383" s="24">
        <f>VLOOKUP(M383, IMPOSTO!$A:$D, 4, 0)</f>
        <v>0.12</v>
      </c>
      <c r="AB383" s="24">
        <f>VLOOKUP(N383, IMPOSTO!$A:$D, 4, 0)</f>
        <v>7.0000000000000007E-2</v>
      </c>
      <c r="AC383" s="25">
        <f t="shared" si="50"/>
        <v>339112.32987137145</v>
      </c>
      <c r="AD383" s="25">
        <f t="shared" si="51"/>
        <v>339112.89805318962</v>
      </c>
      <c r="AE383" s="25">
        <f t="shared" si="52"/>
        <v>320890.37665248051</v>
      </c>
      <c r="AF383" s="25">
        <f t="shared" si="53"/>
        <v>339193.57987137145</v>
      </c>
      <c r="AG383" s="25">
        <f t="shared" si="54"/>
        <v>363873.11010586197</v>
      </c>
      <c r="AH383" s="25">
        <f t="shared" si="55"/>
        <v>339160.39805318962</v>
      </c>
      <c r="AI383" s="25">
        <f t="shared" si="56"/>
        <v>321304.67772774934</v>
      </c>
    </row>
    <row r="384" spans="1:35" ht="15.75" customHeight="1">
      <c r="A384" s="12" t="s">
        <v>161</v>
      </c>
      <c r="B384" s="12" t="s">
        <v>162</v>
      </c>
      <c r="C384" s="12" t="s">
        <v>163</v>
      </c>
      <c r="D384" s="12" t="s">
        <v>33</v>
      </c>
      <c r="E384" s="12" t="s">
        <v>27</v>
      </c>
      <c r="F384" s="13">
        <v>99.857142857142861</v>
      </c>
      <c r="G384" s="14">
        <v>2787.6918857142855</v>
      </c>
      <c r="H384" s="24" t="str">
        <f t="shared" si="49"/>
        <v>RJSP</v>
      </c>
      <c r="I384" s="24" t="str">
        <f t="shared" si="57"/>
        <v>RJMG</v>
      </c>
      <c r="J384" s="24" t="str">
        <f t="shared" si="57"/>
        <v>RJES</v>
      </c>
      <c r="K384" s="24" t="str">
        <f t="shared" si="57"/>
        <v>RJSC</v>
      </c>
      <c r="L384" s="24" t="str">
        <f t="shared" si="57"/>
        <v>RJRJ</v>
      </c>
      <c r="M384" s="24" t="str">
        <f t="shared" si="57"/>
        <v>RJPR</v>
      </c>
      <c r="N384" s="24" t="str">
        <f t="shared" si="57"/>
        <v>RJAM</v>
      </c>
      <c r="O384" s="24">
        <f>VLOOKUP(H384, KM!$A:$E, 5, 0)</f>
        <v>429</v>
      </c>
      <c r="P384" s="24">
        <f>VLOOKUP(I384, KM!$A:$E, 5, 0)</f>
        <v>434</v>
      </c>
      <c r="Q384" s="24">
        <f>VLOOKUP(J384, KM!$A:$E, 5, 0)</f>
        <v>521</v>
      </c>
      <c r="R384" s="24">
        <f>VLOOKUP(K384, KM!$A:$E, 5, 0)</f>
        <v>1144</v>
      </c>
      <c r="S384" s="24">
        <f>VLOOKUP(L384, KM!$A:$E, 5, 0)</f>
        <v>0</v>
      </c>
      <c r="T384" s="24">
        <f>VLOOKUP(M384, KM!$A:$E, 5, 0)</f>
        <v>852</v>
      </c>
      <c r="U384" s="24">
        <f>VLOOKUP(N384, KM!$A:$E, 5, 0)</f>
        <v>4374</v>
      </c>
      <c r="V384" s="24">
        <f>VLOOKUP(H384, IMPOSTO!$A:$D, 4, 0)</f>
        <v>0.12</v>
      </c>
      <c r="W384" s="24">
        <f>VLOOKUP(I384, IMPOSTO!$A:$D, 4, 0)</f>
        <v>0.12</v>
      </c>
      <c r="X384" s="24">
        <f>VLOOKUP(J384, IMPOSTO!$A:$D, 4, 0)</f>
        <v>7.0000000000000007E-2</v>
      </c>
      <c r="Y384" s="24">
        <f>VLOOKUP(K384, IMPOSTO!$A:$D, 4, 0)</f>
        <v>0.12</v>
      </c>
      <c r="Z384" s="24">
        <f>VLOOKUP(L384, IMPOSTO!$A:$D, 4, 0)</f>
        <v>0.18</v>
      </c>
      <c r="AA384" s="24">
        <f>VLOOKUP(M384, IMPOSTO!$A:$D, 4, 0)</f>
        <v>0.12</v>
      </c>
      <c r="AB384" s="24">
        <f>VLOOKUP(N384, IMPOSTO!$A:$D, 4, 0)</f>
        <v>7.0000000000000007E-2</v>
      </c>
      <c r="AC384" s="25">
        <f t="shared" si="50"/>
        <v>3216.5816883116881</v>
      </c>
      <c r="AD384" s="25">
        <f t="shared" si="51"/>
        <v>3217.1498701298701</v>
      </c>
      <c r="AE384" s="25">
        <f t="shared" si="52"/>
        <v>3053.5396620583715</v>
      </c>
      <c r="AF384" s="25">
        <f t="shared" si="53"/>
        <v>3297.8316883116881</v>
      </c>
      <c r="AG384" s="25">
        <f t="shared" si="54"/>
        <v>3399.6242508710798</v>
      </c>
      <c r="AH384" s="25">
        <f t="shared" si="55"/>
        <v>3264.6498701298697</v>
      </c>
      <c r="AI384" s="25">
        <f t="shared" si="56"/>
        <v>3467.8407373271889</v>
      </c>
    </row>
    <row r="385" spans="1:35" ht="15.75" customHeight="1">
      <c r="A385" s="12" t="s">
        <v>161</v>
      </c>
      <c r="B385" s="12" t="s">
        <v>162</v>
      </c>
      <c r="C385" s="12" t="s">
        <v>163</v>
      </c>
      <c r="D385" s="12" t="s">
        <v>33</v>
      </c>
      <c r="E385" s="12" t="s">
        <v>27</v>
      </c>
      <c r="F385" s="13">
        <v>33.285714285714285</v>
      </c>
      <c r="G385" s="14">
        <v>924.97005714285717</v>
      </c>
      <c r="H385" s="24" t="str">
        <f t="shared" si="49"/>
        <v>RJSP</v>
      </c>
      <c r="I385" s="24" t="str">
        <f t="shared" si="57"/>
        <v>RJMG</v>
      </c>
      <c r="J385" s="24" t="str">
        <f t="shared" si="57"/>
        <v>RJES</v>
      </c>
      <c r="K385" s="24" t="str">
        <f t="shared" si="57"/>
        <v>RJSC</v>
      </c>
      <c r="L385" s="24" t="str">
        <f t="shared" si="57"/>
        <v>RJRJ</v>
      </c>
      <c r="M385" s="24" t="str">
        <f t="shared" si="57"/>
        <v>RJPR</v>
      </c>
      <c r="N385" s="24" t="str">
        <f t="shared" si="57"/>
        <v>RJAM</v>
      </c>
      <c r="O385" s="24">
        <f>VLOOKUP(H385, KM!$A:$E, 5, 0)</f>
        <v>429</v>
      </c>
      <c r="P385" s="24">
        <f>VLOOKUP(I385, KM!$A:$E, 5, 0)</f>
        <v>434</v>
      </c>
      <c r="Q385" s="24">
        <f>VLOOKUP(J385, KM!$A:$E, 5, 0)</f>
        <v>521</v>
      </c>
      <c r="R385" s="24">
        <f>VLOOKUP(K385, KM!$A:$E, 5, 0)</f>
        <v>1144</v>
      </c>
      <c r="S385" s="24">
        <f>VLOOKUP(L385, KM!$A:$E, 5, 0)</f>
        <v>0</v>
      </c>
      <c r="T385" s="24">
        <f>VLOOKUP(M385, KM!$A:$E, 5, 0)</f>
        <v>852</v>
      </c>
      <c r="U385" s="24">
        <f>VLOOKUP(N385, KM!$A:$E, 5, 0)</f>
        <v>4374</v>
      </c>
      <c r="V385" s="24">
        <f>VLOOKUP(H385, IMPOSTO!$A:$D, 4, 0)</f>
        <v>0.12</v>
      </c>
      <c r="W385" s="24">
        <f>VLOOKUP(I385, IMPOSTO!$A:$D, 4, 0)</f>
        <v>0.12</v>
      </c>
      <c r="X385" s="24">
        <f>VLOOKUP(J385, IMPOSTO!$A:$D, 4, 0)</f>
        <v>7.0000000000000007E-2</v>
      </c>
      <c r="Y385" s="24">
        <f>VLOOKUP(K385, IMPOSTO!$A:$D, 4, 0)</f>
        <v>0.12</v>
      </c>
      <c r="Z385" s="24">
        <f>VLOOKUP(L385, IMPOSTO!$A:$D, 4, 0)</f>
        <v>0.18</v>
      </c>
      <c r="AA385" s="24">
        <f>VLOOKUP(M385, IMPOSTO!$A:$D, 4, 0)</f>
        <v>0.12</v>
      </c>
      <c r="AB385" s="24">
        <f>VLOOKUP(N385, IMPOSTO!$A:$D, 4, 0)</f>
        <v>7.0000000000000007E-2</v>
      </c>
      <c r="AC385" s="25">
        <f t="shared" si="50"/>
        <v>1099.8523376623377</v>
      </c>
      <c r="AD385" s="25">
        <f t="shared" si="51"/>
        <v>1100.4205194805195</v>
      </c>
      <c r="AE385" s="25">
        <f t="shared" si="52"/>
        <v>1050.6129646697391</v>
      </c>
      <c r="AF385" s="25">
        <f t="shared" si="53"/>
        <v>1181.1023376623377</v>
      </c>
      <c r="AG385" s="25">
        <f t="shared" si="54"/>
        <v>1128.0122648083623</v>
      </c>
      <c r="AH385" s="25">
        <f t="shared" si="55"/>
        <v>1147.9205194805195</v>
      </c>
      <c r="AI385" s="25">
        <f t="shared" si="56"/>
        <v>1464.9140399385562</v>
      </c>
    </row>
    <row r="386" spans="1:35" ht="15.75" customHeight="1">
      <c r="A386" s="12" t="s">
        <v>79</v>
      </c>
      <c r="B386" s="12" t="s">
        <v>80</v>
      </c>
      <c r="C386" s="12" t="s">
        <v>81</v>
      </c>
      <c r="D386" s="12" t="s">
        <v>50</v>
      </c>
      <c r="E386" s="12" t="s">
        <v>27</v>
      </c>
      <c r="F386" s="13">
        <v>0.3383697003957038</v>
      </c>
      <c r="G386" s="14">
        <v>5.7743841718485012</v>
      </c>
      <c r="H386" s="24" t="str">
        <f t="shared" si="49"/>
        <v>RJSP</v>
      </c>
      <c r="I386" s="24" t="str">
        <f t="shared" si="57"/>
        <v>RJMG</v>
      </c>
      <c r="J386" s="24" t="str">
        <f t="shared" si="57"/>
        <v>RJES</v>
      </c>
      <c r="K386" s="24" t="str">
        <f t="shared" si="57"/>
        <v>RJSC</v>
      </c>
      <c r="L386" s="24" t="str">
        <f t="shared" si="57"/>
        <v>RJRJ</v>
      </c>
      <c r="M386" s="24" t="str">
        <f t="shared" si="57"/>
        <v>RJPR</v>
      </c>
      <c r="N386" s="24" t="str">
        <f t="shared" si="57"/>
        <v>RJAM</v>
      </c>
      <c r="O386" s="24">
        <f>VLOOKUP(H386, KM!$A:$E, 5, 0)</f>
        <v>429</v>
      </c>
      <c r="P386" s="24">
        <f>VLOOKUP(I386, KM!$A:$E, 5, 0)</f>
        <v>434</v>
      </c>
      <c r="Q386" s="24">
        <f>VLOOKUP(J386, KM!$A:$E, 5, 0)</f>
        <v>521</v>
      </c>
      <c r="R386" s="24">
        <f>VLOOKUP(K386, KM!$A:$E, 5, 0)</f>
        <v>1144</v>
      </c>
      <c r="S386" s="24">
        <f>VLOOKUP(L386, KM!$A:$E, 5, 0)</f>
        <v>0</v>
      </c>
      <c r="T386" s="24">
        <f>VLOOKUP(M386, KM!$A:$E, 5, 0)</f>
        <v>852</v>
      </c>
      <c r="U386" s="24">
        <f>VLOOKUP(N386, KM!$A:$E, 5, 0)</f>
        <v>4374</v>
      </c>
      <c r="V386" s="24">
        <f>VLOOKUP(H386, IMPOSTO!$A:$D, 4, 0)</f>
        <v>0.12</v>
      </c>
      <c r="W386" s="24">
        <f>VLOOKUP(I386, IMPOSTO!$A:$D, 4, 0)</f>
        <v>0.12</v>
      </c>
      <c r="X386" s="24">
        <f>VLOOKUP(J386, IMPOSTO!$A:$D, 4, 0)</f>
        <v>7.0000000000000007E-2</v>
      </c>
      <c r="Y386" s="24">
        <f>VLOOKUP(K386, IMPOSTO!$A:$D, 4, 0)</f>
        <v>0.12</v>
      </c>
      <c r="Z386" s="24">
        <f>VLOOKUP(L386, IMPOSTO!$A:$D, 4, 0)</f>
        <v>0.18</v>
      </c>
      <c r="AA386" s="24">
        <f>VLOOKUP(M386, IMPOSTO!$A:$D, 4, 0)</f>
        <v>0.12</v>
      </c>
      <c r="AB386" s="24">
        <f>VLOOKUP(N386, IMPOSTO!$A:$D, 4, 0)</f>
        <v>7.0000000000000007E-2</v>
      </c>
      <c r="AC386" s="25">
        <f t="shared" si="50"/>
        <v>55.311800195282395</v>
      </c>
      <c r="AD386" s="25">
        <f t="shared" si="51"/>
        <v>55.879982013464215</v>
      </c>
      <c r="AE386" s="25">
        <f t="shared" si="52"/>
        <v>62.230520614890871</v>
      </c>
      <c r="AF386" s="25">
        <f t="shared" si="53"/>
        <v>136.56180019528239</v>
      </c>
      <c r="AG386" s="25">
        <f t="shared" si="54"/>
        <v>7.0419319168884158</v>
      </c>
      <c r="AH386" s="25">
        <f t="shared" si="55"/>
        <v>103.3799820134642</v>
      </c>
      <c r="AI386" s="25">
        <f t="shared" si="56"/>
        <v>476.53159588370812</v>
      </c>
    </row>
    <row r="387" spans="1:35" ht="15.75" customHeight="1">
      <c r="A387" s="12" t="s">
        <v>455</v>
      </c>
      <c r="B387" s="12" t="s">
        <v>456</v>
      </c>
      <c r="C387" s="12" t="s">
        <v>220</v>
      </c>
      <c r="D387" s="12" t="s">
        <v>33</v>
      </c>
      <c r="E387" s="12" t="s">
        <v>27</v>
      </c>
      <c r="F387" s="13">
        <v>1.9999000000000002</v>
      </c>
      <c r="G387" s="14">
        <v>23.728508197941679</v>
      </c>
      <c r="H387" s="24" t="str">
        <f t="shared" si="49"/>
        <v>RJSP</v>
      </c>
      <c r="I387" s="24" t="str">
        <f t="shared" si="57"/>
        <v>RJMG</v>
      </c>
      <c r="J387" s="24" t="str">
        <f t="shared" si="57"/>
        <v>RJES</v>
      </c>
      <c r="K387" s="24" t="str">
        <f t="shared" si="57"/>
        <v>RJSC</v>
      </c>
      <c r="L387" s="24" t="str">
        <f t="shared" si="57"/>
        <v>RJRJ</v>
      </c>
      <c r="M387" s="24" t="str">
        <f t="shared" si="57"/>
        <v>RJPR</v>
      </c>
      <c r="N387" s="24" t="str">
        <f t="shared" si="57"/>
        <v>RJAM</v>
      </c>
      <c r="O387" s="24">
        <f>VLOOKUP(H387, KM!$A:$E, 5, 0)</f>
        <v>429</v>
      </c>
      <c r="P387" s="24">
        <f>VLOOKUP(I387, KM!$A:$E, 5, 0)</f>
        <v>434</v>
      </c>
      <c r="Q387" s="24">
        <f>VLOOKUP(J387, KM!$A:$E, 5, 0)</f>
        <v>521</v>
      </c>
      <c r="R387" s="24">
        <f>VLOOKUP(K387, KM!$A:$E, 5, 0)</f>
        <v>1144</v>
      </c>
      <c r="S387" s="24">
        <f>VLOOKUP(L387, KM!$A:$E, 5, 0)</f>
        <v>0</v>
      </c>
      <c r="T387" s="24">
        <f>VLOOKUP(M387, KM!$A:$E, 5, 0)</f>
        <v>852</v>
      </c>
      <c r="U387" s="24">
        <f>VLOOKUP(N387, KM!$A:$E, 5, 0)</f>
        <v>4374</v>
      </c>
      <c r="V387" s="24">
        <f>VLOOKUP(H387, IMPOSTO!$A:$D, 4, 0)</f>
        <v>0.12</v>
      </c>
      <c r="W387" s="24">
        <f>VLOOKUP(I387, IMPOSTO!$A:$D, 4, 0)</f>
        <v>0.12</v>
      </c>
      <c r="X387" s="24">
        <f>VLOOKUP(J387, IMPOSTO!$A:$D, 4, 0)</f>
        <v>7.0000000000000007E-2</v>
      </c>
      <c r="Y387" s="24">
        <f>VLOOKUP(K387, IMPOSTO!$A:$D, 4, 0)</f>
        <v>0.12</v>
      </c>
      <c r="Z387" s="24">
        <f>VLOOKUP(L387, IMPOSTO!$A:$D, 4, 0)</f>
        <v>0.18</v>
      </c>
      <c r="AA387" s="24">
        <f>VLOOKUP(M387, IMPOSTO!$A:$D, 4, 0)</f>
        <v>0.12</v>
      </c>
      <c r="AB387" s="24">
        <f>VLOOKUP(N387, IMPOSTO!$A:$D, 4, 0)</f>
        <v>7.0000000000000007E-2</v>
      </c>
      <c r="AC387" s="25">
        <f t="shared" si="50"/>
        <v>75.714213861297367</v>
      </c>
      <c r="AD387" s="25">
        <f t="shared" si="51"/>
        <v>76.28239567947918</v>
      </c>
      <c r="AE387" s="25">
        <f t="shared" si="52"/>
        <v>81.536030320367416</v>
      </c>
      <c r="AF387" s="25">
        <f t="shared" si="53"/>
        <v>156.9642138612974</v>
      </c>
      <c r="AG387" s="25">
        <f t="shared" si="54"/>
        <v>28.937205119441071</v>
      </c>
      <c r="AH387" s="25">
        <f t="shared" si="55"/>
        <v>123.78239567947918</v>
      </c>
      <c r="AI387" s="25">
        <f t="shared" si="56"/>
        <v>495.83710558918466</v>
      </c>
    </row>
    <row r="388" spans="1:35" ht="15.75" customHeight="1">
      <c r="A388" s="12" t="s">
        <v>170</v>
      </c>
      <c r="B388" s="12" t="s">
        <v>171</v>
      </c>
      <c r="C388" s="12" t="s">
        <v>163</v>
      </c>
      <c r="D388" s="12" t="s">
        <v>33</v>
      </c>
      <c r="E388" s="12" t="s">
        <v>27</v>
      </c>
      <c r="F388" s="13">
        <v>1.4509709042248133</v>
      </c>
      <c r="G388" s="14">
        <v>21.183011799847062</v>
      </c>
      <c r="H388" s="24" t="str">
        <f t="shared" si="49"/>
        <v>RJSP</v>
      </c>
      <c r="I388" s="24" t="str">
        <f t="shared" si="57"/>
        <v>RJMG</v>
      </c>
      <c r="J388" s="24" t="str">
        <f t="shared" si="57"/>
        <v>RJES</v>
      </c>
      <c r="K388" s="24" t="str">
        <f t="shared" si="57"/>
        <v>RJSC</v>
      </c>
      <c r="L388" s="24" t="str">
        <f t="shared" si="57"/>
        <v>RJRJ</v>
      </c>
      <c r="M388" s="24" t="str">
        <f t="shared" si="57"/>
        <v>RJPR</v>
      </c>
      <c r="N388" s="24" t="str">
        <f t="shared" si="57"/>
        <v>RJAM</v>
      </c>
      <c r="O388" s="24">
        <f>VLOOKUP(H388, KM!$A:$E, 5, 0)</f>
        <v>429</v>
      </c>
      <c r="P388" s="24">
        <f>VLOOKUP(I388, KM!$A:$E, 5, 0)</f>
        <v>434</v>
      </c>
      <c r="Q388" s="24">
        <f>VLOOKUP(J388, KM!$A:$E, 5, 0)</f>
        <v>521</v>
      </c>
      <c r="R388" s="24">
        <f>VLOOKUP(K388, KM!$A:$E, 5, 0)</f>
        <v>1144</v>
      </c>
      <c r="S388" s="24">
        <f>VLOOKUP(L388, KM!$A:$E, 5, 0)</f>
        <v>0</v>
      </c>
      <c r="T388" s="24">
        <f>VLOOKUP(M388, KM!$A:$E, 5, 0)</f>
        <v>852</v>
      </c>
      <c r="U388" s="24">
        <f>VLOOKUP(N388, KM!$A:$E, 5, 0)</f>
        <v>4374</v>
      </c>
      <c r="V388" s="24">
        <f>VLOOKUP(H388, IMPOSTO!$A:$D, 4, 0)</f>
        <v>0.12</v>
      </c>
      <c r="W388" s="24">
        <f>VLOOKUP(I388, IMPOSTO!$A:$D, 4, 0)</f>
        <v>0.12</v>
      </c>
      <c r="X388" s="24">
        <f>VLOOKUP(J388, IMPOSTO!$A:$D, 4, 0)</f>
        <v>7.0000000000000007E-2</v>
      </c>
      <c r="Y388" s="24">
        <f>VLOOKUP(K388, IMPOSTO!$A:$D, 4, 0)</f>
        <v>0.12</v>
      </c>
      <c r="Z388" s="24">
        <f>VLOOKUP(L388, IMPOSTO!$A:$D, 4, 0)</f>
        <v>0.18</v>
      </c>
      <c r="AA388" s="24">
        <f>VLOOKUP(M388, IMPOSTO!$A:$D, 4, 0)</f>
        <v>0.12</v>
      </c>
      <c r="AB388" s="24">
        <f>VLOOKUP(N388, IMPOSTO!$A:$D, 4, 0)</f>
        <v>7.0000000000000007E-2</v>
      </c>
      <c r="AC388" s="25">
        <f t="shared" si="50"/>
        <v>72.821604318008042</v>
      </c>
      <c r="AD388" s="25">
        <f t="shared" si="51"/>
        <v>73.389786136189855</v>
      </c>
      <c r="AE388" s="25">
        <f t="shared" si="52"/>
        <v>78.798937419190395</v>
      </c>
      <c r="AF388" s="25">
        <f t="shared" si="53"/>
        <v>154.07160431800804</v>
      </c>
      <c r="AG388" s="25">
        <f t="shared" si="54"/>
        <v>25.832941219325683</v>
      </c>
      <c r="AH388" s="25">
        <f t="shared" si="55"/>
        <v>120.88978613618985</v>
      </c>
      <c r="AI388" s="25">
        <f t="shared" si="56"/>
        <v>493.10001268800767</v>
      </c>
    </row>
    <row r="389" spans="1:35" ht="15.75" customHeight="1">
      <c r="A389" s="12" t="s">
        <v>170</v>
      </c>
      <c r="B389" s="12" t="s">
        <v>171</v>
      </c>
      <c r="C389" s="12" t="s">
        <v>163</v>
      </c>
      <c r="D389" s="12" t="s">
        <v>33</v>
      </c>
      <c r="E389" s="12" t="s">
        <v>27</v>
      </c>
      <c r="F389" s="13">
        <v>1.0321462435480786</v>
      </c>
      <c r="G389" s="14">
        <v>15.063303364748613</v>
      </c>
      <c r="H389" s="24" t="str">
        <f t="shared" ref="H389:H452" si="58">$E389 &amp; H$17</f>
        <v>RJSP</v>
      </c>
      <c r="I389" s="24" t="str">
        <f t="shared" si="57"/>
        <v>RJMG</v>
      </c>
      <c r="J389" s="24" t="str">
        <f t="shared" si="57"/>
        <v>RJES</v>
      </c>
      <c r="K389" s="24" t="str">
        <f t="shared" si="57"/>
        <v>RJSC</v>
      </c>
      <c r="L389" s="24" t="str">
        <f t="shared" si="57"/>
        <v>RJRJ</v>
      </c>
      <c r="M389" s="24" t="str">
        <f t="shared" si="57"/>
        <v>RJPR</v>
      </c>
      <c r="N389" s="24" t="str">
        <f t="shared" si="57"/>
        <v>RJAM</v>
      </c>
      <c r="O389" s="24">
        <f>VLOOKUP(H389, KM!$A:$E, 5, 0)</f>
        <v>429</v>
      </c>
      <c r="P389" s="24">
        <f>VLOOKUP(I389, KM!$A:$E, 5, 0)</f>
        <v>434</v>
      </c>
      <c r="Q389" s="24">
        <f>VLOOKUP(J389, KM!$A:$E, 5, 0)</f>
        <v>521</v>
      </c>
      <c r="R389" s="24">
        <f>VLOOKUP(K389, KM!$A:$E, 5, 0)</f>
        <v>1144</v>
      </c>
      <c r="S389" s="24">
        <f>VLOOKUP(L389, KM!$A:$E, 5, 0)</f>
        <v>0</v>
      </c>
      <c r="T389" s="24">
        <f>VLOOKUP(M389, KM!$A:$E, 5, 0)</f>
        <v>852</v>
      </c>
      <c r="U389" s="24">
        <f>VLOOKUP(N389, KM!$A:$E, 5, 0)</f>
        <v>4374</v>
      </c>
      <c r="V389" s="24">
        <f>VLOOKUP(H389, IMPOSTO!$A:$D, 4, 0)</f>
        <v>0.12</v>
      </c>
      <c r="W389" s="24">
        <f>VLOOKUP(I389, IMPOSTO!$A:$D, 4, 0)</f>
        <v>0.12</v>
      </c>
      <c r="X389" s="24">
        <f>VLOOKUP(J389, IMPOSTO!$A:$D, 4, 0)</f>
        <v>7.0000000000000007E-2</v>
      </c>
      <c r="Y389" s="24">
        <f>VLOOKUP(K389, IMPOSTO!$A:$D, 4, 0)</f>
        <v>0.12</v>
      </c>
      <c r="Z389" s="24">
        <f>VLOOKUP(L389, IMPOSTO!$A:$D, 4, 0)</f>
        <v>0.18</v>
      </c>
      <c r="AA389" s="24">
        <f>VLOOKUP(M389, IMPOSTO!$A:$D, 4, 0)</f>
        <v>0.12</v>
      </c>
      <c r="AB389" s="24">
        <f>VLOOKUP(N389, IMPOSTO!$A:$D, 4, 0)</f>
        <v>7.0000000000000007E-2</v>
      </c>
      <c r="AC389" s="25">
        <f t="shared" si="50"/>
        <v>65.86739018721434</v>
      </c>
      <c r="AD389" s="25">
        <f t="shared" si="51"/>
        <v>66.435572005396153</v>
      </c>
      <c r="AE389" s="25">
        <f t="shared" si="52"/>
        <v>72.218605768546908</v>
      </c>
      <c r="AF389" s="25">
        <f t="shared" si="53"/>
        <v>147.11739018721434</v>
      </c>
      <c r="AG389" s="25">
        <f t="shared" si="54"/>
        <v>18.369882152132455</v>
      </c>
      <c r="AH389" s="25">
        <f t="shared" si="55"/>
        <v>113.93557200539617</v>
      </c>
      <c r="AI389" s="25">
        <f t="shared" si="56"/>
        <v>486.51968103736414</v>
      </c>
    </row>
    <row r="390" spans="1:35" ht="15.75" customHeight="1">
      <c r="A390" s="12" t="s">
        <v>398</v>
      </c>
      <c r="B390" s="12" t="s">
        <v>399</v>
      </c>
      <c r="C390" s="12" t="s">
        <v>98</v>
      </c>
      <c r="D390" s="12" t="s">
        <v>33</v>
      </c>
      <c r="E390" s="12" t="s">
        <v>27</v>
      </c>
      <c r="F390" s="13">
        <v>309.8555440414508</v>
      </c>
      <c r="G390" s="14">
        <v>3933.0898690155436</v>
      </c>
      <c r="H390" s="24" t="str">
        <f t="shared" si="58"/>
        <v>RJSP</v>
      </c>
      <c r="I390" s="24" t="str">
        <f t="shared" si="57"/>
        <v>RJMG</v>
      </c>
      <c r="J390" s="24" t="str">
        <f t="shared" si="57"/>
        <v>RJES</v>
      </c>
      <c r="K390" s="24" t="str">
        <f t="shared" si="57"/>
        <v>RJSC</v>
      </c>
      <c r="L390" s="24" t="str">
        <f t="shared" si="57"/>
        <v>RJRJ</v>
      </c>
      <c r="M390" s="24" t="str">
        <f t="shared" si="57"/>
        <v>RJPR</v>
      </c>
      <c r="N390" s="24" t="str">
        <f t="shared" si="57"/>
        <v>RJAM</v>
      </c>
      <c r="O390" s="24">
        <f>VLOOKUP(H390, KM!$A:$E, 5, 0)</f>
        <v>429</v>
      </c>
      <c r="P390" s="24">
        <f>VLOOKUP(I390, KM!$A:$E, 5, 0)</f>
        <v>434</v>
      </c>
      <c r="Q390" s="24">
        <f>VLOOKUP(J390, KM!$A:$E, 5, 0)</f>
        <v>521</v>
      </c>
      <c r="R390" s="24">
        <f>VLOOKUP(K390, KM!$A:$E, 5, 0)</f>
        <v>1144</v>
      </c>
      <c r="S390" s="24">
        <f>VLOOKUP(L390, KM!$A:$E, 5, 0)</f>
        <v>0</v>
      </c>
      <c r="T390" s="24">
        <f>VLOOKUP(M390, KM!$A:$E, 5, 0)</f>
        <v>852</v>
      </c>
      <c r="U390" s="24">
        <f>VLOOKUP(N390, KM!$A:$E, 5, 0)</f>
        <v>4374</v>
      </c>
      <c r="V390" s="24">
        <f>VLOOKUP(H390, IMPOSTO!$A:$D, 4, 0)</f>
        <v>0.12</v>
      </c>
      <c r="W390" s="24">
        <f>VLOOKUP(I390, IMPOSTO!$A:$D, 4, 0)</f>
        <v>0.12</v>
      </c>
      <c r="X390" s="24">
        <f>VLOOKUP(J390, IMPOSTO!$A:$D, 4, 0)</f>
        <v>7.0000000000000007E-2</v>
      </c>
      <c r="Y390" s="24">
        <f>VLOOKUP(K390, IMPOSTO!$A:$D, 4, 0)</f>
        <v>0.12</v>
      </c>
      <c r="Z390" s="24">
        <f>VLOOKUP(L390, IMPOSTO!$A:$D, 4, 0)</f>
        <v>0.18</v>
      </c>
      <c r="AA390" s="24">
        <f>VLOOKUP(M390, IMPOSTO!$A:$D, 4, 0)</f>
        <v>0.12</v>
      </c>
      <c r="AB390" s="24">
        <f>VLOOKUP(N390, IMPOSTO!$A:$D, 4, 0)</f>
        <v>7.0000000000000007E-2</v>
      </c>
      <c r="AC390" s="25">
        <f t="shared" si="50"/>
        <v>4518.1703056994811</v>
      </c>
      <c r="AD390" s="25">
        <f t="shared" si="51"/>
        <v>4518.7384875176631</v>
      </c>
      <c r="AE390" s="25">
        <f t="shared" si="52"/>
        <v>4285.1503967909075</v>
      </c>
      <c r="AF390" s="25">
        <f t="shared" si="53"/>
        <v>4599.4203056994811</v>
      </c>
      <c r="AG390" s="25">
        <f t="shared" si="54"/>
        <v>4796.4510597750532</v>
      </c>
      <c r="AH390" s="25">
        <f t="shared" si="55"/>
        <v>4566.2384875176631</v>
      </c>
      <c r="AI390" s="25">
        <f t="shared" si="56"/>
        <v>4699.4514720597244</v>
      </c>
    </row>
    <row r="391" spans="1:35" ht="15.75" customHeight="1">
      <c r="A391" s="12" t="s">
        <v>398</v>
      </c>
      <c r="B391" s="12" t="s">
        <v>399</v>
      </c>
      <c r="C391" s="12" t="s">
        <v>98</v>
      </c>
      <c r="D391" s="12" t="s">
        <v>33</v>
      </c>
      <c r="E391" s="12" t="s">
        <v>27</v>
      </c>
      <c r="F391" s="13">
        <v>304.93720207253887</v>
      </c>
      <c r="G391" s="14">
        <v>3839.7102283937825</v>
      </c>
      <c r="H391" s="24" t="str">
        <f t="shared" si="58"/>
        <v>RJSP</v>
      </c>
      <c r="I391" s="24" t="str">
        <f t="shared" si="57"/>
        <v>RJMG</v>
      </c>
      <c r="J391" s="24" t="str">
        <f t="shared" si="57"/>
        <v>RJES</v>
      </c>
      <c r="K391" s="24" t="str">
        <f t="shared" si="57"/>
        <v>RJSC</v>
      </c>
      <c r="L391" s="24" t="str">
        <f t="shared" si="57"/>
        <v>RJRJ</v>
      </c>
      <c r="M391" s="24" t="str">
        <f t="shared" si="57"/>
        <v>RJPR</v>
      </c>
      <c r="N391" s="24" t="str">
        <f t="shared" si="57"/>
        <v>RJAM</v>
      </c>
      <c r="O391" s="24">
        <f>VLOOKUP(H391, KM!$A:$E, 5, 0)</f>
        <v>429</v>
      </c>
      <c r="P391" s="24">
        <f>VLOOKUP(I391, KM!$A:$E, 5, 0)</f>
        <v>434</v>
      </c>
      <c r="Q391" s="24">
        <f>VLOOKUP(J391, KM!$A:$E, 5, 0)</f>
        <v>521</v>
      </c>
      <c r="R391" s="24">
        <f>VLOOKUP(K391, KM!$A:$E, 5, 0)</f>
        <v>1144</v>
      </c>
      <c r="S391" s="24">
        <f>VLOOKUP(L391, KM!$A:$E, 5, 0)</f>
        <v>0</v>
      </c>
      <c r="T391" s="24">
        <f>VLOOKUP(M391, KM!$A:$E, 5, 0)</f>
        <v>852</v>
      </c>
      <c r="U391" s="24">
        <f>VLOOKUP(N391, KM!$A:$E, 5, 0)</f>
        <v>4374</v>
      </c>
      <c r="V391" s="24">
        <f>VLOOKUP(H391, IMPOSTO!$A:$D, 4, 0)</f>
        <v>0.12</v>
      </c>
      <c r="W391" s="24">
        <f>VLOOKUP(I391, IMPOSTO!$A:$D, 4, 0)</f>
        <v>0.12</v>
      </c>
      <c r="X391" s="24">
        <f>VLOOKUP(J391, IMPOSTO!$A:$D, 4, 0)</f>
        <v>7.0000000000000007E-2</v>
      </c>
      <c r="Y391" s="24">
        <f>VLOOKUP(K391, IMPOSTO!$A:$D, 4, 0)</f>
        <v>0.12</v>
      </c>
      <c r="Z391" s="24">
        <f>VLOOKUP(L391, IMPOSTO!$A:$D, 4, 0)</f>
        <v>0.18</v>
      </c>
      <c r="AA391" s="24">
        <f>VLOOKUP(M391, IMPOSTO!$A:$D, 4, 0)</f>
        <v>0.12</v>
      </c>
      <c r="AB391" s="24">
        <f>VLOOKUP(N391, IMPOSTO!$A:$D, 4, 0)</f>
        <v>7.0000000000000007E-2</v>
      </c>
      <c r="AC391" s="25">
        <f t="shared" si="50"/>
        <v>4412.0570777202074</v>
      </c>
      <c r="AD391" s="25">
        <f t="shared" si="51"/>
        <v>4412.6252595383894</v>
      </c>
      <c r="AE391" s="25">
        <f t="shared" si="52"/>
        <v>4184.7421810685837</v>
      </c>
      <c r="AF391" s="25">
        <f t="shared" si="53"/>
        <v>4493.3070777202074</v>
      </c>
      <c r="AG391" s="25">
        <f t="shared" si="54"/>
        <v>4682.5734492607098</v>
      </c>
      <c r="AH391" s="25">
        <f t="shared" si="55"/>
        <v>4460.1252595383885</v>
      </c>
      <c r="AI391" s="25">
        <f t="shared" si="56"/>
        <v>4599.0432563374006</v>
      </c>
    </row>
    <row r="392" spans="1:35" ht="15.75" customHeight="1">
      <c r="A392" s="12" t="s">
        <v>177</v>
      </c>
      <c r="B392" s="12" t="s">
        <v>178</v>
      </c>
      <c r="C392" s="12" t="s">
        <v>128</v>
      </c>
      <c r="D392" s="12" t="s">
        <v>33</v>
      </c>
      <c r="E392" s="12" t="s">
        <v>27</v>
      </c>
      <c r="F392" s="13">
        <v>2631.4799751228497</v>
      </c>
      <c r="G392" s="14">
        <v>194561.21789650802</v>
      </c>
      <c r="H392" s="24" t="str">
        <f t="shared" si="58"/>
        <v>RJSP</v>
      </c>
      <c r="I392" s="24" t="str">
        <f t="shared" si="57"/>
        <v>RJMG</v>
      </c>
      <c r="J392" s="24" t="str">
        <f t="shared" si="57"/>
        <v>RJES</v>
      </c>
      <c r="K392" s="24" t="str">
        <f t="shared" si="57"/>
        <v>RJSC</v>
      </c>
      <c r="L392" s="24" t="str">
        <f t="shared" si="57"/>
        <v>RJRJ</v>
      </c>
      <c r="M392" s="24" t="str">
        <f t="shared" si="57"/>
        <v>RJPR</v>
      </c>
      <c r="N392" s="24" t="str">
        <f t="shared" si="57"/>
        <v>RJAM</v>
      </c>
      <c r="O392" s="24">
        <f>VLOOKUP(H392, KM!$A:$E, 5, 0)</f>
        <v>429</v>
      </c>
      <c r="P392" s="24">
        <f>VLOOKUP(I392, KM!$A:$E, 5, 0)</f>
        <v>434</v>
      </c>
      <c r="Q392" s="24">
        <f>VLOOKUP(J392, KM!$A:$E, 5, 0)</f>
        <v>521</v>
      </c>
      <c r="R392" s="24">
        <f>VLOOKUP(K392, KM!$A:$E, 5, 0)</f>
        <v>1144</v>
      </c>
      <c r="S392" s="24">
        <f>VLOOKUP(L392, KM!$A:$E, 5, 0)</f>
        <v>0</v>
      </c>
      <c r="T392" s="24">
        <f>VLOOKUP(M392, KM!$A:$E, 5, 0)</f>
        <v>852</v>
      </c>
      <c r="U392" s="24">
        <f>VLOOKUP(N392, KM!$A:$E, 5, 0)</f>
        <v>4374</v>
      </c>
      <c r="V392" s="24">
        <f>VLOOKUP(H392, IMPOSTO!$A:$D, 4, 0)</f>
        <v>0.12</v>
      </c>
      <c r="W392" s="24">
        <f>VLOOKUP(I392, IMPOSTO!$A:$D, 4, 0)</f>
        <v>0.12</v>
      </c>
      <c r="X392" s="24">
        <f>VLOOKUP(J392, IMPOSTO!$A:$D, 4, 0)</f>
        <v>7.0000000000000007E-2</v>
      </c>
      <c r="Y392" s="24">
        <f>VLOOKUP(K392, IMPOSTO!$A:$D, 4, 0)</f>
        <v>0.12</v>
      </c>
      <c r="Z392" s="24">
        <f>VLOOKUP(L392, IMPOSTO!$A:$D, 4, 0)</f>
        <v>0.18</v>
      </c>
      <c r="AA392" s="24">
        <f>VLOOKUP(M392, IMPOSTO!$A:$D, 4, 0)</f>
        <v>0.12</v>
      </c>
      <c r="AB392" s="24">
        <f>VLOOKUP(N392, IMPOSTO!$A:$D, 4, 0)</f>
        <v>7.0000000000000007E-2</v>
      </c>
      <c r="AC392" s="25">
        <f t="shared" si="50"/>
        <v>221141.04306421365</v>
      </c>
      <c r="AD392" s="25">
        <f t="shared" si="51"/>
        <v>221141.61124603183</v>
      </c>
      <c r="AE392" s="25">
        <f t="shared" si="52"/>
        <v>209261.63214678285</v>
      </c>
      <c r="AF392" s="25">
        <f t="shared" si="53"/>
        <v>221222.29306421365</v>
      </c>
      <c r="AG392" s="25">
        <f t="shared" si="54"/>
        <v>237269.77792257073</v>
      </c>
      <c r="AH392" s="25">
        <f t="shared" si="55"/>
        <v>221189.11124603185</v>
      </c>
      <c r="AI392" s="25">
        <f t="shared" si="56"/>
        <v>209675.93322205165</v>
      </c>
    </row>
    <row r="393" spans="1:35" ht="15.75" customHeight="1">
      <c r="A393" s="12" t="s">
        <v>457</v>
      </c>
      <c r="B393" s="12" t="s">
        <v>458</v>
      </c>
      <c r="C393" s="12" t="s">
        <v>181</v>
      </c>
      <c r="D393" s="12" t="s">
        <v>33</v>
      </c>
      <c r="E393" s="12" t="s">
        <v>27</v>
      </c>
      <c r="F393" s="13">
        <v>27.23076923076923</v>
      </c>
      <c r="G393" s="14">
        <v>144.21415384615386</v>
      </c>
      <c r="H393" s="24" t="str">
        <f t="shared" si="58"/>
        <v>RJSP</v>
      </c>
      <c r="I393" s="24" t="str">
        <f t="shared" si="57"/>
        <v>RJMG</v>
      </c>
      <c r="J393" s="24" t="str">
        <f t="shared" si="57"/>
        <v>RJES</v>
      </c>
      <c r="K393" s="24" t="str">
        <f t="shared" si="57"/>
        <v>RJSC</v>
      </c>
      <c r="L393" s="24" t="str">
        <f t="shared" si="57"/>
        <v>RJRJ</v>
      </c>
      <c r="M393" s="24" t="str">
        <f t="shared" si="57"/>
        <v>RJPR</v>
      </c>
      <c r="N393" s="24" t="str">
        <f t="shared" si="57"/>
        <v>RJAM</v>
      </c>
      <c r="O393" s="24">
        <f>VLOOKUP(H393, KM!$A:$E, 5, 0)</f>
        <v>429</v>
      </c>
      <c r="P393" s="24">
        <f>VLOOKUP(I393, KM!$A:$E, 5, 0)</f>
        <v>434</v>
      </c>
      <c r="Q393" s="24">
        <f>VLOOKUP(J393, KM!$A:$E, 5, 0)</f>
        <v>521</v>
      </c>
      <c r="R393" s="24">
        <f>VLOOKUP(K393, KM!$A:$E, 5, 0)</f>
        <v>1144</v>
      </c>
      <c r="S393" s="24">
        <f>VLOOKUP(L393, KM!$A:$E, 5, 0)</f>
        <v>0</v>
      </c>
      <c r="T393" s="24">
        <f>VLOOKUP(M393, KM!$A:$E, 5, 0)</f>
        <v>852</v>
      </c>
      <c r="U393" s="24">
        <f>VLOOKUP(N393, KM!$A:$E, 5, 0)</f>
        <v>4374</v>
      </c>
      <c r="V393" s="24">
        <f>VLOOKUP(H393, IMPOSTO!$A:$D, 4, 0)</f>
        <v>0.12</v>
      </c>
      <c r="W393" s="24">
        <f>VLOOKUP(I393, IMPOSTO!$A:$D, 4, 0)</f>
        <v>0.12</v>
      </c>
      <c r="X393" s="24">
        <f>VLOOKUP(J393, IMPOSTO!$A:$D, 4, 0)</f>
        <v>7.0000000000000007E-2</v>
      </c>
      <c r="Y393" s="24">
        <f>VLOOKUP(K393, IMPOSTO!$A:$D, 4, 0)</f>
        <v>0.12</v>
      </c>
      <c r="Z393" s="24">
        <f>VLOOKUP(L393, IMPOSTO!$A:$D, 4, 0)</f>
        <v>0.18</v>
      </c>
      <c r="AA393" s="24">
        <f>VLOOKUP(M393, IMPOSTO!$A:$D, 4, 0)</f>
        <v>0.12</v>
      </c>
      <c r="AB393" s="24">
        <f>VLOOKUP(N393, IMPOSTO!$A:$D, 4, 0)</f>
        <v>7.0000000000000007E-2</v>
      </c>
      <c r="AC393" s="25">
        <f t="shared" si="50"/>
        <v>212.62972027972032</v>
      </c>
      <c r="AD393" s="25">
        <f t="shared" si="51"/>
        <v>213.19790209790213</v>
      </c>
      <c r="AE393" s="25">
        <f t="shared" si="52"/>
        <v>211.09048800661708</v>
      </c>
      <c r="AF393" s="25">
        <f t="shared" si="53"/>
        <v>293.87972027972029</v>
      </c>
      <c r="AG393" s="25">
        <f t="shared" si="54"/>
        <v>175.87091932457787</v>
      </c>
      <c r="AH393" s="25">
        <f t="shared" si="55"/>
        <v>260.6979020979021</v>
      </c>
      <c r="AI393" s="25">
        <f t="shared" si="56"/>
        <v>625.39156327543424</v>
      </c>
    </row>
    <row r="394" spans="1:35" ht="15.75" customHeight="1">
      <c r="A394" s="12" t="s">
        <v>182</v>
      </c>
      <c r="B394" s="12" t="s">
        <v>183</v>
      </c>
      <c r="C394" s="12" t="s">
        <v>160</v>
      </c>
      <c r="D394" s="12" t="s">
        <v>33</v>
      </c>
      <c r="E394" s="12" t="s">
        <v>27</v>
      </c>
      <c r="F394" s="13">
        <v>1163.6965853684778</v>
      </c>
      <c r="G394" s="14">
        <v>7099.1616426347482</v>
      </c>
      <c r="H394" s="24" t="str">
        <f t="shared" si="58"/>
        <v>RJSP</v>
      </c>
      <c r="I394" s="24" t="str">
        <f t="shared" si="57"/>
        <v>RJMG</v>
      </c>
      <c r="J394" s="24" t="str">
        <f t="shared" si="57"/>
        <v>RJES</v>
      </c>
      <c r="K394" s="24" t="str">
        <f t="shared" si="57"/>
        <v>RJSC</v>
      </c>
      <c r="L394" s="24" t="str">
        <f t="shared" si="57"/>
        <v>RJRJ</v>
      </c>
      <c r="M394" s="24" t="str">
        <f t="shared" si="57"/>
        <v>RJPR</v>
      </c>
      <c r="N394" s="24" t="str">
        <f t="shared" si="57"/>
        <v>RJAM</v>
      </c>
      <c r="O394" s="24">
        <f>VLOOKUP(H394, KM!$A:$E, 5, 0)</f>
        <v>429</v>
      </c>
      <c r="P394" s="24">
        <f>VLOOKUP(I394, KM!$A:$E, 5, 0)</f>
        <v>434</v>
      </c>
      <c r="Q394" s="24">
        <f>VLOOKUP(J394, KM!$A:$E, 5, 0)</f>
        <v>521</v>
      </c>
      <c r="R394" s="24">
        <f>VLOOKUP(K394, KM!$A:$E, 5, 0)</f>
        <v>1144</v>
      </c>
      <c r="S394" s="24">
        <f>VLOOKUP(L394, KM!$A:$E, 5, 0)</f>
        <v>0</v>
      </c>
      <c r="T394" s="24">
        <f>VLOOKUP(M394, KM!$A:$E, 5, 0)</f>
        <v>852</v>
      </c>
      <c r="U394" s="24">
        <f>VLOOKUP(N394, KM!$A:$E, 5, 0)</f>
        <v>4374</v>
      </c>
      <c r="V394" s="24">
        <f>VLOOKUP(H394, IMPOSTO!$A:$D, 4, 0)</f>
        <v>0.12</v>
      </c>
      <c r="W394" s="24">
        <f>VLOOKUP(I394, IMPOSTO!$A:$D, 4, 0)</f>
        <v>0.12</v>
      </c>
      <c r="X394" s="24">
        <f>VLOOKUP(J394, IMPOSTO!$A:$D, 4, 0)</f>
        <v>7.0000000000000007E-2</v>
      </c>
      <c r="Y394" s="24">
        <f>VLOOKUP(K394, IMPOSTO!$A:$D, 4, 0)</f>
        <v>0.12</v>
      </c>
      <c r="Z394" s="24">
        <f>VLOOKUP(L394, IMPOSTO!$A:$D, 4, 0)</f>
        <v>0.18</v>
      </c>
      <c r="AA394" s="24">
        <f>VLOOKUP(M394, IMPOSTO!$A:$D, 4, 0)</f>
        <v>0.12</v>
      </c>
      <c r="AB394" s="24">
        <f>VLOOKUP(N394, IMPOSTO!$A:$D, 4, 0)</f>
        <v>7.0000000000000007E-2</v>
      </c>
      <c r="AC394" s="25">
        <f t="shared" si="50"/>
        <v>8115.9791393576679</v>
      </c>
      <c r="AD394" s="25">
        <f t="shared" si="51"/>
        <v>8116.5473211758499</v>
      </c>
      <c r="AE394" s="25">
        <f t="shared" si="52"/>
        <v>7689.5286479943534</v>
      </c>
      <c r="AF394" s="25">
        <f t="shared" si="53"/>
        <v>8197.2291393576688</v>
      </c>
      <c r="AG394" s="25">
        <f t="shared" si="54"/>
        <v>8657.5141983350586</v>
      </c>
      <c r="AH394" s="25">
        <f t="shared" si="55"/>
        <v>8164.0473211758499</v>
      </c>
      <c r="AI394" s="25">
        <f t="shared" si="56"/>
        <v>8103.8297232631703</v>
      </c>
    </row>
    <row r="395" spans="1:35" ht="15.75" customHeight="1">
      <c r="A395" s="12" t="s">
        <v>186</v>
      </c>
      <c r="B395" s="12" t="s">
        <v>187</v>
      </c>
      <c r="C395" s="12" t="s">
        <v>181</v>
      </c>
      <c r="D395" s="12" t="s">
        <v>33</v>
      </c>
      <c r="E395" s="12" t="s">
        <v>27</v>
      </c>
      <c r="F395" s="13">
        <v>37.431800491266372</v>
      </c>
      <c r="G395" s="14">
        <v>1580.5261026817686</v>
      </c>
      <c r="H395" s="24" t="str">
        <f t="shared" si="58"/>
        <v>RJSP</v>
      </c>
      <c r="I395" s="24" t="str">
        <f t="shared" si="57"/>
        <v>RJMG</v>
      </c>
      <c r="J395" s="24" t="str">
        <f t="shared" si="57"/>
        <v>RJES</v>
      </c>
      <c r="K395" s="24" t="str">
        <f t="shared" si="57"/>
        <v>RJSC</v>
      </c>
      <c r="L395" s="24" t="str">
        <f t="shared" si="57"/>
        <v>RJRJ</v>
      </c>
      <c r="M395" s="24" t="str">
        <f t="shared" si="57"/>
        <v>RJPR</v>
      </c>
      <c r="N395" s="24" t="str">
        <f t="shared" si="57"/>
        <v>RJAM</v>
      </c>
      <c r="O395" s="24">
        <f>VLOOKUP(H395, KM!$A:$E, 5, 0)</f>
        <v>429</v>
      </c>
      <c r="P395" s="24">
        <f>VLOOKUP(I395, KM!$A:$E, 5, 0)</f>
        <v>434</v>
      </c>
      <c r="Q395" s="24">
        <f>VLOOKUP(J395, KM!$A:$E, 5, 0)</f>
        <v>521</v>
      </c>
      <c r="R395" s="24">
        <f>VLOOKUP(K395, KM!$A:$E, 5, 0)</f>
        <v>1144</v>
      </c>
      <c r="S395" s="24">
        <f>VLOOKUP(L395, KM!$A:$E, 5, 0)</f>
        <v>0</v>
      </c>
      <c r="T395" s="24">
        <f>VLOOKUP(M395, KM!$A:$E, 5, 0)</f>
        <v>852</v>
      </c>
      <c r="U395" s="24">
        <f>VLOOKUP(N395, KM!$A:$E, 5, 0)</f>
        <v>4374</v>
      </c>
      <c r="V395" s="24">
        <f>VLOOKUP(H395, IMPOSTO!$A:$D, 4, 0)</f>
        <v>0.12</v>
      </c>
      <c r="W395" s="24">
        <f>VLOOKUP(I395, IMPOSTO!$A:$D, 4, 0)</f>
        <v>0.12</v>
      </c>
      <c r="X395" s="24">
        <f>VLOOKUP(J395, IMPOSTO!$A:$D, 4, 0)</f>
        <v>7.0000000000000007E-2</v>
      </c>
      <c r="Y395" s="24">
        <f>VLOOKUP(K395, IMPOSTO!$A:$D, 4, 0)</f>
        <v>0.12</v>
      </c>
      <c r="Z395" s="24">
        <f>VLOOKUP(L395, IMPOSTO!$A:$D, 4, 0)</f>
        <v>0.18</v>
      </c>
      <c r="AA395" s="24">
        <f>VLOOKUP(M395, IMPOSTO!$A:$D, 4, 0)</f>
        <v>0.12</v>
      </c>
      <c r="AB395" s="24">
        <f>VLOOKUP(N395, IMPOSTO!$A:$D, 4, 0)</f>
        <v>7.0000000000000007E-2</v>
      </c>
      <c r="AC395" s="25">
        <f t="shared" si="50"/>
        <v>1844.8023894111009</v>
      </c>
      <c r="AD395" s="25">
        <f t="shared" si="51"/>
        <v>1845.3705712292826</v>
      </c>
      <c r="AE395" s="25">
        <f t="shared" si="52"/>
        <v>1755.5119383674933</v>
      </c>
      <c r="AF395" s="25">
        <f t="shared" si="53"/>
        <v>1926.0523894111009</v>
      </c>
      <c r="AG395" s="25">
        <f t="shared" si="54"/>
        <v>1927.470856928986</v>
      </c>
      <c r="AH395" s="25">
        <f t="shared" si="55"/>
        <v>1892.8705712292826</v>
      </c>
      <c r="AI395" s="25">
        <f t="shared" si="56"/>
        <v>2169.8130136363106</v>
      </c>
    </row>
    <row r="396" spans="1:35" ht="15.75" customHeight="1">
      <c r="A396" s="12" t="s">
        <v>186</v>
      </c>
      <c r="B396" s="12" t="s">
        <v>187</v>
      </c>
      <c r="C396" s="12" t="s">
        <v>181</v>
      </c>
      <c r="D396" s="12" t="s">
        <v>33</v>
      </c>
      <c r="E396" s="12" t="s">
        <v>27</v>
      </c>
      <c r="F396" s="13">
        <v>97.898555131004372</v>
      </c>
      <c r="G396" s="14">
        <v>3569.0127608100443</v>
      </c>
      <c r="H396" s="24" t="str">
        <f t="shared" si="58"/>
        <v>RJSP</v>
      </c>
      <c r="I396" s="24" t="str">
        <f t="shared" si="57"/>
        <v>RJMG</v>
      </c>
      <c r="J396" s="24" t="str">
        <f t="shared" si="57"/>
        <v>RJES</v>
      </c>
      <c r="K396" s="24" t="str">
        <f t="shared" si="57"/>
        <v>RJSC</v>
      </c>
      <c r="L396" s="24" t="str">
        <f t="shared" si="57"/>
        <v>RJRJ</v>
      </c>
      <c r="M396" s="24" t="str">
        <f t="shared" si="57"/>
        <v>RJPR</v>
      </c>
      <c r="N396" s="24" t="str">
        <f t="shared" si="57"/>
        <v>RJAM</v>
      </c>
      <c r="O396" s="24">
        <f>VLOOKUP(H396, KM!$A:$E, 5, 0)</f>
        <v>429</v>
      </c>
      <c r="P396" s="24">
        <f>VLOOKUP(I396, KM!$A:$E, 5, 0)</f>
        <v>434</v>
      </c>
      <c r="Q396" s="24">
        <f>VLOOKUP(J396, KM!$A:$E, 5, 0)</f>
        <v>521</v>
      </c>
      <c r="R396" s="24">
        <f>VLOOKUP(K396, KM!$A:$E, 5, 0)</f>
        <v>1144</v>
      </c>
      <c r="S396" s="24">
        <f>VLOOKUP(L396, KM!$A:$E, 5, 0)</f>
        <v>0</v>
      </c>
      <c r="T396" s="24">
        <f>VLOOKUP(M396, KM!$A:$E, 5, 0)</f>
        <v>852</v>
      </c>
      <c r="U396" s="24">
        <f>VLOOKUP(N396, KM!$A:$E, 5, 0)</f>
        <v>4374</v>
      </c>
      <c r="V396" s="24">
        <f>VLOOKUP(H396, IMPOSTO!$A:$D, 4, 0)</f>
        <v>0.12</v>
      </c>
      <c r="W396" s="24">
        <f>VLOOKUP(I396, IMPOSTO!$A:$D, 4, 0)</f>
        <v>0.12</v>
      </c>
      <c r="X396" s="24">
        <f>VLOOKUP(J396, IMPOSTO!$A:$D, 4, 0)</f>
        <v>7.0000000000000007E-2</v>
      </c>
      <c r="Y396" s="24">
        <f>VLOOKUP(K396, IMPOSTO!$A:$D, 4, 0)</f>
        <v>0.12</v>
      </c>
      <c r="Z396" s="24">
        <f>VLOOKUP(L396, IMPOSTO!$A:$D, 4, 0)</f>
        <v>0.18</v>
      </c>
      <c r="AA396" s="24">
        <f>VLOOKUP(M396, IMPOSTO!$A:$D, 4, 0)</f>
        <v>0.12</v>
      </c>
      <c r="AB396" s="24">
        <f>VLOOKUP(N396, IMPOSTO!$A:$D, 4, 0)</f>
        <v>7.0000000000000007E-2</v>
      </c>
      <c r="AC396" s="25">
        <f t="shared" si="50"/>
        <v>4104.4463191023233</v>
      </c>
      <c r="AD396" s="25">
        <f t="shared" si="51"/>
        <v>4105.0145009205053</v>
      </c>
      <c r="AE396" s="25">
        <f t="shared" si="52"/>
        <v>3893.6696352796175</v>
      </c>
      <c r="AF396" s="25">
        <f t="shared" si="53"/>
        <v>4185.6963191023233</v>
      </c>
      <c r="AG396" s="25">
        <f t="shared" si="54"/>
        <v>4352.4545863537123</v>
      </c>
      <c r="AH396" s="25">
        <f t="shared" si="55"/>
        <v>4152.5145009205044</v>
      </c>
      <c r="AI396" s="25">
        <f t="shared" si="56"/>
        <v>4307.9707105484349</v>
      </c>
    </row>
    <row r="397" spans="1:35" ht="15.75" customHeight="1">
      <c r="A397" s="12" t="s">
        <v>133</v>
      </c>
      <c r="B397" s="12" t="s">
        <v>134</v>
      </c>
      <c r="C397" s="12" t="s">
        <v>135</v>
      </c>
      <c r="D397" s="12" t="s">
        <v>33</v>
      </c>
      <c r="E397" s="12" t="s">
        <v>27</v>
      </c>
      <c r="F397" s="13">
        <v>347.68627450980375</v>
      </c>
      <c r="G397" s="14">
        <v>12221.611830065363</v>
      </c>
      <c r="H397" s="24" t="str">
        <f t="shared" si="58"/>
        <v>RJSP</v>
      </c>
      <c r="I397" s="24" t="str">
        <f t="shared" si="57"/>
        <v>RJMG</v>
      </c>
      <c r="J397" s="24" t="str">
        <f t="shared" si="57"/>
        <v>RJES</v>
      </c>
      <c r="K397" s="24" t="str">
        <f t="shared" si="57"/>
        <v>RJSC</v>
      </c>
      <c r="L397" s="24" t="str">
        <f t="shared" si="57"/>
        <v>RJRJ</v>
      </c>
      <c r="M397" s="24" t="str">
        <f t="shared" si="57"/>
        <v>RJPR</v>
      </c>
      <c r="N397" s="24" t="str">
        <f t="shared" si="57"/>
        <v>RJAM</v>
      </c>
      <c r="O397" s="24">
        <f>VLOOKUP(H397, KM!$A:$E, 5, 0)</f>
        <v>429</v>
      </c>
      <c r="P397" s="24">
        <f>VLOOKUP(I397, KM!$A:$E, 5, 0)</f>
        <v>434</v>
      </c>
      <c r="Q397" s="24">
        <f>VLOOKUP(J397, KM!$A:$E, 5, 0)</f>
        <v>521</v>
      </c>
      <c r="R397" s="24">
        <f>VLOOKUP(K397, KM!$A:$E, 5, 0)</f>
        <v>1144</v>
      </c>
      <c r="S397" s="24">
        <f>VLOOKUP(L397, KM!$A:$E, 5, 0)</f>
        <v>0</v>
      </c>
      <c r="T397" s="24">
        <f>VLOOKUP(M397, KM!$A:$E, 5, 0)</f>
        <v>852</v>
      </c>
      <c r="U397" s="24">
        <f>VLOOKUP(N397, KM!$A:$E, 5, 0)</f>
        <v>4374</v>
      </c>
      <c r="V397" s="24">
        <f>VLOOKUP(H397, IMPOSTO!$A:$D, 4, 0)</f>
        <v>0.12</v>
      </c>
      <c r="W397" s="24">
        <f>VLOOKUP(I397, IMPOSTO!$A:$D, 4, 0)</f>
        <v>0.12</v>
      </c>
      <c r="X397" s="24">
        <f>VLOOKUP(J397, IMPOSTO!$A:$D, 4, 0)</f>
        <v>7.0000000000000007E-2</v>
      </c>
      <c r="Y397" s="24">
        <f>VLOOKUP(K397, IMPOSTO!$A:$D, 4, 0)</f>
        <v>0.12</v>
      </c>
      <c r="Z397" s="24">
        <f>VLOOKUP(L397, IMPOSTO!$A:$D, 4, 0)</f>
        <v>0.18</v>
      </c>
      <c r="AA397" s="24">
        <f>VLOOKUP(M397, IMPOSTO!$A:$D, 4, 0)</f>
        <v>0.12</v>
      </c>
      <c r="AB397" s="24">
        <f>VLOOKUP(N397, IMPOSTO!$A:$D, 4, 0)</f>
        <v>7.0000000000000007E-2</v>
      </c>
      <c r="AC397" s="25">
        <f t="shared" si="50"/>
        <v>13936.945261437913</v>
      </c>
      <c r="AD397" s="25">
        <f t="shared" si="51"/>
        <v>13937.513443256094</v>
      </c>
      <c r="AE397" s="25">
        <f t="shared" si="52"/>
        <v>13197.539602220822</v>
      </c>
      <c r="AF397" s="25">
        <f t="shared" si="53"/>
        <v>14018.195261437913</v>
      </c>
      <c r="AG397" s="25">
        <f t="shared" si="54"/>
        <v>14904.404670811418</v>
      </c>
      <c r="AH397" s="25">
        <f t="shared" si="55"/>
        <v>13985.013443256095</v>
      </c>
      <c r="AI397" s="25">
        <f t="shared" si="56"/>
        <v>13611.840677489639</v>
      </c>
    </row>
    <row r="398" spans="1:35" ht="15.75" customHeight="1">
      <c r="A398" s="12" t="s">
        <v>459</v>
      </c>
      <c r="B398" s="12" t="s">
        <v>460</v>
      </c>
      <c r="C398" s="12" t="s">
        <v>192</v>
      </c>
      <c r="D398" s="12" t="s">
        <v>50</v>
      </c>
      <c r="E398" s="12" t="s">
        <v>27</v>
      </c>
      <c r="F398" s="13">
        <v>4.5855319905213268</v>
      </c>
      <c r="G398" s="14">
        <v>16.489573037914692</v>
      </c>
      <c r="H398" s="24" t="str">
        <f t="shared" si="58"/>
        <v>RJSP</v>
      </c>
      <c r="I398" s="24" t="str">
        <f t="shared" si="57"/>
        <v>RJMG</v>
      </c>
      <c r="J398" s="24" t="str">
        <f t="shared" si="57"/>
        <v>RJES</v>
      </c>
      <c r="K398" s="24" t="str">
        <f t="shared" si="57"/>
        <v>RJSC</v>
      </c>
      <c r="L398" s="24" t="str">
        <f t="shared" si="57"/>
        <v>RJRJ</v>
      </c>
      <c r="M398" s="24" t="str">
        <f t="shared" si="57"/>
        <v>RJPR</v>
      </c>
      <c r="N398" s="24" t="str">
        <f t="shared" si="57"/>
        <v>RJAM</v>
      </c>
      <c r="O398" s="24">
        <f>VLOOKUP(H398, KM!$A:$E, 5, 0)</f>
        <v>429</v>
      </c>
      <c r="P398" s="24">
        <f>VLOOKUP(I398, KM!$A:$E, 5, 0)</f>
        <v>434</v>
      </c>
      <c r="Q398" s="24">
        <f>VLOOKUP(J398, KM!$A:$E, 5, 0)</f>
        <v>521</v>
      </c>
      <c r="R398" s="24">
        <f>VLOOKUP(K398, KM!$A:$E, 5, 0)</f>
        <v>1144</v>
      </c>
      <c r="S398" s="24">
        <f>VLOOKUP(L398, KM!$A:$E, 5, 0)</f>
        <v>0</v>
      </c>
      <c r="T398" s="24">
        <f>VLOOKUP(M398, KM!$A:$E, 5, 0)</f>
        <v>852</v>
      </c>
      <c r="U398" s="24">
        <f>VLOOKUP(N398, KM!$A:$E, 5, 0)</f>
        <v>4374</v>
      </c>
      <c r="V398" s="24">
        <f>VLOOKUP(H398, IMPOSTO!$A:$D, 4, 0)</f>
        <v>0.12</v>
      </c>
      <c r="W398" s="24">
        <f>VLOOKUP(I398, IMPOSTO!$A:$D, 4, 0)</f>
        <v>0.12</v>
      </c>
      <c r="X398" s="24">
        <f>VLOOKUP(J398, IMPOSTO!$A:$D, 4, 0)</f>
        <v>7.0000000000000007E-2</v>
      </c>
      <c r="Y398" s="24">
        <f>VLOOKUP(K398, IMPOSTO!$A:$D, 4, 0)</f>
        <v>0.12</v>
      </c>
      <c r="Z398" s="24">
        <f>VLOOKUP(L398, IMPOSTO!$A:$D, 4, 0)</f>
        <v>0.18</v>
      </c>
      <c r="AA398" s="24">
        <f>VLOOKUP(M398, IMPOSTO!$A:$D, 4, 0)</f>
        <v>0.12</v>
      </c>
      <c r="AB398" s="24">
        <f>VLOOKUP(N398, IMPOSTO!$A:$D, 4, 0)</f>
        <v>7.0000000000000007E-2</v>
      </c>
      <c r="AC398" s="25">
        <f t="shared" si="50"/>
        <v>67.488151179448522</v>
      </c>
      <c r="AD398" s="25">
        <f t="shared" si="51"/>
        <v>68.056332997630335</v>
      </c>
      <c r="AE398" s="25">
        <f t="shared" si="52"/>
        <v>73.752229073026555</v>
      </c>
      <c r="AF398" s="25">
        <f t="shared" si="53"/>
        <v>148.73815117944849</v>
      </c>
      <c r="AG398" s="25">
        <f t="shared" si="54"/>
        <v>20.109235412091085</v>
      </c>
      <c r="AH398" s="25">
        <f t="shared" si="55"/>
        <v>115.55633299763034</v>
      </c>
      <c r="AI398" s="25">
        <f t="shared" si="56"/>
        <v>488.05330434184378</v>
      </c>
    </row>
    <row r="399" spans="1:35" ht="15.75" customHeight="1">
      <c r="A399" s="12" t="s">
        <v>195</v>
      </c>
      <c r="B399" s="12" t="s">
        <v>196</v>
      </c>
      <c r="C399" s="12" t="s">
        <v>98</v>
      </c>
      <c r="D399" s="12" t="s">
        <v>33</v>
      </c>
      <c r="E399" s="12" t="s">
        <v>27</v>
      </c>
      <c r="F399" s="13">
        <v>459.76615384615383</v>
      </c>
      <c r="G399" s="14">
        <v>2757.7509533538459</v>
      </c>
      <c r="H399" s="24" t="str">
        <f t="shared" si="58"/>
        <v>RJSP</v>
      </c>
      <c r="I399" s="24" t="str">
        <f t="shared" si="57"/>
        <v>RJMG</v>
      </c>
      <c r="J399" s="24" t="str">
        <f t="shared" si="57"/>
        <v>RJES</v>
      </c>
      <c r="K399" s="24" t="str">
        <f t="shared" si="57"/>
        <v>RJSC</v>
      </c>
      <c r="L399" s="24" t="str">
        <f t="shared" si="57"/>
        <v>RJRJ</v>
      </c>
      <c r="M399" s="24" t="str">
        <f t="shared" si="57"/>
        <v>RJPR</v>
      </c>
      <c r="N399" s="24" t="str">
        <f t="shared" si="57"/>
        <v>RJAM</v>
      </c>
      <c r="O399" s="24">
        <f>VLOOKUP(H399, KM!$A:$E, 5, 0)</f>
        <v>429</v>
      </c>
      <c r="P399" s="24">
        <f>VLOOKUP(I399, KM!$A:$E, 5, 0)</f>
        <v>434</v>
      </c>
      <c r="Q399" s="24">
        <f>VLOOKUP(J399, KM!$A:$E, 5, 0)</f>
        <v>521</v>
      </c>
      <c r="R399" s="24">
        <f>VLOOKUP(K399, KM!$A:$E, 5, 0)</f>
        <v>1144</v>
      </c>
      <c r="S399" s="24">
        <f>VLOOKUP(L399, KM!$A:$E, 5, 0)</f>
        <v>0</v>
      </c>
      <c r="T399" s="24">
        <f>VLOOKUP(M399, KM!$A:$E, 5, 0)</f>
        <v>852</v>
      </c>
      <c r="U399" s="24">
        <f>VLOOKUP(N399, KM!$A:$E, 5, 0)</f>
        <v>4374</v>
      </c>
      <c r="V399" s="24">
        <f>VLOOKUP(H399, IMPOSTO!$A:$D, 4, 0)</f>
        <v>0.12</v>
      </c>
      <c r="W399" s="24">
        <f>VLOOKUP(I399, IMPOSTO!$A:$D, 4, 0)</f>
        <v>0.12</v>
      </c>
      <c r="X399" s="24">
        <f>VLOOKUP(J399, IMPOSTO!$A:$D, 4, 0)</f>
        <v>7.0000000000000007E-2</v>
      </c>
      <c r="Y399" s="24">
        <f>VLOOKUP(K399, IMPOSTO!$A:$D, 4, 0)</f>
        <v>0.12</v>
      </c>
      <c r="Z399" s="24">
        <f>VLOOKUP(L399, IMPOSTO!$A:$D, 4, 0)</f>
        <v>0.18</v>
      </c>
      <c r="AA399" s="24">
        <f>VLOOKUP(M399, IMPOSTO!$A:$D, 4, 0)</f>
        <v>0.12</v>
      </c>
      <c r="AB399" s="24">
        <f>VLOOKUP(N399, IMPOSTO!$A:$D, 4, 0)</f>
        <v>7.0000000000000007E-2</v>
      </c>
      <c r="AC399" s="25">
        <f t="shared" si="50"/>
        <v>3182.5579015384615</v>
      </c>
      <c r="AD399" s="25">
        <f t="shared" si="51"/>
        <v>3183.126083356643</v>
      </c>
      <c r="AE399" s="25">
        <f t="shared" si="52"/>
        <v>3021.3451111331678</v>
      </c>
      <c r="AF399" s="25">
        <f t="shared" si="53"/>
        <v>3263.8079015384615</v>
      </c>
      <c r="AG399" s="25">
        <f t="shared" si="54"/>
        <v>3363.1109187242023</v>
      </c>
      <c r="AH399" s="25">
        <f t="shared" si="55"/>
        <v>3230.626083356643</v>
      </c>
      <c r="AI399" s="25">
        <f t="shared" si="56"/>
        <v>3435.6461864019852</v>
      </c>
    </row>
    <row r="400" spans="1:35" ht="15.75" customHeight="1">
      <c r="A400" s="12" t="s">
        <v>195</v>
      </c>
      <c r="B400" s="12" t="s">
        <v>196</v>
      </c>
      <c r="C400" s="12" t="s">
        <v>98</v>
      </c>
      <c r="D400" s="12" t="s">
        <v>33</v>
      </c>
      <c r="E400" s="12" t="s">
        <v>27</v>
      </c>
      <c r="F400" s="13">
        <v>919.53230769230765</v>
      </c>
      <c r="G400" s="14">
        <v>5507.2537019076917</v>
      </c>
      <c r="H400" s="24" t="str">
        <f t="shared" si="58"/>
        <v>RJSP</v>
      </c>
      <c r="I400" s="24" t="str">
        <f t="shared" si="57"/>
        <v>RJMG</v>
      </c>
      <c r="J400" s="24" t="str">
        <f t="shared" si="57"/>
        <v>RJES</v>
      </c>
      <c r="K400" s="24" t="str">
        <f t="shared" si="57"/>
        <v>RJSC</v>
      </c>
      <c r="L400" s="24" t="str">
        <f t="shared" si="57"/>
        <v>RJRJ</v>
      </c>
      <c r="M400" s="24" t="str">
        <f t="shared" si="57"/>
        <v>RJPR</v>
      </c>
      <c r="N400" s="24" t="str">
        <f t="shared" si="57"/>
        <v>RJAM</v>
      </c>
      <c r="O400" s="24">
        <f>VLOOKUP(H400, KM!$A:$E, 5, 0)</f>
        <v>429</v>
      </c>
      <c r="P400" s="24">
        <f>VLOOKUP(I400, KM!$A:$E, 5, 0)</f>
        <v>434</v>
      </c>
      <c r="Q400" s="24">
        <f>VLOOKUP(J400, KM!$A:$E, 5, 0)</f>
        <v>521</v>
      </c>
      <c r="R400" s="24">
        <f>VLOOKUP(K400, KM!$A:$E, 5, 0)</f>
        <v>1144</v>
      </c>
      <c r="S400" s="24">
        <f>VLOOKUP(L400, KM!$A:$E, 5, 0)</f>
        <v>0</v>
      </c>
      <c r="T400" s="24">
        <f>VLOOKUP(M400, KM!$A:$E, 5, 0)</f>
        <v>852</v>
      </c>
      <c r="U400" s="24">
        <f>VLOOKUP(N400, KM!$A:$E, 5, 0)</f>
        <v>4374</v>
      </c>
      <c r="V400" s="24">
        <f>VLOOKUP(H400, IMPOSTO!$A:$D, 4, 0)</f>
        <v>0.12</v>
      </c>
      <c r="W400" s="24">
        <f>VLOOKUP(I400, IMPOSTO!$A:$D, 4, 0)</f>
        <v>0.12</v>
      </c>
      <c r="X400" s="24">
        <f>VLOOKUP(J400, IMPOSTO!$A:$D, 4, 0)</f>
        <v>7.0000000000000007E-2</v>
      </c>
      <c r="Y400" s="24">
        <f>VLOOKUP(K400, IMPOSTO!$A:$D, 4, 0)</f>
        <v>0.12</v>
      </c>
      <c r="Z400" s="24">
        <f>VLOOKUP(L400, IMPOSTO!$A:$D, 4, 0)</f>
        <v>0.18</v>
      </c>
      <c r="AA400" s="24">
        <f>VLOOKUP(M400, IMPOSTO!$A:$D, 4, 0)</f>
        <v>0.12</v>
      </c>
      <c r="AB400" s="24">
        <f>VLOOKUP(N400, IMPOSTO!$A:$D, 4, 0)</f>
        <v>7.0000000000000007E-2</v>
      </c>
      <c r="AC400" s="25">
        <f t="shared" si="50"/>
        <v>6306.9928430769223</v>
      </c>
      <c r="AD400" s="25">
        <f t="shared" si="51"/>
        <v>6307.5610248951034</v>
      </c>
      <c r="AE400" s="25">
        <f t="shared" si="52"/>
        <v>5977.7996794706369</v>
      </c>
      <c r="AF400" s="25">
        <f t="shared" si="53"/>
        <v>6388.2428430769223</v>
      </c>
      <c r="AG400" s="25">
        <f t="shared" si="54"/>
        <v>6716.1630511069407</v>
      </c>
      <c r="AH400" s="25">
        <f t="shared" si="55"/>
        <v>6355.0610248951043</v>
      </c>
      <c r="AI400" s="25">
        <f t="shared" si="56"/>
        <v>6392.1007547394538</v>
      </c>
    </row>
    <row r="401" spans="1:35" ht="15.75" customHeight="1">
      <c r="A401" s="12" t="s">
        <v>197</v>
      </c>
      <c r="B401" s="12" t="s">
        <v>198</v>
      </c>
      <c r="C401" s="12" t="s">
        <v>181</v>
      </c>
      <c r="D401" s="12" t="s">
        <v>33</v>
      </c>
      <c r="E401" s="12" t="s">
        <v>27</v>
      </c>
      <c r="F401" s="13">
        <v>72.451735905044501</v>
      </c>
      <c r="G401" s="14">
        <v>1539.4316050148368</v>
      </c>
      <c r="H401" s="24" t="str">
        <f t="shared" si="58"/>
        <v>RJSP</v>
      </c>
      <c r="I401" s="24" t="str">
        <f t="shared" si="57"/>
        <v>RJMG</v>
      </c>
      <c r="J401" s="24" t="str">
        <f t="shared" si="57"/>
        <v>RJES</v>
      </c>
      <c r="K401" s="24" t="str">
        <f t="shared" si="57"/>
        <v>RJSC</v>
      </c>
      <c r="L401" s="24" t="str">
        <f t="shared" si="57"/>
        <v>RJRJ</v>
      </c>
      <c r="M401" s="24" t="str">
        <f t="shared" si="57"/>
        <v>RJPR</v>
      </c>
      <c r="N401" s="24" t="str">
        <f t="shared" si="57"/>
        <v>RJAM</v>
      </c>
      <c r="O401" s="24">
        <f>VLOOKUP(H401, KM!$A:$E, 5, 0)</f>
        <v>429</v>
      </c>
      <c r="P401" s="24">
        <f>VLOOKUP(I401, KM!$A:$E, 5, 0)</f>
        <v>434</v>
      </c>
      <c r="Q401" s="24">
        <f>VLOOKUP(J401, KM!$A:$E, 5, 0)</f>
        <v>521</v>
      </c>
      <c r="R401" s="24">
        <f>VLOOKUP(K401, KM!$A:$E, 5, 0)</f>
        <v>1144</v>
      </c>
      <c r="S401" s="24">
        <f>VLOOKUP(L401, KM!$A:$E, 5, 0)</f>
        <v>0</v>
      </c>
      <c r="T401" s="24">
        <f>VLOOKUP(M401, KM!$A:$E, 5, 0)</f>
        <v>852</v>
      </c>
      <c r="U401" s="24">
        <f>VLOOKUP(N401, KM!$A:$E, 5, 0)</f>
        <v>4374</v>
      </c>
      <c r="V401" s="24">
        <f>VLOOKUP(H401, IMPOSTO!$A:$D, 4, 0)</f>
        <v>0.12</v>
      </c>
      <c r="W401" s="24">
        <f>VLOOKUP(I401, IMPOSTO!$A:$D, 4, 0)</f>
        <v>0.12</v>
      </c>
      <c r="X401" s="24">
        <f>VLOOKUP(J401, IMPOSTO!$A:$D, 4, 0)</f>
        <v>7.0000000000000007E-2</v>
      </c>
      <c r="Y401" s="24">
        <f>VLOOKUP(K401, IMPOSTO!$A:$D, 4, 0)</f>
        <v>0.12</v>
      </c>
      <c r="Z401" s="24">
        <f>VLOOKUP(L401, IMPOSTO!$A:$D, 4, 0)</f>
        <v>0.18</v>
      </c>
      <c r="AA401" s="24">
        <f>VLOOKUP(M401, IMPOSTO!$A:$D, 4, 0)</f>
        <v>0.12</v>
      </c>
      <c r="AB401" s="24">
        <f>VLOOKUP(N401, IMPOSTO!$A:$D, 4, 0)</f>
        <v>7.0000000000000007E-2</v>
      </c>
      <c r="AC401" s="25">
        <f t="shared" si="50"/>
        <v>1798.1040966077692</v>
      </c>
      <c r="AD401" s="25">
        <f t="shared" si="51"/>
        <v>1798.6722784259509</v>
      </c>
      <c r="AE401" s="25">
        <f t="shared" si="52"/>
        <v>1711.3243064675664</v>
      </c>
      <c r="AF401" s="25">
        <f t="shared" si="53"/>
        <v>1879.3540966077692</v>
      </c>
      <c r="AG401" s="25">
        <f t="shared" si="54"/>
        <v>1877.355615871752</v>
      </c>
      <c r="AH401" s="25">
        <f t="shared" si="55"/>
        <v>1846.1722784259509</v>
      </c>
      <c r="AI401" s="25">
        <f t="shared" si="56"/>
        <v>2125.625381736384</v>
      </c>
    </row>
    <row r="402" spans="1:35" ht="15.75" customHeight="1">
      <c r="A402" s="12" t="s">
        <v>199</v>
      </c>
      <c r="B402" s="12" t="s">
        <v>200</v>
      </c>
      <c r="C402" s="12" t="s">
        <v>181</v>
      </c>
      <c r="D402" s="12" t="s">
        <v>33</v>
      </c>
      <c r="E402" s="12" t="s">
        <v>27</v>
      </c>
      <c r="F402" s="13">
        <v>504.91669398907123</v>
      </c>
      <c r="G402" s="14">
        <v>6482.2724826502717</v>
      </c>
      <c r="H402" s="24" t="str">
        <f t="shared" si="58"/>
        <v>RJSP</v>
      </c>
      <c r="I402" s="24" t="str">
        <f t="shared" si="57"/>
        <v>RJMG</v>
      </c>
      <c r="J402" s="24" t="str">
        <f t="shared" si="57"/>
        <v>RJES</v>
      </c>
      <c r="K402" s="24" t="str">
        <f t="shared" si="57"/>
        <v>RJSC</v>
      </c>
      <c r="L402" s="24" t="str">
        <f t="shared" si="57"/>
        <v>RJRJ</v>
      </c>
      <c r="M402" s="24" t="str">
        <f t="shared" si="57"/>
        <v>RJPR</v>
      </c>
      <c r="N402" s="24" t="str">
        <f t="shared" si="57"/>
        <v>RJAM</v>
      </c>
      <c r="O402" s="24">
        <f>VLOOKUP(H402, KM!$A:$E, 5, 0)</f>
        <v>429</v>
      </c>
      <c r="P402" s="24">
        <f>VLOOKUP(I402, KM!$A:$E, 5, 0)</f>
        <v>434</v>
      </c>
      <c r="Q402" s="24">
        <f>VLOOKUP(J402, KM!$A:$E, 5, 0)</f>
        <v>521</v>
      </c>
      <c r="R402" s="24">
        <f>VLOOKUP(K402, KM!$A:$E, 5, 0)</f>
        <v>1144</v>
      </c>
      <c r="S402" s="24">
        <f>VLOOKUP(L402, KM!$A:$E, 5, 0)</f>
        <v>0</v>
      </c>
      <c r="T402" s="24">
        <f>VLOOKUP(M402, KM!$A:$E, 5, 0)</f>
        <v>852</v>
      </c>
      <c r="U402" s="24">
        <f>VLOOKUP(N402, KM!$A:$E, 5, 0)</f>
        <v>4374</v>
      </c>
      <c r="V402" s="24">
        <f>VLOOKUP(H402, IMPOSTO!$A:$D, 4, 0)</f>
        <v>0.12</v>
      </c>
      <c r="W402" s="24">
        <f>VLOOKUP(I402, IMPOSTO!$A:$D, 4, 0)</f>
        <v>0.12</v>
      </c>
      <c r="X402" s="24">
        <f>VLOOKUP(J402, IMPOSTO!$A:$D, 4, 0)</f>
        <v>7.0000000000000007E-2</v>
      </c>
      <c r="Y402" s="24">
        <f>VLOOKUP(K402, IMPOSTO!$A:$D, 4, 0)</f>
        <v>0.12</v>
      </c>
      <c r="Z402" s="24">
        <f>VLOOKUP(L402, IMPOSTO!$A:$D, 4, 0)</f>
        <v>0.18</v>
      </c>
      <c r="AA402" s="24">
        <f>VLOOKUP(M402, IMPOSTO!$A:$D, 4, 0)</f>
        <v>0.12</v>
      </c>
      <c r="AB402" s="24">
        <f>VLOOKUP(N402, IMPOSTO!$A:$D, 4, 0)</f>
        <v>7.0000000000000007E-2</v>
      </c>
      <c r="AC402" s="25">
        <f t="shared" si="50"/>
        <v>7414.9687302843995</v>
      </c>
      <c r="AD402" s="25">
        <f t="shared" si="51"/>
        <v>7415.5369121025815</v>
      </c>
      <c r="AE402" s="25">
        <f t="shared" si="52"/>
        <v>7026.2069705916911</v>
      </c>
      <c r="AF402" s="25">
        <f t="shared" si="53"/>
        <v>7496.2187302843995</v>
      </c>
      <c r="AG402" s="25">
        <f t="shared" si="54"/>
        <v>7905.2103446954525</v>
      </c>
      <c r="AH402" s="25">
        <f t="shared" si="55"/>
        <v>7463.0369121025815</v>
      </c>
      <c r="AI402" s="25">
        <f t="shared" si="56"/>
        <v>7440.5080458605071</v>
      </c>
    </row>
    <row r="403" spans="1:35" ht="15.75" customHeight="1">
      <c r="A403" s="12" t="s">
        <v>199</v>
      </c>
      <c r="B403" s="12" t="s">
        <v>200</v>
      </c>
      <c r="C403" s="12" t="s">
        <v>181</v>
      </c>
      <c r="D403" s="12" t="s">
        <v>33</v>
      </c>
      <c r="E403" s="12" t="s">
        <v>27</v>
      </c>
      <c r="F403" s="13">
        <v>58.825245901639342</v>
      </c>
      <c r="G403" s="14">
        <v>808.07259874316946</v>
      </c>
      <c r="H403" s="24" t="str">
        <f t="shared" si="58"/>
        <v>RJSP</v>
      </c>
      <c r="I403" s="24" t="str">
        <f t="shared" si="57"/>
        <v>RJMG</v>
      </c>
      <c r="J403" s="24" t="str">
        <f t="shared" si="57"/>
        <v>RJES</v>
      </c>
      <c r="K403" s="24" t="str">
        <f t="shared" si="57"/>
        <v>RJSC</v>
      </c>
      <c r="L403" s="24" t="str">
        <f t="shared" si="57"/>
        <v>RJRJ</v>
      </c>
      <c r="M403" s="24" t="str">
        <f t="shared" si="57"/>
        <v>RJPR</v>
      </c>
      <c r="N403" s="24" t="str">
        <f t="shared" si="57"/>
        <v>RJAM</v>
      </c>
      <c r="O403" s="24">
        <f>VLOOKUP(H403, KM!$A:$E, 5, 0)</f>
        <v>429</v>
      </c>
      <c r="P403" s="24">
        <f>VLOOKUP(I403, KM!$A:$E, 5, 0)</f>
        <v>434</v>
      </c>
      <c r="Q403" s="24">
        <f>VLOOKUP(J403, KM!$A:$E, 5, 0)</f>
        <v>521</v>
      </c>
      <c r="R403" s="24">
        <f>VLOOKUP(K403, KM!$A:$E, 5, 0)</f>
        <v>1144</v>
      </c>
      <c r="S403" s="24">
        <f>VLOOKUP(L403, KM!$A:$E, 5, 0)</f>
        <v>0</v>
      </c>
      <c r="T403" s="24">
        <f>VLOOKUP(M403, KM!$A:$E, 5, 0)</f>
        <v>852</v>
      </c>
      <c r="U403" s="24">
        <f>VLOOKUP(N403, KM!$A:$E, 5, 0)</f>
        <v>4374</v>
      </c>
      <c r="V403" s="24">
        <f>VLOOKUP(H403, IMPOSTO!$A:$D, 4, 0)</f>
        <v>0.12</v>
      </c>
      <c r="W403" s="24">
        <f>VLOOKUP(I403, IMPOSTO!$A:$D, 4, 0)</f>
        <v>0.12</v>
      </c>
      <c r="X403" s="24">
        <f>VLOOKUP(J403, IMPOSTO!$A:$D, 4, 0)</f>
        <v>7.0000000000000007E-2</v>
      </c>
      <c r="Y403" s="24">
        <f>VLOOKUP(K403, IMPOSTO!$A:$D, 4, 0)</f>
        <v>0.12</v>
      </c>
      <c r="Z403" s="24">
        <f>VLOOKUP(L403, IMPOSTO!$A:$D, 4, 0)</f>
        <v>0.18</v>
      </c>
      <c r="AA403" s="24">
        <f>VLOOKUP(M403, IMPOSTO!$A:$D, 4, 0)</f>
        <v>0.12</v>
      </c>
      <c r="AB403" s="24">
        <f>VLOOKUP(N403, IMPOSTO!$A:$D, 4, 0)</f>
        <v>7.0000000000000007E-2</v>
      </c>
      <c r="AC403" s="25">
        <f t="shared" ref="AC403:AC466" si="59">($G403 + O403 * $AE$5) / (1 - V403)</f>
        <v>967.01431675360163</v>
      </c>
      <c r="AD403" s="25">
        <f t="shared" ref="AD403:AD466" si="60">($G403 + P403 * $AE$5) / (1 - W403)</f>
        <v>967.5824985717835</v>
      </c>
      <c r="AE403" s="25">
        <f t="shared" ref="AE403:AE466" si="61">($G403 + Q403 * $AE$5) / (1 - X403)</f>
        <v>924.91677284211778</v>
      </c>
      <c r="AF403" s="25">
        <f t="shared" ref="AF403:AF466" si="62">($G403 + R403 * $AE$5) / (1 - Y403)</f>
        <v>1048.2643167536016</v>
      </c>
      <c r="AG403" s="25">
        <f t="shared" ref="AG403:AG466" si="63">($G403 + S403 * $AE$5) / (1 - Z403)</f>
        <v>985.45438871118222</v>
      </c>
      <c r="AH403" s="25">
        <f t="shared" ref="AH403:AH466" si="64">($G403 + T403 * $AE$5) / (1 - AA403)</f>
        <v>1015.0824985717835</v>
      </c>
      <c r="AI403" s="25">
        <f t="shared" ref="AI403:AI466" si="65">($G403 + U403 * $AE$5) / (1 - AB403)</f>
        <v>1339.2178481109352</v>
      </c>
    </row>
    <row r="404" spans="1:35" ht="15.75" customHeight="1">
      <c r="A404" s="12" t="s">
        <v>404</v>
      </c>
      <c r="B404" s="12" t="s">
        <v>405</v>
      </c>
      <c r="C404" s="12" t="s">
        <v>181</v>
      </c>
      <c r="D404" s="12" t="s">
        <v>33</v>
      </c>
      <c r="E404" s="12" t="s">
        <v>27</v>
      </c>
      <c r="F404" s="13">
        <v>14551.328000000001</v>
      </c>
      <c r="G404" s="14">
        <v>312828.2597830515</v>
      </c>
      <c r="H404" s="24" t="str">
        <f t="shared" si="58"/>
        <v>RJSP</v>
      </c>
      <c r="I404" s="24" t="str">
        <f t="shared" si="57"/>
        <v>RJMG</v>
      </c>
      <c r="J404" s="24" t="str">
        <f t="shared" si="57"/>
        <v>RJES</v>
      </c>
      <c r="K404" s="24" t="str">
        <f t="shared" si="57"/>
        <v>RJSC</v>
      </c>
      <c r="L404" s="24" t="str">
        <f t="shared" si="57"/>
        <v>RJRJ</v>
      </c>
      <c r="M404" s="24" t="str">
        <f t="shared" si="57"/>
        <v>RJPR</v>
      </c>
      <c r="N404" s="24" t="str">
        <f t="shared" si="57"/>
        <v>RJAM</v>
      </c>
      <c r="O404" s="24">
        <f>VLOOKUP(H404, KM!$A:$E, 5, 0)</f>
        <v>429</v>
      </c>
      <c r="P404" s="24">
        <f>VLOOKUP(I404, KM!$A:$E, 5, 0)</f>
        <v>434</v>
      </c>
      <c r="Q404" s="24">
        <f>VLOOKUP(J404, KM!$A:$E, 5, 0)</f>
        <v>521</v>
      </c>
      <c r="R404" s="24">
        <f>VLOOKUP(K404, KM!$A:$E, 5, 0)</f>
        <v>1144</v>
      </c>
      <c r="S404" s="24">
        <f>VLOOKUP(L404, KM!$A:$E, 5, 0)</f>
        <v>0</v>
      </c>
      <c r="T404" s="24">
        <f>VLOOKUP(M404, KM!$A:$E, 5, 0)</f>
        <v>852</v>
      </c>
      <c r="U404" s="24">
        <f>VLOOKUP(N404, KM!$A:$E, 5, 0)</f>
        <v>4374</v>
      </c>
      <c r="V404" s="24">
        <f>VLOOKUP(H404, IMPOSTO!$A:$D, 4, 0)</f>
        <v>0.12</v>
      </c>
      <c r="W404" s="24">
        <f>VLOOKUP(I404, IMPOSTO!$A:$D, 4, 0)</f>
        <v>0.12</v>
      </c>
      <c r="X404" s="24">
        <f>VLOOKUP(J404, IMPOSTO!$A:$D, 4, 0)</f>
        <v>7.0000000000000007E-2</v>
      </c>
      <c r="Y404" s="24">
        <f>VLOOKUP(K404, IMPOSTO!$A:$D, 4, 0)</f>
        <v>0.12</v>
      </c>
      <c r="Z404" s="24">
        <f>VLOOKUP(L404, IMPOSTO!$A:$D, 4, 0)</f>
        <v>0.18</v>
      </c>
      <c r="AA404" s="24">
        <f>VLOOKUP(M404, IMPOSTO!$A:$D, 4, 0)</f>
        <v>0.12</v>
      </c>
      <c r="AB404" s="24">
        <f>VLOOKUP(N404, IMPOSTO!$A:$D, 4, 0)</f>
        <v>7.0000000000000007E-2</v>
      </c>
      <c r="AC404" s="25">
        <f t="shared" si="59"/>
        <v>355535.40884437674</v>
      </c>
      <c r="AD404" s="25">
        <f t="shared" si="60"/>
        <v>355535.97702619492</v>
      </c>
      <c r="AE404" s="25">
        <f t="shared" si="61"/>
        <v>336430.49439037795</v>
      </c>
      <c r="AF404" s="25">
        <f t="shared" si="62"/>
        <v>355616.65884437674</v>
      </c>
      <c r="AG404" s="25">
        <f t="shared" si="63"/>
        <v>381497.87778420909</v>
      </c>
      <c r="AH404" s="25">
        <f t="shared" si="64"/>
        <v>355583.47702619492</v>
      </c>
      <c r="AI404" s="25">
        <f t="shared" si="65"/>
        <v>336844.79546564684</v>
      </c>
    </row>
    <row r="405" spans="1:35" ht="15.75" customHeight="1">
      <c r="A405" s="12" t="s">
        <v>461</v>
      </c>
      <c r="B405" s="12" t="s">
        <v>462</v>
      </c>
      <c r="C405" s="12" t="s">
        <v>217</v>
      </c>
      <c r="D405" s="12" t="s">
        <v>50</v>
      </c>
      <c r="E405" s="12" t="s">
        <v>27</v>
      </c>
      <c r="F405" s="13">
        <v>20.05336113744076</v>
      </c>
      <c r="G405" s="14">
        <v>177.31582984947872</v>
      </c>
      <c r="H405" s="24" t="str">
        <f t="shared" si="58"/>
        <v>RJSP</v>
      </c>
      <c r="I405" s="24" t="str">
        <f t="shared" si="57"/>
        <v>RJMG</v>
      </c>
      <c r="J405" s="24" t="str">
        <f t="shared" si="57"/>
        <v>RJES</v>
      </c>
      <c r="K405" s="24" t="str">
        <f t="shared" si="57"/>
        <v>RJSC</v>
      </c>
      <c r="L405" s="24" t="str">
        <f t="shared" si="57"/>
        <v>RJRJ</v>
      </c>
      <c r="M405" s="24" t="str">
        <f t="shared" si="57"/>
        <v>RJPR</v>
      </c>
      <c r="N405" s="24" t="str">
        <f t="shared" si="57"/>
        <v>RJAM</v>
      </c>
      <c r="O405" s="24">
        <f>VLOOKUP(H405, KM!$A:$E, 5, 0)</f>
        <v>429</v>
      </c>
      <c r="P405" s="24">
        <f>VLOOKUP(I405, KM!$A:$E, 5, 0)</f>
        <v>434</v>
      </c>
      <c r="Q405" s="24">
        <f>VLOOKUP(J405, KM!$A:$E, 5, 0)</f>
        <v>521</v>
      </c>
      <c r="R405" s="24">
        <f>VLOOKUP(K405, KM!$A:$E, 5, 0)</f>
        <v>1144</v>
      </c>
      <c r="S405" s="24">
        <f>VLOOKUP(L405, KM!$A:$E, 5, 0)</f>
        <v>0</v>
      </c>
      <c r="T405" s="24">
        <f>VLOOKUP(M405, KM!$A:$E, 5, 0)</f>
        <v>852</v>
      </c>
      <c r="U405" s="24">
        <f>VLOOKUP(N405, KM!$A:$E, 5, 0)</f>
        <v>4374</v>
      </c>
      <c r="V405" s="24">
        <f>VLOOKUP(H405, IMPOSTO!$A:$D, 4, 0)</f>
        <v>0.12</v>
      </c>
      <c r="W405" s="24">
        <f>VLOOKUP(I405, IMPOSTO!$A:$D, 4, 0)</f>
        <v>0.12</v>
      </c>
      <c r="X405" s="24">
        <f>VLOOKUP(J405, IMPOSTO!$A:$D, 4, 0)</f>
        <v>7.0000000000000007E-2</v>
      </c>
      <c r="Y405" s="24">
        <f>VLOOKUP(K405, IMPOSTO!$A:$D, 4, 0)</f>
        <v>0.12</v>
      </c>
      <c r="Z405" s="24">
        <f>VLOOKUP(L405, IMPOSTO!$A:$D, 4, 0)</f>
        <v>0.18</v>
      </c>
      <c r="AA405" s="24">
        <f>VLOOKUP(M405, IMPOSTO!$A:$D, 4, 0)</f>
        <v>0.12</v>
      </c>
      <c r="AB405" s="24">
        <f>VLOOKUP(N405, IMPOSTO!$A:$D, 4, 0)</f>
        <v>7.0000000000000007E-2</v>
      </c>
      <c r="AC405" s="25">
        <f t="shared" si="59"/>
        <v>250.24526119258945</v>
      </c>
      <c r="AD405" s="25">
        <f t="shared" si="60"/>
        <v>250.81344301077127</v>
      </c>
      <c r="AE405" s="25">
        <f t="shared" si="61"/>
        <v>246.68368801019218</v>
      </c>
      <c r="AF405" s="25">
        <f t="shared" si="62"/>
        <v>331.49526119258945</v>
      </c>
      <c r="AG405" s="25">
        <f t="shared" si="63"/>
        <v>216.23881688960819</v>
      </c>
      <c r="AH405" s="25">
        <f t="shared" si="64"/>
        <v>298.31344301077127</v>
      </c>
      <c r="AI405" s="25">
        <f t="shared" si="65"/>
        <v>660.98476327900937</v>
      </c>
    </row>
    <row r="406" spans="1:35" ht="15.75" customHeight="1">
      <c r="A406" s="12" t="s">
        <v>463</v>
      </c>
      <c r="B406" s="12" t="s">
        <v>464</v>
      </c>
      <c r="C406" s="12" t="s">
        <v>217</v>
      </c>
      <c r="D406" s="12" t="s">
        <v>33</v>
      </c>
      <c r="E406" s="12" t="s">
        <v>27</v>
      </c>
      <c r="F406" s="13">
        <v>90.776347826086948</v>
      </c>
      <c r="G406" s="14">
        <v>3537.5920982608695</v>
      </c>
      <c r="H406" s="24" t="str">
        <f t="shared" si="58"/>
        <v>RJSP</v>
      </c>
      <c r="I406" s="24" t="str">
        <f t="shared" si="57"/>
        <v>RJMG</v>
      </c>
      <c r="J406" s="24" t="str">
        <f t="shared" si="57"/>
        <v>RJES</v>
      </c>
      <c r="K406" s="24" t="str">
        <f t="shared" si="57"/>
        <v>RJSC</v>
      </c>
      <c r="L406" s="24" t="str">
        <f t="shared" si="57"/>
        <v>RJRJ</v>
      </c>
      <c r="M406" s="24" t="str">
        <f t="shared" si="57"/>
        <v>RJPR</v>
      </c>
      <c r="N406" s="24" t="str">
        <f t="shared" si="57"/>
        <v>RJAM</v>
      </c>
      <c r="O406" s="24">
        <f>VLOOKUP(H406, KM!$A:$E, 5, 0)</f>
        <v>429</v>
      </c>
      <c r="P406" s="24">
        <f>VLOOKUP(I406, KM!$A:$E, 5, 0)</f>
        <v>434</v>
      </c>
      <c r="Q406" s="24">
        <f>VLOOKUP(J406, KM!$A:$E, 5, 0)</f>
        <v>521</v>
      </c>
      <c r="R406" s="24">
        <f>VLOOKUP(K406, KM!$A:$E, 5, 0)</f>
        <v>1144</v>
      </c>
      <c r="S406" s="24">
        <f>VLOOKUP(L406, KM!$A:$E, 5, 0)</f>
        <v>0</v>
      </c>
      <c r="T406" s="24">
        <f>VLOOKUP(M406, KM!$A:$E, 5, 0)</f>
        <v>852</v>
      </c>
      <c r="U406" s="24">
        <f>VLOOKUP(N406, KM!$A:$E, 5, 0)</f>
        <v>4374</v>
      </c>
      <c r="V406" s="24">
        <f>VLOOKUP(H406, IMPOSTO!$A:$D, 4, 0)</f>
        <v>0.12</v>
      </c>
      <c r="W406" s="24">
        <f>VLOOKUP(I406, IMPOSTO!$A:$D, 4, 0)</f>
        <v>0.12</v>
      </c>
      <c r="X406" s="24">
        <f>VLOOKUP(J406, IMPOSTO!$A:$D, 4, 0)</f>
        <v>7.0000000000000007E-2</v>
      </c>
      <c r="Y406" s="24">
        <f>VLOOKUP(K406, IMPOSTO!$A:$D, 4, 0)</f>
        <v>0.12</v>
      </c>
      <c r="Z406" s="24">
        <f>VLOOKUP(L406, IMPOSTO!$A:$D, 4, 0)</f>
        <v>0.18</v>
      </c>
      <c r="AA406" s="24">
        <f>VLOOKUP(M406, IMPOSTO!$A:$D, 4, 0)</f>
        <v>0.12</v>
      </c>
      <c r="AB406" s="24">
        <f>VLOOKUP(N406, IMPOSTO!$A:$D, 4, 0)</f>
        <v>7.0000000000000007E-2</v>
      </c>
      <c r="AC406" s="25">
        <f t="shared" si="59"/>
        <v>4068.7410207509884</v>
      </c>
      <c r="AD406" s="25">
        <f t="shared" si="60"/>
        <v>4069.3092025691699</v>
      </c>
      <c r="AE406" s="25">
        <f t="shared" si="61"/>
        <v>3859.883976624591</v>
      </c>
      <c r="AF406" s="25">
        <f t="shared" si="62"/>
        <v>4149.9910207509884</v>
      </c>
      <c r="AG406" s="25">
        <f t="shared" si="63"/>
        <v>4314.1367051961824</v>
      </c>
      <c r="AH406" s="25">
        <f t="shared" si="64"/>
        <v>4116.8092025691694</v>
      </c>
      <c r="AI406" s="25">
        <f t="shared" si="65"/>
        <v>4274.1850518934089</v>
      </c>
    </row>
    <row r="407" spans="1:35" ht="15.75" customHeight="1">
      <c r="A407" s="12" t="s">
        <v>224</v>
      </c>
      <c r="B407" s="12" t="s">
        <v>225</v>
      </c>
      <c r="C407" s="12" t="s">
        <v>223</v>
      </c>
      <c r="D407" s="12" t="s">
        <v>33</v>
      </c>
      <c r="E407" s="12" t="s">
        <v>27</v>
      </c>
      <c r="F407" s="13">
        <v>1842.4684889302318</v>
      </c>
      <c r="G407" s="14">
        <v>40846.504492293949</v>
      </c>
      <c r="H407" s="24" t="str">
        <f t="shared" si="58"/>
        <v>RJSP</v>
      </c>
      <c r="I407" s="24" t="str">
        <f t="shared" si="57"/>
        <v>RJMG</v>
      </c>
      <c r="J407" s="24" t="str">
        <f t="shared" si="57"/>
        <v>RJES</v>
      </c>
      <c r="K407" s="24" t="str">
        <f t="shared" si="57"/>
        <v>RJSC</v>
      </c>
      <c r="L407" s="24" t="str">
        <f t="shared" si="57"/>
        <v>RJRJ</v>
      </c>
      <c r="M407" s="24" t="str">
        <f t="shared" si="57"/>
        <v>RJPR</v>
      </c>
      <c r="N407" s="24" t="str">
        <f t="shared" si="57"/>
        <v>RJAM</v>
      </c>
      <c r="O407" s="24">
        <f>VLOOKUP(H407, KM!$A:$E, 5, 0)</f>
        <v>429</v>
      </c>
      <c r="P407" s="24">
        <f>VLOOKUP(I407, KM!$A:$E, 5, 0)</f>
        <v>434</v>
      </c>
      <c r="Q407" s="24">
        <f>VLOOKUP(J407, KM!$A:$E, 5, 0)</f>
        <v>521</v>
      </c>
      <c r="R407" s="24">
        <f>VLOOKUP(K407, KM!$A:$E, 5, 0)</f>
        <v>1144</v>
      </c>
      <c r="S407" s="24">
        <f>VLOOKUP(L407, KM!$A:$E, 5, 0)</f>
        <v>0</v>
      </c>
      <c r="T407" s="24">
        <f>VLOOKUP(M407, KM!$A:$E, 5, 0)</f>
        <v>852</v>
      </c>
      <c r="U407" s="24">
        <f>VLOOKUP(N407, KM!$A:$E, 5, 0)</f>
        <v>4374</v>
      </c>
      <c r="V407" s="24">
        <f>VLOOKUP(H407, IMPOSTO!$A:$D, 4, 0)</f>
        <v>0.12</v>
      </c>
      <c r="W407" s="24">
        <f>VLOOKUP(I407, IMPOSTO!$A:$D, 4, 0)</f>
        <v>0.12</v>
      </c>
      <c r="X407" s="24">
        <f>VLOOKUP(J407, IMPOSTO!$A:$D, 4, 0)</f>
        <v>7.0000000000000007E-2</v>
      </c>
      <c r="Y407" s="24">
        <f>VLOOKUP(K407, IMPOSTO!$A:$D, 4, 0)</f>
        <v>0.12</v>
      </c>
      <c r="Z407" s="24">
        <f>VLOOKUP(L407, IMPOSTO!$A:$D, 4, 0)</f>
        <v>0.18</v>
      </c>
      <c r="AA407" s="24">
        <f>VLOOKUP(M407, IMPOSTO!$A:$D, 4, 0)</f>
        <v>0.12</v>
      </c>
      <c r="AB407" s="24">
        <f>VLOOKUP(N407, IMPOSTO!$A:$D, 4, 0)</f>
        <v>7.0000000000000007E-2</v>
      </c>
      <c r="AC407" s="25">
        <f t="shared" si="59"/>
        <v>46465.232377606764</v>
      </c>
      <c r="AD407" s="25">
        <f t="shared" si="60"/>
        <v>46465.800559424941</v>
      </c>
      <c r="AE407" s="25">
        <f t="shared" si="61"/>
        <v>43976.994077735428</v>
      </c>
      <c r="AF407" s="25">
        <f t="shared" si="62"/>
        <v>46546.482377606764</v>
      </c>
      <c r="AG407" s="25">
        <f t="shared" si="63"/>
        <v>49812.81035645603</v>
      </c>
      <c r="AH407" s="25">
        <f t="shared" si="64"/>
        <v>46513.300559424941</v>
      </c>
      <c r="AI407" s="25">
        <f t="shared" si="65"/>
        <v>44391.295153004248</v>
      </c>
    </row>
    <row r="408" spans="1:35" ht="15.75" customHeight="1">
      <c r="A408" s="12" t="s">
        <v>226</v>
      </c>
      <c r="B408" s="12" t="s">
        <v>227</v>
      </c>
      <c r="C408" s="12" t="s">
        <v>223</v>
      </c>
      <c r="D408" s="12" t="s">
        <v>33</v>
      </c>
      <c r="E408" s="12" t="s">
        <v>27</v>
      </c>
      <c r="F408" s="13">
        <v>28.870186893203883</v>
      </c>
      <c r="G408" s="14">
        <v>637.46334999757289</v>
      </c>
      <c r="H408" s="24" t="str">
        <f t="shared" si="58"/>
        <v>RJSP</v>
      </c>
      <c r="I408" s="24" t="str">
        <f t="shared" si="57"/>
        <v>RJMG</v>
      </c>
      <c r="J408" s="24" t="str">
        <f t="shared" ref="I408:N471" si="66">$E408 &amp; J$17</f>
        <v>RJES</v>
      </c>
      <c r="K408" s="24" t="str">
        <f t="shared" si="66"/>
        <v>RJSC</v>
      </c>
      <c r="L408" s="24" t="str">
        <f t="shared" si="66"/>
        <v>RJRJ</v>
      </c>
      <c r="M408" s="24" t="str">
        <f t="shared" si="66"/>
        <v>RJPR</v>
      </c>
      <c r="N408" s="24" t="str">
        <f t="shared" si="66"/>
        <v>RJAM</v>
      </c>
      <c r="O408" s="24">
        <f>VLOOKUP(H408, KM!$A:$E, 5, 0)</f>
        <v>429</v>
      </c>
      <c r="P408" s="24">
        <f>VLOOKUP(I408, KM!$A:$E, 5, 0)</f>
        <v>434</v>
      </c>
      <c r="Q408" s="24">
        <f>VLOOKUP(J408, KM!$A:$E, 5, 0)</f>
        <v>521</v>
      </c>
      <c r="R408" s="24">
        <f>VLOOKUP(K408, KM!$A:$E, 5, 0)</f>
        <v>1144</v>
      </c>
      <c r="S408" s="24">
        <f>VLOOKUP(L408, KM!$A:$E, 5, 0)</f>
        <v>0</v>
      </c>
      <c r="T408" s="24">
        <f>VLOOKUP(M408, KM!$A:$E, 5, 0)</f>
        <v>852</v>
      </c>
      <c r="U408" s="24">
        <f>VLOOKUP(N408, KM!$A:$E, 5, 0)</f>
        <v>4374</v>
      </c>
      <c r="V408" s="24">
        <f>VLOOKUP(H408, IMPOSTO!$A:$D, 4, 0)</f>
        <v>0.12</v>
      </c>
      <c r="W408" s="24">
        <f>VLOOKUP(I408, IMPOSTO!$A:$D, 4, 0)</f>
        <v>0.12</v>
      </c>
      <c r="X408" s="24">
        <f>VLOOKUP(J408, IMPOSTO!$A:$D, 4, 0)</f>
        <v>7.0000000000000007E-2</v>
      </c>
      <c r="Y408" s="24">
        <f>VLOOKUP(K408, IMPOSTO!$A:$D, 4, 0)</f>
        <v>0.12</v>
      </c>
      <c r="Z408" s="24">
        <f>VLOOKUP(L408, IMPOSTO!$A:$D, 4, 0)</f>
        <v>0.18</v>
      </c>
      <c r="AA408" s="24">
        <f>VLOOKUP(M408, IMPOSTO!$A:$D, 4, 0)</f>
        <v>0.12</v>
      </c>
      <c r="AB408" s="24">
        <f>VLOOKUP(N408, IMPOSTO!$A:$D, 4, 0)</f>
        <v>7.0000000000000007E-2</v>
      </c>
      <c r="AC408" s="25">
        <f t="shared" si="59"/>
        <v>773.1401704517873</v>
      </c>
      <c r="AD408" s="25">
        <f t="shared" si="60"/>
        <v>773.70835226996917</v>
      </c>
      <c r="AE408" s="25">
        <f t="shared" si="61"/>
        <v>741.46596773932572</v>
      </c>
      <c r="AF408" s="25">
        <f t="shared" si="62"/>
        <v>854.3901704517873</v>
      </c>
      <c r="AG408" s="25">
        <f t="shared" si="63"/>
        <v>777.39432926533277</v>
      </c>
      <c r="AH408" s="25">
        <f t="shared" si="64"/>
        <v>821.20835226996928</v>
      </c>
      <c r="AI408" s="25">
        <f t="shared" si="65"/>
        <v>1155.767043008143</v>
      </c>
    </row>
    <row r="409" spans="1:35" ht="15.75" customHeight="1">
      <c r="A409" s="12" t="s">
        <v>226</v>
      </c>
      <c r="B409" s="12" t="s">
        <v>227</v>
      </c>
      <c r="C409" s="12" t="s">
        <v>223</v>
      </c>
      <c r="D409" s="12" t="s">
        <v>33</v>
      </c>
      <c r="E409" s="12" t="s">
        <v>27</v>
      </c>
      <c r="F409" s="13">
        <v>28.870186893203886</v>
      </c>
      <c r="G409" s="14">
        <v>525.73572672087391</v>
      </c>
      <c r="H409" s="24" t="str">
        <f t="shared" si="58"/>
        <v>RJSP</v>
      </c>
      <c r="I409" s="24" t="str">
        <f t="shared" si="66"/>
        <v>RJMG</v>
      </c>
      <c r="J409" s="24" t="str">
        <f t="shared" si="66"/>
        <v>RJES</v>
      </c>
      <c r="K409" s="24" t="str">
        <f t="shared" si="66"/>
        <v>RJSC</v>
      </c>
      <c r="L409" s="24" t="str">
        <f t="shared" si="66"/>
        <v>RJRJ</v>
      </c>
      <c r="M409" s="24" t="str">
        <f t="shared" si="66"/>
        <v>RJPR</v>
      </c>
      <c r="N409" s="24" t="str">
        <f t="shared" si="66"/>
        <v>RJAM</v>
      </c>
      <c r="O409" s="24">
        <f>VLOOKUP(H409, KM!$A:$E, 5, 0)</f>
        <v>429</v>
      </c>
      <c r="P409" s="24">
        <f>VLOOKUP(I409, KM!$A:$E, 5, 0)</f>
        <v>434</v>
      </c>
      <c r="Q409" s="24">
        <f>VLOOKUP(J409, KM!$A:$E, 5, 0)</f>
        <v>521</v>
      </c>
      <c r="R409" s="24">
        <f>VLOOKUP(K409, KM!$A:$E, 5, 0)</f>
        <v>1144</v>
      </c>
      <c r="S409" s="24">
        <f>VLOOKUP(L409, KM!$A:$E, 5, 0)</f>
        <v>0</v>
      </c>
      <c r="T409" s="24">
        <f>VLOOKUP(M409, KM!$A:$E, 5, 0)</f>
        <v>852</v>
      </c>
      <c r="U409" s="24">
        <f>VLOOKUP(N409, KM!$A:$E, 5, 0)</f>
        <v>4374</v>
      </c>
      <c r="V409" s="24">
        <f>VLOOKUP(H409, IMPOSTO!$A:$D, 4, 0)</f>
        <v>0.12</v>
      </c>
      <c r="W409" s="24">
        <f>VLOOKUP(I409, IMPOSTO!$A:$D, 4, 0)</f>
        <v>0.12</v>
      </c>
      <c r="X409" s="24">
        <f>VLOOKUP(J409, IMPOSTO!$A:$D, 4, 0)</f>
        <v>7.0000000000000007E-2</v>
      </c>
      <c r="Y409" s="24">
        <f>VLOOKUP(K409, IMPOSTO!$A:$D, 4, 0)</f>
        <v>0.12</v>
      </c>
      <c r="Z409" s="24">
        <f>VLOOKUP(L409, IMPOSTO!$A:$D, 4, 0)</f>
        <v>0.18</v>
      </c>
      <c r="AA409" s="24">
        <f>VLOOKUP(M409, IMPOSTO!$A:$D, 4, 0)</f>
        <v>0.12</v>
      </c>
      <c r="AB409" s="24">
        <f>VLOOKUP(N409, IMPOSTO!$A:$D, 4, 0)</f>
        <v>7.0000000000000007E-2</v>
      </c>
      <c r="AC409" s="25">
        <f t="shared" si="59"/>
        <v>646.17696218281128</v>
      </c>
      <c r="AD409" s="25">
        <f t="shared" si="60"/>
        <v>646.74514400099304</v>
      </c>
      <c r="AE409" s="25">
        <f t="shared" si="61"/>
        <v>621.32873840954187</v>
      </c>
      <c r="AF409" s="25">
        <f t="shared" si="62"/>
        <v>727.42696218281128</v>
      </c>
      <c r="AG409" s="25">
        <f t="shared" si="63"/>
        <v>641.14113014740713</v>
      </c>
      <c r="AH409" s="25">
        <f t="shared" si="64"/>
        <v>694.24514400099315</v>
      </c>
      <c r="AI409" s="25">
        <f t="shared" si="65"/>
        <v>1035.6298136783591</v>
      </c>
    </row>
    <row r="410" spans="1:35" ht="15.75" customHeight="1">
      <c r="A410" s="12" t="s">
        <v>465</v>
      </c>
      <c r="B410" s="12" t="s">
        <v>466</v>
      </c>
      <c r="C410" s="12" t="s">
        <v>57</v>
      </c>
      <c r="D410" s="12" t="s">
        <v>33</v>
      </c>
      <c r="E410" s="12" t="s">
        <v>27</v>
      </c>
      <c r="F410" s="13">
        <v>3958.52840266573</v>
      </c>
      <c r="G410" s="14">
        <v>58029.260944075759</v>
      </c>
      <c r="H410" s="24" t="str">
        <f t="shared" si="58"/>
        <v>RJSP</v>
      </c>
      <c r="I410" s="24" t="str">
        <f t="shared" si="66"/>
        <v>RJMG</v>
      </c>
      <c r="J410" s="24" t="str">
        <f t="shared" si="66"/>
        <v>RJES</v>
      </c>
      <c r="K410" s="24" t="str">
        <f t="shared" si="66"/>
        <v>RJSC</v>
      </c>
      <c r="L410" s="24" t="str">
        <f t="shared" si="66"/>
        <v>RJRJ</v>
      </c>
      <c r="M410" s="24" t="str">
        <f t="shared" si="66"/>
        <v>RJPR</v>
      </c>
      <c r="N410" s="24" t="str">
        <f t="shared" si="66"/>
        <v>RJAM</v>
      </c>
      <c r="O410" s="24">
        <f>VLOOKUP(H410, KM!$A:$E, 5, 0)</f>
        <v>429</v>
      </c>
      <c r="P410" s="24">
        <f>VLOOKUP(I410, KM!$A:$E, 5, 0)</f>
        <v>434</v>
      </c>
      <c r="Q410" s="24">
        <f>VLOOKUP(J410, KM!$A:$E, 5, 0)</f>
        <v>521</v>
      </c>
      <c r="R410" s="24">
        <f>VLOOKUP(K410, KM!$A:$E, 5, 0)</f>
        <v>1144</v>
      </c>
      <c r="S410" s="24">
        <f>VLOOKUP(L410, KM!$A:$E, 5, 0)</f>
        <v>0</v>
      </c>
      <c r="T410" s="24">
        <f>VLOOKUP(M410, KM!$A:$E, 5, 0)</f>
        <v>852</v>
      </c>
      <c r="U410" s="24">
        <f>VLOOKUP(N410, KM!$A:$E, 5, 0)</f>
        <v>4374</v>
      </c>
      <c r="V410" s="24">
        <f>VLOOKUP(H410, IMPOSTO!$A:$D, 4, 0)</f>
        <v>0.12</v>
      </c>
      <c r="W410" s="24">
        <f>VLOOKUP(I410, IMPOSTO!$A:$D, 4, 0)</f>
        <v>0.12</v>
      </c>
      <c r="X410" s="24">
        <f>VLOOKUP(J410, IMPOSTO!$A:$D, 4, 0)</f>
        <v>7.0000000000000007E-2</v>
      </c>
      <c r="Y410" s="24">
        <f>VLOOKUP(K410, IMPOSTO!$A:$D, 4, 0)</f>
        <v>0.12</v>
      </c>
      <c r="Z410" s="24">
        <f>VLOOKUP(L410, IMPOSTO!$A:$D, 4, 0)</f>
        <v>0.18</v>
      </c>
      <c r="AA410" s="24">
        <f>VLOOKUP(M410, IMPOSTO!$A:$D, 4, 0)</f>
        <v>0.12</v>
      </c>
      <c r="AB410" s="24">
        <f>VLOOKUP(N410, IMPOSTO!$A:$D, 4, 0)</f>
        <v>7.0000000000000007E-2</v>
      </c>
      <c r="AC410" s="25">
        <f t="shared" si="59"/>
        <v>65991.091981904276</v>
      </c>
      <c r="AD410" s="25">
        <f t="shared" si="60"/>
        <v>65991.660163722452</v>
      </c>
      <c r="AE410" s="25">
        <f t="shared" si="61"/>
        <v>62453.076283952432</v>
      </c>
      <c r="AF410" s="25">
        <f t="shared" si="62"/>
        <v>66072.341981904276</v>
      </c>
      <c r="AG410" s="25">
        <f t="shared" si="63"/>
        <v>70767.391395214334</v>
      </c>
      <c r="AH410" s="25">
        <f t="shared" si="64"/>
        <v>66039.160163722452</v>
      </c>
      <c r="AI410" s="25">
        <f t="shared" si="65"/>
        <v>62867.377359221253</v>
      </c>
    </row>
    <row r="411" spans="1:35" ht="15.75" customHeight="1">
      <c r="A411" s="12" t="s">
        <v>39</v>
      </c>
      <c r="B411" s="12" t="s">
        <v>40</v>
      </c>
      <c r="C411" s="12" t="s">
        <v>32</v>
      </c>
      <c r="D411" s="12" t="s">
        <v>33</v>
      </c>
      <c r="E411" s="12" t="s">
        <v>27</v>
      </c>
      <c r="F411" s="13">
        <v>423.12501078582432</v>
      </c>
      <c r="G411" s="14">
        <v>30800.79278513898</v>
      </c>
      <c r="H411" s="24" t="str">
        <f t="shared" si="58"/>
        <v>RJSP</v>
      </c>
      <c r="I411" s="24" t="str">
        <f t="shared" si="66"/>
        <v>RJMG</v>
      </c>
      <c r="J411" s="24" t="str">
        <f t="shared" si="66"/>
        <v>RJES</v>
      </c>
      <c r="K411" s="24" t="str">
        <f t="shared" si="66"/>
        <v>RJSC</v>
      </c>
      <c r="L411" s="24" t="str">
        <f t="shared" si="66"/>
        <v>RJRJ</v>
      </c>
      <c r="M411" s="24" t="str">
        <f t="shared" si="66"/>
        <v>RJPR</v>
      </c>
      <c r="N411" s="24" t="str">
        <f t="shared" si="66"/>
        <v>RJAM</v>
      </c>
      <c r="O411" s="24">
        <f>VLOOKUP(H411, KM!$A:$E, 5, 0)</f>
        <v>429</v>
      </c>
      <c r="P411" s="24">
        <f>VLOOKUP(I411, KM!$A:$E, 5, 0)</f>
        <v>434</v>
      </c>
      <c r="Q411" s="24">
        <f>VLOOKUP(J411, KM!$A:$E, 5, 0)</f>
        <v>521</v>
      </c>
      <c r="R411" s="24">
        <f>VLOOKUP(K411, KM!$A:$E, 5, 0)</f>
        <v>1144</v>
      </c>
      <c r="S411" s="24">
        <f>VLOOKUP(L411, KM!$A:$E, 5, 0)</f>
        <v>0</v>
      </c>
      <c r="T411" s="24">
        <f>VLOOKUP(M411, KM!$A:$E, 5, 0)</f>
        <v>852</v>
      </c>
      <c r="U411" s="24">
        <f>VLOOKUP(N411, KM!$A:$E, 5, 0)</f>
        <v>4374</v>
      </c>
      <c r="V411" s="24">
        <f>VLOOKUP(H411, IMPOSTO!$A:$D, 4, 0)</f>
        <v>0.12</v>
      </c>
      <c r="W411" s="24">
        <f>VLOOKUP(I411, IMPOSTO!$A:$D, 4, 0)</f>
        <v>0.12</v>
      </c>
      <c r="X411" s="24">
        <f>VLOOKUP(J411, IMPOSTO!$A:$D, 4, 0)</f>
        <v>7.0000000000000007E-2</v>
      </c>
      <c r="Y411" s="24">
        <f>VLOOKUP(K411, IMPOSTO!$A:$D, 4, 0)</f>
        <v>0.12</v>
      </c>
      <c r="Z411" s="24">
        <f>VLOOKUP(L411, IMPOSTO!$A:$D, 4, 0)</f>
        <v>0.18</v>
      </c>
      <c r="AA411" s="24">
        <f>VLOOKUP(M411, IMPOSTO!$A:$D, 4, 0)</f>
        <v>0.12</v>
      </c>
      <c r="AB411" s="24">
        <f>VLOOKUP(N411, IMPOSTO!$A:$D, 4, 0)</f>
        <v>7.0000000000000007E-2</v>
      </c>
      <c r="AC411" s="25">
        <f t="shared" si="59"/>
        <v>35049.65089220339</v>
      </c>
      <c r="AD411" s="25">
        <f t="shared" si="60"/>
        <v>35050.219074021566</v>
      </c>
      <c r="AE411" s="25">
        <f t="shared" si="61"/>
        <v>33175.153532407508</v>
      </c>
      <c r="AF411" s="25">
        <f t="shared" si="62"/>
        <v>35130.90089220339</v>
      </c>
      <c r="AG411" s="25">
        <f t="shared" si="63"/>
        <v>37561.942420901192</v>
      </c>
      <c r="AH411" s="25">
        <f t="shared" si="64"/>
        <v>35097.719074021566</v>
      </c>
      <c r="AI411" s="25">
        <f t="shared" si="65"/>
        <v>33589.454607676329</v>
      </c>
    </row>
    <row r="412" spans="1:35" ht="15.75" customHeight="1">
      <c r="A412" s="12" t="s">
        <v>467</v>
      </c>
      <c r="B412" s="12" t="s">
        <v>468</v>
      </c>
      <c r="C412" s="12" t="s">
        <v>192</v>
      </c>
      <c r="D412" s="12" t="s">
        <v>33</v>
      </c>
      <c r="E412" s="12" t="s">
        <v>27</v>
      </c>
      <c r="F412" s="13">
        <v>1025.9829999999999</v>
      </c>
      <c r="G412" s="14">
        <v>9205.6374869863012</v>
      </c>
      <c r="H412" s="24" t="str">
        <f t="shared" si="58"/>
        <v>RJSP</v>
      </c>
      <c r="I412" s="24" t="str">
        <f t="shared" si="66"/>
        <v>RJMG</v>
      </c>
      <c r="J412" s="24" t="str">
        <f t="shared" si="66"/>
        <v>RJES</v>
      </c>
      <c r="K412" s="24" t="str">
        <f t="shared" si="66"/>
        <v>RJSC</v>
      </c>
      <c r="L412" s="24" t="str">
        <f t="shared" si="66"/>
        <v>RJRJ</v>
      </c>
      <c r="M412" s="24" t="str">
        <f t="shared" si="66"/>
        <v>RJPR</v>
      </c>
      <c r="N412" s="24" t="str">
        <f t="shared" si="66"/>
        <v>RJAM</v>
      </c>
      <c r="O412" s="24">
        <f>VLOOKUP(H412, KM!$A:$E, 5, 0)</f>
        <v>429</v>
      </c>
      <c r="P412" s="24">
        <f>VLOOKUP(I412, KM!$A:$E, 5, 0)</f>
        <v>434</v>
      </c>
      <c r="Q412" s="24">
        <f>VLOOKUP(J412, KM!$A:$E, 5, 0)</f>
        <v>521</v>
      </c>
      <c r="R412" s="24">
        <f>VLOOKUP(K412, KM!$A:$E, 5, 0)</f>
        <v>1144</v>
      </c>
      <c r="S412" s="24">
        <f>VLOOKUP(L412, KM!$A:$E, 5, 0)</f>
        <v>0</v>
      </c>
      <c r="T412" s="24">
        <f>VLOOKUP(M412, KM!$A:$E, 5, 0)</f>
        <v>852</v>
      </c>
      <c r="U412" s="24">
        <f>VLOOKUP(N412, KM!$A:$E, 5, 0)</f>
        <v>4374</v>
      </c>
      <c r="V412" s="24">
        <f>VLOOKUP(H412, IMPOSTO!$A:$D, 4, 0)</f>
        <v>0.12</v>
      </c>
      <c r="W412" s="24">
        <f>VLOOKUP(I412, IMPOSTO!$A:$D, 4, 0)</f>
        <v>0.12</v>
      </c>
      <c r="X412" s="24">
        <f>VLOOKUP(J412, IMPOSTO!$A:$D, 4, 0)</f>
        <v>7.0000000000000007E-2</v>
      </c>
      <c r="Y412" s="24">
        <f>VLOOKUP(K412, IMPOSTO!$A:$D, 4, 0)</f>
        <v>0.12</v>
      </c>
      <c r="Z412" s="24">
        <f>VLOOKUP(L412, IMPOSTO!$A:$D, 4, 0)</f>
        <v>0.18</v>
      </c>
      <c r="AA412" s="24">
        <f>VLOOKUP(M412, IMPOSTO!$A:$D, 4, 0)</f>
        <v>0.12</v>
      </c>
      <c r="AB412" s="24">
        <f>VLOOKUP(N412, IMPOSTO!$A:$D, 4, 0)</f>
        <v>7.0000000000000007E-2</v>
      </c>
      <c r="AC412" s="25">
        <f t="shared" si="59"/>
        <v>10509.701689757159</v>
      </c>
      <c r="AD412" s="25">
        <f t="shared" si="60"/>
        <v>10510.269871575341</v>
      </c>
      <c r="AE412" s="25">
        <f t="shared" si="61"/>
        <v>9954.5564376196799</v>
      </c>
      <c r="AF412" s="25">
        <f t="shared" si="62"/>
        <v>10590.951689757159</v>
      </c>
      <c r="AG412" s="25">
        <f t="shared" si="63"/>
        <v>11226.387179251586</v>
      </c>
      <c r="AH412" s="25">
        <f t="shared" si="64"/>
        <v>10557.769871575343</v>
      </c>
      <c r="AI412" s="25">
        <f t="shared" si="65"/>
        <v>10368.857512888497</v>
      </c>
    </row>
    <row r="413" spans="1:35" ht="15.75" customHeight="1">
      <c r="A413" s="12" t="s">
        <v>469</v>
      </c>
      <c r="B413" s="12" t="s">
        <v>470</v>
      </c>
      <c r="C413" s="12" t="s">
        <v>232</v>
      </c>
      <c r="D413" s="12" t="s">
        <v>33</v>
      </c>
      <c r="E413" s="12" t="s">
        <v>27</v>
      </c>
      <c r="F413" s="13">
        <v>8</v>
      </c>
      <c r="G413" s="14">
        <v>672.93000000000006</v>
      </c>
      <c r="H413" s="24" t="str">
        <f t="shared" si="58"/>
        <v>RJSP</v>
      </c>
      <c r="I413" s="24" t="str">
        <f t="shared" si="66"/>
        <v>RJMG</v>
      </c>
      <c r="J413" s="24" t="str">
        <f t="shared" si="66"/>
        <v>RJES</v>
      </c>
      <c r="K413" s="24" t="str">
        <f t="shared" si="66"/>
        <v>RJSC</v>
      </c>
      <c r="L413" s="24" t="str">
        <f t="shared" si="66"/>
        <v>RJRJ</v>
      </c>
      <c r="M413" s="24" t="str">
        <f t="shared" si="66"/>
        <v>RJPR</v>
      </c>
      <c r="N413" s="24" t="str">
        <f t="shared" si="66"/>
        <v>RJAM</v>
      </c>
      <c r="O413" s="24">
        <f>VLOOKUP(H413, KM!$A:$E, 5, 0)</f>
        <v>429</v>
      </c>
      <c r="P413" s="24">
        <f>VLOOKUP(I413, KM!$A:$E, 5, 0)</f>
        <v>434</v>
      </c>
      <c r="Q413" s="24">
        <f>VLOOKUP(J413, KM!$A:$E, 5, 0)</f>
        <v>521</v>
      </c>
      <c r="R413" s="24">
        <f>VLOOKUP(K413, KM!$A:$E, 5, 0)</f>
        <v>1144</v>
      </c>
      <c r="S413" s="24">
        <f>VLOOKUP(L413, KM!$A:$E, 5, 0)</f>
        <v>0</v>
      </c>
      <c r="T413" s="24">
        <f>VLOOKUP(M413, KM!$A:$E, 5, 0)</f>
        <v>852</v>
      </c>
      <c r="U413" s="24">
        <f>VLOOKUP(N413, KM!$A:$E, 5, 0)</f>
        <v>4374</v>
      </c>
      <c r="V413" s="24">
        <f>VLOOKUP(H413, IMPOSTO!$A:$D, 4, 0)</f>
        <v>0.12</v>
      </c>
      <c r="W413" s="24">
        <f>VLOOKUP(I413, IMPOSTO!$A:$D, 4, 0)</f>
        <v>0.12</v>
      </c>
      <c r="X413" s="24">
        <f>VLOOKUP(J413, IMPOSTO!$A:$D, 4, 0)</f>
        <v>7.0000000000000007E-2</v>
      </c>
      <c r="Y413" s="24">
        <f>VLOOKUP(K413, IMPOSTO!$A:$D, 4, 0)</f>
        <v>0.12</v>
      </c>
      <c r="Z413" s="24">
        <f>VLOOKUP(L413, IMPOSTO!$A:$D, 4, 0)</f>
        <v>0.18</v>
      </c>
      <c r="AA413" s="24">
        <f>VLOOKUP(M413, IMPOSTO!$A:$D, 4, 0)</f>
        <v>0.12</v>
      </c>
      <c r="AB413" s="24">
        <f>VLOOKUP(N413, IMPOSTO!$A:$D, 4, 0)</f>
        <v>7.0000000000000007E-2</v>
      </c>
      <c r="AC413" s="25">
        <f t="shared" si="59"/>
        <v>813.44318181818187</v>
      </c>
      <c r="AD413" s="25">
        <f t="shared" si="60"/>
        <v>814.01136363636363</v>
      </c>
      <c r="AE413" s="25">
        <f t="shared" si="61"/>
        <v>779.60215053763454</v>
      </c>
      <c r="AF413" s="25">
        <f t="shared" si="62"/>
        <v>894.69318181818187</v>
      </c>
      <c r="AG413" s="25">
        <f t="shared" si="63"/>
        <v>820.64634146341461</v>
      </c>
      <c r="AH413" s="25">
        <f t="shared" si="64"/>
        <v>861.51136363636374</v>
      </c>
      <c r="AI413" s="25">
        <f t="shared" si="65"/>
        <v>1193.9032258064519</v>
      </c>
    </row>
    <row r="414" spans="1:35" ht="15.75" customHeight="1">
      <c r="A414" s="12" t="s">
        <v>469</v>
      </c>
      <c r="B414" s="12" t="s">
        <v>470</v>
      </c>
      <c r="C414" s="12" t="s">
        <v>232</v>
      </c>
      <c r="D414" s="12" t="s">
        <v>33</v>
      </c>
      <c r="E414" s="12" t="s">
        <v>27</v>
      </c>
      <c r="F414" s="13">
        <v>2</v>
      </c>
      <c r="G414" s="14">
        <v>181.82999999999998</v>
      </c>
      <c r="H414" s="24" t="str">
        <f t="shared" si="58"/>
        <v>RJSP</v>
      </c>
      <c r="I414" s="24" t="str">
        <f t="shared" si="66"/>
        <v>RJMG</v>
      </c>
      <c r="J414" s="24" t="str">
        <f t="shared" si="66"/>
        <v>RJES</v>
      </c>
      <c r="K414" s="24" t="str">
        <f t="shared" si="66"/>
        <v>RJSC</v>
      </c>
      <c r="L414" s="24" t="str">
        <f t="shared" si="66"/>
        <v>RJRJ</v>
      </c>
      <c r="M414" s="24" t="str">
        <f t="shared" si="66"/>
        <v>RJPR</v>
      </c>
      <c r="N414" s="24" t="str">
        <f t="shared" si="66"/>
        <v>RJAM</v>
      </c>
      <c r="O414" s="24">
        <f>VLOOKUP(H414, KM!$A:$E, 5, 0)</f>
        <v>429</v>
      </c>
      <c r="P414" s="24">
        <f>VLOOKUP(I414, KM!$A:$E, 5, 0)</f>
        <v>434</v>
      </c>
      <c r="Q414" s="24">
        <f>VLOOKUP(J414, KM!$A:$E, 5, 0)</f>
        <v>521</v>
      </c>
      <c r="R414" s="24">
        <f>VLOOKUP(K414, KM!$A:$E, 5, 0)</f>
        <v>1144</v>
      </c>
      <c r="S414" s="24">
        <f>VLOOKUP(L414, KM!$A:$E, 5, 0)</f>
        <v>0</v>
      </c>
      <c r="T414" s="24">
        <f>VLOOKUP(M414, KM!$A:$E, 5, 0)</f>
        <v>852</v>
      </c>
      <c r="U414" s="24">
        <f>VLOOKUP(N414, KM!$A:$E, 5, 0)</f>
        <v>4374</v>
      </c>
      <c r="V414" s="24">
        <f>VLOOKUP(H414, IMPOSTO!$A:$D, 4, 0)</f>
        <v>0.12</v>
      </c>
      <c r="W414" s="24">
        <f>VLOOKUP(I414, IMPOSTO!$A:$D, 4, 0)</f>
        <v>0.12</v>
      </c>
      <c r="X414" s="24">
        <f>VLOOKUP(J414, IMPOSTO!$A:$D, 4, 0)</f>
        <v>7.0000000000000007E-2</v>
      </c>
      <c r="Y414" s="24">
        <f>VLOOKUP(K414, IMPOSTO!$A:$D, 4, 0)</f>
        <v>0.12</v>
      </c>
      <c r="Z414" s="24">
        <f>VLOOKUP(L414, IMPOSTO!$A:$D, 4, 0)</f>
        <v>0.18</v>
      </c>
      <c r="AA414" s="24">
        <f>VLOOKUP(M414, IMPOSTO!$A:$D, 4, 0)</f>
        <v>0.12</v>
      </c>
      <c r="AB414" s="24">
        <f>VLOOKUP(N414, IMPOSTO!$A:$D, 4, 0)</f>
        <v>7.0000000000000007E-2</v>
      </c>
      <c r="AC414" s="25">
        <f t="shared" si="59"/>
        <v>255.375</v>
      </c>
      <c r="AD414" s="25">
        <f t="shared" si="60"/>
        <v>255.94318181818181</v>
      </c>
      <c r="AE414" s="25">
        <f t="shared" si="61"/>
        <v>251.53763440860214</v>
      </c>
      <c r="AF414" s="25">
        <f t="shared" si="62"/>
        <v>336.625</v>
      </c>
      <c r="AG414" s="25">
        <f t="shared" si="63"/>
        <v>221.74390243902437</v>
      </c>
      <c r="AH414" s="25">
        <f t="shared" si="64"/>
        <v>303.44318181818181</v>
      </c>
      <c r="AI414" s="25">
        <f t="shared" si="65"/>
        <v>665.83870967741939</v>
      </c>
    </row>
    <row r="415" spans="1:35" ht="15.75" customHeight="1">
      <c r="A415" s="12" t="s">
        <v>471</v>
      </c>
      <c r="B415" s="12" t="s">
        <v>472</v>
      </c>
      <c r="C415" s="12" t="s">
        <v>128</v>
      </c>
      <c r="D415" s="12" t="s">
        <v>33</v>
      </c>
      <c r="E415" s="12" t="s">
        <v>27</v>
      </c>
      <c r="F415" s="13">
        <v>79.344086021505376</v>
      </c>
      <c r="G415" s="14">
        <v>7678.4310752688179</v>
      </c>
      <c r="H415" s="24" t="str">
        <f t="shared" si="58"/>
        <v>RJSP</v>
      </c>
      <c r="I415" s="24" t="str">
        <f t="shared" si="66"/>
        <v>RJMG</v>
      </c>
      <c r="J415" s="24" t="str">
        <f t="shared" si="66"/>
        <v>RJES</v>
      </c>
      <c r="K415" s="24" t="str">
        <f t="shared" si="66"/>
        <v>RJSC</v>
      </c>
      <c r="L415" s="24" t="str">
        <f t="shared" si="66"/>
        <v>RJRJ</v>
      </c>
      <c r="M415" s="24" t="str">
        <f t="shared" si="66"/>
        <v>RJPR</v>
      </c>
      <c r="N415" s="24" t="str">
        <f t="shared" si="66"/>
        <v>RJAM</v>
      </c>
      <c r="O415" s="24">
        <f>VLOOKUP(H415, KM!$A:$E, 5, 0)</f>
        <v>429</v>
      </c>
      <c r="P415" s="24">
        <f>VLOOKUP(I415, KM!$A:$E, 5, 0)</f>
        <v>434</v>
      </c>
      <c r="Q415" s="24">
        <f>VLOOKUP(J415, KM!$A:$E, 5, 0)</f>
        <v>521</v>
      </c>
      <c r="R415" s="24">
        <f>VLOOKUP(K415, KM!$A:$E, 5, 0)</f>
        <v>1144</v>
      </c>
      <c r="S415" s="24">
        <f>VLOOKUP(L415, KM!$A:$E, 5, 0)</f>
        <v>0</v>
      </c>
      <c r="T415" s="24">
        <f>VLOOKUP(M415, KM!$A:$E, 5, 0)</f>
        <v>852</v>
      </c>
      <c r="U415" s="24">
        <f>VLOOKUP(N415, KM!$A:$E, 5, 0)</f>
        <v>4374</v>
      </c>
      <c r="V415" s="24">
        <f>VLOOKUP(H415, IMPOSTO!$A:$D, 4, 0)</f>
        <v>0.12</v>
      </c>
      <c r="W415" s="24">
        <f>VLOOKUP(I415, IMPOSTO!$A:$D, 4, 0)</f>
        <v>0.12</v>
      </c>
      <c r="X415" s="24">
        <f>VLOOKUP(J415, IMPOSTO!$A:$D, 4, 0)</f>
        <v>7.0000000000000007E-2</v>
      </c>
      <c r="Y415" s="24">
        <f>VLOOKUP(K415, IMPOSTO!$A:$D, 4, 0)</f>
        <v>0.12</v>
      </c>
      <c r="Z415" s="24">
        <f>VLOOKUP(L415, IMPOSTO!$A:$D, 4, 0)</f>
        <v>0.18</v>
      </c>
      <c r="AA415" s="24">
        <f>VLOOKUP(M415, IMPOSTO!$A:$D, 4, 0)</f>
        <v>0.12</v>
      </c>
      <c r="AB415" s="24">
        <f>VLOOKUP(N415, IMPOSTO!$A:$D, 4, 0)</f>
        <v>7.0000000000000007E-2</v>
      </c>
      <c r="AC415" s="25">
        <f t="shared" si="59"/>
        <v>8774.2398582600199</v>
      </c>
      <c r="AD415" s="25">
        <f t="shared" si="60"/>
        <v>8774.8080400782019</v>
      </c>
      <c r="AE415" s="25">
        <f t="shared" si="61"/>
        <v>8312.3990056653965</v>
      </c>
      <c r="AF415" s="25">
        <f t="shared" si="62"/>
        <v>8855.4898582600199</v>
      </c>
      <c r="AG415" s="25">
        <f t="shared" si="63"/>
        <v>9363.94033569368</v>
      </c>
      <c r="AH415" s="25">
        <f t="shared" si="64"/>
        <v>8822.3080400782019</v>
      </c>
      <c r="AI415" s="25">
        <f t="shared" si="65"/>
        <v>8726.7000809342135</v>
      </c>
    </row>
    <row r="416" spans="1:35" ht="15.75" customHeight="1">
      <c r="A416" s="12" t="s">
        <v>471</v>
      </c>
      <c r="B416" s="12" t="s">
        <v>472</v>
      </c>
      <c r="C416" s="12" t="s">
        <v>128</v>
      </c>
      <c r="D416" s="12" t="s">
        <v>33</v>
      </c>
      <c r="E416" s="12" t="s">
        <v>27</v>
      </c>
      <c r="F416" s="13">
        <v>77.655913978494624</v>
      </c>
      <c r="G416" s="14">
        <v>7488.5539247311817</v>
      </c>
      <c r="H416" s="24" t="str">
        <f t="shared" si="58"/>
        <v>RJSP</v>
      </c>
      <c r="I416" s="24" t="str">
        <f t="shared" si="66"/>
        <v>RJMG</v>
      </c>
      <c r="J416" s="24" t="str">
        <f t="shared" si="66"/>
        <v>RJES</v>
      </c>
      <c r="K416" s="24" t="str">
        <f t="shared" si="66"/>
        <v>RJSC</v>
      </c>
      <c r="L416" s="24" t="str">
        <f t="shared" si="66"/>
        <v>RJRJ</v>
      </c>
      <c r="M416" s="24" t="str">
        <f t="shared" si="66"/>
        <v>RJPR</v>
      </c>
      <c r="N416" s="24" t="str">
        <f t="shared" si="66"/>
        <v>RJAM</v>
      </c>
      <c r="O416" s="24">
        <f>VLOOKUP(H416, KM!$A:$E, 5, 0)</f>
        <v>429</v>
      </c>
      <c r="P416" s="24">
        <f>VLOOKUP(I416, KM!$A:$E, 5, 0)</f>
        <v>434</v>
      </c>
      <c r="Q416" s="24">
        <f>VLOOKUP(J416, KM!$A:$E, 5, 0)</f>
        <v>521</v>
      </c>
      <c r="R416" s="24">
        <f>VLOOKUP(K416, KM!$A:$E, 5, 0)</f>
        <v>1144</v>
      </c>
      <c r="S416" s="24">
        <f>VLOOKUP(L416, KM!$A:$E, 5, 0)</f>
        <v>0</v>
      </c>
      <c r="T416" s="24">
        <f>VLOOKUP(M416, KM!$A:$E, 5, 0)</f>
        <v>852</v>
      </c>
      <c r="U416" s="24">
        <f>VLOOKUP(N416, KM!$A:$E, 5, 0)</f>
        <v>4374</v>
      </c>
      <c r="V416" s="24">
        <f>VLOOKUP(H416, IMPOSTO!$A:$D, 4, 0)</f>
        <v>0.12</v>
      </c>
      <c r="W416" s="24">
        <f>VLOOKUP(I416, IMPOSTO!$A:$D, 4, 0)</f>
        <v>0.12</v>
      </c>
      <c r="X416" s="24">
        <f>VLOOKUP(J416, IMPOSTO!$A:$D, 4, 0)</f>
        <v>7.0000000000000007E-2</v>
      </c>
      <c r="Y416" s="24">
        <f>VLOOKUP(K416, IMPOSTO!$A:$D, 4, 0)</f>
        <v>0.12</v>
      </c>
      <c r="Z416" s="24">
        <f>VLOOKUP(L416, IMPOSTO!$A:$D, 4, 0)</f>
        <v>0.18</v>
      </c>
      <c r="AA416" s="24">
        <f>VLOOKUP(M416, IMPOSTO!$A:$D, 4, 0)</f>
        <v>0.12</v>
      </c>
      <c r="AB416" s="24">
        <f>VLOOKUP(N416, IMPOSTO!$A:$D, 4, 0)</f>
        <v>7.0000000000000007E-2</v>
      </c>
      <c r="AC416" s="25">
        <f t="shared" si="59"/>
        <v>8558.4703690127062</v>
      </c>
      <c r="AD416" s="25">
        <f t="shared" si="60"/>
        <v>8559.0385508308882</v>
      </c>
      <c r="AE416" s="25">
        <f t="shared" si="61"/>
        <v>8108.2300265926697</v>
      </c>
      <c r="AF416" s="25">
        <f t="shared" si="62"/>
        <v>8639.7203690127062</v>
      </c>
      <c r="AG416" s="25">
        <f t="shared" si="63"/>
        <v>9132.3828350380263</v>
      </c>
      <c r="AH416" s="25">
        <f t="shared" si="64"/>
        <v>8606.5385508308882</v>
      </c>
      <c r="AI416" s="25">
        <f t="shared" si="65"/>
        <v>8522.5311018614866</v>
      </c>
    </row>
    <row r="417" spans="1:35" ht="15.75" customHeight="1">
      <c r="A417" s="12" t="s">
        <v>473</v>
      </c>
      <c r="B417" s="12" t="s">
        <v>474</v>
      </c>
      <c r="C417" s="12" t="s">
        <v>89</v>
      </c>
      <c r="D417" s="12" t="s">
        <v>33</v>
      </c>
      <c r="E417" s="12" t="s">
        <v>27</v>
      </c>
      <c r="F417" s="13">
        <v>53.000000000000007</v>
      </c>
      <c r="G417" s="14">
        <v>6576.9202985074635</v>
      </c>
      <c r="H417" s="24" t="str">
        <f t="shared" si="58"/>
        <v>RJSP</v>
      </c>
      <c r="I417" s="24" t="str">
        <f t="shared" si="66"/>
        <v>RJMG</v>
      </c>
      <c r="J417" s="24" t="str">
        <f t="shared" si="66"/>
        <v>RJES</v>
      </c>
      <c r="K417" s="24" t="str">
        <f t="shared" si="66"/>
        <v>RJSC</v>
      </c>
      <c r="L417" s="24" t="str">
        <f t="shared" si="66"/>
        <v>RJRJ</v>
      </c>
      <c r="M417" s="24" t="str">
        <f t="shared" si="66"/>
        <v>RJPR</v>
      </c>
      <c r="N417" s="24" t="str">
        <f t="shared" si="66"/>
        <v>RJAM</v>
      </c>
      <c r="O417" s="24">
        <f>VLOOKUP(H417, KM!$A:$E, 5, 0)</f>
        <v>429</v>
      </c>
      <c r="P417" s="24">
        <f>VLOOKUP(I417, KM!$A:$E, 5, 0)</f>
        <v>434</v>
      </c>
      <c r="Q417" s="24">
        <f>VLOOKUP(J417, KM!$A:$E, 5, 0)</f>
        <v>521</v>
      </c>
      <c r="R417" s="24">
        <f>VLOOKUP(K417, KM!$A:$E, 5, 0)</f>
        <v>1144</v>
      </c>
      <c r="S417" s="24">
        <f>VLOOKUP(L417, KM!$A:$E, 5, 0)</f>
        <v>0</v>
      </c>
      <c r="T417" s="24">
        <f>VLOOKUP(M417, KM!$A:$E, 5, 0)</f>
        <v>852</v>
      </c>
      <c r="U417" s="24">
        <f>VLOOKUP(N417, KM!$A:$E, 5, 0)</f>
        <v>4374</v>
      </c>
      <c r="V417" s="24">
        <f>VLOOKUP(H417, IMPOSTO!$A:$D, 4, 0)</f>
        <v>0.12</v>
      </c>
      <c r="W417" s="24">
        <f>VLOOKUP(I417, IMPOSTO!$A:$D, 4, 0)</f>
        <v>0.12</v>
      </c>
      <c r="X417" s="24">
        <f>VLOOKUP(J417, IMPOSTO!$A:$D, 4, 0)</f>
        <v>7.0000000000000007E-2</v>
      </c>
      <c r="Y417" s="24">
        <f>VLOOKUP(K417, IMPOSTO!$A:$D, 4, 0)</f>
        <v>0.12</v>
      </c>
      <c r="Z417" s="24">
        <f>VLOOKUP(L417, IMPOSTO!$A:$D, 4, 0)</f>
        <v>0.18</v>
      </c>
      <c r="AA417" s="24">
        <f>VLOOKUP(M417, IMPOSTO!$A:$D, 4, 0)</f>
        <v>0.12</v>
      </c>
      <c r="AB417" s="24">
        <f>VLOOKUP(N417, IMPOSTO!$A:$D, 4, 0)</f>
        <v>7.0000000000000007E-2</v>
      </c>
      <c r="AC417" s="25">
        <f t="shared" si="59"/>
        <v>7522.5230664857536</v>
      </c>
      <c r="AD417" s="25">
        <f t="shared" si="60"/>
        <v>7523.0912483039356</v>
      </c>
      <c r="AE417" s="25">
        <f t="shared" si="61"/>
        <v>7127.9788155994238</v>
      </c>
      <c r="AF417" s="25">
        <f t="shared" si="62"/>
        <v>7603.7730664857536</v>
      </c>
      <c r="AG417" s="25">
        <f t="shared" si="63"/>
        <v>8020.6345103749545</v>
      </c>
      <c r="AH417" s="25">
        <f t="shared" si="64"/>
        <v>7570.5912483039356</v>
      </c>
      <c r="AI417" s="25">
        <f t="shared" si="65"/>
        <v>7542.2798908682407</v>
      </c>
    </row>
    <row r="418" spans="1:35" ht="15.75" customHeight="1">
      <c r="A418" s="12" t="s">
        <v>475</v>
      </c>
      <c r="B418" s="12" t="s">
        <v>476</v>
      </c>
      <c r="C418" s="12" t="s">
        <v>232</v>
      </c>
      <c r="D418" s="12" t="s">
        <v>33</v>
      </c>
      <c r="E418" s="12" t="s">
        <v>27</v>
      </c>
      <c r="F418" s="13">
        <v>12</v>
      </c>
      <c r="G418" s="14">
        <v>927.44999999999993</v>
      </c>
      <c r="H418" s="24" t="str">
        <f t="shared" si="58"/>
        <v>RJSP</v>
      </c>
      <c r="I418" s="24" t="str">
        <f t="shared" si="66"/>
        <v>RJMG</v>
      </c>
      <c r="J418" s="24" t="str">
        <f t="shared" si="66"/>
        <v>RJES</v>
      </c>
      <c r="K418" s="24" t="str">
        <f t="shared" si="66"/>
        <v>RJSC</v>
      </c>
      <c r="L418" s="24" t="str">
        <f t="shared" si="66"/>
        <v>RJRJ</v>
      </c>
      <c r="M418" s="24" t="str">
        <f t="shared" si="66"/>
        <v>RJPR</v>
      </c>
      <c r="N418" s="24" t="str">
        <f t="shared" si="66"/>
        <v>RJAM</v>
      </c>
      <c r="O418" s="24">
        <f>VLOOKUP(H418, KM!$A:$E, 5, 0)</f>
        <v>429</v>
      </c>
      <c r="P418" s="24">
        <f>VLOOKUP(I418, KM!$A:$E, 5, 0)</f>
        <v>434</v>
      </c>
      <c r="Q418" s="24">
        <f>VLOOKUP(J418, KM!$A:$E, 5, 0)</f>
        <v>521</v>
      </c>
      <c r="R418" s="24">
        <f>VLOOKUP(K418, KM!$A:$E, 5, 0)</f>
        <v>1144</v>
      </c>
      <c r="S418" s="24">
        <f>VLOOKUP(L418, KM!$A:$E, 5, 0)</f>
        <v>0</v>
      </c>
      <c r="T418" s="24">
        <f>VLOOKUP(M418, KM!$A:$E, 5, 0)</f>
        <v>852</v>
      </c>
      <c r="U418" s="24">
        <f>VLOOKUP(N418, KM!$A:$E, 5, 0)</f>
        <v>4374</v>
      </c>
      <c r="V418" s="24">
        <f>VLOOKUP(H418, IMPOSTO!$A:$D, 4, 0)</f>
        <v>0.12</v>
      </c>
      <c r="W418" s="24">
        <f>VLOOKUP(I418, IMPOSTO!$A:$D, 4, 0)</f>
        <v>0.12</v>
      </c>
      <c r="X418" s="24">
        <f>VLOOKUP(J418, IMPOSTO!$A:$D, 4, 0)</f>
        <v>7.0000000000000007E-2</v>
      </c>
      <c r="Y418" s="24">
        <f>VLOOKUP(K418, IMPOSTO!$A:$D, 4, 0)</f>
        <v>0.12</v>
      </c>
      <c r="Z418" s="24">
        <f>VLOOKUP(L418, IMPOSTO!$A:$D, 4, 0)</f>
        <v>0.18</v>
      </c>
      <c r="AA418" s="24">
        <f>VLOOKUP(M418, IMPOSTO!$A:$D, 4, 0)</f>
        <v>0.12</v>
      </c>
      <c r="AB418" s="24">
        <f>VLOOKUP(N418, IMPOSTO!$A:$D, 4, 0)</f>
        <v>7.0000000000000007E-2</v>
      </c>
      <c r="AC418" s="25">
        <f t="shared" si="59"/>
        <v>1102.6704545454545</v>
      </c>
      <c r="AD418" s="25">
        <f t="shared" si="60"/>
        <v>1103.2386363636363</v>
      </c>
      <c r="AE418" s="25">
        <f t="shared" si="61"/>
        <v>1053.2795698924731</v>
      </c>
      <c r="AF418" s="25">
        <f t="shared" si="62"/>
        <v>1183.9204545454545</v>
      </c>
      <c r="AG418" s="25">
        <f t="shared" si="63"/>
        <v>1131.0365853658534</v>
      </c>
      <c r="AH418" s="25">
        <f t="shared" si="64"/>
        <v>1150.7386363636363</v>
      </c>
      <c r="AI418" s="25">
        <f t="shared" si="65"/>
        <v>1467.5806451612902</v>
      </c>
    </row>
    <row r="419" spans="1:35" ht="15.75" customHeight="1">
      <c r="A419" s="12" t="s">
        <v>235</v>
      </c>
      <c r="B419" s="12" t="s">
        <v>236</v>
      </c>
      <c r="C419" s="12" t="s">
        <v>232</v>
      </c>
      <c r="D419" s="12" t="s">
        <v>33</v>
      </c>
      <c r="E419" s="12" t="s">
        <v>27</v>
      </c>
      <c r="F419" s="13">
        <v>2.25</v>
      </c>
      <c r="G419" s="14">
        <v>71.099999999999994</v>
      </c>
      <c r="H419" s="24" t="str">
        <f t="shared" si="58"/>
        <v>RJSP</v>
      </c>
      <c r="I419" s="24" t="str">
        <f t="shared" si="66"/>
        <v>RJMG</v>
      </c>
      <c r="J419" s="24" t="str">
        <f t="shared" si="66"/>
        <v>RJES</v>
      </c>
      <c r="K419" s="24" t="str">
        <f t="shared" si="66"/>
        <v>RJSC</v>
      </c>
      <c r="L419" s="24" t="str">
        <f t="shared" si="66"/>
        <v>RJRJ</v>
      </c>
      <c r="M419" s="24" t="str">
        <f t="shared" si="66"/>
        <v>RJPR</v>
      </c>
      <c r="N419" s="24" t="str">
        <f t="shared" si="66"/>
        <v>RJAM</v>
      </c>
      <c r="O419" s="24">
        <f>VLOOKUP(H419, KM!$A:$E, 5, 0)</f>
        <v>429</v>
      </c>
      <c r="P419" s="24">
        <f>VLOOKUP(I419, KM!$A:$E, 5, 0)</f>
        <v>434</v>
      </c>
      <c r="Q419" s="24">
        <f>VLOOKUP(J419, KM!$A:$E, 5, 0)</f>
        <v>521</v>
      </c>
      <c r="R419" s="24">
        <f>VLOOKUP(K419, KM!$A:$E, 5, 0)</f>
        <v>1144</v>
      </c>
      <c r="S419" s="24">
        <f>VLOOKUP(L419, KM!$A:$E, 5, 0)</f>
        <v>0</v>
      </c>
      <c r="T419" s="24">
        <f>VLOOKUP(M419, KM!$A:$E, 5, 0)</f>
        <v>852</v>
      </c>
      <c r="U419" s="24">
        <f>VLOOKUP(N419, KM!$A:$E, 5, 0)</f>
        <v>4374</v>
      </c>
      <c r="V419" s="24">
        <f>VLOOKUP(H419, IMPOSTO!$A:$D, 4, 0)</f>
        <v>0.12</v>
      </c>
      <c r="W419" s="24">
        <f>VLOOKUP(I419, IMPOSTO!$A:$D, 4, 0)</f>
        <v>0.12</v>
      </c>
      <c r="X419" s="24">
        <f>VLOOKUP(J419, IMPOSTO!$A:$D, 4, 0)</f>
        <v>7.0000000000000007E-2</v>
      </c>
      <c r="Y419" s="24">
        <f>VLOOKUP(K419, IMPOSTO!$A:$D, 4, 0)</f>
        <v>0.12</v>
      </c>
      <c r="Z419" s="24">
        <f>VLOOKUP(L419, IMPOSTO!$A:$D, 4, 0)</f>
        <v>0.18</v>
      </c>
      <c r="AA419" s="24">
        <f>VLOOKUP(M419, IMPOSTO!$A:$D, 4, 0)</f>
        <v>0.12</v>
      </c>
      <c r="AB419" s="24">
        <f>VLOOKUP(N419, IMPOSTO!$A:$D, 4, 0)</f>
        <v>7.0000000000000007E-2</v>
      </c>
      <c r="AC419" s="25">
        <f t="shared" si="59"/>
        <v>129.54545454545453</v>
      </c>
      <c r="AD419" s="25">
        <f t="shared" si="60"/>
        <v>130.11363636363637</v>
      </c>
      <c r="AE419" s="25">
        <f t="shared" si="61"/>
        <v>132.47311827956989</v>
      </c>
      <c r="AF419" s="25">
        <f t="shared" si="62"/>
        <v>210.79545454545453</v>
      </c>
      <c r="AG419" s="25">
        <f t="shared" si="63"/>
        <v>86.707317073170714</v>
      </c>
      <c r="AH419" s="25">
        <f t="shared" si="64"/>
        <v>177.61363636363637</v>
      </c>
      <c r="AI419" s="25">
        <f t="shared" si="65"/>
        <v>546.77419354838719</v>
      </c>
    </row>
    <row r="420" spans="1:35" ht="15.75" customHeight="1">
      <c r="A420" s="12" t="s">
        <v>477</v>
      </c>
      <c r="B420" s="12" t="s">
        <v>478</v>
      </c>
      <c r="C420" s="12" t="s">
        <v>232</v>
      </c>
      <c r="D420" s="12" t="s">
        <v>33</v>
      </c>
      <c r="E420" s="12" t="s">
        <v>27</v>
      </c>
      <c r="F420" s="13">
        <v>3.2417061611374409</v>
      </c>
      <c r="G420" s="14">
        <v>93.95545023696684</v>
      </c>
      <c r="H420" s="24" t="str">
        <f t="shared" si="58"/>
        <v>RJSP</v>
      </c>
      <c r="I420" s="24" t="str">
        <f t="shared" si="66"/>
        <v>RJMG</v>
      </c>
      <c r="J420" s="24" t="str">
        <f t="shared" si="66"/>
        <v>RJES</v>
      </c>
      <c r="K420" s="24" t="str">
        <f t="shared" si="66"/>
        <v>RJSC</v>
      </c>
      <c r="L420" s="24" t="str">
        <f t="shared" si="66"/>
        <v>RJRJ</v>
      </c>
      <c r="M420" s="24" t="str">
        <f t="shared" si="66"/>
        <v>RJPR</v>
      </c>
      <c r="N420" s="24" t="str">
        <f t="shared" si="66"/>
        <v>RJAM</v>
      </c>
      <c r="O420" s="24">
        <f>VLOOKUP(H420, KM!$A:$E, 5, 0)</f>
        <v>429</v>
      </c>
      <c r="P420" s="24">
        <f>VLOOKUP(I420, KM!$A:$E, 5, 0)</f>
        <v>434</v>
      </c>
      <c r="Q420" s="24">
        <f>VLOOKUP(J420, KM!$A:$E, 5, 0)</f>
        <v>521</v>
      </c>
      <c r="R420" s="24">
        <f>VLOOKUP(K420, KM!$A:$E, 5, 0)</f>
        <v>1144</v>
      </c>
      <c r="S420" s="24">
        <f>VLOOKUP(L420, KM!$A:$E, 5, 0)</f>
        <v>0</v>
      </c>
      <c r="T420" s="24">
        <f>VLOOKUP(M420, KM!$A:$E, 5, 0)</f>
        <v>852</v>
      </c>
      <c r="U420" s="24">
        <f>VLOOKUP(N420, KM!$A:$E, 5, 0)</f>
        <v>4374</v>
      </c>
      <c r="V420" s="24">
        <f>VLOOKUP(H420, IMPOSTO!$A:$D, 4, 0)</f>
        <v>0.12</v>
      </c>
      <c r="W420" s="24">
        <f>VLOOKUP(I420, IMPOSTO!$A:$D, 4, 0)</f>
        <v>0.12</v>
      </c>
      <c r="X420" s="24">
        <f>VLOOKUP(J420, IMPOSTO!$A:$D, 4, 0)</f>
        <v>7.0000000000000007E-2</v>
      </c>
      <c r="Y420" s="24">
        <f>VLOOKUP(K420, IMPOSTO!$A:$D, 4, 0)</f>
        <v>0.12</v>
      </c>
      <c r="Z420" s="24">
        <f>VLOOKUP(L420, IMPOSTO!$A:$D, 4, 0)</f>
        <v>0.18</v>
      </c>
      <c r="AA420" s="24">
        <f>VLOOKUP(M420, IMPOSTO!$A:$D, 4, 0)</f>
        <v>0.12</v>
      </c>
      <c r="AB420" s="24">
        <f>VLOOKUP(N420, IMPOSTO!$A:$D, 4, 0)</f>
        <v>7.0000000000000007E-2</v>
      </c>
      <c r="AC420" s="25">
        <f t="shared" si="59"/>
        <v>155.51755708746234</v>
      </c>
      <c r="AD420" s="25">
        <f t="shared" si="60"/>
        <v>156.08573890564415</v>
      </c>
      <c r="AE420" s="25">
        <f t="shared" si="61"/>
        <v>157.04887122254499</v>
      </c>
      <c r="AF420" s="25">
        <f t="shared" si="62"/>
        <v>236.76755708746234</v>
      </c>
      <c r="AG420" s="25">
        <f t="shared" si="63"/>
        <v>114.57981736215467</v>
      </c>
      <c r="AH420" s="25">
        <f t="shared" si="64"/>
        <v>203.58573890564412</v>
      </c>
      <c r="AI420" s="25">
        <f t="shared" si="65"/>
        <v>571.34994649136218</v>
      </c>
    </row>
    <row r="421" spans="1:35" ht="15.75" customHeight="1">
      <c r="A421" s="12" t="s">
        <v>477</v>
      </c>
      <c r="B421" s="12" t="s">
        <v>478</v>
      </c>
      <c r="C421" s="12" t="s">
        <v>232</v>
      </c>
      <c r="D421" s="12" t="s">
        <v>33</v>
      </c>
      <c r="E421" s="12" t="s">
        <v>27</v>
      </c>
      <c r="F421" s="13">
        <v>1.4407582938388626</v>
      </c>
      <c r="G421" s="14">
        <v>41.751374407582936</v>
      </c>
      <c r="H421" s="24" t="str">
        <f t="shared" si="58"/>
        <v>RJSP</v>
      </c>
      <c r="I421" s="24" t="str">
        <f t="shared" si="66"/>
        <v>RJMG</v>
      </c>
      <c r="J421" s="24" t="str">
        <f t="shared" si="66"/>
        <v>RJES</v>
      </c>
      <c r="K421" s="24" t="str">
        <f t="shared" si="66"/>
        <v>RJSC</v>
      </c>
      <c r="L421" s="24" t="str">
        <f t="shared" si="66"/>
        <v>RJRJ</v>
      </c>
      <c r="M421" s="24" t="str">
        <f t="shared" si="66"/>
        <v>RJPR</v>
      </c>
      <c r="N421" s="24" t="str">
        <f t="shared" si="66"/>
        <v>RJAM</v>
      </c>
      <c r="O421" s="24">
        <f>VLOOKUP(H421, KM!$A:$E, 5, 0)</f>
        <v>429</v>
      </c>
      <c r="P421" s="24">
        <f>VLOOKUP(I421, KM!$A:$E, 5, 0)</f>
        <v>434</v>
      </c>
      <c r="Q421" s="24">
        <f>VLOOKUP(J421, KM!$A:$E, 5, 0)</f>
        <v>521</v>
      </c>
      <c r="R421" s="24">
        <f>VLOOKUP(K421, KM!$A:$E, 5, 0)</f>
        <v>1144</v>
      </c>
      <c r="S421" s="24">
        <f>VLOOKUP(L421, KM!$A:$E, 5, 0)</f>
        <v>0</v>
      </c>
      <c r="T421" s="24">
        <f>VLOOKUP(M421, KM!$A:$E, 5, 0)</f>
        <v>852</v>
      </c>
      <c r="U421" s="24">
        <f>VLOOKUP(N421, KM!$A:$E, 5, 0)</f>
        <v>4374</v>
      </c>
      <c r="V421" s="24">
        <f>VLOOKUP(H421, IMPOSTO!$A:$D, 4, 0)</f>
        <v>0.12</v>
      </c>
      <c r="W421" s="24">
        <f>VLOOKUP(I421, IMPOSTO!$A:$D, 4, 0)</f>
        <v>0.12</v>
      </c>
      <c r="X421" s="24">
        <f>VLOOKUP(J421, IMPOSTO!$A:$D, 4, 0)</f>
        <v>7.0000000000000007E-2</v>
      </c>
      <c r="Y421" s="24">
        <f>VLOOKUP(K421, IMPOSTO!$A:$D, 4, 0)</f>
        <v>0.12</v>
      </c>
      <c r="Z421" s="24">
        <f>VLOOKUP(L421, IMPOSTO!$A:$D, 4, 0)</f>
        <v>0.18</v>
      </c>
      <c r="AA421" s="24">
        <f>VLOOKUP(M421, IMPOSTO!$A:$D, 4, 0)</f>
        <v>0.12</v>
      </c>
      <c r="AB421" s="24">
        <f>VLOOKUP(N421, IMPOSTO!$A:$D, 4, 0)</f>
        <v>7.0000000000000007E-2</v>
      </c>
      <c r="AC421" s="25">
        <f t="shared" si="59"/>
        <v>96.194743644980619</v>
      </c>
      <c r="AD421" s="25">
        <f t="shared" si="60"/>
        <v>96.762925463162446</v>
      </c>
      <c r="AE421" s="25">
        <f t="shared" si="61"/>
        <v>100.91545635223973</v>
      </c>
      <c r="AF421" s="25">
        <f t="shared" si="62"/>
        <v>177.44474364498063</v>
      </c>
      <c r="AG421" s="25">
        <f t="shared" si="63"/>
        <v>50.916310253149916</v>
      </c>
      <c r="AH421" s="25">
        <f t="shared" si="64"/>
        <v>144.26292546316242</v>
      </c>
      <c r="AI421" s="25">
        <f t="shared" si="65"/>
        <v>515.21653162105702</v>
      </c>
    </row>
    <row r="422" spans="1:35" ht="15.75" customHeight="1">
      <c r="A422" s="12" t="s">
        <v>477</v>
      </c>
      <c r="B422" s="12" t="s">
        <v>478</v>
      </c>
      <c r="C422" s="12" t="s">
        <v>232</v>
      </c>
      <c r="D422" s="12" t="s">
        <v>33</v>
      </c>
      <c r="E422" s="12" t="s">
        <v>27</v>
      </c>
      <c r="F422" s="13">
        <v>62.312796208530806</v>
      </c>
      <c r="G422" s="14">
        <v>1874.2500473933649</v>
      </c>
      <c r="H422" s="24" t="str">
        <f t="shared" si="58"/>
        <v>RJSP</v>
      </c>
      <c r="I422" s="24" t="str">
        <f t="shared" si="66"/>
        <v>RJMG</v>
      </c>
      <c r="J422" s="24" t="str">
        <f t="shared" si="66"/>
        <v>RJES</v>
      </c>
      <c r="K422" s="24" t="str">
        <f t="shared" si="66"/>
        <v>RJSC</v>
      </c>
      <c r="L422" s="24" t="str">
        <f t="shared" si="66"/>
        <v>RJRJ</v>
      </c>
      <c r="M422" s="24" t="str">
        <f t="shared" si="66"/>
        <v>RJPR</v>
      </c>
      <c r="N422" s="24" t="str">
        <f t="shared" si="66"/>
        <v>RJAM</v>
      </c>
      <c r="O422" s="24">
        <f>VLOOKUP(H422, KM!$A:$E, 5, 0)</f>
        <v>429</v>
      </c>
      <c r="P422" s="24">
        <f>VLOOKUP(I422, KM!$A:$E, 5, 0)</f>
        <v>434</v>
      </c>
      <c r="Q422" s="24">
        <f>VLOOKUP(J422, KM!$A:$E, 5, 0)</f>
        <v>521</v>
      </c>
      <c r="R422" s="24">
        <f>VLOOKUP(K422, KM!$A:$E, 5, 0)</f>
        <v>1144</v>
      </c>
      <c r="S422" s="24">
        <f>VLOOKUP(L422, KM!$A:$E, 5, 0)</f>
        <v>0</v>
      </c>
      <c r="T422" s="24">
        <f>VLOOKUP(M422, KM!$A:$E, 5, 0)</f>
        <v>852</v>
      </c>
      <c r="U422" s="24">
        <f>VLOOKUP(N422, KM!$A:$E, 5, 0)</f>
        <v>4374</v>
      </c>
      <c r="V422" s="24">
        <f>VLOOKUP(H422, IMPOSTO!$A:$D, 4, 0)</f>
        <v>0.12</v>
      </c>
      <c r="W422" s="24">
        <f>VLOOKUP(I422, IMPOSTO!$A:$D, 4, 0)</f>
        <v>0.12</v>
      </c>
      <c r="X422" s="24">
        <f>VLOOKUP(J422, IMPOSTO!$A:$D, 4, 0)</f>
        <v>7.0000000000000007E-2</v>
      </c>
      <c r="Y422" s="24">
        <f>VLOOKUP(K422, IMPOSTO!$A:$D, 4, 0)</f>
        <v>0.12</v>
      </c>
      <c r="Z422" s="24">
        <f>VLOOKUP(L422, IMPOSTO!$A:$D, 4, 0)</f>
        <v>0.18</v>
      </c>
      <c r="AA422" s="24">
        <f>VLOOKUP(M422, IMPOSTO!$A:$D, 4, 0)</f>
        <v>0.12</v>
      </c>
      <c r="AB422" s="24">
        <f>VLOOKUP(N422, IMPOSTO!$A:$D, 4, 0)</f>
        <v>7.0000000000000007E-2</v>
      </c>
      <c r="AC422" s="25">
        <f t="shared" si="59"/>
        <v>2178.5795993106422</v>
      </c>
      <c r="AD422" s="25">
        <f t="shared" si="60"/>
        <v>2179.1477811288237</v>
      </c>
      <c r="AE422" s="25">
        <f t="shared" si="61"/>
        <v>2071.344136982113</v>
      </c>
      <c r="AF422" s="25">
        <f t="shared" si="62"/>
        <v>2259.8295993106422</v>
      </c>
      <c r="AG422" s="25">
        <f t="shared" si="63"/>
        <v>2285.6707895041031</v>
      </c>
      <c r="AH422" s="25">
        <f t="shared" si="64"/>
        <v>2226.6477811288237</v>
      </c>
      <c r="AI422" s="25">
        <f t="shared" si="65"/>
        <v>2485.6452122509299</v>
      </c>
    </row>
    <row r="423" spans="1:35" ht="15.75" customHeight="1">
      <c r="A423" s="12" t="s">
        <v>479</v>
      </c>
      <c r="B423" s="12" t="s">
        <v>480</v>
      </c>
      <c r="C423" s="12" t="s">
        <v>57</v>
      </c>
      <c r="D423" s="12" t="s">
        <v>33</v>
      </c>
      <c r="E423" s="12" t="s">
        <v>27</v>
      </c>
      <c r="F423" s="13">
        <v>113.25840000000005</v>
      </c>
      <c r="G423" s="14">
        <v>4605.8106716581924</v>
      </c>
      <c r="H423" s="24" t="str">
        <f t="shared" si="58"/>
        <v>RJSP</v>
      </c>
      <c r="I423" s="24" t="str">
        <f t="shared" si="66"/>
        <v>RJMG</v>
      </c>
      <c r="J423" s="24" t="str">
        <f t="shared" si="66"/>
        <v>RJES</v>
      </c>
      <c r="K423" s="24" t="str">
        <f t="shared" si="66"/>
        <v>RJSC</v>
      </c>
      <c r="L423" s="24" t="str">
        <f t="shared" si="66"/>
        <v>RJRJ</v>
      </c>
      <c r="M423" s="24" t="str">
        <f t="shared" si="66"/>
        <v>RJPR</v>
      </c>
      <c r="N423" s="24" t="str">
        <f t="shared" si="66"/>
        <v>RJAM</v>
      </c>
      <c r="O423" s="24">
        <f>VLOOKUP(H423, KM!$A:$E, 5, 0)</f>
        <v>429</v>
      </c>
      <c r="P423" s="24">
        <f>VLOOKUP(I423, KM!$A:$E, 5, 0)</f>
        <v>434</v>
      </c>
      <c r="Q423" s="24">
        <f>VLOOKUP(J423, KM!$A:$E, 5, 0)</f>
        <v>521</v>
      </c>
      <c r="R423" s="24">
        <f>VLOOKUP(K423, KM!$A:$E, 5, 0)</f>
        <v>1144</v>
      </c>
      <c r="S423" s="24">
        <f>VLOOKUP(L423, KM!$A:$E, 5, 0)</f>
        <v>0</v>
      </c>
      <c r="T423" s="24">
        <f>VLOOKUP(M423, KM!$A:$E, 5, 0)</f>
        <v>852</v>
      </c>
      <c r="U423" s="24">
        <f>VLOOKUP(N423, KM!$A:$E, 5, 0)</f>
        <v>4374</v>
      </c>
      <c r="V423" s="24">
        <f>VLOOKUP(H423, IMPOSTO!$A:$D, 4, 0)</f>
        <v>0.12</v>
      </c>
      <c r="W423" s="24">
        <f>VLOOKUP(I423, IMPOSTO!$A:$D, 4, 0)</f>
        <v>0.12</v>
      </c>
      <c r="X423" s="24">
        <f>VLOOKUP(J423, IMPOSTO!$A:$D, 4, 0)</f>
        <v>7.0000000000000007E-2</v>
      </c>
      <c r="Y423" s="24">
        <f>VLOOKUP(K423, IMPOSTO!$A:$D, 4, 0)</f>
        <v>0.12</v>
      </c>
      <c r="Z423" s="24">
        <f>VLOOKUP(L423, IMPOSTO!$A:$D, 4, 0)</f>
        <v>0.18</v>
      </c>
      <c r="AA423" s="24">
        <f>VLOOKUP(M423, IMPOSTO!$A:$D, 4, 0)</f>
        <v>0.12</v>
      </c>
      <c r="AB423" s="24">
        <f>VLOOKUP(N423, IMPOSTO!$A:$D, 4, 0)</f>
        <v>7.0000000000000007E-2</v>
      </c>
      <c r="AC423" s="25">
        <f t="shared" si="59"/>
        <v>5282.6257632479455</v>
      </c>
      <c r="AD423" s="25">
        <f t="shared" si="60"/>
        <v>5283.1939450661275</v>
      </c>
      <c r="AE423" s="25">
        <f t="shared" si="61"/>
        <v>5008.5060985571972</v>
      </c>
      <c r="AF423" s="25">
        <f t="shared" si="62"/>
        <v>5363.8757632479455</v>
      </c>
      <c r="AG423" s="25">
        <f t="shared" si="63"/>
        <v>5616.8422825099906</v>
      </c>
      <c r="AH423" s="25">
        <f t="shared" si="64"/>
        <v>5330.6939450661275</v>
      </c>
      <c r="AI423" s="25">
        <f t="shared" si="65"/>
        <v>5422.8071738260132</v>
      </c>
    </row>
    <row r="424" spans="1:35" ht="15.75" customHeight="1">
      <c r="A424" s="12" t="s">
        <v>481</v>
      </c>
      <c r="B424" s="12" t="s">
        <v>482</v>
      </c>
      <c r="C424" s="12" t="s">
        <v>81</v>
      </c>
      <c r="D424" s="12" t="s">
        <v>50</v>
      </c>
      <c r="E424" s="12" t="s">
        <v>27</v>
      </c>
      <c r="F424" s="13">
        <v>480.70210200927352</v>
      </c>
      <c r="G424" s="14">
        <v>49494.471013682487</v>
      </c>
      <c r="H424" s="24" t="str">
        <f t="shared" si="58"/>
        <v>RJSP</v>
      </c>
      <c r="I424" s="24" t="str">
        <f t="shared" si="66"/>
        <v>RJMG</v>
      </c>
      <c r="J424" s="24" t="str">
        <f t="shared" si="66"/>
        <v>RJES</v>
      </c>
      <c r="K424" s="24" t="str">
        <f t="shared" si="66"/>
        <v>RJSC</v>
      </c>
      <c r="L424" s="24" t="str">
        <f t="shared" si="66"/>
        <v>RJRJ</v>
      </c>
      <c r="M424" s="24" t="str">
        <f t="shared" si="66"/>
        <v>RJPR</v>
      </c>
      <c r="N424" s="24" t="str">
        <f t="shared" si="66"/>
        <v>RJAM</v>
      </c>
      <c r="O424" s="24">
        <f>VLOOKUP(H424, KM!$A:$E, 5, 0)</f>
        <v>429</v>
      </c>
      <c r="P424" s="24">
        <f>VLOOKUP(I424, KM!$A:$E, 5, 0)</f>
        <v>434</v>
      </c>
      <c r="Q424" s="24">
        <f>VLOOKUP(J424, KM!$A:$E, 5, 0)</f>
        <v>521</v>
      </c>
      <c r="R424" s="24">
        <f>VLOOKUP(K424, KM!$A:$E, 5, 0)</f>
        <v>1144</v>
      </c>
      <c r="S424" s="24">
        <f>VLOOKUP(L424, KM!$A:$E, 5, 0)</f>
        <v>0</v>
      </c>
      <c r="T424" s="24">
        <f>VLOOKUP(M424, KM!$A:$E, 5, 0)</f>
        <v>852</v>
      </c>
      <c r="U424" s="24">
        <f>VLOOKUP(N424, KM!$A:$E, 5, 0)</f>
        <v>4374</v>
      </c>
      <c r="V424" s="24">
        <f>VLOOKUP(H424, IMPOSTO!$A:$D, 4, 0)</f>
        <v>0.12</v>
      </c>
      <c r="W424" s="24">
        <f>VLOOKUP(I424, IMPOSTO!$A:$D, 4, 0)</f>
        <v>0.12</v>
      </c>
      <c r="X424" s="24">
        <f>VLOOKUP(J424, IMPOSTO!$A:$D, 4, 0)</f>
        <v>7.0000000000000007E-2</v>
      </c>
      <c r="Y424" s="24">
        <f>VLOOKUP(K424, IMPOSTO!$A:$D, 4, 0)</f>
        <v>0.12</v>
      </c>
      <c r="Z424" s="24">
        <f>VLOOKUP(L424, IMPOSTO!$A:$D, 4, 0)</f>
        <v>0.18</v>
      </c>
      <c r="AA424" s="24">
        <f>VLOOKUP(M424, IMPOSTO!$A:$D, 4, 0)</f>
        <v>0.12</v>
      </c>
      <c r="AB424" s="24">
        <f>VLOOKUP(N424, IMPOSTO!$A:$D, 4, 0)</f>
        <v>7.0000000000000007E-2</v>
      </c>
      <c r="AC424" s="25">
        <f t="shared" si="59"/>
        <v>56292.467061002826</v>
      </c>
      <c r="AD424" s="25">
        <f t="shared" si="60"/>
        <v>56293.03524282101</v>
      </c>
      <c r="AE424" s="25">
        <f t="shared" si="61"/>
        <v>53275.882810411276</v>
      </c>
      <c r="AF424" s="25">
        <f t="shared" si="62"/>
        <v>56373.717061002826</v>
      </c>
      <c r="AG424" s="25">
        <f t="shared" si="63"/>
        <v>60359.110992295711</v>
      </c>
      <c r="AH424" s="25">
        <f t="shared" si="64"/>
        <v>56340.535242821003</v>
      </c>
      <c r="AI424" s="25">
        <f t="shared" si="65"/>
        <v>53690.183885680097</v>
      </c>
    </row>
    <row r="425" spans="1:35" ht="15.75" customHeight="1">
      <c r="A425" s="12" t="s">
        <v>129</v>
      </c>
      <c r="B425" s="12" t="s">
        <v>130</v>
      </c>
      <c r="C425" s="12" t="s">
        <v>69</v>
      </c>
      <c r="D425" s="12" t="s">
        <v>33</v>
      </c>
      <c r="E425" s="12" t="s">
        <v>27</v>
      </c>
      <c r="F425" s="13">
        <v>12.994800000000001</v>
      </c>
      <c r="G425" s="14">
        <v>2694.7516679999999</v>
      </c>
      <c r="H425" s="24" t="str">
        <f t="shared" si="58"/>
        <v>RJSP</v>
      </c>
      <c r="I425" s="24" t="str">
        <f t="shared" si="66"/>
        <v>RJMG</v>
      </c>
      <c r="J425" s="24" t="str">
        <f t="shared" si="66"/>
        <v>RJES</v>
      </c>
      <c r="K425" s="24" t="str">
        <f t="shared" si="66"/>
        <v>RJSC</v>
      </c>
      <c r="L425" s="24" t="str">
        <f t="shared" si="66"/>
        <v>RJRJ</v>
      </c>
      <c r="M425" s="24" t="str">
        <f t="shared" si="66"/>
        <v>RJPR</v>
      </c>
      <c r="N425" s="24" t="str">
        <f t="shared" si="66"/>
        <v>RJAM</v>
      </c>
      <c r="O425" s="24">
        <f>VLOOKUP(H425, KM!$A:$E, 5, 0)</f>
        <v>429</v>
      </c>
      <c r="P425" s="24">
        <f>VLOOKUP(I425, KM!$A:$E, 5, 0)</f>
        <v>434</v>
      </c>
      <c r="Q425" s="24">
        <f>VLOOKUP(J425, KM!$A:$E, 5, 0)</f>
        <v>521</v>
      </c>
      <c r="R425" s="24">
        <f>VLOOKUP(K425, KM!$A:$E, 5, 0)</f>
        <v>1144</v>
      </c>
      <c r="S425" s="24">
        <f>VLOOKUP(L425, KM!$A:$E, 5, 0)</f>
        <v>0</v>
      </c>
      <c r="T425" s="24">
        <f>VLOOKUP(M425, KM!$A:$E, 5, 0)</f>
        <v>852</v>
      </c>
      <c r="U425" s="24">
        <f>VLOOKUP(N425, KM!$A:$E, 5, 0)</f>
        <v>4374</v>
      </c>
      <c r="V425" s="24">
        <f>VLOOKUP(H425, IMPOSTO!$A:$D, 4, 0)</f>
        <v>0.12</v>
      </c>
      <c r="W425" s="24">
        <f>VLOOKUP(I425, IMPOSTO!$A:$D, 4, 0)</f>
        <v>0.12</v>
      </c>
      <c r="X425" s="24">
        <f>VLOOKUP(J425, IMPOSTO!$A:$D, 4, 0)</f>
        <v>7.0000000000000007E-2</v>
      </c>
      <c r="Y425" s="24">
        <f>VLOOKUP(K425, IMPOSTO!$A:$D, 4, 0)</f>
        <v>0.12</v>
      </c>
      <c r="Z425" s="24">
        <f>VLOOKUP(L425, IMPOSTO!$A:$D, 4, 0)</f>
        <v>0.18</v>
      </c>
      <c r="AA425" s="24">
        <f>VLOOKUP(M425, IMPOSTO!$A:$D, 4, 0)</f>
        <v>0.12</v>
      </c>
      <c r="AB425" s="24">
        <f>VLOOKUP(N425, IMPOSTO!$A:$D, 4, 0)</f>
        <v>7.0000000000000007E-2</v>
      </c>
      <c r="AC425" s="25">
        <f t="shared" si="59"/>
        <v>3110.9678045454543</v>
      </c>
      <c r="AD425" s="25">
        <f t="shared" si="60"/>
        <v>3111.5359863636363</v>
      </c>
      <c r="AE425" s="25">
        <f t="shared" si="61"/>
        <v>2953.6039440860213</v>
      </c>
      <c r="AF425" s="25">
        <f t="shared" si="62"/>
        <v>3192.2178045454543</v>
      </c>
      <c r="AG425" s="25">
        <f t="shared" si="63"/>
        <v>3286.2825219512192</v>
      </c>
      <c r="AH425" s="25">
        <f t="shared" si="64"/>
        <v>3159.0359863636359</v>
      </c>
      <c r="AI425" s="25">
        <f t="shared" si="65"/>
        <v>3367.9050193548387</v>
      </c>
    </row>
    <row r="426" spans="1:35" ht="15.75" customHeight="1">
      <c r="A426" s="12" t="s">
        <v>312</v>
      </c>
      <c r="B426" s="12" t="s">
        <v>313</v>
      </c>
      <c r="C426" s="12" t="s">
        <v>314</v>
      </c>
      <c r="D426" s="12" t="s">
        <v>33</v>
      </c>
      <c r="E426" s="12" t="s">
        <v>27</v>
      </c>
      <c r="F426" s="13">
        <v>1.9994000000000001</v>
      </c>
      <c r="G426" s="14">
        <v>40.647802000000006</v>
      </c>
      <c r="H426" s="24" t="str">
        <f t="shared" si="58"/>
        <v>RJSP</v>
      </c>
      <c r="I426" s="24" t="str">
        <f t="shared" si="66"/>
        <v>RJMG</v>
      </c>
      <c r="J426" s="24" t="str">
        <f t="shared" si="66"/>
        <v>RJES</v>
      </c>
      <c r="K426" s="24" t="str">
        <f t="shared" si="66"/>
        <v>RJSC</v>
      </c>
      <c r="L426" s="24" t="str">
        <f t="shared" si="66"/>
        <v>RJRJ</v>
      </c>
      <c r="M426" s="24" t="str">
        <f t="shared" si="66"/>
        <v>RJPR</v>
      </c>
      <c r="N426" s="24" t="str">
        <f t="shared" si="66"/>
        <v>RJAM</v>
      </c>
      <c r="O426" s="24">
        <f>VLOOKUP(H426, KM!$A:$E, 5, 0)</f>
        <v>429</v>
      </c>
      <c r="P426" s="24">
        <f>VLOOKUP(I426, KM!$A:$E, 5, 0)</f>
        <v>434</v>
      </c>
      <c r="Q426" s="24">
        <f>VLOOKUP(J426, KM!$A:$E, 5, 0)</f>
        <v>521</v>
      </c>
      <c r="R426" s="24">
        <f>VLOOKUP(K426, KM!$A:$E, 5, 0)</f>
        <v>1144</v>
      </c>
      <c r="S426" s="24">
        <f>VLOOKUP(L426, KM!$A:$E, 5, 0)</f>
        <v>0</v>
      </c>
      <c r="T426" s="24">
        <f>VLOOKUP(M426, KM!$A:$E, 5, 0)</f>
        <v>852</v>
      </c>
      <c r="U426" s="24">
        <f>VLOOKUP(N426, KM!$A:$E, 5, 0)</f>
        <v>4374</v>
      </c>
      <c r="V426" s="24">
        <f>VLOOKUP(H426, IMPOSTO!$A:$D, 4, 0)</f>
        <v>0.12</v>
      </c>
      <c r="W426" s="24">
        <f>VLOOKUP(I426, IMPOSTO!$A:$D, 4, 0)</f>
        <v>0.12</v>
      </c>
      <c r="X426" s="24">
        <f>VLOOKUP(J426, IMPOSTO!$A:$D, 4, 0)</f>
        <v>7.0000000000000007E-2</v>
      </c>
      <c r="Y426" s="24">
        <f>VLOOKUP(K426, IMPOSTO!$A:$D, 4, 0)</f>
        <v>0.12</v>
      </c>
      <c r="Z426" s="24">
        <f>VLOOKUP(L426, IMPOSTO!$A:$D, 4, 0)</f>
        <v>0.18</v>
      </c>
      <c r="AA426" s="24">
        <f>VLOOKUP(M426, IMPOSTO!$A:$D, 4, 0)</f>
        <v>0.12</v>
      </c>
      <c r="AB426" s="24">
        <f>VLOOKUP(N426, IMPOSTO!$A:$D, 4, 0)</f>
        <v>7.0000000000000007E-2</v>
      </c>
      <c r="AC426" s="25">
        <f t="shared" si="59"/>
        <v>94.940684090909116</v>
      </c>
      <c r="AD426" s="25">
        <f t="shared" si="60"/>
        <v>95.508865909090929</v>
      </c>
      <c r="AE426" s="25">
        <f t="shared" si="61"/>
        <v>99.72881935483872</v>
      </c>
      <c r="AF426" s="25">
        <f t="shared" si="62"/>
        <v>176.19068409090912</v>
      </c>
      <c r="AG426" s="25">
        <f t="shared" si="63"/>
        <v>49.570490243902441</v>
      </c>
      <c r="AH426" s="25">
        <f t="shared" si="64"/>
        <v>143.0088659090909</v>
      </c>
      <c r="AI426" s="25">
        <f t="shared" si="65"/>
        <v>514.02989462365599</v>
      </c>
    </row>
    <row r="427" spans="1:35" ht="15.75" customHeight="1">
      <c r="A427" s="12" t="s">
        <v>319</v>
      </c>
      <c r="B427" s="12" t="s">
        <v>320</v>
      </c>
      <c r="C427" s="12" t="s">
        <v>104</v>
      </c>
      <c r="D427" s="12" t="s">
        <v>33</v>
      </c>
      <c r="E427" s="12" t="s">
        <v>27</v>
      </c>
      <c r="F427" s="13">
        <v>1.5599999999999999E-2</v>
      </c>
      <c r="G427" s="14">
        <v>0.28926299999999994</v>
      </c>
      <c r="H427" s="24" t="str">
        <f t="shared" si="58"/>
        <v>RJSP</v>
      </c>
      <c r="I427" s="24" t="str">
        <f t="shared" si="66"/>
        <v>RJMG</v>
      </c>
      <c r="J427" s="24" t="str">
        <f t="shared" si="66"/>
        <v>RJES</v>
      </c>
      <c r="K427" s="24" t="str">
        <f t="shared" si="66"/>
        <v>RJSC</v>
      </c>
      <c r="L427" s="24" t="str">
        <f t="shared" si="66"/>
        <v>RJRJ</v>
      </c>
      <c r="M427" s="24" t="str">
        <f t="shared" si="66"/>
        <v>RJPR</v>
      </c>
      <c r="N427" s="24" t="str">
        <f t="shared" si="66"/>
        <v>RJAM</v>
      </c>
      <c r="O427" s="24">
        <f>VLOOKUP(H427, KM!$A:$E, 5, 0)</f>
        <v>429</v>
      </c>
      <c r="P427" s="24">
        <f>VLOOKUP(I427, KM!$A:$E, 5, 0)</f>
        <v>434</v>
      </c>
      <c r="Q427" s="24">
        <f>VLOOKUP(J427, KM!$A:$E, 5, 0)</f>
        <v>521</v>
      </c>
      <c r="R427" s="24">
        <f>VLOOKUP(K427, KM!$A:$E, 5, 0)</f>
        <v>1144</v>
      </c>
      <c r="S427" s="24">
        <f>VLOOKUP(L427, KM!$A:$E, 5, 0)</f>
        <v>0</v>
      </c>
      <c r="T427" s="24">
        <f>VLOOKUP(M427, KM!$A:$E, 5, 0)</f>
        <v>852</v>
      </c>
      <c r="U427" s="24">
        <f>VLOOKUP(N427, KM!$A:$E, 5, 0)</f>
        <v>4374</v>
      </c>
      <c r="V427" s="24">
        <f>VLOOKUP(H427, IMPOSTO!$A:$D, 4, 0)</f>
        <v>0.12</v>
      </c>
      <c r="W427" s="24">
        <f>VLOOKUP(I427, IMPOSTO!$A:$D, 4, 0)</f>
        <v>0.12</v>
      </c>
      <c r="X427" s="24">
        <f>VLOOKUP(J427, IMPOSTO!$A:$D, 4, 0)</f>
        <v>7.0000000000000007E-2</v>
      </c>
      <c r="Y427" s="24">
        <f>VLOOKUP(K427, IMPOSTO!$A:$D, 4, 0)</f>
        <v>0.12</v>
      </c>
      <c r="Z427" s="24">
        <f>VLOOKUP(L427, IMPOSTO!$A:$D, 4, 0)</f>
        <v>0.18</v>
      </c>
      <c r="AA427" s="24">
        <f>VLOOKUP(M427, IMPOSTO!$A:$D, 4, 0)</f>
        <v>0.12</v>
      </c>
      <c r="AB427" s="24">
        <f>VLOOKUP(N427, IMPOSTO!$A:$D, 4, 0)</f>
        <v>7.0000000000000007E-2</v>
      </c>
      <c r="AC427" s="25">
        <f t="shared" si="59"/>
        <v>49.078707954545457</v>
      </c>
      <c r="AD427" s="25">
        <f t="shared" si="60"/>
        <v>49.646889772727278</v>
      </c>
      <c r="AE427" s="25">
        <f t="shared" si="61"/>
        <v>56.332540860215055</v>
      </c>
      <c r="AF427" s="25">
        <f t="shared" si="62"/>
        <v>130.32870795454548</v>
      </c>
      <c r="AG427" s="25">
        <f t="shared" si="63"/>
        <v>0.35275975609756088</v>
      </c>
      <c r="AH427" s="25">
        <f t="shared" si="64"/>
        <v>97.146889772727278</v>
      </c>
      <c r="AI427" s="25">
        <f t="shared" si="65"/>
        <v>470.6336161290323</v>
      </c>
    </row>
    <row r="428" spans="1:35" ht="15.75" customHeight="1">
      <c r="A428" s="12" t="s">
        <v>321</v>
      </c>
      <c r="B428" s="12" t="s">
        <v>322</v>
      </c>
      <c r="C428" s="12" t="s">
        <v>104</v>
      </c>
      <c r="D428" s="12" t="s">
        <v>33</v>
      </c>
      <c r="E428" s="12" t="s">
        <v>27</v>
      </c>
      <c r="F428" s="13">
        <v>1.5599999999999999E-2</v>
      </c>
      <c r="G428" s="14">
        <v>0.12986999999999999</v>
      </c>
      <c r="H428" s="24" t="str">
        <f t="shared" si="58"/>
        <v>RJSP</v>
      </c>
      <c r="I428" s="24" t="str">
        <f t="shared" si="66"/>
        <v>RJMG</v>
      </c>
      <c r="J428" s="24" t="str">
        <f t="shared" si="66"/>
        <v>RJES</v>
      </c>
      <c r="K428" s="24" t="str">
        <f t="shared" si="66"/>
        <v>RJSC</v>
      </c>
      <c r="L428" s="24" t="str">
        <f t="shared" si="66"/>
        <v>RJRJ</v>
      </c>
      <c r="M428" s="24" t="str">
        <f t="shared" si="66"/>
        <v>RJPR</v>
      </c>
      <c r="N428" s="24" t="str">
        <f t="shared" si="66"/>
        <v>RJAM</v>
      </c>
      <c r="O428" s="24">
        <f>VLOOKUP(H428, KM!$A:$E, 5, 0)</f>
        <v>429</v>
      </c>
      <c r="P428" s="24">
        <f>VLOOKUP(I428, KM!$A:$E, 5, 0)</f>
        <v>434</v>
      </c>
      <c r="Q428" s="24">
        <f>VLOOKUP(J428, KM!$A:$E, 5, 0)</f>
        <v>521</v>
      </c>
      <c r="R428" s="24">
        <f>VLOOKUP(K428, KM!$A:$E, 5, 0)</f>
        <v>1144</v>
      </c>
      <c r="S428" s="24">
        <f>VLOOKUP(L428, KM!$A:$E, 5, 0)</f>
        <v>0</v>
      </c>
      <c r="T428" s="24">
        <f>VLOOKUP(M428, KM!$A:$E, 5, 0)</f>
        <v>852</v>
      </c>
      <c r="U428" s="24">
        <f>VLOOKUP(N428, KM!$A:$E, 5, 0)</f>
        <v>4374</v>
      </c>
      <c r="V428" s="24">
        <f>VLOOKUP(H428, IMPOSTO!$A:$D, 4, 0)</f>
        <v>0.12</v>
      </c>
      <c r="W428" s="24">
        <f>VLOOKUP(I428, IMPOSTO!$A:$D, 4, 0)</f>
        <v>0.12</v>
      </c>
      <c r="X428" s="24">
        <f>VLOOKUP(J428, IMPOSTO!$A:$D, 4, 0)</f>
        <v>7.0000000000000007E-2</v>
      </c>
      <c r="Y428" s="24">
        <f>VLOOKUP(K428, IMPOSTO!$A:$D, 4, 0)</f>
        <v>0.12</v>
      </c>
      <c r="Z428" s="24">
        <f>VLOOKUP(L428, IMPOSTO!$A:$D, 4, 0)</f>
        <v>0.18</v>
      </c>
      <c r="AA428" s="24">
        <f>VLOOKUP(M428, IMPOSTO!$A:$D, 4, 0)</f>
        <v>0.12</v>
      </c>
      <c r="AB428" s="24">
        <f>VLOOKUP(N428, IMPOSTO!$A:$D, 4, 0)</f>
        <v>7.0000000000000007E-2</v>
      </c>
      <c r="AC428" s="25">
        <f t="shared" si="59"/>
        <v>48.897579545454548</v>
      </c>
      <c r="AD428" s="25">
        <f t="shared" si="60"/>
        <v>49.465761363636368</v>
      </c>
      <c r="AE428" s="25">
        <f t="shared" si="61"/>
        <v>56.161150537634413</v>
      </c>
      <c r="AF428" s="25">
        <f t="shared" si="62"/>
        <v>130.14757954545453</v>
      </c>
      <c r="AG428" s="25">
        <f t="shared" si="63"/>
        <v>0.15837804878048778</v>
      </c>
      <c r="AH428" s="25">
        <f t="shared" si="64"/>
        <v>96.965761363636361</v>
      </c>
      <c r="AI428" s="25">
        <f t="shared" si="65"/>
        <v>470.46222580645167</v>
      </c>
    </row>
    <row r="429" spans="1:35" ht="15.75" customHeight="1">
      <c r="A429" s="12" t="s">
        <v>294</v>
      </c>
      <c r="B429" s="12" t="s">
        <v>295</v>
      </c>
      <c r="C429" s="12" t="s">
        <v>296</v>
      </c>
      <c r="D429" s="12" t="s">
        <v>33</v>
      </c>
      <c r="E429" s="12" t="s">
        <v>27</v>
      </c>
      <c r="F429" s="13">
        <v>2.8799999999999999E-2</v>
      </c>
      <c r="G429" s="14">
        <v>0.32709599999999994</v>
      </c>
      <c r="H429" s="24" t="str">
        <f t="shared" si="58"/>
        <v>RJSP</v>
      </c>
      <c r="I429" s="24" t="str">
        <f t="shared" si="66"/>
        <v>RJMG</v>
      </c>
      <c r="J429" s="24" t="str">
        <f t="shared" si="66"/>
        <v>RJES</v>
      </c>
      <c r="K429" s="24" t="str">
        <f t="shared" si="66"/>
        <v>RJSC</v>
      </c>
      <c r="L429" s="24" t="str">
        <f t="shared" si="66"/>
        <v>RJRJ</v>
      </c>
      <c r="M429" s="24" t="str">
        <f t="shared" si="66"/>
        <v>RJPR</v>
      </c>
      <c r="N429" s="24" t="str">
        <f t="shared" si="66"/>
        <v>RJAM</v>
      </c>
      <c r="O429" s="24">
        <f>VLOOKUP(H429, KM!$A:$E, 5, 0)</f>
        <v>429</v>
      </c>
      <c r="P429" s="24">
        <f>VLOOKUP(I429, KM!$A:$E, 5, 0)</f>
        <v>434</v>
      </c>
      <c r="Q429" s="24">
        <f>VLOOKUP(J429, KM!$A:$E, 5, 0)</f>
        <v>521</v>
      </c>
      <c r="R429" s="24">
        <f>VLOOKUP(K429, KM!$A:$E, 5, 0)</f>
        <v>1144</v>
      </c>
      <c r="S429" s="24">
        <f>VLOOKUP(L429, KM!$A:$E, 5, 0)</f>
        <v>0</v>
      </c>
      <c r="T429" s="24">
        <f>VLOOKUP(M429, KM!$A:$E, 5, 0)</f>
        <v>852</v>
      </c>
      <c r="U429" s="24">
        <f>VLOOKUP(N429, KM!$A:$E, 5, 0)</f>
        <v>4374</v>
      </c>
      <c r="V429" s="24">
        <f>VLOOKUP(H429, IMPOSTO!$A:$D, 4, 0)</f>
        <v>0.12</v>
      </c>
      <c r="W429" s="24">
        <f>VLOOKUP(I429, IMPOSTO!$A:$D, 4, 0)</f>
        <v>0.12</v>
      </c>
      <c r="X429" s="24">
        <f>VLOOKUP(J429, IMPOSTO!$A:$D, 4, 0)</f>
        <v>7.0000000000000007E-2</v>
      </c>
      <c r="Y429" s="24">
        <f>VLOOKUP(K429, IMPOSTO!$A:$D, 4, 0)</f>
        <v>0.12</v>
      </c>
      <c r="Z429" s="24">
        <f>VLOOKUP(L429, IMPOSTO!$A:$D, 4, 0)</f>
        <v>0.18</v>
      </c>
      <c r="AA429" s="24">
        <f>VLOOKUP(M429, IMPOSTO!$A:$D, 4, 0)</f>
        <v>0.12</v>
      </c>
      <c r="AB429" s="24">
        <f>VLOOKUP(N429, IMPOSTO!$A:$D, 4, 0)</f>
        <v>7.0000000000000007E-2</v>
      </c>
      <c r="AC429" s="25">
        <f t="shared" si="59"/>
        <v>49.121700000000004</v>
      </c>
      <c r="AD429" s="25">
        <f t="shared" si="60"/>
        <v>49.689881818181824</v>
      </c>
      <c r="AE429" s="25">
        <f t="shared" si="61"/>
        <v>56.37322150537635</v>
      </c>
      <c r="AF429" s="25">
        <f t="shared" si="62"/>
        <v>130.3717</v>
      </c>
      <c r="AG429" s="25">
        <f t="shared" si="63"/>
        <v>0.39889756097560963</v>
      </c>
      <c r="AH429" s="25">
        <f t="shared" si="64"/>
        <v>97.189881818181817</v>
      </c>
      <c r="AI429" s="25">
        <f t="shared" si="65"/>
        <v>470.67429677419358</v>
      </c>
    </row>
    <row r="430" spans="1:35" ht="15.75" customHeight="1">
      <c r="A430" s="12" t="s">
        <v>483</v>
      </c>
      <c r="B430" s="12" t="s">
        <v>484</v>
      </c>
      <c r="C430" s="12" t="s">
        <v>69</v>
      </c>
      <c r="D430" s="12" t="s">
        <v>33</v>
      </c>
      <c r="E430" s="12" t="s">
        <v>27</v>
      </c>
      <c r="F430" s="13">
        <v>0.12280525268896657</v>
      </c>
      <c r="G430" s="14">
        <v>2.8619237830937849</v>
      </c>
      <c r="H430" s="24" t="str">
        <f t="shared" si="58"/>
        <v>RJSP</v>
      </c>
      <c r="I430" s="24" t="str">
        <f t="shared" si="66"/>
        <v>RJMG</v>
      </c>
      <c r="J430" s="24" t="str">
        <f t="shared" si="66"/>
        <v>RJES</v>
      </c>
      <c r="K430" s="24" t="str">
        <f t="shared" si="66"/>
        <v>RJSC</v>
      </c>
      <c r="L430" s="24" t="str">
        <f t="shared" si="66"/>
        <v>RJRJ</v>
      </c>
      <c r="M430" s="24" t="str">
        <f t="shared" si="66"/>
        <v>RJPR</v>
      </c>
      <c r="N430" s="24" t="str">
        <f t="shared" si="66"/>
        <v>RJAM</v>
      </c>
      <c r="O430" s="24">
        <f>VLOOKUP(H430, KM!$A:$E, 5, 0)</f>
        <v>429</v>
      </c>
      <c r="P430" s="24">
        <f>VLOOKUP(I430, KM!$A:$E, 5, 0)</f>
        <v>434</v>
      </c>
      <c r="Q430" s="24">
        <f>VLOOKUP(J430, KM!$A:$E, 5, 0)</f>
        <v>521</v>
      </c>
      <c r="R430" s="24">
        <f>VLOOKUP(K430, KM!$A:$E, 5, 0)</f>
        <v>1144</v>
      </c>
      <c r="S430" s="24">
        <f>VLOOKUP(L430, KM!$A:$E, 5, 0)</f>
        <v>0</v>
      </c>
      <c r="T430" s="24">
        <f>VLOOKUP(M430, KM!$A:$E, 5, 0)</f>
        <v>852</v>
      </c>
      <c r="U430" s="24">
        <f>VLOOKUP(N430, KM!$A:$E, 5, 0)</f>
        <v>4374</v>
      </c>
      <c r="V430" s="24">
        <f>VLOOKUP(H430, IMPOSTO!$A:$D, 4, 0)</f>
        <v>0.12</v>
      </c>
      <c r="W430" s="24">
        <f>VLOOKUP(I430, IMPOSTO!$A:$D, 4, 0)</f>
        <v>0.12</v>
      </c>
      <c r="X430" s="24">
        <f>VLOOKUP(J430, IMPOSTO!$A:$D, 4, 0)</f>
        <v>7.0000000000000007E-2</v>
      </c>
      <c r="Y430" s="24">
        <f>VLOOKUP(K430, IMPOSTO!$A:$D, 4, 0)</f>
        <v>0.12</v>
      </c>
      <c r="Z430" s="24">
        <f>VLOOKUP(L430, IMPOSTO!$A:$D, 4, 0)</f>
        <v>0.18</v>
      </c>
      <c r="AA430" s="24">
        <f>VLOOKUP(M430, IMPOSTO!$A:$D, 4, 0)</f>
        <v>0.12</v>
      </c>
      <c r="AB430" s="24">
        <f>VLOOKUP(N430, IMPOSTO!$A:$D, 4, 0)</f>
        <v>7.0000000000000007E-2</v>
      </c>
      <c r="AC430" s="25">
        <f t="shared" si="59"/>
        <v>52.002186117152036</v>
      </c>
      <c r="AD430" s="25">
        <f t="shared" si="60"/>
        <v>52.570367935333856</v>
      </c>
      <c r="AE430" s="25">
        <f t="shared" si="61"/>
        <v>59.098842777520204</v>
      </c>
      <c r="AF430" s="25">
        <f t="shared" si="62"/>
        <v>133.25218611715204</v>
      </c>
      <c r="AG430" s="25">
        <f t="shared" si="63"/>
        <v>3.4901509549924206</v>
      </c>
      <c r="AH430" s="25">
        <f t="shared" si="64"/>
        <v>100.07036793533385</v>
      </c>
      <c r="AI430" s="25">
        <f t="shared" si="65"/>
        <v>473.39991804633746</v>
      </c>
    </row>
    <row r="431" spans="1:35" ht="15.75" customHeight="1">
      <c r="A431" s="12" t="s">
        <v>70</v>
      </c>
      <c r="B431" s="12" t="s">
        <v>71</v>
      </c>
      <c r="C431" s="12" t="s">
        <v>54</v>
      </c>
      <c r="D431" s="12" t="s">
        <v>33</v>
      </c>
      <c r="E431" s="12" t="s">
        <v>27</v>
      </c>
      <c r="F431" s="13">
        <v>0.1</v>
      </c>
      <c r="G431" s="14">
        <v>1.36826</v>
      </c>
      <c r="H431" s="24" t="str">
        <f t="shared" si="58"/>
        <v>RJSP</v>
      </c>
      <c r="I431" s="24" t="str">
        <f t="shared" si="66"/>
        <v>RJMG</v>
      </c>
      <c r="J431" s="24" t="str">
        <f t="shared" si="66"/>
        <v>RJES</v>
      </c>
      <c r="K431" s="24" t="str">
        <f t="shared" si="66"/>
        <v>RJSC</v>
      </c>
      <c r="L431" s="24" t="str">
        <f t="shared" si="66"/>
        <v>RJRJ</v>
      </c>
      <c r="M431" s="24" t="str">
        <f t="shared" si="66"/>
        <v>RJPR</v>
      </c>
      <c r="N431" s="24" t="str">
        <f t="shared" si="66"/>
        <v>RJAM</v>
      </c>
      <c r="O431" s="24">
        <f>VLOOKUP(H431, KM!$A:$E, 5, 0)</f>
        <v>429</v>
      </c>
      <c r="P431" s="24">
        <f>VLOOKUP(I431, KM!$A:$E, 5, 0)</f>
        <v>434</v>
      </c>
      <c r="Q431" s="24">
        <f>VLOOKUP(J431, KM!$A:$E, 5, 0)</f>
        <v>521</v>
      </c>
      <c r="R431" s="24">
        <f>VLOOKUP(K431, KM!$A:$E, 5, 0)</f>
        <v>1144</v>
      </c>
      <c r="S431" s="24">
        <f>VLOOKUP(L431, KM!$A:$E, 5, 0)</f>
        <v>0</v>
      </c>
      <c r="T431" s="24">
        <f>VLOOKUP(M431, KM!$A:$E, 5, 0)</f>
        <v>852</v>
      </c>
      <c r="U431" s="24">
        <f>VLOOKUP(N431, KM!$A:$E, 5, 0)</f>
        <v>4374</v>
      </c>
      <c r="V431" s="24">
        <f>VLOOKUP(H431, IMPOSTO!$A:$D, 4, 0)</f>
        <v>0.12</v>
      </c>
      <c r="W431" s="24">
        <f>VLOOKUP(I431, IMPOSTO!$A:$D, 4, 0)</f>
        <v>0.12</v>
      </c>
      <c r="X431" s="24">
        <f>VLOOKUP(J431, IMPOSTO!$A:$D, 4, 0)</f>
        <v>7.0000000000000007E-2</v>
      </c>
      <c r="Y431" s="24">
        <f>VLOOKUP(K431, IMPOSTO!$A:$D, 4, 0)</f>
        <v>0.12</v>
      </c>
      <c r="Z431" s="24">
        <f>VLOOKUP(L431, IMPOSTO!$A:$D, 4, 0)</f>
        <v>0.18</v>
      </c>
      <c r="AA431" s="24">
        <f>VLOOKUP(M431, IMPOSTO!$A:$D, 4, 0)</f>
        <v>0.12</v>
      </c>
      <c r="AB431" s="24">
        <f>VLOOKUP(N431, IMPOSTO!$A:$D, 4, 0)</f>
        <v>7.0000000000000007E-2</v>
      </c>
      <c r="AC431" s="25">
        <f t="shared" si="59"/>
        <v>50.304840909090913</v>
      </c>
      <c r="AD431" s="25">
        <f t="shared" si="60"/>
        <v>50.873022727272733</v>
      </c>
      <c r="AE431" s="25">
        <f t="shared" si="61"/>
        <v>57.492752688172047</v>
      </c>
      <c r="AF431" s="25">
        <f t="shared" si="62"/>
        <v>131.55484090909093</v>
      </c>
      <c r="AG431" s="25">
        <f t="shared" si="63"/>
        <v>1.6686097560975608</v>
      </c>
      <c r="AH431" s="25">
        <f t="shared" si="64"/>
        <v>98.37302272727274</v>
      </c>
      <c r="AI431" s="25">
        <f t="shared" si="65"/>
        <v>471.79382795698933</v>
      </c>
    </row>
    <row r="432" spans="1:35" ht="15.75" customHeight="1">
      <c r="A432" s="12" t="s">
        <v>117</v>
      </c>
      <c r="B432" s="12" t="s">
        <v>485</v>
      </c>
      <c r="C432" s="12" t="s">
        <v>119</v>
      </c>
      <c r="D432" s="12" t="s">
        <v>33</v>
      </c>
      <c r="E432" s="12" t="s">
        <v>27</v>
      </c>
      <c r="F432" s="13">
        <v>370393.9200000001</v>
      </c>
      <c r="G432" s="14">
        <v>439510.06851700007</v>
      </c>
      <c r="H432" s="24" t="str">
        <f t="shared" si="58"/>
        <v>RJSP</v>
      </c>
      <c r="I432" s="24" t="str">
        <f t="shared" si="66"/>
        <v>RJMG</v>
      </c>
      <c r="J432" s="24" t="str">
        <f t="shared" si="66"/>
        <v>RJES</v>
      </c>
      <c r="K432" s="24" t="str">
        <f t="shared" si="66"/>
        <v>RJSC</v>
      </c>
      <c r="L432" s="24" t="str">
        <f t="shared" si="66"/>
        <v>RJRJ</v>
      </c>
      <c r="M432" s="24" t="str">
        <f t="shared" si="66"/>
        <v>RJPR</v>
      </c>
      <c r="N432" s="24" t="str">
        <f t="shared" si="66"/>
        <v>RJAM</v>
      </c>
      <c r="O432" s="24">
        <f>VLOOKUP(H432, KM!$A:$E, 5, 0)</f>
        <v>429</v>
      </c>
      <c r="P432" s="24">
        <f>VLOOKUP(I432, KM!$A:$E, 5, 0)</f>
        <v>434</v>
      </c>
      <c r="Q432" s="24">
        <f>VLOOKUP(J432, KM!$A:$E, 5, 0)</f>
        <v>521</v>
      </c>
      <c r="R432" s="24">
        <f>VLOOKUP(K432, KM!$A:$E, 5, 0)</f>
        <v>1144</v>
      </c>
      <c r="S432" s="24">
        <f>VLOOKUP(L432, KM!$A:$E, 5, 0)</f>
        <v>0</v>
      </c>
      <c r="T432" s="24">
        <f>VLOOKUP(M432, KM!$A:$E, 5, 0)</f>
        <v>852</v>
      </c>
      <c r="U432" s="24">
        <f>VLOOKUP(N432, KM!$A:$E, 5, 0)</f>
        <v>4374</v>
      </c>
      <c r="V432" s="24">
        <f>VLOOKUP(H432, IMPOSTO!$A:$D, 4, 0)</f>
        <v>0.12</v>
      </c>
      <c r="W432" s="24">
        <f>VLOOKUP(I432, IMPOSTO!$A:$D, 4, 0)</f>
        <v>0.12</v>
      </c>
      <c r="X432" s="24">
        <f>VLOOKUP(J432, IMPOSTO!$A:$D, 4, 0)</f>
        <v>7.0000000000000007E-2</v>
      </c>
      <c r="Y432" s="24">
        <f>VLOOKUP(K432, IMPOSTO!$A:$D, 4, 0)</f>
        <v>0.12</v>
      </c>
      <c r="Z432" s="24">
        <f>VLOOKUP(L432, IMPOSTO!$A:$D, 4, 0)</f>
        <v>0.18</v>
      </c>
      <c r="AA432" s="24">
        <f>VLOOKUP(M432, IMPOSTO!$A:$D, 4, 0)</f>
        <v>0.12</v>
      </c>
      <c r="AB432" s="24">
        <f>VLOOKUP(N432, IMPOSTO!$A:$D, 4, 0)</f>
        <v>7.0000000000000007E-2</v>
      </c>
      <c r="AC432" s="25">
        <f t="shared" si="59"/>
        <v>499492.0096784092</v>
      </c>
      <c r="AD432" s="25">
        <f t="shared" si="60"/>
        <v>499492.57786022738</v>
      </c>
      <c r="AE432" s="25">
        <f t="shared" si="61"/>
        <v>472647.49302903231</v>
      </c>
      <c r="AF432" s="25">
        <f t="shared" si="62"/>
        <v>499573.2596784092</v>
      </c>
      <c r="AG432" s="25">
        <f t="shared" si="63"/>
        <v>535987.88843536587</v>
      </c>
      <c r="AH432" s="25">
        <f t="shared" si="64"/>
        <v>499540.07786022738</v>
      </c>
      <c r="AI432" s="25">
        <f t="shared" si="65"/>
        <v>473061.7941043012</v>
      </c>
    </row>
    <row r="433" spans="1:35" ht="15.75" customHeight="1">
      <c r="A433" s="12" t="s">
        <v>300</v>
      </c>
      <c r="B433" s="12" t="s">
        <v>301</v>
      </c>
      <c r="C433" s="12" t="s">
        <v>232</v>
      </c>
      <c r="D433" s="12" t="s">
        <v>33</v>
      </c>
      <c r="E433" s="12" t="s">
        <v>27</v>
      </c>
      <c r="F433" s="13">
        <v>0.97064872941077329</v>
      </c>
      <c r="G433" s="14">
        <v>5.2167171538439314</v>
      </c>
      <c r="H433" s="24" t="str">
        <f t="shared" si="58"/>
        <v>RJSP</v>
      </c>
      <c r="I433" s="24" t="str">
        <f t="shared" si="66"/>
        <v>RJMG</v>
      </c>
      <c r="J433" s="24" t="str">
        <f t="shared" si="66"/>
        <v>RJES</v>
      </c>
      <c r="K433" s="24" t="str">
        <f t="shared" si="66"/>
        <v>RJSC</v>
      </c>
      <c r="L433" s="24" t="str">
        <f t="shared" si="66"/>
        <v>RJRJ</v>
      </c>
      <c r="M433" s="24" t="str">
        <f t="shared" si="66"/>
        <v>RJPR</v>
      </c>
      <c r="N433" s="24" t="str">
        <f t="shared" si="66"/>
        <v>RJAM</v>
      </c>
      <c r="O433" s="24">
        <f>VLOOKUP(H433, KM!$A:$E, 5, 0)</f>
        <v>429</v>
      </c>
      <c r="P433" s="24">
        <f>VLOOKUP(I433, KM!$A:$E, 5, 0)</f>
        <v>434</v>
      </c>
      <c r="Q433" s="24">
        <f>VLOOKUP(J433, KM!$A:$E, 5, 0)</f>
        <v>521</v>
      </c>
      <c r="R433" s="24">
        <f>VLOOKUP(K433, KM!$A:$E, 5, 0)</f>
        <v>1144</v>
      </c>
      <c r="S433" s="24">
        <f>VLOOKUP(L433, KM!$A:$E, 5, 0)</f>
        <v>0</v>
      </c>
      <c r="T433" s="24">
        <f>VLOOKUP(M433, KM!$A:$E, 5, 0)</f>
        <v>852</v>
      </c>
      <c r="U433" s="24">
        <f>VLOOKUP(N433, KM!$A:$E, 5, 0)</f>
        <v>4374</v>
      </c>
      <c r="V433" s="24">
        <f>VLOOKUP(H433, IMPOSTO!$A:$D, 4, 0)</f>
        <v>0.12</v>
      </c>
      <c r="W433" s="24">
        <f>VLOOKUP(I433, IMPOSTO!$A:$D, 4, 0)</f>
        <v>0.12</v>
      </c>
      <c r="X433" s="24">
        <f>VLOOKUP(J433, IMPOSTO!$A:$D, 4, 0)</f>
        <v>7.0000000000000007E-2</v>
      </c>
      <c r="Y433" s="24">
        <f>VLOOKUP(K433, IMPOSTO!$A:$D, 4, 0)</f>
        <v>0.12</v>
      </c>
      <c r="Z433" s="24">
        <f>VLOOKUP(L433, IMPOSTO!$A:$D, 4, 0)</f>
        <v>0.18</v>
      </c>
      <c r="AA433" s="24">
        <f>VLOOKUP(M433, IMPOSTO!$A:$D, 4, 0)</f>
        <v>0.12</v>
      </c>
      <c r="AB433" s="24">
        <f>VLOOKUP(N433, IMPOSTO!$A:$D, 4, 0)</f>
        <v>7.0000000000000007E-2</v>
      </c>
      <c r="AC433" s="25">
        <f t="shared" si="59"/>
        <v>54.678087674822656</v>
      </c>
      <c r="AD433" s="25">
        <f t="shared" si="60"/>
        <v>55.246269493004476</v>
      </c>
      <c r="AE433" s="25">
        <f t="shared" si="61"/>
        <v>61.630878660047244</v>
      </c>
      <c r="AF433" s="25">
        <f t="shared" si="62"/>
        <v>135.92808767482265</v>
      </c>
      <c r="AG433" s="25">
        <f t="shared" si="63"/>
        <v>6.3618501876145501</v>
      </c>
      <c r="AH433" s="25">
        <f t="shared" si="64"/>
        <v>102.74626949300448</v>
      </c>
      <c r="AI433" s="25">
        <f t="shared" si="65"/>
        <v>475.93195392886452</v>
      </c>
    </row>
    <row r="434" spans="1:35" ht="15.75" customHeight="1">
      <c r="A434" s="12" t="s">
        <v>486</v>
      </c>
      <c r="B434" s="12" t="s">
        <v>487</v>
      </c>
      <c r="C434" s="12" t="s">
        <v>299</v>
      </c>
      <c r="D434" s="12" t="s">
        <v>33</v>
      </c>
      <c r="E434" s="12" t="s">
        <v>27</v>
      </c>
      <c r="F434" s="13">
        <v>5.7396204378646623</v>
      </c>
      <c r="G434" s="14">
        <v>435.24692253941316</v>
      </c>
      <c r="H434" s="24" t="str">
        <f t="shared" si="58"/>
        <v>RJSP</v>
      </c>
      <c r="I434" s="24" t="str">
        <f t="shared" si="66"/>
        <v>RJMG</v>
      </c>
      <c r="J434" s="24" t="str">
        <f t="shared" si="66"/>
        <v>RJES</v>
      </c>
      <c r="K434" s="24" t="str">
        <f t="shared" si="66"/>
        <v>RJSC</v>
      </c>
      <c r="L434" s="24" t="str">
        <f t="shared" si="66"/>
        <v>RJRJ</v>
      </c>
      <c r="M434" s="24" t="str">
        <f t="shared" si="66"/>
        <v>RJPR</v>
      </c>
      <c r="N434" s="24" t="str">
        <f t="shared" si="66"/>
        <v>RJAM</v>
      </c>
      <c r="O434" s="24">
        <f>VLOOKUP(H434, KM!$A:$E, 5, 0)</f>
        <v>429</v>
      </c>
      <c r="P434" s="24">
        <f>VLOOKUP(I434, KM!$A:$E, 5, 0)</f>
        <v>434</v>
      </c>
      <c r="Q434" s="24">
        <f>VLOOKUP(J434, KM!$A:$E, 5, 0)</f>
        <v>521</v>
      </c>
      <c r="R434" s="24">
        <f>VLOOKUP(K434, KM!$A:$E, 5, 0)</f>
        <v>1144</v>
      </c>
      <c r="S434" s="24">
        <f>VLOOKUP(L434, KM!$A:$E, 5, 0)</f>
        <v>0</v>
      </c>
      <c r="T434" s="24">
        <f>VLOOKUP(M434, KM!$A:$E, 5, 0)</f>
        <v>852</v>
      </c>
      <c r="U434" s="24">
        <f>VLOOKUP(N434, KM!$A:$E, 5, 0)</f>
        <v>4374</v>
      </c>
      <c r="V434" s="24">
        <f>VLOOKUP(H434, IMPOSTO!$A:$D, 4, 0)</f>
        <v>0.12</v>
      </c>
      <c r="W434" s="24">
        <f>VLOOKUP(I434, IMPOSTO!$A:$D, 4, 0)</f>
        <v>0.12</v>
      </c>
      <c r="X434" s="24">
        <f>VLOOKUP(J434, IMPOSTO!$A:$D, 4, 0)</f>
        <v>7.0000000000000007E-2</v>
      </c>
      <c r="Y434" s="24">
        <f>VLOOKUP(K434, IMPOSTO!$A:$D, 4, 0)</f>
        <v>0.12</v>
      </c>
      <c r="Z434" s="24">
        <f>VLOOKUP(L434, IMPOSTO!$A:$D, 4, 0)</f>
        <v>0.18</v>
      </c>
      <c r="AA434" s="24">
        <f>VLOOKUP(M434, IMPOSTO!$A:$D, 4, 0)</f>
        <v>0.12</v>
      </c>
      <c r="AB434" s="24">
        <f>VLOOKUP(N434, IMPOSTO!$A:$D, 4, 0)</f>
        <v>7.0000000000000007E-2</v>
      </c>
      <c r="AC434" s="25">
        <f t="shared" si="59"/>
        <v>543.34877561296946</v>
      </c>
      <c r="AD434" s="25">
        <f t="shared" si="60"/>
        <v>543.91695743115133</v>
      </c>
      <c r="AE434" s="25">
        <f t="shared" si="61"/>
        <v>524.02894896711098</v>
      </c>
      <c r="AF434" s="25">
        <f t="shared" si="62"/>
        <v>624.59877561296946</v>
      </c>
      <c r="AG434" s="25">
        <f t="shared" si="63"/>
        <v>530.78892992611361</v>
      </c>
      <c r="AH434" s="25">
        <f t="shared" si="64"/>
        <v>591.41695743115133</v>
      </c>
      <c r="AI434" s="25">
        <f t="shared" si="65"/>
        <v>938.33002423592825</v>
      </c>
    </row>
    <row r="435" spans="1:35" ht="15.75" customHeight="1">
      <c r="A435" s="12" t="s">
        <v>263</v>
      </c>
      <c r="B435" s="12" t="s">
        <v>264</v>
      </c>
      <c r="C435" s="12" t="s">
        <v>265</v>
      </c>
      <c r="D435" s="12" t="s">
        <v>50</v>
      </c>
      <c r="E435" s="12" t="s">
        <v>27</v>
      </c>
      <c r="F435" s="13">
        <v>3.9600000000000003E-2</v>
      </c>
      <c r="G435" s="14">
        <v>0.39674799999999999</v>
      </c>
      <c r="H435" s="24" t="str">
        <f t="shared" si="58"/>
        <v>RJSP</v>
      </c>
      <c r="I435" s="24" t="str">
        <f t="shared" si="66"/>
        <v>RJMG</v>
      </c>
      <c r="J435" s="24" t="str">
        <f t="shared" si="66"/>
        <v>RJES</v>
      </c>
      <c r="K435" s="24" t="str">
        <f t="shared" si="66"/>
        <v>RJSC</v>
      </c>
      <c r="L435" s="24" t="str">
        <f t="shared" si="66"/>
        <v>RJRJ</v>
      </c>
      <c r="M435" s="24" t="str">
        <f t="shared" si="66"/>
        <v>RJPR</v>
      </c>
      <c r="N435" s="24" t="str">
        <f t="shared" si="66"/>
        <v>RJAM</v>
      </c>
      <c r="O435" s="24">
        <f>VLOOKUP(H435, KM!$A:$E, 5, 0)</f>
        <v>429</v>
      </c>
      <c r="P435" s="24">
        <f>VLOOKUP(I435, KM!$A:$E, 5, 0)</f>
        <v>434</v>
      </c>
      <c r="Q435" s="24">
        <f>VLOOKUP(J435, KM!$A:$E, 5, 0)</f>
        <v>521</v>
      </c>
      <c r="R435" s="24">
        <f>VLOOKUP(K435, KM!$A:$E, 5, 0)</f>
        <v>1144</v>
      </c>
      <c r="S435" s="24">
        <f>VLOOKUP(L435, KM!$A:$E, 5, 0)</f>
        <v>0</v>
      </c>
      <c r="T435" s="24">
        <f>VLOOKUP(M435, KM!$A:$E, 5, 0)</f>
        <v>852</v>
      </c>
      <c r="U435" s="24">
        <f>VLOOKUP(N435, KM!$A:$E, 5, 0)</f>
        <v>4374</v>
      </c>
      <c r="V435" s="24">
        <f>VLOOKUP(H435, IMPOSTO!$A:$D, 4, 0)</f>
        <v>0.12</v>
      </c>
      <c r="W435" s="24">
        <f>VLOOKUP(I435, IMPOSTO!$A:$D, 4, 0)</f>
        <v>0.12</v>
      </c>
      <c r="X435" s="24">
        <f>VLOOKUP(J435, IMPOSTO!$A:$D, 4, 0)</f>
        <v>7.0000000000000007E-2</v>
      </c>
      <c r="Y435" s="24">
        <f>VLOOKUP(K435, IMPOSTO!$A:$D, 4, 0)</f>
        <v>0.12</v>
      </c>
      <c r="Z435" s="24">
        <f>VLOOKUP(L435, IMPOSTO!$A:$D, 4, 0)</f>
        <v>0.18</v>
      </c>
      <c r="AA435" s="24">
        <f>VLOOKUP(M435, IMPOSTO!$A:$D, 4, 0)</f>
        <v>0.12</v>
      </c>
      <c r="AB435" s="24">
        <f>VLOOKUP(N435, IMPOSTO!$A:$D, 4, 0)</f>
        <v>7.0000000000000007E-2</v>
      </c>
      <c r="AC435" s="25">
        <f t="shared" si="59"/>
        <v>49.20085000000001</v>
      </c>
      <c r="AD435" s="25">
        <f t="shared" si="60"/>
        <v>49.76903181818183</v>
      </c>
      <c r="AE435" s="25">
        <f t="shared" si="61"/>
        <v>56.448116129032265</v>
      </c>
      <c r="AF435" s="25">
        <f t="shared" si="62"/>
        <v>130.45085</v>
      </c>
      <c r="AG435" s="25">
        <f t="shared" si="63"/>
        <v>0.48383902439024384</v>
      </c>
      <c r="AH435" s="25">
        <f t="shared" si="64"/>
        <v>97.26903181818183</v>
      </c>
      <c r="AI435" s="25">
        <f t="shared" si="65"/>
        <v>470.74919139784953</v>
      </c>
    </row>
    <row r="436" spans="1:35" ht="15.75" customHeight="1">
      <c r="A436" s="12" t="s">
        <v>488</v>
      </c>
      <c r="B436" s="12" t="s">
        <v>489</v>
      </c>
      <c r="C436" s="12" t="s">
        <v>160</v>
      </c>
      <c r="D436" s="12" t="s">
        <v>33</v>
      </c>
      <c r="E436" s="12" t="s">
        <v>27</v>
      </c>
      <c r="F436" s="13">
        <v>27191.568713711913</v>
      </c>
      <c r="G436" s="14">
        <v>623.38909684086161</v>
      </c>
      <c r="H436" s="24" t="str">
        <f t="shared" si="58"/>
        <v>RJSP</v>
      </c>
      <c r="I436" s="24" t="str">
        <f t="shared" si="66"/>
        <v>RJMG</v>
      </c>
      <c r="J436" s="24" t="str">
        <f t="shared" si="66"/>
        <v>RJES</v>
      </c>
      <c r="K436" s="24" t="str">
        <f t="shared" si="66"/>
        <v>RJSC</v>
      </c>
      <c r="L436" s="24" t="str">
        <f t="shared" si="66"/>
        <v>RJRJ</v>
      </c>
      <c r="M436" s="24" t="str">
        <f t="shared" si="66"/>
        <v>RJPR</v>
      </c>
      <c r="N436" s="24" t="str">
        <f t="shared" si="66"/>
        <v>RJAM</v>
      </c>
      <c r="O436" s="24">
        <f>VLOOKUP(H436, KM!$A:$E, 5, 0)</f>
        <v>429</v>
      </c>
      <c r="P436" s="24">
        <f>VLOOKUP(I436, KM!$A:$E, 5, 0)</f>
        <v>434</v>
      </c>
      <c r="Q436" s="24">
        <f>VLOOKUP(J436, KM!$A:$E, 5, 0)</f>
        <v>521</v>
      </c>
      <c r="R436" s="24">
        <f>VLOOKUP(K436, KM!$A:$E, 5, 0)</f>
        <v>1144</v>
      </c>
      <c r="S436" s="24">
        <f>VLOOKUP(L436, KM!$A:$E, 5, 0)</f>
        <v>0</v>
      </c>
      <c r="T436" s="24">
        <f>VLOOKUP(M436, KM!$A:$E, 5, 0)</f>
        <v>852</v>
      </c>
      <c r="U436" s="24">
        <f>VLOOKUP(N436, KM!$A:$E, 5, 0)</f>
        <v>4374</v>
      </c>
      <c r="V436" s="24">
        <f>VLOOKUP(H436, IMPOSTO!$A:$D, 4, 0)</f>
        <v>0.12</v>
      </c>
      <c r="W436" s="24">
        <f>VLOOKUP(I436, IMPOSTO!$A:$D, 4, 0)</f>
        <v>0.12</v>
      </c>
      <c r="X436" s="24">
        <f>VLOOKUP(J436, IMPOSTO!$A:$D, 4, 0)</f>
        <v>7.0000000000000007E-2</v>
      </c>
      <c r="Y436" s="24">
        <f>VLOOKUP(K436, IMPOSTO!$A:$D, 4, 0)</f>
        <v>0.12</v>
      </c>
      <c r="Z436" s="24">
        <f>VLOOKUP(L436, IMPOSTO!$A:$D, 4, 0)</f>
        <v>0.18</v>
      </c>
      <c r="AA436" s="24">
        <f>VLOOKUP(M436, IMPOSTO!$A:$D, 4, 0)</f>
        <v>0.12</v>
      </c>
      <c r="AB436" s="24">
        <f>VLOOKUP(N436, IMPOSTO!$A:$D, 4, 0)</f>
        <v>7.0000000000000007E-2</v>
      </c>
      <c r="AC436" s="25">
        <f t="shared" si="59"/>
        <v>757.14670095552458</v>
      </c>
      <c r="AD436" s="25">
        <f t="shared" si="60"/>
        <v>757.71488277370634</v>
      </c>
      <c r="AE436" s="25">
        <f t="shared" si="61"/>
        <v>726.33236219447497</v>
      </c>
      <c r="AF436" s="25">
        <f t="shared" si="62"/>
        <v>838.39670095552458</v>
      </c>
      <c r="AG436" s="25">
        <f t="shared" si="63"/>
        <v>760.23060590348973</v>
      </c>
      <c r="AH436" s="25">
        <f t="shared" si="64"/>
        <v>805.21488277370645</v>
      </c>
      <c r="AI436" s="25">
        <f t="shared" si="65"/>
        <v>1140.6334374632922</v>
      </c>
    </row>
    <row r="437" spans="1:35" ht="15.75" customHeight="1">
      <c r="A437" s="12" t="s">
        <v>306</v>
      </c>
      <c r="B437" s="12" t="s">
        <v>307</v>
      </c>
      <c r="C437" s="12" t="s">
        <v>163</v>
      </c>
      <c r="D437" s="12" t="s">
        <v>33</v>
      </c>
      <c r="E437" s="12" t="s">
        <v>27</v>
      </c>
      <c r="F437" s="13">
        <v>13177.086548563873</v>
      </c>
      <c r="G437" s="14">
        <v>575.51704242957271</v>
      </c>
      <c r="H437" s="24" t="str">
        <f t="shared" si="58"/>
        <v>RJSP</v>
      </c>
      <c r="I437" s="24" t="str">
        <f t="shared" si="66"/>
        <v>RJMG</v>
      </c>
      <c r="J437" s="24" t="str">
        <f t="shared" si="66"/>
        <v>RJES</v>
      </c>
      <c r="K437" s="24" t="str">
        <f t="shared" si="66"/>
        <v>RJSC</v>
      </c>
      <c r="L437" s="24" t="str">
        <f t="shared" si="66"/>
        <v>RJRJ</v>
      </c>
      <c r="M437" s="24" t="str">
        <f t="shared" si="66"/>
        <v>RJPR</v>
      </c>
      <c r="N437" s="24" t="str">
        <f t="shared" si="66"/>
        <v>RJAM</v>
      </c>
      <c r="O437" s="24">
        <f>VLOOKUP(H437, KM!$A:$E, 5, 0)</f>
        <v>429</v>
      </c>
      <c r="P437" s="24">
        <f>VLOOKUP(I437, KM!$A:$E, 5, 0)</f>
        <v>434</v>
      </c>
      <c r="Q437" s="24">
        <f>VLOOKUP(J437, KM!$A:$E, 5, 0)</f>
        <v>521</v>
      </c>
      <c r="R437" s="24">
        <f>VLOOKUP(K437, KM!$A:$E, 5, 0)</f>
        <v>1144</v>
      </c>
      <c r="S437" s="24">
        <f>VLOOKUP(L437, KM!$A:$E, 5, 0)</f>
        <v>0</v>
      </c>
      <c r="T437" s="24">
        <f>VLOOKUP(M437, KM!$A:$E, 5, 0)</f>
        <v>852</v>
      </c>
      <c r="U437" s="24">
        <f>VLOOKUP(N437, KM!$A:$E, 5, 0)</f>
        <v>4374</v>
      </c>
      <c r="V437" s="24">
        <f>VLOOKUP(H437, IMPOSTO!$A:$D, 4, 0)</f>
        <v>0.12</v>
      </c>
      <c r="W437" s="24">
        <f>VLOOKUP(I437, IMPOSTO!$A:$D, 4, 0)</f>
        <v>0.12</v>
      </c>
      <c r="X437" s="24">
        <f>VLOOKUP(J437, IMPOSTO!$A:$D, 4, 0)</f>
        <v>7.0000000000000007E-2</v>
      </c>
      <c r="Y437" s="24">
        <f>VLOOKUP(K437, IMPOSTO!$A:$D, 4, 0)</f>
        <v>0.12</v>
      </c>
      <c r="Z437" s="24">
        <f>VLOOKUP(L437, IMPOSTO!$A:$D, 4, 0)</f>
        <v>0.18</v>
      </c>
      <c r="AA437" s="24">
        <f>VLOOKUP(M437, IMPOSTO!$A:$D, 4, 0)</f>
        <v>0.12</v>
      </c>
      <c r="AB437" s="24">
        <f>VLOOKUP(N437, IMPOSTO!$A:$D, 4, 0)</f>
        <v>7.0000000000000007E-2</v>
      </c>
      <c r="AC437" s="25">
        <f t="shared" si="59"/>
        <v>702.74663912451445</v>
      </c>
      <c r="AD437" s="25">
        <f t="shared" si="60"/>
        <v>703.3148209426962</v>
      </c>
      <c r="AE437" s="25">
        <f t="shared" si="61"/>
        <v>674.85703487050841</v>
      </c>
      <c r="AF437" s="25">
        <f t="shared" si="62"/>
        <v>783.99663912451445</v>
      </c>
      <c r="AG437" s="25">
        <f t="shared" si="63"/>
        <v>701.8500517433813</v>
      </c>
      <c r="AH437" s="25">
        <f t="shared" si="64"/>
        <v>750.81482094269631</v>
      </c>
      <c r="AI437" s="25">
        <f t="shared" si="65"/>
        <v>1089.1581101393256</v>
      </c>
    </row>
    <row r="438" spans="1:35" ht="15.75" customHeight="1">
      <c r="A438" s="12" t="s">
        <v>490</v>
      </c>
      <c r="B438" s="12" t="s">
        <v>491</v>
      </c>
      <c r="C438" s="12" t="s">
        <v>163</v>
      </c>
      <c r="D438" s="12" t="s">
        <v>33</v>
      </c>
      <c r="E438" s="12" t="s">
        <v>27</v>
      </c>
      <c r="F438" s="13">
        <v>30286.000000000004</v>
      </c>
      <c r="G438" s="14">
        <v>667.43506135228904</v>
      </c>
      <c r="H438" s="24" t="str">
        <f t="shared" si="58"/>
        <v>RJSP</v>
      </c>
      <c r="I438" s="24" t="str">
        <f t="shared" si="66"/>
        <v>RJMG</v>
      </c>
      <c r="J438" s="24" t="str">
        <f t="shared" si="66"/>
        <v>RJES</v>
      </c>
      <c r="K438" s="24" t="str">
        <f t="shared" si="66"/>
        <v>RJSC</v>
      </c>
      <c r="L438" s="24" t="str">
        <f t="shared" si="66"/>
        <v>RJRJ</v>
      </c>
      <c r="M438" s="24" t="str">
        <f t="shared" si="66"/>
        <v>RJPR</v>
      </c>
      <c r="N438" s="24" t="str">
        <f t="shared" si="66"/>
        <v>RJAM</v>
      </c>
      <c r="O438" s="24">
        <f>VLOOKUP(H438, KM!$A:$E, 5, 0)</f>
        <v>429</v>
      </c>
      <c r="P438" s="24">
        <f>VLOOKUP(I438, KM!$A:$E, 5, 0)</f>
        <v>434</v>
      </c>
      <c r="Q438" s="24">
        <f>VLOOKUP(J438, KM!$A:$E, 5, 0)</f>
        <v>521</v>
      </c>
      <c r="R438" s="24">
        <f>VLOOKUP(K438, KM!$A:$E, 5, 0)</f>
        <v>1144</v>
      </c>
      <c r="S438" s="24">
        <f>VLOOKUP(L438, KM!$A:$E, 5, 0)</f>
        <v>0</v>
      </c>
      <c r="T438" s="24">
        <f>VLOOKUP(M438, KM!$A:$E, 5, 0)</f>
        <v>852</v>
      </c>
      <c r="U438" s="24">
        <f>VLOOKUP(N438, KM!$A:$E, 5, 0)</f>
        <v>4374</v>
      </c>
      <c r="V438" s="24">
        <f>VLOOKUP(H438, IMPOSTO!$A:$D, 4, 0)</f>
        <v>0.12</v>
      </c>
      <c r="W438" s="24">
        <f>VLOOKUP(I438, IMPOSTO!$A:$D, 4, 0)</f>
        <v>0.12</v>
      </c>
      <c r="X438" s="24">
        <f>VLOOKUP(J438, IMPOSTO!$A:$D, 4, 0)</f>
        <v>7.0000000000000007E-2</v>
      </c>
      <c r="Y438" s="24">
        <f>VLOOKUP(K438, IMPOSTO!$A:$D, 4, 0)</f>
        <v>0.12</v>
      </c>
      <c r="Z438" s="24">
        <f>VLOOKUP(L438, IMPOSTO!$A:$D, 4, 0)</f>
        <v>0.18</v>
      </c>
      <c r="AA438" s="24">
        <f>VLOOKUP(M438, IMPOSTO!$A:$D, 4, 0)</f>
        <v>0.12</v>
      </c>
      <c r="AB438" s="24">
        <f>VLOOKUP(N438, IMPOSTO!$A:$D, 4, 0)</f>
        <v>7.0000000000000007E-2</v>
      </c>
      <c r="AC438" s="25">
        <f t="shared" si="59"/>
        <v>807.19893335487393</v>
      </c>
      <c r="AD438" s="25">
        <f t="shared" si="60"/>
        <v>807.76711517305569</v>
      </c>
      <c r="AE438" s="25">
        <f t="shared" si="61"/>
        <v>773.69361435730013</v>
      </c>
      <c r="AF438" s="25">
        <f t="shared" si="62"/>
        <v>888.44893335487393</v>
      </c>
      <c r="AG438" s="25">
        <f t="shared" si="63"/>
        <v>813.94519677108417</v>
      </c>
      <c r="AH438" s="25">
        <f t="shared" si="64"/>
        <v>855.2671151730558</v>
      </c>
      <c r="AI438" s="25">
        <f t="shared" si="65"/>
        <v>1187.9946896261174</v>
      </c>
    </row>
    <row r="439" spans="1:35" ht="15.75" customHeight="1">
      <c r="A439" s="12" t="s">
        <v>492</v>
      </c>
      <c r="B439" s="12" t="s">
        <v>493</v>
      </c>
      <c r="C439" s="12" t="s">
        <v>283</v>
      </c>
      <c r="D439" s="12" t="s">
        <v>33</v>
      </c>
      <c r="E439" s="12" t="s">
        <v>27</v>
      </c>
      <c r="F439" s="13">
        <v>1.4E-3</v>
      </c>
      <c r="G439" s="14">
        <v>2.7369999999999995E-2</v>
      </c>
      <c r="H439" s="24" t="str">
        <f t="shared" si="58"/>
        <v>RJSP</v>
      </c>
      <c r="I439" s="24" t="str">
        <f t="shared" si="66"/>
        <v>RJMG</v>
      </c>
      <c r="J439" s="24" t="str">
        <f t="shared" si="66"/>
        <v>RJES</v>
      </c>
      <c r="K439" s="24" t="str">
        <f t="shared" si="66"/>
        <v>RJSC</v>
      </c>
      <c r="L439" s="24" t="str">
        <f t="shared" si="66"/>
        <v>RJRJ</v>
      </c>
      <c r="M439" s="24" t="str">
        <f t="shared" si="66"/>
        <v>RJPR</v>
      </c>
      <c r="N439" s="24" t="str">
        <f t="shared" si="66"/>
        <v>RJAM</v>
      </c>
      <c r="O439" s="24">
        <f>VLOOKUP(H439, KM!$A:$E, 5, 0)</f>
        <v>429</v>
      </c>
      <c r="P439" s="24">
        <f>VLOOKUP(I439, KM!$A:$E, 5, 0)</f>
        <v>434</v>
      </c>
      <c r="Q439" s="24">
        <f>VLOOKUP(J439, KM!$A:$E, 5, 0)</f>
        <v>521</v>
      </c>
      <c r="R439" s="24">
        <f>VLOOKUP(K439, KM!$A:$E, 5, 0)</f>
        <v>1144</v>
      </c>
      <c r="S439" s="24">
        <f>VLOOKUP(L439, KM!$A:$E, 5, 0)</f>
        <v>0</v>
      </c>
      <c r="T439" s="24">
        <f>VLOOKUP(M439, KM!$A:$E, 5, 0)</f>
        <v>852</v>
      </c>
      <c r="U439" s="24">
        <f>VLOOKUP(N439, KM!$A:$E, 5, 0)</f>
        <v>4374</v>
      </c>
      <c r="V439" s="24">
        <f>VLOOKUP(H439, IMPOSTO!$A:$D, 4, 0)</f>
        <v>0.12</v>
      </c>
      <c r="W439" s="24">
        <f>VLOOKUP(I439, IMPOSTO!$A:$D, 4, 0)</f>
        <v>0.12</v>
      </c>
      <c r="X439" s="24">
        <f>VLOOKUP(J439, IMPOSTO!$A:$D, 4, 0)</f>
        <v>7.0000000000000007E-2</v>
      </c>
      <c r="Y439" s="24">
        <f>VLOOKUP(K439, IMPOSTO!$A:$D, 4, 0)</f>
        <v>0.12</v>
      </c>
      <c r="Z439" s="24">
        <f>VLOOKUP(L439, IMPOSTO!$A:$D, 4, 0)</f>
        <v>0.18</v>
      </c>
      <c r="AA439" s="24">
        <f>VLOOKUP(M439, IMPOSTO!$A:$D, 4, 0)</f>
        <v>0.12</v>
      </c>
      <c r="AB439" s="24">
        <f>VLOOKUP(N439, IMPOSTO!$A:$D, 4, 0)</f>
        <v>7.0000000000000007E-2</v>
      </c>
      <c r="AC439" s="25">
        <f t="shared" si="59"/>
        <v>48.781102272727274</v>
      </c>
      <c r="AD439" s="25">
        <f t="shared" si="60"/>
        <v>49.349284090909094</v>
      </c>
      <c r="AE439" s="25">
        <f t="shared" si="61"/>
        <v>56.050935483870973</v>
      </c>
      <c r="AF439" s="25">
        <f t="shared" si="62"/>
        <v>130.03110227272728</v>
      </c>
      <c r="AG439" s="25">
        <f t="shared" si="63"/>
        <v>3.3378048780487793E-2</v>
      </c>
      <c r="AH439" s="25">
        <f t="shared" si="64"/>
        <v>96.849284090909094</v>
      </c>
      <c r="AI439" s="25">
        <f t="shared" si="65"/>
        <v>470.35201075268827</v>
      </c>
    </row>
    <row r="440" spans="1:35" ht="15.75" customHeight="1">
      <c r="A440" s="12" t="s">
        <v>55</v>
      </c>
      <c r="B440" s="12" t="s">
        <v>56</v>
      </c>
      <c r="C440" s="12" t="s">
        <v>57</v>
      </c>
      <c r="D440" s="12" t="s">
        <v>33</v>
      </c>
      <c r="E440" s="12" t="s">
        <v>27</v>
      </c>
      <c r="F440" s="13">
        <v>8.0000000000000004E-4</v>
      </c>
      <c r="G440" s="14">
        <v>1.1608000000000002E-2</v>
      </c>
      <c r="H440" s="24" t="str">
        <f t="shared" si="58"/>
        <v>RJSP</v>
      </c>
      <c r="I440" s="24" t="str">
        <f t="shared" si="66"/>
        <v>RJMG</v>
      </c>
      <c r="J440" s="24" t="str">
        <f t="shared" si="66"/>
        <v>RJES</v>
      </c>
      <c r="K440" s="24" t="str">
        <f t="shared" si="66"/>
        <v>RJSC</v>
      </c>
      <c r="L440" s="24" t="str">
        <f t="shared" si="66"/>
        <v>RJRJ</v>
      </c>
      <c r="M440" s="24" t="str">
        <f t="shared" si="66"/>
        <v>RJPR</v>
      </c>
      <c r="N440" s="24" t="str">
        <f t="shared" si="66"/>
        <v>RJAM</v>
      </c>
      <c r="O440" s="24">
        <f>VLOOKUP(H440, KM!$A:$E, 5, 0)</f>
        <v>429</v>
      </c>
      <c r="P440" s="24">
        <f>VLOOKUP(I440, KM!$A:$E, 5, 0)</f>
        <v>434</v>
      </c>
      <c r="Q440" s="24">
        <f>VLOOKUP(J440, KM!$A:$E, 5, 0)</f>
        <v>521</v>
      </c>
      <c r="R440" s="24">
        <f>VLOOKUP(K440, KM!$A:$E, 5, 0)</f>
        <v>1144</v>
      </c>
      <c r="S440" s="24">
        <f>VLOOKUP(L440, KM!$A:$E, 5, 0)</f>
        <v>0</v>
      </c>
      <c r="T440" s="24">
        <f>VLOOKUP(M440, KM!$A:$E, 5, 0)</f>
        <v>852</v>
      </c>
      <c r="U440" s="24">
        <f>VLOOKUP(N440, KM!$A:$E, 5, 0)</f>
        <v>4374</v>
      </c>
      <c r="V440" s="24">
        <f>VLOOKUP(H440, IMPOSTO!$A:$D, 4, 0)</f>
        <v>0.12</v>
      </c>
      <c r="W440" s="24">
        <f>VLOOKUP(I440, IMPOSTO!$A:$D, 4, 0)</f>
        <v>0.12</v>
      </c>
      <c r="X440" s="24">
        <f>VLOOKUP(J440, IMPOSTO!$A:$D, 4, 0)</f>
        <v>7.0000000000000007E-2</v>
      </c>
      <c r="Y440" s="24">
        <f>VLOOKUP(K440, IMPOSTO!$A:$D, 4, 0)</f>
        <v>0.12</v>
      </c>
      <c r="Z440" s="24">
        <f>VLOOKUP(L440, IMPOSTO!$A:$D, 4, 0)</f>
        <v>0.18</v>
      </c>
      <c r="AA440" s="24">
        <f>VLOOKUP(M440, IMPOSTO!$A:$D, 4, 0)</f>
        <v>0.12</v>
      </c>
      <c r="AB440" s="24">
        <f>VLOOKUP(N440, IMPOSTO!$A:$D, 4, 0)</f>
        <v>7.0000000000000007E-2</v>
      </c>
      <c r="AC440" s="25">
        <f t="shared" si="59"/>
        <v>48.763190909090916</v>
      </c>
      <c r="AD440" s="25">
        <f t="shared" si="60"/>
        <v>49.331372727272736</v>
      </c>
      <c r="AE440" s="25">
        <f t="shared" si="61"/>
        <v>56.033987096774204</v>
      </c>
      <c r="AF440" s="25">
        <f t="shared" si="62"/>
        <v>130.01319090909092</v>
      </c>
      <c r="AG440" s="25">
        <f t="shared" si="63"/>
        <v>1.4156097560975611E-2</v>
      </c>
      <c r="AH440" s="25">
        <f t="shared" si="64"/>
        <v>96.831372727272722</v>
      </c>
      <c r="AI440" s="25">
        <f t="shared" si="65"/>
        <v>470.33506236559151</v>
      </c>
    </row>
    <row r="441" spans="1:35" ht="15.75" customHeight="1">
      <c r="A441" s="12" t="s">
        <v>494</v>
      </c>
      <c r="B441" s="12" t="s">
        <v>495</v>
      </c>
      <c r="C441" s="12" t="s">
        <v>192</v>
      </c>
      <c r="D441" s="12" t="s">
        <v>50</v>
      </c>
      <c r="E441" s="12" t="s">
        <v>27</v>
      </c>
      <c r="F441" s="13">
        <v>0.23610000000000003</v>
      </c>
      <c r="G441" s="14">
        <v>2.552241</v>
      </c>
      <c r="H441" s="24" t="str">
        <f t="shared" si="58"/>
        <v>RJSP</v>
      </c>
      <c r="I441" s="24" t="str">
        <f t="shared" si="66"/>
        <v>RJMG</v>
      </c>
      <c r="J441" s="24" t="str">
        <f t="shared" si="66"/>
        <v>RJES</v>
      </c>
      <c r="K441" s="24" t="str">
        <f t="shared" si="66"/>
        <v>RJSC</v>
      </c>
      <c r="L441" s="24" t="str">
        <f t="shared" si="66"/>
        <v>RJRJ</v>
      </c>
      <c r="M441" s="24" t="str">
        <f t="shared" si="66"/>
        <v>RJPR</v>
      </c>
      <c r="N441" s="24" t="str">
        <f t="shared" si="66"/>
        <v>RJAM</v>
      </c>
      <c r="O441" s="24">
        <f>VLOOKUP(H441, KM!$A:$E, 5, 0)</f>
        <v>429</v>
      </c>
      <c r="P441" s="24">
        <f>VLOOKUP(I441, KM!$A:$E, 5, 0)</f>
        <v>434</v>
      </c>
      <c r="Q441" s="24">
        <f>VLOOKUP(J441, KM!$A:$E, 5, 0)</f>
        <v>521</v>
      </c>
      <c r="R441" s="24">
        <f>VLOOKUP(K441, KM!$A:$E, 5, 0)</f>
        <v>1144</v>
      </c>
      <c r="S441" s="24">
        <f>VLOOKUP(L441, KM!$A:$E, 5, 0)</f>
        <v>0</v>
      </c>
      <c r="T441" s="24">
        <f>VLOOKUP(M441, KM!$A:$E, 5, 0)</f>
        <v>852</v>
      </c>
      <c r="U441" s="24">
        <f>VLOOKUP(N441, KM!$A:$E, 5, 0)</f>
        <v>4374</v>
      </c>
      <c r="V441" s="24">
        <f>VLOOKUP(H441, IMPOSTO!$A:$D, 4, 0)</f>
        <v>0.12</v>
      </c>
      <c r="W441" s="24">
        <f>VLOOKUP(I441, IMPOSTO!$A:$D, 4, 0)</f>
        <v>0.12</v>
      </c>
      <c r="X441" s="24">
        <f>VLOOKUP(J441, IMPOSTO!$A:$D, 4, 0)</f>
        <v>7.0000000000000007E-2</v>
      </c>
      <c r="Y441" s="24">
        <f>VLOOKUP(K441, IMPOSTO!$A:$D, 4, 0)</f>
        <v>0.12</v>
      </c>
      <c r="Z441" s="24">
        <f>VLOOKUP(L441, IMPOSTO!$A:$D, 4, 0)</f>
        <v>0.18</v>
      </c>
      <c r="AA441" s="24">
        <f>VLOOKUP(M441, IMPOSTO!$A:$D, 4, 0)</f>
        <v>0.12</v>
      </c>
      <c r="AB441" s="24">
        <f>VLOOKUP(N441, IMPOSTO!$A:$D, 4, 0)</f>
        <v>7.0000000000000007E-2</v>
      </c>
      <c r="AC441" s="25">
        <f t="shared" si="59"/>
        <v>51.650273863636372</v>
      </c>
      <c r="AD441" s="25">
        <f t="shared" si="60"/>
        <v>52.218455681818192</v>
      </c>
      <c r="AE441" s="25">
        <f t="shared" si="61"/>
        <v>58.765850537634414</v>
      </c>
      <c r="AF441" s="25">
        <f t="shared" si="62"/>
        <v>132.90027386363636</v>
      </c>
      <c r="AG441" s="25">
        <f t="shared" si="63"/>
        <v>3.1124890243902437</v>
      </c>
      <c r="AH441" s="25">
        <f t="shared" si="64"/>
        <v>99.718455681818185</v>
      </c>
      <c r="AI441" s="25">
        <f t="shared" si="65"/>
        <v>473.06692580645165</v>
      </c>
    </row>
    <row r="442" spans="1:35" ht="15.75" customHeight="1">
      <c r="A442" s="12" t="s">
        <v>308</v>
      </c>
      <c r="B442" s="12" t="s">
        <v>309</v>
      </c>
      <c r="C442" s="12" t="s">
        <v>140</v>
      </c>
      <c r="D442" s="12" t="s">
        <v>33</v>
      </c>
      <c r="E442" s="12" t="s">
        <v>27</v>
      </c>
      <c r="F442" s="13">
        <v>1.9E-3</v>
      </c>
      <c r="G442" s="14">
        <v>0.13906099999999999</v>
      </c>
      <c r="H442" s="24" t="str">
        <f t="shared" si="58"/>
        <v>RJSP</v>
      </c>
      <c r="I442" s="24" t="str">
        <f t="shared" si="66"/>
        <v>RJMG</v>
      </c>
      <c r="J442" s="24" t="str">
        <f t="shared" si="66"/>
        <v>RJES</v>
      </c>
      <c r="K442" s="24" t="str">
        <f t="shared" si="66"/>
        <v>RJSC</v>
      </c>
      <c r="L442" s="24" t="str">
        <f t="shared" si="66"/>
        <v>RJRJ</v>
      </c>
      <c r="M442" s="24" t="str">
        <f t="shared" si="66"/>
        <v>RJPR</v>
      </c>
      <c r="N442" s="24" t="str">
        <f t="shared" si="66"/>
        <v>RJAM</v>
      </c>
      <c r="O442" s="24">
        <f>VLOOKUP(H442, KM!$A:$E, 5, 0)</f>
        <v>429</v>
      </c>
      <c r="P442" s="24">
        <f>VLOOKUP(I442, KM!$A:$E, 5, 0)</f>
        <v>434</v>
      </c>
      <c r="Q442" s="24">
        <f>VLOOKUP(J442, KM!$A:$E, 5, 0)</f>
        <v>521</v>
      </c>
      <c r="R442" s="24">
        <f>VLOOKUP(K442, KM!$A:$E, 5, 0)</f>
        <v>1144</v>
      </c>
      <c r="S442" s="24">
        <f>VLOOKUP(L442, KM!$A:$E, 5, 0)</f>
        <v>0</v>
      </c>
      <c r="T442" s="24">
        <f>VLOOKUP(M442, KM!$A:$E, 5, 0)</f>
        <v>852</v>
      </c>
      <c r="U442" s="24">
        <f>VLOOKUP(N442, KM!$A:$E, 5, 0)</f>
        <v>4374</v>
      </c>
      <c r="V442" s="24">
        <f>VLOOKUP(H442, IMPOSTO!$A:$D, 4, 0)</f>
        <v>0.12</v>
      </c>
      <c r="W442" s="24">
        <f>VLOOKUP(I442, IMPOSTO!$A:$D, 4, 0)</f>
        <v>0.12</v>
      </c>
      <c r="X442" s="24">
        <f>VLOOKUP(J442, IMPOSTO!$A:$D, 4, 0)</f>
        <v>7.0000000000000007E-2</v>
      </c>
      <c r="Y442" s="24">
        <f>VLOOKUP(K442, IMPOSTO!$A:$D, 4, 0)</f>
        <v>0.12</v>
      </c>
      <c r="Z442" s="24">
        <f>VLOOKUP(L442, IMPOSTO!$A:$D, 4, 0)</f>
        <v>0.18</v>
      </c>
      <c r="AA442" s="24">
        <f>VLOOKUP(M442, IMPOSTO!$A:$D, 4, 0)</f>
        <v>0.12</v>
      </c>
      <c r="AB442" s="24">
        <f>VLOOKUP(N442, IMPOSTO!$A:$D, 4, 0)</f>
        <v>7.0000000000000007E-2</v>
      </c>
      <c r="AC442" s="25">
        <f t="shared" si="59"/>
        <v>48.908023863636366</v>
      </c>
      <c r="AD442" s="25">
        <f t="shared" si="60"/>
        <v>49.476205681818186</v>
      </c>
      <c r="AE442" s="25">
        <f t="shared" si="61"/>
        <v>56.171033333333334</v>
      </c>
      <c r="AF442" s="25">
        <f t="shared" si="62"/>
        <v>130.15802386363637</v>
      </c>
      <c r="AG442" s="25">
        <f t="shared" si="63"/>
        <v>0.16958658536585364</v>
      </c>
      <c r="AH442" s="25">
        <f t="shared" si="64"/>
        <v>96.976205681818186</v>
      </c>
      <c r="AI442" s="25">
        <f t="shared" si="65"/>
        <v>470.47210860215063</v>
      </c>
    </row>
    <row r="443" spans="1:35" ht="15.75" customHeight="1">
      <c r="A443" s="12" t="s">
        <v>331</v>
      </c>
      <c r="B443" s="12" t="s">
        <v>332</v>
      </c>
      <c r="C443" s="12" t="s">
        <v>333</v>
      </c>
      <c r="D443" s="12" t="s">
        <v>33</v>
      </c>
      <c r="E443" s="12" t="s">
        <v>27</v>
      </c>
      <c r="F443" s="13">
        <v>4.5000000000000005E-3</v>
      </c>
      <c r="G443" s="14">
        <v>3.3355000000000003E-2</v>
      </c>
      <c r="H443" s="24" t="str">
        <f t="shared" si="58"/>
        <v>RJSP</v>
      </c>
      <c r="I443" s="24" t="str">
        <f t="shared" si="66"/>
        <v>RJMG</v>
      </c>
      <c r="J443" s="24" t="str">
        <f t="shared" si="66"/>
        <v>RJES</v>
      </c>
      <c r="K443" s="24" t="str">
        <f t="shared" si="66"/>
        <v>RJSC</v>
      </c>
      <c r="L443" s="24" t="str">
        <f t="shared" si="66"/>
        <v>RJRJ</v>
      </c>
      <c r="M443" s="24" t="str">
        <f t="shared" si="66"/>
        <v>RJPR</v>
      </c>
      <c r="N443" s="24" t="str">
        <f t="shared" si="66"/>
        <v>RJAM</v>
      </c>
      <c r="O443" s="24">
        <f>VLOOKUP(H443, KM!$A:$E, 5, 0)</f>
        <v>429</v>
      </c>
      <c r="P443" s="24">
        <f>VLOOKUP(I443, KM!$A:$E, 5, 0)</f>
        <v>434</v>
      </c>
      <c r="Q443" s="24">
        <f>VLOOKUP(J443, KM!$A:$E, 5, 0)</f>
        <v>521</v>
      </c>
      <c r="R443" s="24">
        <f>VLOOKUP(K443, KM!$A:$E, 5, 0)</f>
        <v>1144</v>
      </c>
      <c r="S443" s="24">
        <f>VLOOKUP(L443, KM!$A:$E, 5, 0)</f>
        <v>0</v>
      </c>
      <c r="T443" s="24">
        <f>VLOOKUP(M443, KM!$A:$E, 5, 0)</f>
        <v>852</v>
      </c>
      <c r="U443" s="24">
        <f>VLOOKUP(N443, KM!$A:$E, 5, 0)</f>
        <v>4374</v>
      </c>
      <c r="V443" s="24">
        <f>VLOOKUP(H443, IMPOSTO!$A:$D, 4, 0)</f>
        <v>0.12</v>
      </c>
      <c r="W443" s="24">
        <f>VLOOKUP(I443, IMPOSTO!$A:$D, 4, 0)</f>
        <v>0.12</v>
      </c>
      <c r="X443" s="24">
        <f>VLOOKUP(J443, IMPOSTO!$A:$D, 4, 0)</f>
        <v>7.0000000000000007E-2</v>
      </c>
      <c r="Y443" s="24">
        <f>VLOOKUP(K443, IMPOSTO!$A:$D, 4, 0)</f>
        <v>0.12</v>
      </c>
      <c r="Z443" s="24">
        <f>VLOOKUP(L443, IMPOSTO!$A:$D, 4, 0)</f>
        <v>0.18</v>
      </c>
      <c r="AA443" s="24">
        <f>VLOOKUP(M443, IMPOSTO!$A:$D, 4, 0)</f>
        <v>0.12</v>
      </c>
      <c r="AB443" s="24">
        <f>VLOOKUP(N443, IMPOSTO!$A:$D, 4, 0)</f>
        <v>7.0000000000000007E-2</v>
      </c>
      <c r="AC443" s="25">
        <f t="shared" si="59"/>
        <v>48.787903409090916</v>
      </c>
      <c r="AD443" s="25">
        <f t="shared" si="60"/>
        <v>49.356085227272736</v>
      </c>
      <c r="AE443" s="25">
        <f t="shared" si="61"/>
        <v>56.057370967741939</v>
      </c>
      <c r="AF443" s="25">
        <f t="shared" si="62"/>
        <v>130.03790340909092</v>
      </c>
      <c r="AG443" s="25">
        <f t="shared" si="63"/>
        <v>4.0676829268292684E-2</v>
      </c>
      <c r="AH443" s="25">
        <f t="shared" si="64"/>
        <v>96.856085227272729</v>
      </c>
      <c r="AI443" s="25">
        <f t="shared" si="65"/>
        <v>470.35844623655919</v>
      </c>
    </row>
    <row r="444" spans="1:35" ht="15.75" customHeight="1">
      <c r="A444" s="12" t="s">
        <v>331</v>
      </c>
      <c r="B444" s="12" t="s">
        <v>334</v>
      </c>
      <c r="C444" s="12" t="s">
        <v>333</v>
      </c>
      <c r="D444" s="12" t="s">
        <v>33</v>
      </c>
      <c r="E444" s="12" t="s">
        <v>27</v>
      </c>
      <c r="F444" s="13">
        <v>2.3E-2</v>
      </c>
      <c r="G444" s="14">
        <v>0.18331</v>
      </c>
      <c r="H444" s="24" t="str">
        <f t="shared" si="58"/>
        <v>RJSP</v>
      </c>
      <c r="I444" s="24" t="str">
        <f t="shared" si="66"/>
        <v>RJMG</v>
      </c>
      <c r="J444" s="24" t="str">
        <f t="shared" si="66"/>
        <v>RJES</v>
      </c>
      <c r="K444" s="24" t="str">
        <f t="shared" si="66"/>
        <v>RJSC</v>
      </c>
      <c r="L444" s="24" t="str">
        <f t="shared" si="66"/>
        <v>RJRJ</v>
      </c>
      <c r="M444" s="24" t="str">
        <f t="shared" si="66"/>
        <v>RJPR</v>
      </c>
      <c r="N444" s="24" t="str">
        <f t="shared" si="66"/>
        <v>RJAM</v>
      </c>
      <c r="O444" s="24">
        <f>VLOOKUP(H444, KM!$A:$E, 5, 0)</f>
        <v>429</v>
      </c>
      <c r="P444" s="24">
        <f>VLOOKUP(I444, KM!$A:$E, 5, 0)</f>
        <v>434</v>
      </c>
      <c r="Q444" s="24">
        <f>VLOOKUP(J444, KM!$A:$E, 5, 0)</f>
        <v>521</v>
      </c>
      <c r="R444" s="24">
        <f>VLOOKUP(K444, KM!$A:$E, 5, 0)</f>
        <v>1144</v>
      </c>
      <c r="S444" s="24">
        <f>VLOOKUP(L444, KM!$A:$E, 5, 0)</f>
        <v>0</v>
      </c>
      <c r="T444" s="24">
        <f>VLOOKUP(M444, KM!$A:$E, 5, 0)</f>
        <v>852</v>
      </c>
      <c r="U444" s="24">
        <f>VLOOKUP(N444, KM!$A:$E, 5, 0)</f>
        <v>4374</v>
      </c>
      <c r="V444" s="24">
        <f>VLOOKUP(H444, IMPOSTO!$A:$D, 4, 0)</f>
        <v>0.12</v>
      </c>
      <c r="W444" s="24">
        <f>VLOOKUP(I444, IMPOSTO!$A:$D, 4, 0)</f>
        <v>0.12</v>
      </c>
      <c r="X444" s="24">
        <f>VLOOKUP(J444, IMPOSTO!$A:$D, 4, 0)</f>
        <v>7.0000000000000007E-2</v>
      </c>
      <c r="Y444" s="24">
        <f>VLOOKUP(K444, IMPOSTO!$A:$D, 4, 0)</f>
        <v>0.12</v>
      </c>
      <c r="Z444" s="24">
        <f>VLOOKUP(L444, IMPOSTO!$A:$D, 4, 0)</f>
        <v>0.18</v>
      </c>
      <c r="AA444" s="24">
        <f>VLOOKUP(M444, IMPOSTO!$A:$D, 4, 0)</f>
        <v>0.12</v>
      </c>
      <c r="AB444" s="24">
        <f>VLOOKUP(N444, IMPOSTO!$A:$D, 4, 0)</f>
        <v>7.0000000000000007E-2</v>
      </c>
      <c r="AC444" s="25">
        <f t="shared" si="59"/>
        <v>48.958306818181825</v>
      </c>
      <c r="AD444" s="25">
        <f t="shared" si="60"/>
        <v>49.526488636363638</v>
      </c>
      <c r="AE444" s="25">
        <f t="shared" si="61"/>
        <v>56.218612903225811</v>
      </c>
      <c r="AF444" s="25">
        <f t="shared" si="62"/>
        <v>130.20830681818182</v>
      </c>
      <c r="AG444" s="25">
        <f t="shared" si="63"/>
        <v>0.22354878048780485</v>
      </c>
      <c r="AH444" s="25">
        <f t="shared" si="64"/>
        <v>97.026488636363652</v>
      </c>
      <c r="AI444" s="25">
        <f t="shared" si="65"/>
        <v>470.51968817204306</v>
      </c>
    </row>
    <row r="445" spans="1:35" ht="15.75" customHeight="1">
      <c r="A445" s="12" t="s">
        <v>353</v>
      </c>
      <c r="B445" s="12" t="s">
        <v>354</v>
      </c>
      <c r="C445" s="12" t="s">
        <v>333</v>
      </c>
      <c r="D445" s="12" t="s">
        <v>33</v>
      </c>
      <c r="E445" s="12" t="s">
        <v>27</v>
      </c>
      <c r="F445" s="13">
        <v>37</v>
      </c>
      <c r="G445" s="14">
        <v>802.18</v>
      </c>
      <c r="H445" s="24" t="str">
        <f t="shared" si="58"/>
        <v>RJSP</v>
      </c>
      <c r="I445" s="24" t="str">
        <f t="shared" si="66"/>
        <v>RJMG</v>
      </c>
      <c r="J445" s="24" t="str">
        <f t="shared" si="66"/>
        <v>RJES</v>
      </c>
      <c r="K445" s="24" t="str">
        <f t="shared" si="66"/>
        <v>RJSC</v>
      </c>
      <c r="L445" s="24" t="str">
        <f t="shared" si="66"/>
        <v>RJRJ</v>
      </c>
      <c r="M445" s="24" t="str">
        <f t="shared" si="66"/>
        <v>RJPR</v>
      </c>
      <c r="N445" s="24" t="str">
        <f t="shared" si="66"/>
        <v>RJAM</v>
      </c>
      <c r="O445" s="24">
        <f>VLOOKUP(H445, KM!$A:$E, 5, 0)</f>
        <v>429</v>
      </c>
      <c r="P445" s="24">
        <f>VLOOKUP(I445, KM!$A:$E, 5, 0)</f>
        <v>434</v>
      </c>
      <c r="Q445" s="24">
        <f>VLOOKUP(J445, KM!$A:$E, 5, 0)</f>
        <v>521</v>
      </c>
      <c r="R445" s="24">
        <f>VLOOKUP(K445, KM!$A:$E, 5, 0)</f>
        <v>1144</v>
      </c>
      <c r="S445" s="24">
        <f>VLOOKUP(L445, KM!$A:$E, 5, 0)</f>
        <v>0</v>
      </c>
      <c r="T445" s="24">
        <f>VLOOKUP(M445, KM!$A:$E, 5, 0)</f>
        <v>852</v>
      </c>
      <c r="U445" s="24">
        <f>VLOOKUP(N445, KM!$A:$E, 5, 0)</f>
        <v>4374</v>
      </c>
      <c r="V445" s="24">
        <f>VLOOKUP(H445, IMPOSTO!$A:$D, 4, 0)</f>
        <v>0.12</v>
      </c>
      <c r="W445" s="24">
        <f>VLOOKUP(I445, IMPOSTO!$A:$D, 4, 0)</f>
        <v>0.12</v>
      </c>
      <c r="X445" s="24">
        <f>VLOOKUP(J445, IMPOSTO!$A:$D, 4, 0)</f>
        <v>7.0000000000000007E-2</v>
      </c>
      <c r="Y445" s="24">
        <f>VLOOKUP(K445, IMPOSTO!$A:$D, 4, 0)</f>
        <v>0.12</v>
      </c>
      <c r="Z445" s="24">
        <f>VLOOKUP(L445, IMPOSTO!$A:$D, 4, 0)</f>
        <v>0.18</v>
      </c>
      <c r="AA445" s="24">
        <f>VLOOKUP(M445, IMPOSTO!$A:$D, 4, 0)</f>
        <v>0.12</v>
      </c>
      <c r="AB445" s="24">
        <f>VLOOKUP(N445, IMPOSTO!$A:$D, 4, 0)</f>
        <v>7.0000000000000007E-2</v>
      </c>
      <c r="AC445" s="25">
        <f t="shared" si="59"/>
        <v>960.31818181818176</v>
      </c>
      <c r="AD445" s="25">
        <f t="shared" si="60"/>
        <v>960.88636363636351</v>
      </c>
      <c r="AE445" s="25">
        <f t="shared" si="61"/>
        <v>918.58064516129036</v>
      </c>
      <c r="AF445" s="25">
        <f t="shared" si="62"/>
        <v>1041.5681818181818</v>
      </c>
      <c r="AG445" s="25">
        <f t="shared" si="63"/>
        <v>978.2682926829267</v>
      </c>
      <c r="AH445" s="25">
        <f t="shared" si="64"/>
        <v>1008.3863636363636</v>
      </c>
      <c r="AI445" s="25">
        <f t="shared" si="65"/>
        <v>1332.8817204301076</v>
      </c>
    </row>
    <row r="446" spans="1:35" ht="15.75" customHeight="1">
      <c r="A446" s="12" t="s">
        <v>496</v>
      </c>
      <c r="B446" s="12" t="s">
        <v>497</v>
      </c>
      <c r="C446" s="12" t="s">
        <v>223</v>
      </c>
      <c r="D446" s="12" t="s">
        <v>33</v>
      </c>
      <c r="E446" s="12" t="s">
        <v>27</v>
      </c>
      <c r="F446" s="13">
        <v>9.3600000000000003E-2</v>
      </c>
      <c r="G446" s="14">
        <v>3.42828</v>
      </c>
      <c r="H446" s="24" t="str">
        <f t="shared" si="58"/>
        <v>RJSP</v>
      </c>
      <c r="I446" s="24" t="str">
        <f t="shared" si="66"/>
        <v>RJMG</v>
      </c>
      <c r="J446" s="24" t="str">
        <f t="shared" si="66"/>
        <v>RJES</v>
      </c>
      <c r="K446" s="24" t="str">
        <f t="shared" si="66"/>
        <v>RJSC</v>
      </c>
      <c r="L446" s="24" t="str">
        <f t="shared" si="66"/>
        <v>RJRJ</v>
      </c>
      <c r="M446" s="24" t="str">
        <f t="shared" si="66"/>
        <v>RJPR</v>
      </c>
      <c r="N446" s="24" t="str">
        <f t="shared" si="66"/>
        <v>RJAM</v>
      </c>
      <c r="O446" s="24">
        <f>VLOOKUP(H446, KM!$A:$E, 5, 0)</f>
        <v>429</v>
      </c>
      <c r="P446" s="24">
        <f>VLOOKUP(I446, KM!$A:$E, 5, 0)</f>
        <v>434</v>
      </c>
      <c r="Q446" s="24">
        <f>VLOOKUP(J446, KM!$A:$E, 5, 0)</f>
        <v>521</v>
      </c>
      <c r="R446" s="24">
        <f>VLOOKUP(K446, KM!$A:$E, 5, 0)</f>
        <v>1144</v>
      </c>
      <c r="S446" s="24">
        <f>VLOOKUP(L446, KM!$A:$E, 5, 0)</f>
        <v>0</v>
      </c>
      <c r="T446" s="24">
        <f>VLOOKUP(M446, KM!$A:$E, 5, 0)</f>
        <v>852</v>
      </c>
      <c r="U446" s="24">
        <f>VLOOKUP(N446, KM!$A:$E, 5, 0)</f>
        <v>4374</v>
      </c>
      <c r="V446" s="24">
        <f>VLOOKUP(H446, IMPOSTO!$A:$D, 4, 0)</f>
        <v>0.12</v>
      </c>
      <c r="W446" s="24">
        <f>VLOOKUP(I446, IMPOSTO!$A:$D, 4, 0)</f>
        <v>0.12</v>
      </c>
      <c r="X446" s="24">
        <f>VLOOKUP(J446, IMPOSTO!$A:$D, 4, 0)</f>
        <v>7.0000000000000007E-2</v>
      </c>
      <c r="Y446" s="24">
        <f>VLOOKUP(K446, IMPOSTO!$A:$D, 4, 0)</f>
        <v>0.12</v>
      </c>
      <c r="Z446" s="24">
        <f>VLOOKUP(L446, IMPOSTO!$A:$D, 4, 0)</f>
        <v>0.18</v>
      </c>
      <c r="AA446" s="24">
        <f>VLOOKUP(M446, IMPOSTO!$A:$D, 4, 0)</f>
        <v>0.12</v>
      </c>
      <c r="AB446" s="24">
        <f>VLOOKUP(N446, IMPOSTO!$A:$D, 4, 0)</f>
        <v>7.0000000000000007E-2</v>
      </c>
      <c r="AC446" s="25">
        <f t="shared" si="59"/>
        <v>52.645772727272735</v>
      </c>
      <c r="AD446" s="25">
        <f t="shared" si="60"/>
        <v>53.213954545454556</v>
      </c>
      <c r="AE446" s="25">
        <f t="shared" si="61"/>
        <v>59.707827956989256</v>
      </c>
      <c r="AF446" s="25">
        <f t="shared" si="62"/>
        <v>133.89577272727274</v>
      </c>
      <c r="AG446" s="25">
        <f t="shared" si="63"/>
        <v>4.1808292682926824</v>
      </c>
      <c r="AH446" s="25">
        <f t="shared" si="64"/>
        <v>100.71395454545456</v>
      </c>
      <c r="AI446" s="25">
        <f t="shared" si="65"/>
        <v>474.00890322580648</v>
      </c>
    </row>
    <row r="447" spans="1:35" ht="15.75" customHeight="1">
      <c r="A447" s="12" t="s">
        <v>498</v>
      </c>
      <c r="B447" s="12" t="s">
        <v>499</v>
      </c>
      <c r="C447" s="12" t="s">
        <v>232</v>
      </c>
      <c r="D447" s="12" t="s">
        <v>33</v>
      </c>
      <c r="E447" s="12" t="s">
        <v>27</v>
      </c>
      <c r="F447" s="13">
        <v>6.7199999999999996E-2</v>
      </c>
      <c r="G447" s="14">
        <v>1.544694</v>
      </c>
      <c r="H447" s="24" t="str">
        <f t="shared" si="58"/>
        <v>RJSP</v>
      </c>
      <c r="I447" s="24" t="str">
        <f t="shared" si="66"/>
        <v>RJMG</v>
      </c>
      <c r="J447" s="24" t="str">
        <f t="shared" si="66"/>
        <v>RJES</v>
      </c>
      <c r="K447" s="24" t="str">
        <f t="shared" si="66"/>
        <v>RJSC</v>
      </c>
      <c r="L447" s="24" t="str">
        <f t="shared" si="66"/>
        <v>RJRJ</v>
      </c>
      <c r="M447" s="24" t="str">
        <f t="shared" si="66"/>
        <v>RJPR</v>
      </c>
      <c r="N447" s="24" t="str">
        <f t="shared" si="66"/>
        <v>RJAM</v>
      </c>
      <c r="O447" s="24">
        <f>VLOOKUP(H447, KM!$A:$E, 5, 0)</f>
        <v>429</v>
      </c>
      <c r="P447" s="24">
        <f>VLOOKUP(I447, KM!$A:$E, 5, 0)</f>
        <v>434</v>
      </c>
      <c r="Q447" s="24">
        <f>VLOOKUP(J447, KM!$A:$E, 5, 0)</f>
        <v>521</v>
      </c>
      <c r="R447" s="24">
        <f>VLOOKUP(K447, KM!$A:$E, 5, 0)</f>
        <v>1144</v>
      </c>
      <c r="S447" s="24">
        <f>VLOOKUP(L447, KM!$A:$E, 5, 0)</f>
        <v>0</v>
      </c>
      <c r="T447" s="24">
        <f>VLOOKUP(M447, KM!$A:$E, 5, 0)</f>
        <v>852</v>
      </c>
      <c r="U447" s="24">
        <f>VLOOKUP(N447, KM!$A:$E, 5, 0)</f>
        <v>4374</v>
      </c>
      <c r="V447" s="24">
        <f>VLOOKUP(H447, IMPOSTO!$A:$D, 4, 0)</f>
        <v>0.12</v>
      </c>
      <c r="W447" s="24">
        <f>VLOOKUP(I447, IMPOSTO!$A:$D, 4, 0)</f>
        <v>0.12</v>
      </c>
      <c r="X447" s="24">
        <f>VLOOKUP(J447, IMPOSTO!$A:$D, 4, 0)</f>
        <v>7.0000000000000007E-2</v>
      </c>
      <c r="Y447" s="24">
        <f>VLOOKUP(K447, IMPOSTO!$A:$D, 4, 0)</f>
        <v>0.12</v>
      </c>
      <c r="Z447" s="24">
        <f>VLOOKUP(L447, IMPOSTO!$A:$D, 4, 0)</f>
        <v>0.18</v>
      </c>
      <c r="AA447" s="24">
        <f>VLOOKUP(M447, IMPOSTO!$A:$D, 4, 0)</f>
        <v>0.12</v>
      </c>
      <c r="AB447" s="24">
        <f>VLOOKUP(N447, IMPOSTO!$A:$D, 4, 0)</f>
        <v>7.0000000000000007E-2</v>
      </c>
      <c r="AC447" s="25">
        <f t="shared" si="59"/>
        <v>50.505334090909095</v>
      </c>
      <c r="AD447" s="25">
        <f t="shared" si="60"/>
        <v>51.073515909090915</v>
      </c>
      <c r="AE447" s="25">
        <f t="shared" si="61"/>
        <v>57.68246666666667</v>
      </c>
      <c r="AF447" s="25">
        <f t="shared" si="62"/>
        <v>131.75533409090912</v>
      </c>
      <c r="AG447" s="25">
        <f t="shared" si="63"/>
        <v>1.8837731707317071</v>
      </c>
      <c r="AH447" s="25">
        <f t="shared" si="64"/>
        <v>98.573515909090915</v>
      </c>
      <c r="AI447" s="25">
        <f t="shared" si="65"/>
        <v>471.98354193548391</v>
      </c>
    </row>
    <row r="448" spans="1:35" ht="15.75" customHeight="1">
      <c r="A448" s="12" t="s">
        <v>310</v>
      </c>
      <c r="B448" s="12" t="s">
        <v>311</v>
      </c>
      <c r="C448" s="12" t="s">
        <v>135</v>
      </c>
      <c r="D448" s="12" t="s">
        <v>33</v>
      </c>
      <c r="E448" s="12" t="s">
        <v>27</v>
      </c>
      <c r="F448" s="13">
        <v>1E-4</v>
      </c>
      <c r="G448" s="14">
        <v>3.4140000000000004E-3</v>
      </c>
      <c r="H448" s="24" t="str">
        <f t="shared" si="58"/>
        <v>RJSP</v>
      </c>
      <c r="I448" s="24" t="str">
        <f t="shared" si="66"/>
        <v>RJMG</v>
      </c>
      <c r="J448" s="24" t="str">
        <f t="shared" si="66"/>
        <v>RJES</v>
      </c>
      <c r="K448" s="24" t="str">
        <f t="shared" si="66"/>
        <v>RJSC</v>
      </c>
      <c r="L448" s="24" t="str">
        <f t="shared" si="66"/>
        <v>RJRJ</v>
      </c>
      <c r="M448" s="24" t="str">
        <f t="shared" si="66"/>
        <v>RJPR</v>
      </c>
      <c r="N448" s="24" t="str">
        <f t="shared" si="66"/>
        <v>RJAM</v>
      </c>
      <c r="O448" s="24">
        <f>VLOOKUP(H448, KM!$A:$E, 5, 0)</f>
        <v>429</v>
      </c>
      <c r="P448" s="24">
        <f>VLOOKUP(I448, KM!$A:$E, 5, 0)</f>
        <v>434</v>
      </c>
      <c r="Q448" s="24">
        <f>VLOOKUP(J448, KM!$A:$E, 5, 0)</f>
        <v>521</v>
      </c>
      <c r="R448" s="24">
        <f>VLOOKUP(K448, KM!$A:$E, 5, 0)</f>
        <v>1144</v>
      </c>
      <c r="S448" s="24">
        <f>VLOOKUP(L448, KM!$A:$E, 5, 0)</f>
        <v>0</v>
      </c>
      <c r="T448" s="24">
        <f>VLOOKUP(M448, KM!$A:$E, 5, 0)</f>
        <v>852</v>
      </c>
      <c r="U448" s="24">
        <f>VLOOKUP(N448, KM!$A:$E, 5, 0)</f>
        <v>4374</v>
      </c>
      <c r="V448" s="24">
        <f>VLOOKUP(H448, IMPOSTO!$A:$D, 4, 0)</f>
        <v>0.12</v>
      </c>
      <c r="W448" s="24">
        <f>VLOOKUP(I448, IMPOSTO!$A:$D, 4, 0)</f>
        <v>0.12</v>
      </c>
      <c r="X448" s="24">
        <f>VLOOKUP(J448, IMPOSTO!$A:$D, 4, 0)</f>
        <v>7.0000000000000007E-2</v>
      </c>
      <c r="Y448" s="24">
        <f>VLOOKUP(K448, IMPOSTO!$A:$D, 4, 0)</f>
        <v>0.12</v>
      </c>
      <c r="Z448" s="24">
        <f>VLOOKUP(L448, IMPOSTO!$A:$D, 4, 0)</f>
        <v>0.18</v>
      </c>
      <c r="AA448" s="24">
        <f>VLOOKUP(M448, IMPOSTO!$A:$D, 4, 0)</f>
        <v>0.12</v>
      </c>
      <c r="AB448" s="24">
        <f>VLOOKUP(N448, IMPOSTO!$A:$D, 4, 0)</f>
        <v>7.0000000000000007E-2</v>
      </c>
      <c r="AC448" s="25">
        <f t="shared" si="59"/>
        <v>48.753879545454552</v>
      </c>
      <c r="AD448" s="25">
        <f t="shared" si="60"/>
        <v>49.322061363636372</v>
      </c>
      <c r="AE448" s="25">
        <f t="shared" si="61"/>
        <v>56.025176344086027</v>
      </c>
      <c r="AF448" s="25">
        <f t="shared" si="62"/>
        <v>130.00387954545457</v>
      </c>
      <c r="AG448" s="25">
        <f t="shared" si="63"/>
        <v>4.1634146341463412E-3</v>
      </c>
      <c r="AH448" s="25">
        <f t="shared" si="64"/>
        <v>96.822061363636379</v>
      </c>
      <c r="AI448" s="25">
        <f t="shared" si="65"/>
        <v>470.32625161290332</v>
      </c>
    </row>
    <row r="449" spans="1:35" ht="15.75" customHeight="1">
      <c r="A449" s="12" t="s">
        <v>251</v>
      </c>
      <c r="B449" s="12" t="s">
        <v>252</v>
      </c>
      <c r="C449" s="12" t="s">
        <v>122</v>
      </c>
      <c r="D449" s="12" t="s">
        <v>33</v>
      </c>
      <c r="E449" s="12" t="s">
        <v>27</v>
      </c>
      <c r="F449" s="13">
        <v>0</v>
      </c>
      <c r="G449" s="14">
        <v>0</v>
      </c>
      <c r="H449" s="24" t="str">
        <f t="shared" si="58"/>
        <v>RJSP</v>
      </c>
      <c r="I449" s="24" t="str">
        <f t="shared" si="66"/>
        <v>RJMG</v>
      </c>
      <c r="J449" s="24" t="str">
        <f t="shared" si="66"/>
        <v>RJES</v>
      </c>
      <c r="K449" s="24" t="str">
        <f t="shared" si="66"/>
        <v>RJSC</v>
      </c>
      <c r="L449" s="24" t="str">
        <f t="shared" si="66"/>
        <v>RJRJ</v>
      </c>
      <c r="M449" s="24" t="str">
        <f t="shared" si="66"/>
        <v>RJPR</v>
      </c>
      <c r="N449" s="24" t="str">
        <f t="shared" si="66"/>
        <v>RJAM</v>
      </c>
      <c r="O449" s="24">
        <f>VLOOKUP(H449, KM!$A:$E, 5, 0)</f>
        <v>429</v>
      </c>
      <c r="P449" s="24">
        <f>VLOOKUP(I449, KM!$A:$E, 5, 0)</f>
        <v>434</v>
      </c>
      <c r="Q449" s="24">
        <f>VLOOKUP(J449, KM!$A:$E, 5, 0)</f>
        <v>521</v>
      </c>
      <c r="R449" s="24">
        <f>VLOOKUP(K449, KM!$A:$E, 5, 0)</f>
        <v>1144</v>
      </c>
      <c r="S449" s="24">
        <f>VLOOKUP(L449, KM!$A:$E, 5, 0)</f>
        <v>0</v>
      </c>
      <c r="T449" s="24">
        <f>VLOOKUP(M449, KM!$A:$E, 5, 0)</f>
        <v>852</v>
      </c>
      <c r="U449" s="24">
        <f>VLOOKUP(N449, KM!$A:$E, 5, 0)</f>
        <v>4374</v>
      </c>
      <c r="V449" s="24">
        <f>VLOOKUP(H449, IMPOSTO!$A:$D, 4, 0)</f>
        <v>0.12</v>
      </c>
      <c r="W449" s="24">
        <f>VLOOKUP(I449, IMPOSTO!$A:$D, 4, 0)</f>
        <v>0.12</v>
      </c>
      <c r="X449" s="24">
        <f>VLOOKUP(J449, IMPOSTO!$A:$D, 4, 0)</f>
        <v>7.0000000000000007E-2</v>
      </c>
      <c r="Y449" s="24">
        <f>VLOOKUP(K449, IMPOSTO!$A:$D, 4, 0)</f>
        <v>0.12</v>
      </c>
      <c r="Z449" s="24">
        <f>VLOOKUP(L449, IMPOSTO!$A:$D, 4, 0)</f>
        <v>0.18</v>
      </c>
      <c r="AA449" s="24">
        <f>VLOOKUP(M449, IMPOSTO!$A:$D, 4, 0)</f>
        <v>0.12</v>
      </c>
      <c r="AB449" s="24">
        <f>VLOOKUP(N449, IMPOSTO!$A:$D, 4, 0)</f>
        <v>7.0000000000000007E-2</v>
      </c>
      <c r="AC449" s="25">
        <f t="shared" si="59"/>
        <v>48.750000000000007</v>
      </c>
      <c r="AD449" s="25">
        <f t="shared" si="60"/>
        <v>49.318181818181827</v>
      </c>
      <c r="AE449" s="25">
        <f t="shared" si="61"/>
        <v>56.021505376344088</v>
      </c>
      <c r="AF449" s="25">
        <f t="shared" si="62"/>
        <v>130</v>
      </c>
      <c r="AG449" s="25">
        <f t="shared" si="63"/>
        <v>0</v>
      </c>
      <c r="AH449" s="25">
        <f t="shared" si="64"/>
        <v>96.818181818181827</v>
      </c>
      <c r="AI449" s="25">
        <f t="shared" si="65"/>
        <v>470.32258064516134</v>
      </c>
    </row>
    <row r="450" spans="1:35" ht="15.75" customHeight="1">
      <c r="A450" s="12" t="s">
        <v>300</v>
      </c>
      <c r="B450" s="12" t="s">
        <v>301</v>
      </c>
      <c r="C450" s="12" t="s">
        <v>232</v>
      </c>
      <c r="D450" s="12" t="s">
        <v>33</v>
      </c>
      <c r="E450" s="12" t="s">
        <v>27</v>
      </c>
      <c r="F450" s="13">
        <v>0</v>
      </c>
      <c r="G450" s="14">
        <v>0</v>
      </c>
      <c r="H450" s="24" t="str">
        <f t="shared" si="58"/>
        <v>RJSP</v>
      </c>
      <c r="I450" s="24" t="str">
        <f t="shared" si="66"/>
        <v>RJMG</v>
      </c>
      <c r="J450" s="24" t="str">
        <f t="shared" si="66"/>
        <v>RJES</v>
      </c>
      <c r="K450" s="24" t="str">
        <f t="shared" si="66"/>
        <v>RJSC</v>
      </c>
      <c r="L450" s="24" t="str">
        <f t="shared" si="66"/>
        <v>RJRJ</v>
      </c>
      <c r="M450" s="24" t="str">
        <f t="shared" ref="I450:N513" si="67">$E450 &amp; M$17</f>
        <v>RJPR</v>
      </c>
      <c r="N450" s="24" t="str">
        <f t="shared" si="67"/>
        <v>RJAM</v>
      </c>
      <c r="O450" s="24">
        <f>VLOOKUP(H450, KM!$A:$E, 5, 0)</f>
        <v>429</v>
      </c>
      <c r="P450" s="24">
        <f>VLOOKUP(I450, KM!$A:$E, 5, 0)</f>
        <v>434</v>
      </c>
      <c r="Q450" s="24">
        <f>VLOOKUP(J450, KM!$A:$E, 5, 0)</f>
        <v>521</v>
      </c>
      <c r="R450" s="24">
        <f>VLOOKUP(K450, KM!$A:$E, 5, 0)</f>
        <v>1144</v>
      </c>
      <c r="S450" s="24">
        <f>VLOOKUP(L450, KM!$A:$E, 5, 0)</f>
        <v>0</v>
      </c>
      <c r="T450" s="24">
        <f>VLOOKUP(M450, KM!$A:$E, 5, 0)</f>
        <v>852</v>
      </c>
      <c r="U450" s="24">
        <f>VLOOKUP(N450, KM!$A:$E, 5, 0)</f>
        <v>4374</v>
      </c>
      <c r="V450" s="24">
        <f>VLOOKUP(H450, IMPOSTO!$A:$D, 4, 0)</f>
        <v>0.12</v>
      </c>
      <c r="W450" s="24">
        <f>VLOOKUP(I450, IMPOSTO!$A:$D, 4, 0)</f>
        <v>0.12</v>
      </c>
      <c r="X450" s="24">
        <f>VLOOKUP(J450, IMPOSTO!$A:$D, 4, 0)</f>
        <v>7.0000000000000007E-2</v>
      </c>
      <c r="Y450" s="24">
        <f>VLOOKUP(K450, IMPOSTO!$A:$D, 4, 0)</f>
        <v>0.12</v>
      </c>
      <c r="Z450" s="24">
        <f>VLOOKUP(L450, IMPOSTO!$A:$D, 4, 0)</f>
        <v>0.18</v>
      </c>
      <c r="AA450" s="24">
        <f>VLOOKUP(M450, IMPOSTO!$A:$D, 4, 0)</f>
        <v>0.12</v>
      </c>
      <c r="AB450" s="24">
        <f>VLOOKUP(N450, IMPOSTO!$A:$D, 4, 0)</f>
        <v>7.0000000000000007E-2</v>
      </c>
      <c r="AC450" s="25">
        <f t="shared" si="59"/>
        <v>48.750000000000007</v>
      </c>
      <c r="AD450" s="25">
        <f t="shared" si="60"/>
        <v>49.318181818181827</v>
      </c>
      <c r="AE450" s="25">
        <f t="shared" si="61"/>
        <v>56.021505376344088</v>
      </c>
      <c r="AF450" s="25">
        <f t="shared" si="62"/>
        <v>130</v>
      </c>
      <c r="AG450" s="25">
        <f t="shared" si="63"/>
        <v>0</v>
      </c>
      <c r="AH450" s="25">
        <f t="shared" si="64"/>
        <v>96.818181818181827</v>
      </c>
      <c r="AI450" s="25">
        <f t="shared" si="65"/>
        <v>470.32258064516134</v>
      </c>
    </row>
    <row r="451" spans="1:35" ht="15.75" customHeight="1">
      <c r="A451" s="12" t="s">
        <v>486</v>
      </c>
      <c r="B451" s="12" t="s">
        <v>487</v>
      </c>
      <c r="C451" s="12" t="s">
        <v>299</v>
      </c>
      <c r="D451" s="12" t="s">
        <v>33</v>
      </c>
      <c r="E451" s="12" t="s">
        <v>27</v>
      </c>
      <c r="F451" s="13">
        <v>0</v>
      </c>
      <c r="G451" s="14">
        <v>0</v>
      </c>
      <c r="H451" s="24" t="str">
        <f t="shared" si="58"/>
        <v>RJSP</v>
      </c>
      <c r="I451" s="24" t="str">
        <f t="shared" si="67"/>
        <v>RJMG</v>
      </c>
      <c r="J451" s="24" t="str">
        <f t="shared" si="67"/>
        <v>RJES</v>
      </c>
      <c r="K451" s="24" t="str">
        <f t="shared" si="67"/>
        <v>RJSC</v>
      </c>
      <c r="L451" s="24" t="str">
        <f t="shared" si="67"/>
        <v>RJRJ</v>
      </c>
      <c r="M451" s="24" t="str">
        <f t="shared" si="67"/>
        <v>RJPR</v>
      </c>
      <c r="N451" s="24" t="str">
        <f t="shared" si="67"/>
        <v>RJAM</v>
      </c>
      <c r="O451" s="24">
        <f>VLOOKUP(H451, KM!$A:$E, 5, 0)</f>
        <v>429</v>
      </c>
      <c r="P451" s="24">
        <f>VLOOKUP(I451, KM!$A:$E, 5, 0)</f>
        <v>434</v>
      </c>
      <c r="Q451" s="24">
        <f>VLOOKUP(J451, KM!$A:$E, 5, 0)</f>
        <v>521</v>
      </c>
      <c r="R451" s="24">
        <f>VLOOKUP(K451, KM!$A:$E, 5, 0)</f>
        <v>1144</v>
      </c>
      <c r="S451" s="24">
        <f>VLOOKUP(L451, KM!$A:$E, 5, 0)</f>
        <v>0</v>
      </c>
      <c r="T451" s="24">
        <f>VLOOKUP(M451, KM!$A:$E, 5, 0)</f>
        <v>852</v>
      </c>
      <c r="U451" s="24">
        <f>VLOOKUP(N451, KM!$A:$E, 5, 0)</f>
        <v>4374</v>
      </c>
      <c r="V451" s="24">
        <f>VLOOKUP(H451, IMPOSTO!$A:$D, 4, 0)</f>
        <v>0.12</v>
      </c>
      <c r="W451" s="24">
        <f>VLOOKUP(I451, IMPOSTO!$A:$D, 4, 0)</f>
        <v>0.12</v>
      </c>
      <c r="X451" s="24">
        <f>VLOOKUP(J451, IMPOSTO!$A:$D, 4, 0)</f>
        <v>7.0000000000000007E-2</v>
      </c>
      <c r="Y451" s="24">
        <f>VLOOKUP(K451, IMPOSTO!$A:$D, 4, 0)</f>
        <v>0.12</v>
      </c>
      <c r="Z451" s="24">
        <f>VLOOKUP(L451, IMPOSTO!$A:$D, 4, 0)</f>
        <v>0.18</v>
      </c>
      <c r="AA451" s="24">
        <f>VLOOKUP(M451, IMPOSTO!$A:$D, 4, 0)</f>
        <v>0.12</v>
      </c>
      <c r="AB451" s="24">
        <f>VLOOKUP(N451, IMPOSTO!$A:$D, 4, 0)</f>
        <v>7.0000000000000007E-2</v>
      </c>
      <c r="AC451" s="25">
        <f t="shared" si="59"/>
        <v>48.750000000000007</v>
      </c>
      <c r="AD451" s="25">
        <f t="shared" si="60"/>
        <v>49.318181818181827</v>
      </c>
      <c r="AE451" s="25">
        <f t="shared" si="61"/>
        <v>56.021505376344088</v>
      </c>
      <c r="AF451" s="25">
        <f t="shared" si="62"/>
        <v>130</v>
      </c>
      <c r="AG451" s="25">
        <f t="shared" si="63"/>
        <v>0</v>
      </c>
      <c r="AH451" s="25">
        <f t="shared" si="64"/>
        <v>96.818181818181827</v>
      </c>
      <c r="AI451" s="25">
        <f t="shared" si="65"/>
        <v>470.32258064516134</v>
      </c>
    </row>
    <row r="452" spans="1:35" ht="15.75" customHeight="1">
      <c r="A452" s="12" t="s">
        <v>272</v>
      </c>
      <c r="B452" s="12" t="s">
        <v>273</v>
      </c>
      <c r="C452" s="12" t="s">
        <v>181</v>
      </c>
      <c r="D452" s="12" t="s">
        <v>33</v>
      </c>
      <c r="E452" s="12" t="s">
        <v>27</v>
      </c>
      <c r="F452" s="13">
        <v>1.5963425286518993</v>
      </c>
      <c r="G452" s="14">
        <v>1.2589266384205442</v>
      </c>
      <c r="H452" s="24" t="str">
        <f t="shared" si="58"/>
        <v>RJSP</v>
      </c>
      <c r="I452" s="24" t="str">
        <f t="shared" si="67"/>
        <v>RJMG</v>
      </c>
      <c r="J452" s="24" t="str">
        <f t="shared" si="67"/>
        <v>RJES</v>
      </c>
      <c r="K452" s="24" t="str">
        <f t="shared" si="67"/>
        <v>RJSC</v>
      </c>
      <c r="L452" s="24" t="str">
        <f t="shared" si="67"/>
        <v>RJRJ</v>
      </c>
      <c r="M452" s="24" t="str">
        <f t="shared" si="67"/>
        <v>RJPR</v>
      </c>
      <c r="N452" s="24" t="str">
        <f t="shared" si="67"/>
        <v>RJAM</v>
      </c>
      <c r="O452" s="24">
        <f>VLOOKUP(H452, KM!$A:$E, 5, 0)</f>
        <v>429</v>
      </c>
      <c r="P452" s="24">
        <f>VLOOKUP(I452, KM!$A:$E, 5, 0)</f>
        <v>434</v>
      </c>
      <c r="Q452" s="24">
        <f>VLOOKUP(J452, KM!$A:$E, 5, 0)</f>
        <v>521</v>
      </c>
      <c r="R452" s="24">
        <f>VLOOKUP(K452, KM!$A:$E, 5, 0)</f>
        <v>1144</v>
      </c>
      <c r="S452" s="24">
        <f>VLOOKUP(L452, KM!$A:$E, 5, 0)</f>
        <v>0</v>
      </c>
      <c r="T452" s="24">
        <f>VLOOKUP(M452, KM!$A:$E, 5, 0)</f>
        <v>852</v>
      </c>
      <c r="U452" s="24">
        <f>VLOOKUP(N452, KM!$A:$E, 5, 0)</f>
        <v>4374</v>
      </c>
      <c r="V452" s="24">
        <f>VLOOKUP(H452, IMPOSTO!$A:$D, 4, 0)</f>
        <v>0.12</v>
      </c>
      <c r="W452" s="24">
        <f>VLOOKUP(I452, IMPOSTO!$A:$D, 4, 0)</f>
        <v>0.12</v>
      </c>
      <c r="X452" s="24">
        <f>VLOOKUP(J452, IMPOSTO!$A:$D, 4, 0)</f>
        <v>7.0000000000000007E-2</v>
      </c>
      <c r="Y452" s="24">
        <f>VLOOKUP(K452, IMPOSTO!$A:$D, 4, 0)</f>
        <v>0.12</v>
      </c>
      <c r="Z452" s="24">
        <f>VLOOKUP(L452, IMPOSTO!$A:$D, 4, 0)</f>
        <v>0.18</v>
      </c>
      <c r="AA452" s="24">
        <f>VLOOKUP(M452, IMPOSTO!$A:$D, 4, 0)</f>
        <v>0.12</v>
      </c>
      <c r="AB452" s="24">
        <f>VLOOKUP(N452, IMPOSTO!$A:$D, 4, 0)</f>
        <v>7.0000000000000007E-2</v>
      </c>
      <c r="AC452" s="25">
        <f t="shared" si="59"/>
        <v>50.18059845275063</v>
      </c>
      <c r="AD452" s="25">
        <f t="shared" si="60"/>
        <v>50.74878027093245</v>
      </c>
      <c r="AE452" s="25">
        <f t="shared" si="61"/>
        <v>57.375189933785542</v>
      </c>
      <c r="AF452" s="25">
        <f t="shared" si="62"/>
        <v>131.43059845275062</v>
      </c>
      <c r="AG452" s="25">
        <f t="shared" si="63"/>
        <v>1.5352763883177367</v>
      </c>
      <c r="AH452" s="25">
        <f t="shared" si="64"/>
        <v>98.248780270932443</v>
      </c>
      <c r="AI452" s="25">
        <f t="shared" si="65"/>
        <v>471.67626520260279</v>
      </c>
    </row>
    <row r="453" spans="1:35" ht="15.75" customHeight="1">
      <c r="A453" s="12" t="s">
        <v>42</v>
      </c>
      <c r="B453" s="12" t="s">
        <v>43</v>
      </c>
      <c r="C453" s="12" t="s">
        <v>32</v>
      </c>
      <c r="D453" s="12" t="s">
        <v>33</v>
      </c>
      <c r="E453" s="12" t="s">
        <v>27</v>
      </c>
      <c r="F453" s="13">
        <v>1.2579</v>
      </c>
      <c r="G453" s="14">
        <v>72.987550999999996</v>
      </c>
      <c r="H453" s="24" t="str">
        <f t="shared" ref="H453:H516" si="68">$E453 &amp; H$17</f>
        <v>RJSP</v>
      </c>
      <c r="I453" s="24" t="str">
        <f t="shared" si="67"/>
        <v>RJMG</v>
      </c>
      <c r="J453" s="24" t="str">
        <f t="shared" si="67"/>
        <v>RJES</v>
      </c>
      <c r="K453" s="24" t="str">
        <f t="shared" si="67"/>
        <v>RJSC</v>
      </c>
      <c r="L453" s="24" t="str">
        <f t="shared" si="67"/>
        <v>RJRJ</v>
      </c>
      <c r="M453" s="24" t="str">
        <f t="shared" si="67"/>
        <v>RJPR</v>
      </c>
      <c r="N453" s="24" t="str">
        <f t="shared" si="67"/>
        <v>RJAM</v>
      </c>
      <c r="O453" s="24">
        <f>VLOOKUP(H453, KM!$A:$E, 5, 0)</f>
        <v>429</v>
      </c>
      <c r="P453" s="24">
        <f>VLOOKUP(I453, KM!$A:$E, 5, 0)</f>
        <v>434</v>
      </c>
      <c r="Q453" s="24">
        <f>VLOOKUP(J453, KM!$A:$E, 5, 0)</f>
        <v>521</v>
      </c>
      <c r="R453" s="24">
        <f>VLOOKUP(K453, KM!$A:$E, 5, 0)</f>
        <v>1144</v>
      </c>
      <c r="S453" s="24">
        <f>VLOOKUP(L453, KM!$A:$E, 5, 0)</f>
        <v>0</v>
      </c>
      <c r="T453" s="24">
        <f>VLOOKUP(M453, KM!$A:$E, 5, 0)</f>
        <v>852</v>
      </c>
      <c r="U453" s="24">
        <f>VLOOKUP(N453, KM!$A:$E, 5, 0)</f>
        <v>4374</v>
      </c>
      <c r="V453" s="24">
        <f>VLOOKUP(H453, IMPOSTO!$A:$D, 4, 0)</f>
        <v>0.12</v>
      </c>
      <c r="W453" s="24">
        <f>VLOOKUP(I453, IMPOSTO!$A:$D, 4, 0)</f>
        <v>0.12</v>
      </c>
      <c r="X453" s="24">
        <f>VLOOKUP(J453, IMPOSTO!$A:$D, 4, 0)</f>
        <v>7.0000000000000007E-2</v>
      </c>
      <c r="Y453" s="24">
        <f>VLOOKUP(K453, IMPOSTO!$A:$D, 4, 0)</f>
        <v>0.12</v>
      </c>
      <c r="Z453" s="24">
        <f>VLOOKUP(L453, IMPOSTO!$A:$D, 4, 0)</f>
        <v>0.18</v>
      </c>
      <c r="AA453" s="24">
        <f>VLOOKUP(M453, IMPOSTO!$A:$D, 4, 0)</f>
        <v>0.12</v>
      </c>
      <c r="AB453" s="24">
        <f>VLOOKUP(N453, IMPOSTO!$A:$D, 4, 0)</f>
        <v>7.0000000000000007E-2</v>
      </c>
      <c r="AC453" s="25">
        <f t="shared" si="59"/>
        <v>131.69039886363637</v>
      </c>
      <c r="AD453" s="25">
        <f t="shared" si="60"/>
        <v>132.25858068181819</v>
      </c>
      <c r="AE453" s="25">
        <f t="shared" si="61"/>
        <v>134.50274301075268</v>
      </c>
      <c r="AF453" s="25">
        <f t="shared" si="62"/>
        <v>212.94039886363637</v>
      </c>
      <c r="AG453" s="25">
        <f t="shared" si="63"/>
        <v>89.009208536585348</v>
      </c>
      <c r="AH453" s="25">
        <f t="shared" si="64"/>
        <v>179.75858068181816</v>
      </c>
      <c r="AI453" s="25">
        <f t="shared" si="65"/>
        <v>548.80381827957001</v>
      </c>
    </row>
    <row r="454" spans="1:35" ht="15.75" customHeight="1">
      <c r="A454" s="12" t="s">
        <v>274</v>
      </c>
      <c r="B454" s="12" t="s">
        <v>275</v>
      </c>
      <c r="C454" s="12" t="s">
        <v>192</v>
      </c>
      <c r="D454" s="12" t="s">
        <v>50</v>
      </c>
      <c r="E454" s="12" t="s">
        <v>27</v>
      </c>
      <c r="F454" s="13">
        <v>3.8399999999999997E-2</v>
      </c>
      <c r="G454" s="14">
        <v>1.9706879999999998</v>
      </c>
      <c r="H454" s="24" t="str">
        <f t="shared" si="68"/>
        <v>RJSP</v>
      </c>
      <c r="I454" s="24" t="str">
        <f t="shared" si="67"/>
        <v>RJMG</v>
      </c>
      <c r="J454" s="24" t="str">
        <f t="shared" si="67"/>
        <v>RJES</v>
      </c>
      <c r="K454" s="24" t="str">
        <f t="shared" si="67"/>
        <v>RJSC</v>
      </c>
      <c r="L454" s="24" t="str">
        <f t="shared" si="67"/>
        <v>RJRJ</v>
      </c>
      <c r="M454" s="24" t="str">
        <f t="shared" si="67"/>
        <v>RJPR</v>
      </c>
      <c r="N454" s="24" t="str">
        <f t="shared" si="67"/>
        <v>RJAM</v>
      </c>
      <c r="O454" s="24">
        <f>VLOOKUP(H454, KM!$A:$E, 5, 0)</f>
        <v>429</v>
      </c>
      <c r="P454" s="24">
        <f>VLOOKUP(I454, KM!$A:$E, 5, 0)</f>
        <v>434</v>
      </c>
      <c r="Q454" s="24">
        <f>VLOOKUP(J454, KM!$A:$E, 5, 0)</f>
        <v>521</v>
      </c>
      <c r="R454" s="24">
        <f>VLOOKUP(K454, KM!$A:$E, 5, 0)</f>
        <v>1144</v>
      </c>
      <c r="S454" s="24">
        <f>VLOOKUP(L454, KM!$A:$E, 5, 0)</f>
        <v>0</v>
      </c>
      <c r="T454" s="24">
        <f>VLOOKUP(M454, KM!$A:$E, 5, 0)</f>
        <v>852</v>
      </c>
      <c r="U454" s="24">
        <f>VLOOKUP(N454, KM!$A:$E, 5, 0)</f>
        <v>4374</v>
      </c>
      <c r="V454" s="24">
        <f>VLOOKUP(H454, IMPOSTO!$A:$D, 4, 0)</f>
        <v>0.12</v>
      </c>
      <c r="W454" s="24">
        <f>VLOOKUP(I454, IMPOSTO!$A:$D, 4, 0)</f>
        <v>0.12</v>
      </c>
      <c r="X454" s="24">
        <f>VLOOKUP(J454, IMPOSTO!$A:$D, 4, 0)</f>
        <v>7.0000000000000007E-2</v>
      </c>
      <c r="Y454" s="24">
        <f>VLOOKUP(K454, IMPOSTO!$A:$D, 4, 0)</f>
        <v>0.12</v>
      </c>
      <c r="Z454" s="24">
        <f>VLOOKUP(L454, IMPOSTO!$A:$D, 4, 0)</f>
        <v>0.18</v>
      </c>
      <c r="AA454" s="24">
        <f>VLOOKUP(M454, IMPOSTO!$A:$D, 4, 0)</f>
        <v>0.12</v>
      </c>
      <c r="AB454" s="24">
        <f>VLOOKUP(N454, IMPOSTO!$A:$D, 4, 0)</f>
        <v>7.0000000000000007E-2</v>
      </c>
      <c r="AC454" s="25">
        <f t="shared" si="59"/>
        <v>50.989418181818188</v>
      </c>
      <c r="AD454" s="25">
        <f t="shared" si="60"/>
        <v>51.557600000000008</v>
      </c>
      <c r="AE454" s="25">
        <f t="shared" si="61"/>
        <v>58.140524731182801</v>
      </c>
      <c r="AF454" s="25">
        <f t="shared" si="62"/>
        <v>132.23941818181819</v>
      </c>
      <c r="AG454" s="25">
        <f t="shared" si="63"/>
        <v>2.4032780487804875</v>
      </c>
      <c r="AH454" s="25">
        <f t="shared" si="64"/>
        <v>99.057599999999994</v>
      </c>
      <c r="AI454" s="25">
        <f t="shared" si="65"/>
        <v>472.44160000000005</v>
      </c>
    </row>
    <row r="455" spans="1:35" ht="15.75" customHeight="1">
      <c r="A455" s="12" t="s">
        <v>357</v>
      </c>
      <c r="B455" s="12" t="s">
        <v>358</v>
      </c>
      <c r="C455" s="12" t="s">
        <v>278</v>
      </c>
      <c r="D455" s="12" t="s">
        <v>33</v>
      </c>
      <c r="E455" s="12" t="s">
        <v>27</v>
      </c>
      <c r="F455" s="13">
        <v>2.4800000000000003E-2</v>
      </c>
      <c r="G455" s="14">
        <v>1.2682880000000001</v>
      </c>
      <c r="H455" s="24" t="str">
        <f t="shared" si="68"/>
        <v>RJSP</v>
      </c>
      <c r="I455" s="24" t="str">
        <f t="shared" si="67"/>
        <v>RJMG</v>
      </c>
      <c r="J455" s="24" t="str">
        <f t="shared" si="67"/>
        <v>RJES</v>
      </c>
      <c r="K455" s="24" t="str">
        <f t="shared" si="67"/>
        <v>RJSC</v>
      </c>
      <c r="L455" s="24" t="str">
        <f t="shared" si="67"/>
        <v>RJRJ</v>
      </c>
      <c r="M455" s="24" t="str">
        <f t="shared" si="67"/>
        <v>RJPR</v>
      </c>
      <c r="N455" s="24" t="str">
        <f t="shared" si="67"/>
        <v>RJAM</v>
      </c>
      <c r="O455" s="24">
        <f>VLOOKUP(H455, KM!$A:$E, 5, 0)</f>
        <v>429</v>
      </c>
      <c r="P455" s="24">
        <f>VLOOKUP(I455, KM!$A:$E, 5, 0)</f>
        <v>434</v>
      </c>
      <c r="Q455" s="24">
        <f>VLOOKUP(J455, KM!$A:$E, 5, 0)</f>
        <v>521</v>
      </c>
      <c r="R455" s="24">
        <f>VLOOKUP(K455, KM!$A:$E, 5, 0)</f>
        <v>1144</v>
      </c>
      <c r="S455" s="24">
        <f>VLOOKUP(L455, KM!$A:$E, 5, 0)</f>
        <v>0</v>
      </c>
      <c r="T455" s="24">
        <f>VLOOKUP(M455, KM!$A:$E, 5, 0)</f>
        <v>852</v>
      </c>
      <c r="U455" s="24">
        <f>VLOOKUP(N455, KM!$A:$E, 5, 0)</f>
        <v>4374</v>
      </c>
      <c r="V455" s="24">
        <f>VLOOKUP(H455, IMPOSTO!$A:$D, 4, 0)</f>
        <v>0.12</v>
      </c>
      <c r="W455" s="24">
        <f>VLOOKUP(I455, IMPOSTO!$A:$D, 4, 0)</f>
        <v>0.12</v>
      </c>
      <c r="X455" s="24">
        <f>VLOOKUP(J455, IMPOSTO!$A:$D, 4, 0)</f>
        <v>7.0000000000000007E-2</v>
      </c>
      <c r="Y455" s="24">
        <f>VLOOKUP(K455, IMPOSTO!$A:$D, 4, 0)</f>
        <v>0.12</v>
      </c>
      <c r="Z455" s="24">
        <f>VLOOKUP(L455, IMPOSTO!$A:$D, 4, 0)</f>
        <v>0.18</v>
      </c>
      <c r="AA455" s="24">
        <f>VLOOKUP(M455, IMPOSTO!$A:$D, 4, 0)</f>
        <v>0.12</v>
      </c>
      <c r="AB455" s="24">
        <f>VLOOKUP(N455, IMPOSTO!$A:$D, 4, 0)</f>
        <v>7.0000000000000007E-2</v>
      </c>
      <c r="AC455" s="25">
        <f t="shared" si="59"/>
        <v>50.191236363636371</v>
      </c>
      <c r="AD455" s="25">
        <f t="shared" si="60"/>
        <v>50.759418181818184</v>
      </c>
      <c r="AE455" s="25">
        <f t="shared" si="61"/>
        <v>57.385255913978497</v>
      </c>
      <c r="AF455" s="25">
        <f t="shared" si="62"/>
        <v>131.44123636363636</v>
      </c>
      <c r="AG455" s="25">
        <f t="shared" si="63"/>
        <v>1.5466926829268293</v>
      </c>
      <c r="AH455" s="25">
        <f t="shared" si="64"/>
        <v>98.259418181818177</v>
      </c>
      <c r="AI455" s="25">
        <f t="shared" si="65"/>
        <v>471.68633118279575</v>
      </c>
    </row>
    <row r="456" spans="1:35" ht="15.75" customHeight="1">
      <c r="A456" s="12" t="s">
        <v>276</v>
      </c>
      <c r="B456" s="12" t="s">
        <v>277</v>
      </c>
      <c r="C456" s="12" t="s">
        <v>278</v>
      </c>
      <c r="D456" s="12" t="s">
        <v>33</v>
      </c>
      <c r="E456" s="12" t="s">
        <v>27</v>
      </c>
      <c r="F456" s="13">
        <v>4.0700000000000007E-2</v>
      </c>
      <c r="G456" s="14">
        <v>0.93119700000000016</v>
      </c>
      <c r="H456" s="24" t="str">
        <f t="shared" si="68"/>
        <v>RJSP</v>
      </c>
      <c r="I456" s="24" t="str">
        <f t="shared" si="67"/>
        <v>RJMG</v>
      </c>
      <c r="J456" s="24" t="str">
        <f t="shared" si="67"/>
        <v>RJES</v>
      </c>
      <c r="K456" s="24" t="str">
        <f t="shared" si="67"/>
        <v>RJSC</v>
      </c>
      <c r="L456" s="24" t="str">
        <f t="shared" si="67"/>
        <v>RJRJ</v>
      </c>
      <c r="M456" s="24" t="str">
        <f t="shared" si="67"/>
        <v>RJPR</v>
      </c>
      <c r="N456" s="24" t="str">
        <f t="shared" si="67"/>
        <v>RJAM</v>
      </c>
      <c r="O456" s="24">
        <f>VLOOKUP(H456, KM!$A:$E, 5, 0)</f>
        <v>429</v>
      </c>
      <c r="P456" s="24">
        <f>VLOOKUP(I456, KM!$A:$E, 5, 0)</f>
        <v>434</v>
      </c>
      <c r="Q456" s="24">
        <f>VLOOKUP(J456, KM!$A:$E, 5, 0)</f>
        <v>521</v>
      </c>
      <c r="R456" s="24">
        <f>VLOOKUP(K456, KM!$A:$E, 5, 0)</f>
        <v>1144</v>
      </c>
      <c r="S456" s="24">
        <f>VLOOKUP(L456, KM!$A:$E, 5, 0)</f>
        <v>0</v>
      </c>
      <c r="T456" s="24">
        <f>VLOOKUP(M456, KM!$A:$E, 5, 0)</f>
        <v>852</v>
      </c>
      <c r="U456" s="24">
        <f>VLOOKUP(N456, KM!$A:$E, 5, 0)</f>
        <v>4374</v>
      </c>
      <c r="V456" s="24">
        <f>VLOOKUP(H456, IMPOSTO!$A:$D, 4, 0)</f>
        <v>0.12</v>
      </c>
      <c r="W456" s="24">
        <f>VLOOKUP(I456, IMPOSTO!$A:$D, 4, 0)</f>
        <v>0.12</v>
      </c>
      <c r="X456" s="24">
        <f>VLOOKUP(J456, IMPOSTO!$A:$D, 4, 0)</f>
        <v>7.0000000000000007E-2</v>
      </c>
      <c r="Y456" s="24">
        <f>VLOOKUP(K456, IMPOSTO!$A:$D, 4, 0)</f>
        <v>0.12</v>
      </c>
      <c r="Z456" s="24">
        <f>VLOOKUP(L456, IMPOSTO!$A:$D, 4, 0)</f>
        <v>0.18</v>
      </c>
      <c r="AA456" s="24">
        <f>VLOOKUP(M456, IMPOSTO!$A:$D, 4, 0)</f>
        <v>0.12</v>
      </c>
      <c r="AB456" s="24">
        <f>VLOOKUP(N456, IMPOSTO!$A:$D, 4, 0)</f>
        <v>7.0000000000000007E-2</v>
      </c>
      <c r="AC456" s="25">
        <f t="shared" si="59"/>
        <v>49.808178409090914</v>
      </c>
      <c r="AD456" s="25">
        <f t="shared" si="60"/>
        <v>50.376360227272734</v>
      </c>
      <c r="AE456" s="25">
        <f t="shared" si="61"/>
        <v>57.02279247311828</v>
      </c>
      <c r="AF456" s="25">
        <f t="shared" si="62"/>
        <v>131.05817840909091</v>
      </c>
      <c r="AG456" s="25">
        <f t="shared" si="63"/>
        <v>1.1356060975609756</v>
      </c>
      <c r="AH456" s="25">
        <f t="shared" si="64"/>
        <v>97.876360227272727</v>
      </c>
      <c r="AI456" s="25">
        <f t="shared" si="65"/>
        <v>471.32386774193554</v>
      </c>
    </row>
    <row r="457" spans="1:35" ht="15.75" customHeight="1">
      <c r="A457" s="12" t="s">
        <v>190</v>
      </c>
      <c r="B457" s="12" t="s">
        <v>191</v>
      </c>
      <c r="C457" s="12" t="s">
        <v>192</v>
      </c>
      <c r="D457" s="12" t="s">
        <v>50</v>
      </c>
      <c r="E457" s="12" t="s">
        <v>27</v>
      </c>
      <c r="F457" s="13">
        <v>0.89559999999999995</v>
      </c>
      <c r="G457" s="14">
        <v>4.4645660000000005</v>
      </c>
      <c r="H457" s="24" t="str">
        <f t="shared" si="68"/>
        <v>RJSP</v>
      </c>
      <c r="I457" s="24" t="str">
        <f t="shared" si="67"/>
        <v>RJMG</v>
      </c>
      <c r="J457" s="24" t="str">
        <f t="shared" si="67"/>
        <v>RJES</v>
      </c>
      <c r="K457" s="24" t="str">
        <f t="shared" si="67"/>
        <v>RJSC</v>
      </c>
      <c r="L457" s="24" t="str">
        <f t="shared" si="67"/>
        <v>RJRJ</v>
      </c>
      <c r="M457" s="24" t="str">
        <f t="shared" si="67"/>
        <v>RJPR</v>
      </c>
      <c r="N457" s="24" t="str">
        <f t="shared" si="67"/>
        <v>RJAM</v>
      </c>
      <c r="O457" s="24">
        <f>VLOOKUP(H457, KM!$A:$E, 5, 0)</f>
        <v>429</v>
      </c>
      <c r="P457" s="24">
        <f>VLOOKUP(I457, KM!$A:$E, 5, 0)</f>
        <v>434</v>
      </c>
      <c r="Q457" s="24">
        <f>VLOOKUP(J457, KM!$A:$E, 5, 0)</f>
        <v>521</v>
      </c>
      <c r="R457" s="24">
        <f>VLOOKUP(K457, KM!$A:$E, 5, 0)</f>
        <v>1144</v>
      </c>
      <c r="S457" s="24">
        <f>VLOOKUP(L457, KM!$A:$E, 5, 0)</f>
        <v>0</v>
      </c>
      <c r="T457" s="24">
        <f>VLOOKUP(M457, KM!$A:$E, 5, 0)</f>
        <v>852</v>
      </c>
      <c r="U457" s="24">
        <f>VLOOKUP(N457, KM!$A:$E, 5, 0)</f>
        <v>4374</v>
      </c>
      <c r="V457" s="24">
        <f>VLOOKUP(H457, IMPOSTO!$A:$D, 4, 0)</f>
        <v>0.12</v>
      </c>
      <c r="W457" s="24">
        <f>VLOOKUP(I457, IMPOSTO!$A:$D, 4, 0)</f>
        <v>0.12</v>
      </c>
      <c r="X457" s="24">
        <f>VLOOKUP(J457, IMPOSTO!$A:$D, 4, 0)</f>
        <v>7.0000000000000007E-2</v>
      </c>
      <c r="Y457" s="24">
        <f>VLOOKUP(K457, IMPOSTO!$A:$D, 4, 0)</f>
        <v>0.12</v>
      </c>
      <c r="Z457" s="24">
        <f>VLOOKUP(L457, IMPOSTO!$A:$D, 4, 0)</f>
        <v>0.18</v>
      </c>
      <c r="AA457" s="24">
        <f>VLOOKUP(M457, IMPOSTO!$A:$D, 4, 0)</f>
        <v>0.12</v>
      </c>
      <c r="AB457" s="24">
        <f>VLOOKUP(N457, IMPOSTO!$A:$D, 4, 0)</f>
        <v>7.0000000000000007E-2</v>
      </c>
      <c r="AC457" s="25">
        <f t="shared" si="59"/>
        <v>53.823370454545461</v>
      </c>
      <c r="AD457" s="25">
        <f t="shared" si="60"/>
        <v>54.391552272727274</v>
      </c>
      <c r="AE457" s="25">
        <f t="shared" si="61"/>
        <v>60.822113978494627</v>
      </c>
      <c r="AF457" s="25">
        <f t="shared" si="62"/>
        <v>135.07337045454545</v>
      </c>
      <c r="AG457" s="25">
        <f t="shared" si="63"/>
        <v>5.4445926829268299</v>
      </c>
      <c r="AH457" s="25">
        <f t="shared" si="64"/>
        <v>101.89155227272728</v>
      </c>
      <c r="AI457" s="25">
        <f t="shared" si="65"/>
        <v>475.12318924731187</v>
      </c>
    </row>
    <row r="458" spans="1:35" ht="15.75" customHeight="1">
      <c r="A458" s="12" t="s">
        <v>124</v>
      </c>
      <c r="B458" s="12" t="s">
        <v>125</v>
      </c>
      <c r="C458" s="12" t="s">
        <v>104</v>
      </c>
      <c r="D458" s="12" t="s">
        <v>33</v>
      </c>
      <c r="E458" s="12" t="s">
        <v>27</v>
      </c>
      <c r="F458" s="13">
        <v>6.0000000000000006E-4</v>
      </c>
      <c r="G458" s="14">
        <v>5.1749999999999999E-3</v>
      </c>
      <c r="H458" s="24" t="str">
        <f t="shared" si="68"/>
        <v>RJSP</v>
      </c>
      <c r="I458" s="24" t="str">
        <f t="shared" si="67"/>
        <v>RJMG</v>
      </c>
      <c r="J458" s="24" t="str">
        <f t="shared" si="67"/>
        <v>RJES</v>
      </c>
      <c r="K458" s="24" t="str">
        <f t="shared" si="67"/>
        <v>RJSC</v>
      </c>
      <c r="L458" s="24" t="str">
        <f t="shared" si="67"/>
        <v>RJRJ</v>
      </c>
      <c r="M458" s="24" t="str">
        <f t="shared" si="67"/>
        <v>RJPR</v>
      </c>
      <c r="N458" s="24" t="str">
        <f t="shared" si="67"/>
        <v>RJAM</v>
      </c>
      <c r="O458" s="24">
        <f>VLOOKUP(H458, KM!$A:$E, 5, 0)</f>
        <v>429</v>
      </c>
      <c r="P458" s="24">
        <f>VLOOKUP(I458, KM!$A:$E, 5, 0)</f>
        <v>434</v>
      </c>
      <c r="Q458" s="24">
        <f>VLOOKUP(J458, KM!$A:$E, 5, 0)</f>
        <v>521</v>
      </c>
      <c r="R458" s="24">
        <f>VLOOKUP(K458, KM!$A:$E, 5, 0)</f>
        <v>1144</v>
      </c>
      <c r="S458" s="24">
        <f>VLOOKUP(L458, KM!$A:$E, 5, 0)</f>
        <v>0</v>
      </c>
      <c r="T458" s="24">
        <f>VLOOKUP(M458, KM!$A:$E, 5, 0)</f>
        <v>852</v>
      </c>
      <c r="U458" s="24">
        <f>VLOOKUP(N458, KM!$A:$E, 5, 0)</f>
        <v>4374</v>
      </c>
      <c r="V458" s="24">
        <f>VLOOKUP(H458, IMPOSTO!$A:$D, 4, 0)</f>
        <v>0.12</v>
      </c>
      <c r="W458" s="24">
        <f>VLOOKUP(I458, IMPOSTO!$A:$D, 4, 0)</f>
        <v>0.12</v>
      </c>
      <c r="X458" s="24">
        <f>VLOOKUP(J458, IMPOSTO!$A:$D, 4, 0)</f>
        <v>7.0000000000000007E-2</v>
      </c>
      <c r="Y458" s="24">
        <f>VLOOKUP(K458, IMPOSTO!$A:$D, 4, 0)</f>
        <v>0.12</v>
      </c>
      <c r="Z458" s="24">
        <f>VLOOKUP(L458, IMPOSTO!$A:$D, 4, 0)</f>
        <v>0.18</v>
      </c>
      <c r="AA458" s="24">
        <f>VLOOKUP(M458, IMPOSTO!$A:$D, 4, 0)</f>
        <v>0.12</v>
      </c>
      <c r="AB458" s="24">
        <f>VLOOKUP(N458, IMPOSTO!$A:$D, 4, 0)</f>
        <v>7.0000000000000007E-2</v>
      </c>
      <c r="AC458" s="25">
        <f t="shared" si="59"/>
        <v>48.755880681818191</v>
      </c>
      <c r="AD458" s="25">
        <f t="shared" si="60"/>
        <v>49.324062500000011</v>
      </c>
      <c r="AE458" s="25">
        <f t="shared" si="61"/>
        <v>56.027069892473122</v>
      </c>
      <c r="AF458" s="25">
        <f t="shared" si="62"/>
        <v>130.00588068181818</v>
      </c>
      <c r="AG458" s="25">
        <f t="shared" si="63"/>
        <v>6.3109756097560971E-3</v>
      </c>
      <c r="AH458" s="25">
        <f t="shared" si="64"/>
        <v>96.824062499999997</v>
      </c>
      <c r="AI458" s="25">
        <f t="shared" si="65"/>
        <v>470.32814516129042</v>
      </c>
    </row>
    <row r="459" spans="1:35" ht="15.75" customHeight="1">
      <c r="A459" s="12" t="s">
        <v>500</v>
      </c>
      <c r="B459" s="12" t="s">
        <v>501</v>
      </c>
      <c r="C459" s="12" t="s">
        <v>128</v>
      </c>
      <c r="D459" s="12" t="s">
        <v>33</v>
      </c>
      <c r="E459" s="12" t="s">
        <v>27</v>
      </c>
      <c r="F459" s="13">
        <v>0.99970000000000003</v>
      </c>
      <c r="G459" s="14">
        <v>152.17433400000002</v>
      </c>
      <c r="H459" s="24" t="str">
        <f t="shared" si="68"/>
        <v>RJSP</v>
      </c>
      <c r="I459" s="24" t="str">
        <f t="shared" si="67"/>
        <v>RJMG</v>
      </c>
      <c r="J459" s="24" t="str">
        <f t="shared" si="67"/>
        <v>RJES</v>
      </c>
      <c r="K459" s="24" t="str">
        <f t="shared" si="67"/>
        <v>RJSC</v>
      </c>
      <c r="L459" s="24" t="str">
        <f t="shared" si="67"/>
        <v>RJRJ</v>
      </c>
      <c r="M459" s="24" t="str">
        <f t="shared" si="67"/>
        <v>RJPR</v>
      </c>
      <c r="N459" s="24" t="str">
        <f t="shared" si="67"/>
        <v>RJAM</v>
      </c>
      <c r="O459" s="24">
        <f>VLOOKUP(H459, KM!$A:$E, 5, 0)</f>
        <v>429</v>
      </c>
      <c r="P459" s="24">
        <f>VLOOKUP(I459, KM!$A:$E, 5, 0)</f>
        <v>434</v>
      </c>
      <c r="Q459" s="24">
        <f>VLOOKUP(J459, KM!$A:$E, 5, 0)</f>
        <v>521</v>
      </c>
      <c r="R459" s="24">
        <f>VLOOKUP(K459, KM!$A:$E, 5, 0)</f>
        <v>1144</v>
      </c>
      <c r="S459" s="24">
        <f>VLOOKUP(L459, KM!$A:$E, 5, 0)</f>
        <v>0</v>
      </c>
      <c r="T459" s="24">
        <f>VLOOKUP(M459, KM!$A:$E, 5, 0)</f>
        <v>852</v>
      </c>
      <c r="U459" s="24">
        <f>VLOOKUP(N459, KM!$A:$E, 5, 0)</f>
        <v>4374</v>
      </c>
      <c r="V459" s="24">
        <f>VLOOKUP(H459, IMPOSTO!$A:$D, 4, 0)</f>
        <v>0.12</v>
      </c>
      <c r="W459" s="24">
        <f>VLOOKUP(I459, IMPOSTO!$A:$D, 4, 0)</f>
        <v>0.12</v>
      </c>
      <c r="X459" s="24">
        <f>VLOOKUP(J459, IMPOSTO!$A:$D, 4, 0)</f>
        <v>7.0000000000000007E-2</v>
      </c>
      <c r="Y459" s="24">
        <f>VLOOKUP(K459, IMPOSTO!$A:$D, 4, 0)</f>
        <v>0.12</v>
      </c>
      <c r="Z459" s="24">
        <f>VLOOKUP(L459, IMPOSTO!$A:$D, 4, 0)</f>
        <v>0.18</v>
      </c>
      <c r="AA459" s="24">
        <f>VLOOKUP(M459, IMPOSTO!$A:$D, 4, 0)</f>
        <v>0.12</v>
      </c>
      <c r="AB459" s="24">
        <f>VLOOKUP(N459, IMPOSTO!$A:$D, 4, 0)</f>
        <v>7.0000000000000007E-2</v>
      </c>
      <c r="AC459" s="25">
        <f t="shared" si="59"/>
        <v>221.67537954545458</v>
      </c>
      <c r="AD459" s="25">
        <f t="shared" si="60"/>
        <v>222.24356136363639</v>
      </c>
      <c r="AE459" s="25">
        <f t="shared" si="61"/>
        <v>219.64982150537637</v>
      </c>
      <c r="AF459" s="25">
        <f t="shared" si="62"/>
        <v>302.92537954545458</v>
      </c>
      <c r="AG459" s="25">
        <f t="shared" si="63"/>
        <v>185.57845609756097</v>
      </c>
      <c r="AH459" s="25">
        <f t="shared" si="64"/>
        <v>269.74356136363639</v>
      </c>
      <c r="AI459" s="25">
        <f t="shared" si="65"/>
        <v>633.95089677419367</v>
      </c>
    </row>
    <row r="460" spans="1:35" ht="15.75" customHeight="1">
      <c r="A460" s="12" t="s">
        <v>249</v>
      </c>
      <c r="B460" s="12" t="s">
        <v>250</v>
      </c>
      <c r="C460" s="12" t="s">
        <v>135</v>
      </c>
      <c r="D460" s="12" t="s">
        <v>33</v>
      </c>
      <c r="E460" s="12" t="s">
        <v>27</v>
      </c>
      <c r="F460" s="13">
        <v>8533.636322873208</v>
      </c>
      <c r="G460" s="14">
        <v>33540.149634419569</v>
      </c>
      <c r="H460" s="24" t="str">
        <f t="shared" si="68"/>
        <v>RJSP</v>
      </c>
      <c r="I460" s="24" t="str">
        <f t="shared" si="67"/>
        <v>RJMG</v>
      </c>
      <c r="J460" s="24" t="str">
        <f t="shared" si="67"/>
        <v>RJES</v>
      </c>
      <c r="K460" s="24" t="str">
        <f t="shared" si="67"/>
        <v>RJSC</v>
      </c>
      <c r="L460" s="24" t="str">
        <f t="shared" si="67"/>
        <v>RJRJ</v>
      </c>
      <c r="M460" s="24" t="str">
        <f t="shared" si="67"/>
        <v>RJPR</v>
      </c>
      <c r="N460" s="24" t="str">
        <f t="shared" si="67"/>
        <v>RJAM</v>
      </c>
      <c r="O460" s="24">
        <f>VLOOKUP(H460, KM!$A:$E, 5, 0)</f>
        <v>429</v>
      </c>
      <c r="P460" s="24">
        <f>VLOOKUP(I460, KM!$A:$E, 5, 0)</f>
        <v>434</v>
      </c>
      <c r="Q460" s="24">
        <f>VLOOKUP(J460, KM!$A:$E, 5, 0)</f>
        <v>521</v>
      </c>
      <c r="R460" s="24">
        <f>VLOOKUP(K460, KM!$A:$E, 5, 0)</f>
        <v>1144</v>
      </c>
      <c r="S460" s="24">
        <f>VLOOKUP(L460, KM!$A:$E, 5, 0)</f>
        <v>0</v>
      </c>
      <c r="T460" s="24">
        <f>VLOOKUP(M460, KM!$A:$E, 5, 0)</f>
        <v>852</v>
      </c>
      <c r="U460" s="24">
        <f>VLOOKUP(N460, KM!$A:$E, 5, 0)</f>
        <v>4374</v>
      </c>
      <c r="V460" s="24">
        <f>VLOOKUP(H460, IMPOSTO!$A:$D, 4, 0)</f>
        <v>0.12</v>
      </c>
      <c r="W460" s="24">
        <f>VLOOKUP(I460, IMPOSTO!$A:$D, 4, 0)</f>
        <v>0.12</v>
      </c>
      <c r="X460" s="24">
        <f>VLOOKUP(J460, IMPOSTO!$A:$D, 4, 0)</f>
        <v>7.0000000000000007E-2</v>
      </c>
      <c r="Y460" s="24">
        <f>VLOOKUP(K460, IMPOSTO!$A:$D, 4, 0)</f>
        <v>0.12</v>
      </c>
      <c r="Z460" s="24">
        <f>VLOOKUP(L460, IMPOSTO!$A:$D, 4, 0)</f>
        <v>0.18</v>
      </c>
      <c r="AA460" s="24">
        <f>VLOOKUP(M460, IMPOSTO!$A:$D, 4, 0)</f>
        <v>0.12</v>
      </c>
      <c r="AB460" s="24">
        <f>VLOOKUP(N460, IMPOSTO!$A:$D, 4, 0)</f>
        <v>7.0000000000000007E-2</v>
      </c>
      <c r="AC460" s="25">
        <f t="shared" si="59"/>
        <v>38162.556402749513</v>
      </c>
      <c r="AD460" s="25">
        <f t="shared" si="60"/>
        <v>38163.124584567697</v>
      </c>
      <c r="AE460" s="25">
        <f t="shared" si="61"/>
        <v>36120.698531633949</v>
      </c>
      <c r="AF460" s="25">
        <f t="shared" si="62"/>
        <v>38243.806402749513</v>
      </c>
      <c r="AG460" s="25">
        <f t="shared" si="63"/>
        <v>40902.621505389718</v>
      </c>
      <c r="AH460" s="25">
        <f t="shared" si="64"/>
        <v>38210.624584567689</v>
      </c>
      <c r="AI460" s="25">
        <f t="shared" si="65"/>
        <v>36534.999606902769</v>
      </c>
    </row>
    <row r="461" spans="1:35" ht="15.75" customHeight="1">
      <c r="A461" s="12" t="s">
        <v>251</v>
      </c>
      <c r="B461" s="12" t="s">
        <v>252</v>
      </c>
      <c r="C461" s="12" t="s">
        <v>122</v>
      </c>
      <c r="D461" s="12" t="s">
        <v>33</v>
      </c>
      <c r="E461" s="12" t="s">
        <v>27</v>
      </c>
      <c r="F461" s="13">
        <v>28415.284129527638</v>
      </c>
      <c r="G461" s="14">
        <v>203454.69367786311</v>
      </c>
      <c r="H461" s="24" t="str">
        <f t="shared" si="68"/>
        <v>RJSP</v>
      </c>
      <c r="I461" s="24" t="str">
        <f t="shared" si="67"/>
        <v>RJMG</v>
      </c>
      <c r="J461" s="24" t="str">
        <f t="shared" si="67"/>
        <v>RJES</v>
      </c>
      <c r="K461" s="24" t="str">
        <f t="shared" si="67"/>
        <v>RJSC</v>
      </c>
      <c r="L461" s="24" t="str">
        <f t="shared" si="67"/>
        <v>RJRJ</v>
      </c>
      <c r="M461" s="24" t="str">
        <f t="shared" si="67"/>
        <v>RJPR</v>
      </c>
      <c r="N461" s="24" t="str">
        <f t="shared" si="67"/>
        <v>RJAM</v>
      </c>
      <c r="O461" s="24">
        <f>VLOOKUP(H461, KM!$A:$E, 5, 0)</f>
        <v>429</v>
      </c>
      <c r="P461" s="24">
        <f>VLOOKUP(I461, KM!$A:$E, 5, 0)</f>
        <v>434</v>
      </c>
      <c r="Q461" s="24">
        <f>VLOOKUP(J461, KM!$A:$E, 5, 0)</f>
        <v>521</v>
      </c>
      <c r="R461" s="24">
        <f>VLOOKUP(K461, KM!$A:$E, 5, 0)</f>
        <v>1144</v>
      </c>
      <c r="S461" s="24">
        <f>VLOOKUP(L461, KM!$A:$E, 5, 0)</f>
        <v>0</v>
      </c>
      <c r="T461" s="24">
        <f>VLOOKUP(M461, KM!$A:$E, 5, 0)</f>
        <v>852</v>
      </c>
      <c r="U461" s="24">
        <f>VLOOKUP(N461, KM!$A:$E, 5, 0)</f>
        <v>4374</v>
      </c>
      <c r="V461" s="24">
        <f>VLOOKUP(H461, IMPOSTO!$A:$D, 4, 0)</f>
        <v>0.12</v>
      </c>
      <c r="W461" s="24">
        <f>VLOOKUP(I461, IMPOSTO!$A:$D, 4, 0)</f>
        <v>0.12</v>
      </c>
      <c r="X461" s="24">
        <f>VLOOKUP(J461, IMPOSTO!$A:$D, 4, 0)</f>
        <v>7.0000000000000007E-2</v>
      </c>
      <c r="Y461" s="24">
        <f>VLOOKUP(K461, IMPOSTO!$A:$D, 4, 0)</f>
        <v>0.12</v>
      </c>
      <c r="Z461" s="24">
        <f>VLOOKUP(L461, IMPOSTO!$A:$D, 4, 0)</f>
        <v>0.18</v>
      </c>
      <c r="AA461" s="24">
        <f>VLOOKUP(M461, IMPOSTO!$A:$D, 4, 0)</f>
        <v>0.12</v>
      </c>
      <c r="AB461" s="24">
        <f>VLOOKUP(N461, IMPOSTO!$A:$D, 4, 0)</f>
        <v>7.0000000000000007E-2</v>
      </c>
      <c r="AC461" s="25">
        <f t="shared" si="59"/>
        <v>231247.26554302624</v>
      </c>
      <c r="AD461" s="25">
        <f t="shared" si="60"/>
        <v>231247.83372484444</v>
      </c>
      <c r="AE461" s="25">
        <f t="shared" si="61"/>
        <v>218824.50933103563</v>
      </c>
      <c r="AF461" s="25">
        <f t="shared" si="62"/>
        <v>231328.51554302624</v>
      </c>
      <c r="AG461" s="25">
        <f t="shared" si="63"/>
        <v>248115.48009495498</v>
      </c>
      <c r="AH461" s="25">
        <f t="shared" si="64"/>
        <v>231295.33372484444</v>
      </c>
      <c r="AI461" s="25">
        <f t="shared" si="65"/>
        <v>219238.81040630443</v>
      </c>
    </row>
    <row r="462" spans="1:35" ht="15.75" customHeight="1">
      <c r="A462" s="12" t="s">
        <v>251</v>
      </c>
      <c r="B462" s="12" t="s">
        <v>252</v>
      </c>
      <c r="C462" s="12" t="s">
        <v>122</v>
      </c>
      <c r="D462" s="12" t="s">
        <v>33</v>
      </c>
      <c r="E462" s="12" t="s">
        <v>27</v>
      </c>
      <c r="F462" s="13">
        <v>10222.046052949434</v>
      </c>
      <c r="G462" s="14">
        <v>69428.146053143559</v>
      </c>
      <c r="H462" s="24" t="str">
        <f t="shared" si="68"/>
        <v>RJSP</v>
      </c>
      <c r="I462" s="24" t="str">
        <f t="shared" si="67"/>
        <v>RJMG</v>
      </c>
      <c r="J462" s="24" t="str">
        <f t="shared" si="67"/>
        <v>RJES</v>
      </c>
      <c r="K462" s="24" t="str">
        <f t="shared" si="67"/>
        <v>RJSC</v>
      </c>
      <c r="L462" s="24" t="str">
        <f t="shared" si="67"/>
        <v>RJRJ</v>
      </c>
      <c r="M462" s="24" t="str">
        <f t="shared" si="67"/>
        <v>RJPR</v>
      </c>
      <c r="N462" s="24" t="str">
        <f t="shared" si="67"/>
        <v>RJAM</v>
      </c>
      <c r="O462" s="24">
        <f>VLOOKUP(H462, KM!$A:$E, 5, 0)</f>
        <v>429</v>
      </c>
      <c r="P462" s="24">
        <f>VLOOKUP(I462, KM!$A:$E, 5, 0)</f>
        <v>434</v>
      </c>
      <c r="Q462" s="24">
        <f>VLOOKUP(J462, KM!$A:$E, 5, 0)</f>
        <v>521</v>
      </c>
      <c r="R462" s="24">
        <f>VLOOKUP(K462, KM!$A:$E, 5, 0)</f>
        <v>1144</v>
      </c>
      <c r="S462" s="24">
        <f>VLOOKUP(L462, KM!$A:$E, 5, 0)</f>
        <v>0</v>
      </c>
      <c r="T462" s="24">
        <f>VLOOKUP(M462, KM!$A:$E, 5, 0)</f>
        <v>852</v>
      </c>
      <c r="U462" s="24">
        <f>VLOOKUP(N462, KM!$A:$E, 5, 0)</f>
        <v>4374</v>
      </c>
      <c r="V462" s="24">
        <f>VLOOKUP(H462, IMPOSTO!$A:$D, 4, 0)</f>
        <v>0.12</v>
      </c>
      <c r="W462" s="24">
        <f>VLOOKUP(I462, IMPOSTO!$A:$D, 4, 0)</f>
        <v>0.12</v>
      </c>
      <c r="X462" s="24">
        <f>VLOOKUP(J462, IMPOSTO!$A:$D, 4, 0)</f>
        <v>7.0000000000000007E-2</v>
      </c>
      <c r="Y462" s="24">
        <f>VLOOKUP(K462, IMPOSTO!$A:$D, 4, 0)</f>
        <v>0.12</v>
      </c>
      <c r="Z462" s="24">
        <f>VLOOKUP(L462, IMPOSTO!$A:$D, 4, 0)</f>
        <v>0.18</v>
      </c>
      <c r="AA462" s="24">
        <f>VLOOKUP(M462, IMPOSTO!$A:$D, 4, 0)</f>
        <v>0.12</v>
      </c>
      <c r="AB462" s="24">
        <f>VLOOKUP(N462, IMPOSTO!$A:$D, 4, 0)</f>
        <v>7.0000000000000007E-2</v>
      </c>
      <c r="AC462" s="25">
        <f t="shared" si="59"/>
        <v>78944.370514935857</v>
      </c>
      <c r="AD462" s="25">
        <f t="shared" si="60"/>
        <v>78944.938696754034</v>
      </c>
      <c r="AE462" s="25">
        <f t="shared" si="61"/>
        <v>74709.9419926275</v>
      </c>
      <c r="AF462" s="25">
        <f t="shared" si="62"/>
        <v>79025.620514935857</v>
      </c>
      <c r="AG462" s="25">
        <f t="shared" si="63"/>
        <v>84668.470796516529</v>
      </c>
      <c r="AH462" s="25">
        <f t="shared" si="64"/>
        <v>78992.438696754034</v>
      </c>
      <c r="AI462" s="25">
        <f t="shared" si="65"/>
        <v>75124.243067896299</v>
      </c>
    </row>
    <row r="463" spans="1:35" ht="15.75" customHeight="1">
      <c r="A463" s="12" t="s">
        <v>87</v>
      </c>
      <c r="B463" s="12" t="s">
        <v>88</v>
      </c>
      <c r="C463" s="12" t="s">
        <v>89</v>
      </c>
      <c r="D463" s="12" t="s">
        <v>33</v>
      </c>
      <c r="E463" s="12" t="s">
        <v>27</v>
      </c>
      <c r="F463" s="13">
        <v>2447.8250125617669</v>
      </c>
      <c r="G463" s="14">
        <v>14797.102200935882</v>
      </c>
      <c r="H463" s="24" t="str">
        <f t="shared" si="68"/>
        <v>RJSP</v>
      </c>
      <c r="I463" s="24" t="str">
        <f t="shared" si="67"/>
        <v>RJMG</v>
      </c>
      <c r="J463" s="24" t="str">
        <f t="shared" si="67"/>
        <v>RJES</v>
      </c>
      <c r="K463" s="24" t="str">
        <f t="shared" si="67"/>
        <v>RJSC</v>
      </c>
      <c r="L463" s="24" t="str">
        <f t="shared" si="67"/>
        <v>RJRJ</v>
      </c>
      <c r="M463" s="24" t="str">
        <f t="shared" si="67"/>
        <v>RJPR</v>
      </c>
      <c r="N463" s="24" t="str">
        <f t="shared" si="67"/>
        <v>RJAM</v>
      </c>
      <c r="O463" s="24">
        <f>VLOOKUP(H463, KM!$A:$E, 5, 0)</f>
        <v>429</v>
      </c>
      <c r="P463" s="24">
        <f>VLOOKUP(I463, KM!$A:$E, 5, 0)</f>
        <v>434</v>
      </c>
      <c r="Q463" s="24">
        <f>VLOOKUP(J463, KM!$A:$E, 5, 0)</f>
        <v>521</v>
      </c>
      <c r="R463" s="24">
        <f>VLOOKUP(K463, KM!$A:$E, 5, 0)</f>
        <v>1144</v>
      </c>
      <c r="S463" s="24">
        <f>VLOOKUP(L463, KM!$A:$E, 5, 0)</f>
        <v>0</v>
      </c>
      <c r="T463" s="24">
        <f>VLOOKUP(M463, KM!$A:$E, 5, 0)</f>
        <v>852</v>
      </c>
      <c r="U463" s="24">
        <f>VLOOKUP(N463, KM!$A:$E, 5, 0)</f>
        <v>4374</v>
      </c>
      <c r="V463" s="24">
        <f>VLOOKUP(H463, IMPOSTO!$A:$D, 4, 0)</f>
        <v>0.12</v>
      </c>
      <c r="W463" s="24">
        <f>VLOOKUP(I463, IMPOSTO!$A:$D, 4, 0)</f>
        <v>0.12</v>
      </c>
      <c r="X463" s="24">
        <f>VLOOKUP(J463, IMPOSTO!$A:$D, 4, 0)</f>
        <v>7.0000000000000007E-2</v>
      </c>
      <c r="Y463" s="24">
        <f>VLOOKUP(K463, IMPOSTO!$A:$D, 4, 0)</f>
        <v>0.12</v>
      </c>
      <c r="Z463" s="24">
        <f>VLOOKUP(L463, IMPOSTO!$A:$D, 4, 0)</f>
        <v>0.18</v>
      </c>
      <c r="AA463" s="24">
        <f>VLOOKUP(M463, IMPOSTO!$A:$D, 4, 0)</f>
        <v>0.12</v>
      </c>
      <c r="AB463" s="24">
        <f>VLOOKUP(N463, IMPOSTO!$A:$D, 4, 0)</f>
        <v>7.0000000000000007E-2</v>
      </c>
      <c r="AC463" s="25">
        <f t="shared" si="59"/>
        <v>16863.638864699864</v>
      </c>
      <c r="AD463" s="25">
        <f t="shared" si="60"/>
        <v>16864.207046518048</v>
      </c>
      <c r="AE463" s="25">
        <f t="shared" si="61"/>
        <v>15966.884087027831</v>
      </c>
      <c r="AF463" s="25">
        <f t="shared" si="62"/>
        <v>16944.888864699864</v>
      </c>
      <c r="AG463" s="25">
        <f t="shared" si="63"/>
        <v>18045.246586507172</v>
      </c>
      <c r="AH463" s="25">
        <f t="shared" si="64"/>
        <v>16911.707046518048</v>
      </c>
      <c r="AI463" s="25">
        <f t="shared" si="65"/>
        <v>16381.185162296648</v>
      </c>
    </row>
    <row r="464" spans="1:35" ht="15.75" customHeight="1">
      <c r="A464" s="12" t="s">
        <v>253</v>
      </c>
      <c r="B464" s="12" t="s">
        <v>254</v>
      </c>
      <c r="C464" s="12" t="s">
        <v>57</v>
      </c>
      <c r="D464" s="12" t="s">
        <v>33</v>
      </c>
      <c r="E464" s="12" t="s">
        <v>27</v>
      </c>
      <c r="F464" s="13">
        <v>738.22166980539862</v>
      </c>
      <c r="G464" s="14">
        <v>8281.366418793179</v>
      </c>
      <c r="H464" s="24" t="str">
        <f t="shared" si="68"/>
        <v>RJSP</v>
      </c>
      <c r="I464" s="24" t="str">
        <f t="shared" si="67"/>
        <v>RJMG</v>
      </c>
      <c r="J464" s="24" t="str">
        <f t="shared" si="67"/>
        <v>RJES</v>
      </c>
      <c r="K464" s="24" t="str">
        <f t="shared" si="67"/>
        <v>RJSC</v>
      </c>
      <c r="L464" s="24" t="str">
        <f t="shared" si="67"/>
        <v>RJRJ</v>
      </c>
      <c r="M464" s="24" t="str">
        <f t="shared" si="67"/>
        <v>RJPR</v>
      </c>
      <c r="N464" s="24" t="str">
        <f t="shared" si="67"/>
        <v>RJAM</v>
      </c>
      <c r="O464" s="24">
        <f>VLOOKUP(H464, KM!$A:$E, 5, 0)</f>
        <v>429</v>
      </c>
      <c r="P464" s="24">
        <f>VLOOKUP(I464, KM!$A:$E, 5, 0)</f>
        <v>434</v>
      </c>
      <c r="Q464" s="24">
        <f>VLOOKUP(J464, KM!$A:$E, 5, 0)</f>
        <v>521</v>
      </c>
      <c r="R464" s="24">
        <f>VLOOKUP(K464, KM!$A:$E, 5, 0)</f>
        <v>1144</v>
      </c>
      <c r="S464" s="24">
        <f>VLOOKUP(L464, KM!$A:$E, 5, 0)</f>
        <v>0</v>
      </c>
      <c r="T464" s="24">
        <f>VLOOKUP(M464, KM!$A:$E, 5, 0)</f>
        <v>852</v>
      </c>
      <c r="U464" s="24">
        <f>VLOOKUP(N464, KM!$A:$E, 5, 0)</f>
        <v>4374</v>
      </c>
      <c r="V464" s="24">
        <f>VLOOKUP(H464, IMPOSTO!$A:$D, 4, 0)</f>
        <v>0.12</v>
      </c>
      <c r="W464" s="24">
        <f>VLOOKUP(I464, IMPOSTO!$A:$D, 4, 0)</f>
        <v>0.12</v>
      </c>
      <c r="X464" s="24">
        <f>VLOOKUP(J464, IMPOSTO!$A:$D, 4, 0)</f>
        <v>7.0000000000000007E-2</v>
      </c>
      <c r="Y464" s="24">
        <f>VLOOKUP(K464, IMPOSTO!$A:$D, 4, 0)</f>
        <v>0.12</v>
      </c>
      <c r="Z464" s="24">
        <f>VLOOKUP(L464, IMPOSTO!$A:$D, 4, 0)</f>
        <v>0.18</v>
      </c>
      <c r="AA464" s="24">
        <f>VLOOKUP(M464, IMPOSTO!$A:$D, 4, 0)</f>
        <v>0.12</v>
      </c>
      <c r="AB464" s="24">
        <f>VLOOKUP(N464, IMPOSTO!$A:$D, 4, 0)</f>
        <v>7.0000000000000007E-2</v>
      </c>
      <c r="AC464" s="25">
        <f t="shared" si="59"/>
        <v>9459.3936577195218</v>
      </c>
      <c r="AD464" s="25">
        <f t="shared" si="60"/>
        <v>9459.9618395377038</v>
      </c>
      <c r="AE464" s="25">
        <f t="shared" si="61"/>
        <v>8960.7165793475051</v>
      </c>
      <c r="AF464" s="25">
        <f t="shared" si="62"/>
        <v>9540.6436577195218</v>
      </c>
      <c r="AG464" s="25">
        <f t="shared" si="63"/>
        <v>10099.227339991681</v>
      </c>
      <c r="AH464" s="25">
        <f t="shared" si="64"/>
        <v>9507.4618395377038</v>
      </c>
      <c r="AI464" s="25">
        <f t="shared" si="65"/>
        <v>9375.017654616322</v>
      </c>
    </row>
    <row r="465" spans="1:35" ht="15.75" customHeight="1">
      <c r="A465" s="12" t="s">
        <v>67</v>
      </c>
      <c r="B465" s="12" t="s">
        <v>68</v>
      </c>
      <c r="C465" s="12" t="s">
        <v>69</v>
      </c>
      <c r="D465" s="12" t="s">
        <v>33</v>
      </c>
      <c r="E465" s="12" t="s">
        <v>27</v>
      </c>
      <c r="F465" s="13">
        <v>6.7700800000000001</v>
      </c>
      <c r="G465" s="14">
        <v>107.305768</v>
      </c>
      <c r="H465" s="24" t="str">
        <f t="shared" si="68"/>
        <v>RJSP</v>
      </c>
      <c r="I465" s="24" t="str">
        <f t="shared" si="67"/>
        <v>RJMG</v>
      </c>
      <c r="J465" s="24" t="str">
        <f t="shared" si="67"/>
        <v>RJES</v>
      </c>
      <c r="K465" s="24" t="str">
        <f t="shared" si="67"/>
        <v>RJSC</v>
      </c>
      <c r="L465" s="24" t="str">
        <f t="shared" si="67"/>
        <v>RJRJ</v>
      </c>
      <c r="M465" s="24" t="str">
        <f t="shared" si="67"/>
        <v>RJPR</v>
      </c>
      <c r="N465" s="24" t="str">
        <f t="shared" si="67"/>
        <v>RJAM</v>
      </c>
      <c r="O465" s="24">
        <f>VLOOKUP(H465, KM!$A:$E, 5, 0)</f>
        <v>429</v>
      </c>
      <c r="P465" s="24">
        <f>VLOOKUP(I465, KM!$A:$E, 5, 0)</f>
        <v>434</v>
      </c>
      <c r="Q465" s="24">
        <f>VLOOKUP(J465, KM!$A:$E, 5, 0)</f>
        <v>521</v>
      </c>
      <c r="R465" s="24">
        <f>VLOOKUP(K465, KM!$A:$E, 5, 0)</f>
        <v>1144</v>
      </c>
      <c r="S465" s="24">
        <f>VLOOKUP(L465, KM!$A:$E, 5, 0)</f>
        <v>0</v>
      </c>
      <c r="T465" s="24">
        <f>VLOOKUP(M465, KM!$A:$E, 5, 0)</f>
        <v>852</v>
      </c>
      <c r="U465" s="24">
        <f>VLOOKUP(N465, KM!$A:$E, 5, 0)</f>
        <v>4374</v>
      </c>
      <c r="V465" s="24">
        <f>VLOOKUP(H465, IMPOSTO!$A:$D, 4, 0)</f>
        <v>0.12</v>
      </c>
      <c r="W465" s="24">
        <f>VLOOKUP(I465, IMPOSTO!$A:$D, 4, 0)</f>
        <v>0.12</v>
      </c>
      <c r="X465" s="24">
        <f>VLOOKUP(J465, IMPOSTO!$A:$D, 4, 0)</f>
        <v>7.0000000000000007E-2</v>
      </c>
      <c r="Y465" s="24">
        <f>VLOOKUP(K465, IMPOSTO!$A:$D, 4, 0)</f>
        <v>0.12</v>
      </c>
      <c r="Z465" s="24">
        <f>VLOOKUP(L465, IMPOSTO!$A:$D, 4, 0)</f>
        <v>0.18</v>
      </c>
      <c r="AA465" s="24">
        <f>VLOOKUP(M465, IMPOSTO!$A:$D, 4, 0)</f>
        <v>0.12</v>
      </c>
      <c r="AB465" s="24">
        <f>VLOOKUP(N465, IMPOSTO!$A:$D, 4, 0)</f>
        <v>7.0000000000000007E-2</v>
      </c>
      <c r="AC465" s="25">
        <f t="shared" si="59"/>
        <v>170.68837272727274</v>
      </c>
      <c r="AD465" s="25">
        <f t="shared" si="60"/>
        <v>171.25655454545455</v>
      </c>
      <c r="AE465" s="25">
        <f t="shared" si="61"/>
        <v>171.40405161290323</v>
      </c>
      <c r="AF465" s="25">
        <f t="shared" si="62"/>
        <v>251.93837272727274</v>
      </c>
      <c r="AG465" s="25">
        <f t="shared" si="63"/>
        <v>130.86069268292681</v>
      </c>
      <c r="AH465" s="25">
        <f t="shared" si="64"/>
        <v>218.75655454545452</v>
      </c>
      <c r="AI465" s="25">
        <f t="shared" si="65"/>
        <v>585.7051268817205</v>
      </c>
    </row>
    <row r="466" spans="1:35" ht="15.75" customHeight="1">
      <c r="A466" s="12" t="s">
        <v>90</v>
      </c>
      <c r="B466" s="12" t="s">
        <v>91</v>
      </c>
      <c r="C466" s="12" t="s">
        <v>63</v>
      </c>
      <c r="D466" s="12" t="s">
        <v>33</v>
      </c>
      <c r="E466" s="12" t="s">
        <v>27</v>
      </c>
      <c r="F466" s="13">
        <v>1152.338923891587</v>
      </c>
      <c r="G466" s="14">
        <v>24897.971896727169</v>
      </c>
      <c r="H466" s="24" t="str">
        <f t="shared" si="68"/>
        <v>RJSP</v>
      </c>
      <c r="I466" s="24" t="str">
        <f t="shared" si="67"/>
        <v>RJMG</v>
      </c>
      <c r="J466" s="24" t="str">
        <f t="shared" si="67"/>
        <v>RJES</v>
      </c>
      <c r="K466" s="24" t="str">
        <f t="shared" si="67"/>
        <v>RJSC</v>
      </c>
      <c r="L466" s="24" t="str">
        <f t="shared" si="67"/>
        <v>RJRJ</v>
      </c>
      <c r="M466" s="24" t="str">
        <f t="shared" si="67"/>
        <v>RJPR</v>
      </c>
      <c r="N466" s="24" t="str">
        <f t="shared" si="67"/>
        <v>RJAM</v>
      </c>
      <c r="O466" s="24">
        <f>VLOOKUP(H466, KM!$A:$E, 5, 0)</f>
        <v>429</v>
      </c>
      <c r="P466" s="24">
        <f>VLOOKUP(I466, KM!$A:$E, 5, 0)</f>
        <v>434</v>
      </c>
      <c r="Q466" s="24">
        <f>VLOOKUP(J466, KM!$A:$E, 5, 0)</f>
        <v>521</v>
      </c>
      <c r="R466" s="24">
        <f>VLOOKUP(K466, KM!$A:$E, 5, 0)</f>
        <v>1144</v>
      </c>
      <c r="S466" s="24">
        <f>VLOOKUP(L466, KM!$A:$E, 5, 0)</f>
        <v>0</v>
      </c>
      <c r="T466" s="24">
        <f>VLOOKUP(M466, KM!$A:$E, 5, 0)</f>
        <v>852</v>
      </c>
      <c r="U466" s="24">
        <f>VLOOKUP(N466, KM!$A:$E, 5, 0)</f>
        <v>4374</v>
      </c>
      <c r="V466" s="24">
        <f>VLOOKUP(H466, IMPOSTO!$A:$D, 4, 0)</f>
        <v>0.12</v>
      </c>
      <c r="W466" s="24">
        <f>VLOOKUP(I466, IMPOSTO!$A:$D, 4, 0)</f>
        <v>0.12</v>
      </c>
      <c r="X466" s="24">
        <f>VLOOKUP(J466, IMPOSTO!$A:$D, 4, 0)</f>
        <v>7.0000000000000007E-2</v>
      </c>
      <c r="Y466" s="24">
        <f>VLOOKUP(K466, IMPOSTO!$A:$D, 4, 0)</f>
        <v>0.12</v>
      </c>
      <c r="Z466" s="24">
        <f>VLOOKUP(L466, IMPOSTO!$A:$D, 4, 0)</f>
        <v>0.18</v>
      </c>
      <c r="AA466" s="24">
        <f>VLOOKUP(M466, IMPOSTO!$A:$D, 4, 0)</f>
        <v>0.12</v>
      </c>
      <c r="AB466" s="24">
        <f>VLOOKUP(N466, IMPOSTO!$A:$D, 4, 0)</f>
        <v>7.0000000000000007E-2</v>
      </c>
      <c r="AC466" s="25">
        <f t="shared" si="59"/>
        <v>28341.899882644513</v>
      </c>
      <c r="AD466" s="25">
        <f t="shared" si="60"/>
        <v>28342.468064462693</v>
      </c>
      <c r="AE466" s="25">
        <f t="shared" si="61"/>
        <v>26828.034297556096</v>
      </c>
      <c r="AF466" s="25">
        <f t="shared" si="62"/>
        <v>28423.149882644513</v>
      </c>
      <c r="AG466" s="25">
        <f t="shared" si="63"/>
        <v>30363.380361862401</v>
      </c>
      <c r="AH466" s="25">
        <f t="shared" si="64"/>
        <v>28389.968064462693</v>
      </c>
      <c r="AI466" s="25">
        <f t="shared" si="65"/>
        <v>27242.335372824917</v>
      </c>
    </row>
    <row r="467" spans="1:35" ht="15.75" customHeight="1">
      <c r="A467" s="12" t="s">
        <v>255</v>
      </c>
      <c r="B467" s="12" t="s">
        <v>256</v>
      </c>
      <c r="C467" s="12" t="s">
        <v>119</v>
      </c>
      <c r="D467" s="12" t="s">
        <v>33</v>
      </c>
      <c r="E467" s="12" t="s">
        <v>27</v>
      </c>
      <c r="F467" s="13">
        <v>114978.5093276503</v>
      </c>
      <c r="G467" s="14">
        <v>213859.57048118053</v>
      </c>
      <c r="H467" s="24" t="str">
        <f t="shared" si="68"/>
        <v>RJSP</v>
      </c>
      <c r="I467" s="24" t="str">
        <f t="shared" si="67"/>
        <v>RJMG</v>
      </c>
      <c r="J467" s="24" t="str">
        <f t="shared" si="67"/>
        <v>RJES</v>
      </c>
      <c r="K467" s="24" t="str">
        <f t="shared" si="67"/>
        <v>RJSC</v>
      </c>
      <c r="L467" s="24" t="str">
        <f t="shared" si="67"/>
        <v>RJRJ</v>
      </c>
      <c r="M467" s="24" t="str">
        <f t="shared" si="67"/>
        <v>RJPR</v>
      </c>
      <c r="N467" s="24" t="str">
        <f t="shared" si="67"/>
        <v>RJAM</v>
      </c>
      <c r="O467" s="24">
        <f>VLOOKUP(H467, KM!$A:$E, 5, 0)</f>
        <v>429</v>
      </c>
      <c r="P467" s="24">
        <f>VLOOKUP(I467, KM!$A:$E, 5, 0)</f>
        <v>434</v>
      </c>
      <c r="Q467" s="24">
        <f>VLOOKUP(J467, KM!$A:$E, 5, 0)</f>
        <v>521</v>
      </c>
      <c r="R467" s="24">
        <f>VLOOKUP(K467, KM!$A:$E, 5, 0)</f>
        <v>1144</v>
      </c>
      <c r="S467" s="24">
        <f>VLOOKUP(L467, KM!$A:$E, 5, 0)</f>
        <v>0</v>
      </c>
      <c r="T467" s="24">
        <f>VLOOKUP(M467, KM!$A:$E, 5, 0)</f>
        <v>852</v>
      </c>
      <c r="U467" s="24">
        <f>VLOOKUP(N467, KM!$A:$E, 5, 0)</f>
        <v>4374</v>
      </c>
      <c r="V467" s="24">
        <f>VLOOKUP(H467, IMPOSTO!$A:$D, 4, 0)</f>
        <v>0.12</v>
      </c>
      <c r="W467" s="24">
        <f>VLOOKUP(I467, IMPOSTO!$A:$D, 4, 0)</f>
        <v>0.12</v>
      </c>
      <c r="X467" s="24">
        <f>VLOOKUP(J467, IMPOSTO!$A:$D, 4, 0)</f>
        <v>7.0000000000000007E-2</v>
      </c>
      <c r="Y467" s="24">
        <f>VLOOKUP(K467, IMPOSTO!$A:$D, 4, 0)</f>
        <v>0.12</v>
      </c>
      <c r="Z467" s="24">
        <f>VLOOKUP(L467, IMPOSTO!$A:$D, 4, 0)</f>
        <v>0.18</v>
      </c>
      <c r="AA467" s="24">
        <f>VLOOKUP(M467, IMPOSTO!$A:$D, 4, 0)</f>
        <v>0.12</v>
      </c>
      <c r="AB467" s="24">
        <f>VLOOKUP(N467, IMPOSTO!$A:$D, 4, 0)</f>
        <v>7.0000000000000007E-2</v>
      </c>
      <c r="AC467" s="25">
        <f t="shared" ref="AC467:AC530" si="69">($G467 + O467 * $AE$5) / (1 - V467)</f>
        <v>243070.98918315969</v>
      </c>
      <c r="AD467" s="25">
        <f t="shared" ref="AD467:AD530" si="70">($G467 + P467 * $AE$5) / (1 - W467)</f>
        <v>243071.55736497787</v>
      </c>
      <c r="AE467" s="25">
        <f t="shared" ref="AE467:AE530" si="71">($G467 + Q467 * $AE$5) / (1 - X467)</f>
        <v>230012.54890449523</v>
      </c>
      <c r="AF467" s="25">
        <f t="shared" ref="AF467:AF530" si="72">($G467 + R467 * $AE$5) / (1 - Y467)</f>
        <v>243152.23918315969</v>
      </c>
      <c r="AG467" s="25">
        <f t="shared" ref="AG467:AG530" si="73">($G467 + S467 * $AE$5) / (1 - Z467)</f>
        <v>260804.35424534208</v>
      </c>
      <c r="AH467" s="25">
        <f t="shared" ref="AH467:AH530" si="74">($G467 + T467 * $AE$5) / (1 - AA467)</f>
        <v>243119.0573649779</v>
      </c>
      <c r="AI467" s="25">
        <f t="shared" ref="AI467:AI530" si="75">($G467 + U467 * $AE$5) / (1 - AB467)</f>
        <v>230426.84997976403</v>
      </c>
    </row>
    <row r="468" spans="1:35" ht="15.75" customHeight="1">
      <c r="A468" s="12" t="s">
        <v>117</v>
      </c>
      <c r="B468" s="12" t="s">
        <v>485</v>
      </c>
      <c r="C468" s="12" t="s">
        <v>119</v>
      </c>
      <c r="D468" s="12" t="s">
        <v>33</v>
      </c>
      <c r="E468" s="12" t="s">
        <v>27</v>
      </c>
      <c r="F468" s="13">
        <v>4006.0799999999986</v>
      </c>
      <c r="G468" s="14">
        <v>4753.621482999999</v>
      </c>
      <c r="H468" s="24" t="str">
        <f t="shared" si="68"/>
        <v>RJSP</v>
      </c>
      <c r="I468" s="24" t="str">
        <f t="shared" si="67"/>
        <v>RJMG</v>
      </c>
      <c r="J468" s="24" t="str">
        <f t="shared" si="67"/>
        <v>RJES</v>
      </c>
      <c r="K468" s="24" t="str">
        <f t="shared" si="67"/>
        <v>RJSC</v>
      </c>
      <c r="L468" s="24" t="str">
        <f t="shared" si="67"/>
        <v>RJRJ</v>
      </c>
      <c r="M468" s="24" t="str">
        <f t="shared" si="67"/>
        <v>RJPR</v>
      </c>
      <c r="N468" s="24" t="str">
        <f t="shared" si="67"/>
        <v>RJAM</v>
      </c>
      <c r="O468" s="24">
        <f>VLOOKUP(H468, KM!$A:$E, 5, 0)</f>
        <v>429</v>
      </c>
      <c r="P468" s="24">
        <f>VLOOKUP(I468, KM!$A:$E, 5, 0)</f>
        <v>434</v>
      </c>
      <c r="Q468" s="24">
        <f>VLOOKUP(J468, KM!$A:$E, 5, 0)</f>
        <v>521</v>
      </c>
      <c r="R468" s="24">
        <f>VLOOKUP(K468, KM!$A:$E, 5, 0)</f>
        <v>1144</v>
      </c>
      <c r="S468" s="24">
        <f>VLOOKUP(L468, KM!$A:$E, 5, 0)</f>
        <v>0</v>
      </c>
      <c r="T468" s="24">
        <f>VLOOKUP(M468, KM!$A:$E, 5, 0)</f>
        <v>852</v>
      </c>
      <c r="U468" s="24">
        <f>VLOOKUP(N468, KM!$A:$E, 5, 0)</f>
        <v>4374</v>
      </c>
      <c r="V468" s="24">
        <f>VLOOKUP(H468, IMPOSTO!$A:$D, 4, 0)</f>
        <v>0.12</v>
      </c>
      <c r="W468" s="24">
        <f>VLOOKUP(I468, IMPOSTO!$A:$D, 4, 0)</f>
        <v>0.12</v>
      </c>
      <c r="X468" s="24">
        <f>VLOOKUP(J468, IMPOSTO!$A:$D, 4, 0)</f>
        <v>7.0000000000000007E-2</v>
      </c>
      <c r="Y468" s="24">
        <f>VLOOKUP(K468, IMPOSTO!$A:$D, 4, 0)</f>
        <v>0.12</v>
      </c>
      <c r="Z468" s="24">
        <f>VLOOKUP(L468, IMPOSTO!$A:$D, 4, 0)</f>
        <v>0.18</v>
      </c>
      <c r="AA468" s="24">
        <f>VLOOKUP(M468, IMPOSTO!$A:$D, 4, 0)</f>
        <v>0.12</v>
      </c>
      <c r="AB468" s="24">
        <f>VLOOKUP(N468, IMPOSTO!$A:$D, 4, 0)</f>
        <v>7.0000000000000007E-2</v>
      </c>
      <c r="AC468" s="25">
        <f t="shared" si="69"/>
        <v>5450.5925943181801</v>
      </c>
      <c r="AD468" s="25">
        <f t="shared" si="70"/>
        <v>5451.1607761363621</v>
      </c>
      <c r="AE468" s="25">
        <f t="shared" si="71"/>
        <v>5167.4424548387096</v>
      </c>
      <c r="AF468" s="25">
        <f t="shared" si="72"/>
        <v>5531.8425943181801</v>
      </c>
      <c r="AG468" s="25">
        <f t="shared" si="73"/>
        <v>5797.0993695121933</v>
      </c>
      <c r="AH468" s="25">
        <f t="shared" si="74"/>
        <v>5498.6607761363621</v>
      </c>
      <c r="AI468" s="25">
        <f t="shared" si="75"/>
        <v>5581.7435301075257</v>
      </c>
    </row>
    <row r="469" spans="1:35" ht="15.75" customHeight="1">
      <c r="A469" s="12" t="s">
        <v>266</v>
      </c>
      <c r="B469" s="12" t="s">
        <v>267</v>
      </c>
      <c r="C469" s="12" t="s">
        <v>169</v>
      </c>
      <c r="D469" s="12" t="s">
        <v>33</v>
      </c>
      <c r="E469" s="12" t="s">
        <v>27</v>
      </c>
      <c r="F469" s="13">
        <v>115143.92622357982</v>
      </c>
      <c r="G469" s="14">
        <v>181304.43702501047</v>
      </c>
      <c r="H469" s="24" t="str">
        <f t="shared" si="68"/>
        <v>RJSP</v>
      </c>
      <c r="I469" s="24" t="str">
        <f t="shared" si="67"/>
        <v>RJMG</v>
      </c>
      <c r="J469" s="24" t="str">
        <f t="shared" si="67"/>
        <v>RJES</v>
      </c>
      <c r="K469" s="24" t="str">
        <f t="shared" si="67"/>
        <v>RJSC</v>
      </c>
      <c r="L469" s="24" t="str">
        <f t="shared" si="67"/>
        <v>RJRJ</v>
      </c>
      <c r="M469" s="24" t="str">
        <f t="shared" si="67"/>
        <v>RJPR</v>
      </c>
      <c r="N469" s="24" t="str">
        <f t="shared" si="67"/>
        <v>RJAM</v>
      </c>
      <c r="O469" s="24">
        <f>VLOOKUP(H469, KM!$A:$E, 5, 0)</f>
        <v>429</v>
      </c>
      <c r="P469" s="24">
        <f>VLOOKUP(I469, KM!$A:$E, 5, 0)</f>
        <v>434</v>
      </c>
      <c r="Q469" s="24">
        <f>VLOOKUP(J469, KM!$A:$E, 5, 0)</f>
        <v>521</v>
      </c>
      <c r="R469" s="24">
        <f>VLOOKUP(K469, KM!$A:$E, 5, 0)</f>
        <v>1144</v>
      </c>
      <c r="S469" s="24">
        <f>VLOOKUP(L469, KM!$A:$E, 5, 0)</f>
        <v>0</v>
      </c>
      <c r="T469" s="24">
        <f>VLOOKUP(M469, KM!$A:$E, 5, 0)</f>
        <v>852</v>
      </c>
      <c r="U469" s="24">
        <f>VLOOKUP(N469, KM!$A:$E, 5, 0)</f>
        <v>4374</v>
      </c>
      <c r="V469" s="24">
        <f>VLOOKUP(H469, IMPOSTO!$A:$D, 4, 0)</f>
        <v>0.12</v>
      </c>
      <c r="W469" s="24">
        <f>VLOOKUP(I469, IMPOSTO!$A:$D, 4, 0)</f>
        <v>0.12</v>
      </c>
      <c r="X469" s="24">
        <f>VLOOKUP(J469, IMPOSTO!$A:$D, 4, 0)</f>
        <v>7.0000000000000007E-2</v>
      </c>
      <c r="Y469" s="24">
        <f>VLOOKUP(K469, IMPOSTO!$A:$D, 4, 0)</f>
        <v>0.12</v>
      </c>
      <c r="Z469" s="24">
        <f>VLOOKUP(L469, IMPOSTO!$A:$D, 4, 0)</f>
        <v>0.18</v>
      </c>
      <c r="AA469" s="24">
        <f>VLOOKUP(M469, IMPOSTO!$A:$D, 4, 0)</f>
        <v>0.12</v>
      </c>
      <c r="AB469" s="24">
        <f>VLOOKUP(N469, IMPOSTO!$A:$D, 4, 0)</f>
        <v>7.0000000000000007E-2</v>
      </c>
      <c r="AC469" s="25">
        <f t="shared" si="69"/>
        <v>206076.51934660278</v>
      </c>
      <c r="AD469" s="25">
        <f t="shared" si="70"/>
        <v>206077.08752842099</v>
      </c>
      <c r="AE469" s="25">
        <f t="shared" si="71"/>
        <v>195007.02905915107</v>
      </c>
      <c r="AF469" s="25">
        <f t="shared" si="72"/>
        <v>206157.76934660278</v>
      </c>
      <c r="AG469" s="25">
        <f t="shared" si="73"/>
        <v>221102.97198172007</v>
      </c>
      <c r="AH469" s="25">
        <f t="shared" si="74"/>
        <v>206124.58752842099</v>
      </c>
      <c r="AI469" s="25">
        <f t="shared" si="75"/>
        <v>195421.33013441987</v>
      </c>
    </row>
    <row r="470" spans="1:35" ht="15.75" customHeight="1">
      <c r="A470" s="12" t="s">
        <v>266</v>
      </c>
      <c r="B470" s="12" t="s">
        <v>267</v>
      </c>
      <c r="C470" s="12" t="s">
        <v>169</v>
      </c>
      <c r="D470" s="12" t="s">
        <v>33</v>
      </c>
      <c r="E470" s="12" t="s">
        <v>27</v>
      </c>
      <c r="F470" s="13">
        <v>46315.362125524698</v>
      </c>
      <c r="G470" s="14">
        <v>66822.306198531442</v>
      </c>
      <c r="H470" s="24" t="str">
        <f t="shared" si="68"/>
        <v>RJSP</v>
      </c>
      <c r="I470" s="24" t="str">
        <f t="shared" si="67"/>
        <v>RJMG</v>
      </c>
      <c r="J470" s="24" t="str">
        <f t="shared" si="67"/>
        <v>RJES</v>
      </c>
      <c r="K470" s="24" t="str">
        <f t="shared" si="67"/>
        <v>RJSC</v>
      </c>
      <c r="L470" s="24" t="str">
        <f t="shared" si="67"/>
        <v>RJRJ</v>
      </c>
      <c r="M470" s="24" t="str">
        <f t="shared" si="67"/>
        <v>RJPR</v>
      </c>
      <c r="N470" s="24" t="str">
        <f t="shared" si="67"/>
        <v>RJAM</v>
      </c>
      <c r="O470" s="24">
        <f>VLOOKUP(H470, KM!$A:$E, 5, 0)</f>
        <v>429</v>
      </c>
      <c r="P470" s="24">
        <f>VLOOKUP(I470, KM!$A:$E, 5, 0)</f>
        <v>434</v>
      </c>
      <c r="Q470" s="24">
        <f>VLOOKUP(J470, KM!$A:$E, 5, 0)</f>
        <v>521</v>
      </c>
      <c r="R470" s="24">
        <f>VLOOKUP(K470, KM!$A:$E, 5, 0)</f>
        <v>1144</v>
      </c>
      <c r="S470" s="24">
        <f>VLOOKUP(L470, KM!$A:$E, 5, 0)</f>
        <v>0</v>
      </c>
      <c r="T470" s="24">
        <f>VLOOKUP(M470, KM!$A:$E, 5, 0)</f>
        <v>852</v>
      </c>
      <c r="U470" s="24">
        <f>VLOOKUP(N470, KM!$A:$E, 5, 0)</f>
        <v>4374</v>
      </c>
      <c r="V470" s="24">
        <f>VLOOKUP(H470, IMPOSTO!$A:$D, 4, 0)</f>
        <v>0.12</v>
      </c>
      <c r="W470" s="24">
        <f>VLOOKUP(I470, IMPOSTO!$A:$D, 4, 0)</f>
        <v>0.12</v>
      </c>
      <c r="X470" s="24">
        <f>VLOOKUP(J470, IMPOSTO!$A:$D, 4, 0)</f>
        <v>7.0000000000000007E-2</v>
      </c>
      <c r="Y470" s="24">
        <f>VLOOKUP(K470, IMPOSTO!$A:$D, 4, 0)</f>
        <v>0.12</v>
      </c>
      <c r="Z470" s="24">
        <f>VLOOKUP(L470, IMPOSTO!$A:$D, 4, 0)</f>
        <v>0.18</v>
      </c>
      <c r="AA470" s="24">
        <f>VLOOKUP(M470, IMPOSTO!$A:$D, 4, 0)</f>
        <v>0.12</v>
      </c>
      <c r="AB470" s="24">
        <f>VLOOKUP(N470, IMPOSTO!$A:$D, 4, 0)</f>
        <v>7.0000000000000007E-2</v>
      </c>
      <c r="AC470" s="25">
        <f t="shared" si="69"/>
        <v>75983.188861967545</v>
      </c>
      <c r="AD470" s="25">
        <f t="shared" si="70"/>
        <v>75983.757043785721</v>
      </c>
      <c r="AE470" s="25">
        <f t="shared" si="71"/>
        <v>71907.96365433489</v>
      </c>
      <c r="AF470" s="25">
        <f t="shared" si="72"/>
        <v>76064.438861967545</v>
      </c>
      <c r="AG470" s="25">
        <f t="shared" si="73"/>
        <v>81490.617315282245</v>
      </c>
      <c r="AH470" s="25">
        <f t="shared" si="74"/>
        <v>76031.257043785721</v>
      </c>
      <c r="AI470" s="25">
        <f t="shared" si="75"/>
        <v>72322.264729603703</v>
      </c>
    </row>
    <row r="471" spans="1:35" ht="15.75" customHeight="1">
      <c r="A471" s="12" t="s">
        <v>304</v>
      </c>
      <c r="B471" s="12" t="s">
        <v>305</v>
      </c>
      <c r="C471" s="12" t="s">
        <v>169</v>
      </c>
      <c r="D471" s="12" t="s">
        <v>33</v>
      </c>
      <c r="E471" s="12" t="s">
        <v>27</v>
      </c>
      <c r="F471" s="13">
        <v>1.0911499062184391</v>
      </c>
      <c r="G471" s="14">
        <v>0.34818593507430401</v>
      </c>
      <c r="H471" s="24" t="str">
        <f t="shared" si="68"/>
        <v>RJSP</v>
      </c>
      <c r="I471" s="24" t="str">
        <f t="shared" si="67"/>
        <v>RJMG</v>
      </c>
      <c r="J471" s="24" t="str">
        <f t="shared" si="67"/>
        <v>RJES</v>
      </c>
      <c r="K471" s="24" t="str">
        <f t="shared" si="67"/>
        <v>RJSC</v>
      </c>
      <c r="L471" s="24" t="str">
        <f t="shared" si="67"/>
        <v>RJRJ</v>
      </c>
      <c r="M471" s="24" t="str">
        <f t="shared" si="67"/>
        <v>RJPR</v>
      </c>
      <c r="N471" s="24" t="str">
        <f t="shared" si="67"/>
        <v>RJAM</v>
      </c>
      <c r="O471" s="24">
        <f>VLOOKUP(H471, KM!$A:$E, 5, 0)</f>
        <v>429</v>
      </c>
      <c r="P471" s="24">
        <f>VLOOKUP(I471, KM!$A:$E, 5, 0)</f>
        <v>434</v>
      </c>
      <c r="Q471" s="24">
        <f>VLOOKUP(J471, KM!$A:$E, 5, 0)</f>
        <v>521</v>
      </c>
      <c r="R471" s="24">
        <f>VLOOKUP(K471, KM!$A:$E, 5, 0)</f>
        <v>1144</v>
      </c>
      <c r="S471" s="24">
        <f>VLOOKUP(L471, KM!$A:$E, 5, 0)</f>
        <v>0</v>
      </c>
      <c r="T471" s="24">
        <f>VLOOKUP(M471, KM!$A:$E, 5, 0)</f>
        <v>852</v>
      </c>
      <c r="U471" s="24">
        <f>VLOOKUP(N471, KM!$A:$E, 5, 0)</f>
        <v>4374</v>
      </c>
      <c r="V471" s="24">
        <f>VLOOKUP(H471, IMPOSTO!$A:$D, 4, 0)</f>
        <v>0.12</v>
      </c>
      <c r="W471" s="24">
        <f>VLOOKUP(I471, IMPOSTO!$A:$D, 4, 0)</f>
        <v>0.12</v>
      </c>
      <c r="X471" s="24">
        <f>VLOOKUP(J471, IMPOSTO!$A:$D, 4, 0)</f>
        <v>7.0000000000000007E-2</v>
      </c>
      <c r="Y471" s="24">
        <f>VLOOKUP(K471, IMPOSTO!$A:$D, 4, 0)</f>
        <v>0.12</v>
      </c>
      <c r="Z471" s="24">
        <f>VLOOKUP(L471, IMPOSTO!$A:$D, 4, 0)</f>
        <v>0.18</v>
      </c>
      <c r="AA471" s="24">
        <f>VLOOKUP(M471, IMPOSTO!$A:$D, 4, 0)</f>
        <v>0.12</v>
      </c>
      <c r="AB471" s="24">
        <f>VLOOKUP(N471, IMPOSTO!$A:$D, 4, 0)</f>
        <v>7.0000000000000007E-2</v>
      </c>
      <c r="AC471" s="25">
        <f t="shared" si="69"/>
        <v>49.145665835311718</v>
      </c>
      <c r="AD471" s="25">
        <f t="shared" si="70"/>
        <v>49.713847653493538</v>
      </c>
      <c r="AE471" s="25">
        <f t="shared" si="71"/>
        <v>56.395898854918613</v>
      </c>
      <c r="AF471" s="25">
        <f t="shared" si="72"/>
        <v>130.39566583531172</v>
      </c>
      <c r="AG471" s="25">
        <f t="shared" si="73"/>
        <v>0.42461699399305364</v>
      </c>
      <c r="AH471" s="25">
        <f t="shared" si="74"/>
        <v>97.213847653493517</v>
      </c>
      <c r="AI471" s="25">
        <f t="shared" si="75"/>
        <v>470.69697412373586</v>
      </c>
    </row>
    <row r="472" spans="1:35" ht="15.75" customHeight="1">
      <c r="A472" s="12" t="s">
        <v>502</v>
      </c>
      <c r="B472" s="12" t="s">
        <v>503</v>
      </c>
      <c r="C472" s="12" t="s">
        <v>140</v>
      </c>
      <c r="D472" s="12" t="s">
        <v>33</v>
      </c>
      <c r="E472" s="12" t="s">
        <v>27</v>
      </c>
      <c r="F472" s="13">
        <v>0.81599999999999995</v>
      </c>
      <c r="G472" s="14">
        <v>33.757919999999999</v>
      </c>
      <c r="H472" s="24" t="str">
        <f t="shared" si="68"/>
        <v>RJSP</v>
      </c>
      <c r="I472" s="24" t="str">
        <f t="shared" si="67"/>
        <v>RJMG</v>
      </c>
      <c r="J472" s="24" t="str">
        <f t="shared" si="67"/>
        <v>RJES</v>
      </c>
      <c r="K472" s="24" t="str">
        <f t="shared" si="67"/>
        <v>RJSC</v>
      </c>
      <c r="L472" s="24" t="str">
        <f t="shared" si="67"/>
        <v>RJRJ</v>
      </c>
      <c r="M472" s="24" t="str">
        <f t="shared" si="67"/>
        <v>RJPR</v>
      </c>
      <c r="N472" s="24" t="str">
        <f t="shared" si="67"/>
        <v>RJAM</v>
      </c>
      <c r="O472" s="24">
        <f>VLOOKUP(H472, KM!$A:$E, 5, 0)</f>
        <v>429</v>
      </c>
      <c r="P472" s="24">
        <f>VLOOKUP(I472, KM!$A:$E, 5, 0)</f>
        <v>434</v>
      </c>
      <c r="Q472" s="24">
        <f>VLOOKUP(J472, KM!$A:$E, 5, 0)</f>
        <v>521</v>
      </c>
      <c r="R472" s="24">
        <f>VLOOKUP(K472, KM!$A:$E, 5, 0)</f>
        <v>1144</v>
      </c>
      <c r="S472" s="24">
        <f>VLOOKUP(L472, KM!$A:$E, 5, 0)</f>
        <v>0</v>
      </c>
      <c r="T472" s="24">
        <f>VLOOKUP(M472, KM!$A:$E, 5, 0)</f>
        <v>852</v>
      </c>
      <c r="U472" s="24">
        <f>VLOOKUP(N472, KM!$A:$E, 5, 0)</f>
        <v>4374</v>
      </c>
      <c r="V472" s="24">
        <f>VLOOKUP(H472, IMPOSTO!$A:$D, 4, 0)</f>
        <v>0.12</v>
      </c>
      <c r="W472" s="24">
        <f>VLOOKUP(I472, IMPOSTO!$A:$D, 4, 0)</f>
        <v>0.12</v>
      </c>
      <c r="X472" s="24">
        <f>VLOOKUP(J472, IMPOSTO!$A:$D, 4, 0)</f>
        <v>7.0000000000000007E-2</v>
      </c>
      <c r="Y472" s="24">
        <f>VLOOKUP(K472, IMPOSTO!$A:$D, 4, 0)</f>
        <v>0.12</v>
      </c>
      <c r="Z472" s="24">
        <f>VLOOKUP(L472, IMPOSTO!$A:$D, 4, 0)</f>
        <v>0.18</v>
      </c>
      <c r="AA472" s="24">
        <f>VLOOKUP(M472, IMPOSTO!$A:$D, 4, 0)</f>
        <v>0.12</v>
      </c>
      <c r="AB472" s="24">
        <f>VLOOKUP(N472, IMPOSTO!$A:$D, 4, 0)</f>
        <v>7.0000000000000007E-2</v>
      </c>
      <c r="AC472" s="25">
        <f t="shared" si="69"/>
        <v>87.111272727272734</v>
      </c>
      <c r="AD472" s="25">
        <f t="shared" si="70"/>
        <v>87.679454545454547</v>
      </c>
      <c r="AE472" s="25">
        <f t="shared" si="71"/>
        <v>92.320344086021521</v>
      </c>
      <c r="AF472" s="25">
        <f t="shared" si="72"/>
        <v>168.36127272727271</v>
      </c>
      <c r="AG472" s="25">
        <f t="shared" si="73"/>
        <v>41.168195121951214</v>
      </c>
      <c r="AH472" s="25">
        <f t="shared" si="74"/>
        <v>135.17945454545455</v>
      </c>
      <c r="AI472" s="25">
        <f t="shared" si="75"/>
        <v>506.62141935483879</v>
      </c>
    </row>
    <row r="473" spans="1:35" ht="15.75" customHeight="1">
      <c r="A473" s="12" t="s">
        <v>361</v>
      </c>
      <c r="B473" s="12" t="s">
        <v>362</v>
      </c>
      <c r="C473" s="12" t="s">
        <v>262</v>
      </c>
      <c r="D473" s="12" t="s">
        <v>33</v>
      </c>
      <c r="E473" s="12" t="s">
        <v>27</v>
      </c>
      <c r="F473" s="13">
        <v>5.9958</v>
      </c>
      <c r="G473" s="14">
        <v>129.73911900000002</v>
      </c>
      <c r="H473" s="24" t="str">
        <f t="shared" si="68"/>
        <v>RJSP</v>
      </c>
      <c r="I473" s="24" t="str">
        <f t="shared" si="67"/>
        <v>RJMG</v>
      </c>
      <c r="J473" s="24" t="str">
        <f t="shared" si="67"/>
        <v>RJES</v>
      </c>
      <c r="K473" s="24" t="str">
        <f t="shared" si="67"/>
        <v>RJSC</v>
      </c>
      <c r="L473" s="24" t="str">
        <f t="shared" si="67"/>
        <v>RJRJ</v>
      </c>
      <c r="M473" s="24" t="str">
        <f t="shared" si="67"/>
        <v>RJPR</v>
      </c>
      <c r="N473" s="24" t="str">
        <f t="shared" si="67"/>
        <v>RJAM</v>
      </c>
      <c r="O473" s="24">
        <f>VLOOKUP(H473, KM!$A:$E, 5, 0)</f>
        <v>429</v>
      </c>
      <c r="P473" s="24">
        <f>VLOOKUP(I473, KM!$A:$E, 5, 0)</f>
        <v>434</v>
      </c>
      <c r="Q473" s="24">
        <f>VLOOKUP(J473, KM!$A:$E, 5, 0)</f>
        <v>521</v>
      </c>
      <c r="R473" s="24">
        <f>VLOOKUP(K473, KM!$A:$E, 5, 0)</f>
        <v>1144</v>
      </c>
      <c r="S473" s="24">
        <f>VLOOKUP(L473, KM!$A:$E, 5, 0)</f>
        <v>0</v>
      </c>
      <c r="T473" s="24">
        <f>VLOOKUP(M473, KM!$A:$E, 5, 0)</f>
        <v>852</v>
      </c>
      <c r="U473" s="24">
        <f>VLOOKUP(N473, KM!$A:$E, 5, 0)</f>
        <v>4374</v>
      </c>
      <c r="V473" s="24">
        <f>VLOOKUP(H473, IMPOSTO!$A:$D, 4, 0)</f>
        <v>0.12</v>
      </c>
      <c r="W473" s="24">
        <f>VLOOKUP(I473, IMPOSTO!$A:$D, 4, 0)</f>
        <v>0.12</v>
      </c>
      <c r="X473" s="24">
        <f>VLOOKUP(J473, IMPOSTO!$A:$D, 4, 0)</f>
        <v>7.0000000000000007E-2</v>
      </c>
      <c r="Y473" s="24">
        <f>VLOOKUP(K473, IMPOSTO!$A:$D, 4, 0)</f>
        <v>0.12</v>
      </c>
      <c r="Z473" s="24">
        <f>VLOOKUP(L473, IMPOSTO!$A:$D, 4, 0)</f>
        <v>0.18</v>
      </c>
      <c r="AA473" s="24">
        <f>VLOOKUP(M473, IMPOSTO!$A:$D, 4, 0)</f>
        <v>0.12</v>
      </c>
      <c r="AB473" s="24">
        <f>VLOOKUP(N473, IMPOSTO!$A:$D, 4, 0)</f>
        <v>7.0000000000000007E-2</v>
      </c>
      <c r="AC473" s="25">
        <f t="shared" si="69"/>
        <v>196.18081704545457</v>
      </c>
      <c r="AD473" s="25">
        <f t="shared" si="70"/>
        <v>196.74899886363639</v>
      </c>
      <c r="AE473" s="25">
        <f t="shared" si="71"/>
        <v>195.52593440860218</v>
      </c>
      <c r="AF473" s="25">
        <f t="shared" si="72"/>
        <v>277.43081704545455</v>
      </c>
      <c r="AG473" s="25">
        <f t="shared" si="73"/>
        <v>158.21843780487805</v>
      </c>
      <c r="AH473" s="25">
        <f t="shared" si="74"/>
        <v>244.24899886363636</v>
      </c>
      <c r="AI473" s="25">
        <f t="shared" si="75"/>
        <v>609.82700967741948</v>
      </c>
    </row>
    <row r="474" spans="1:35" ht="15.75" customHeight="1">
      <c r="A474" s="12" t="s">
        <v>504</v>
      </c>
      <c r="B474" s="12" t="s">
        <v>505</v>
      </c>
      <c r="C474" s="12" t="s">
        <v>135</v>
      </c>
      <c r="D474" s="12" t="s">
        <v>33</v>
      </c>
      <c r="E474" s="12" t="s">
        <v>27</v>
      </c>
      <c r="F474" s="13">
        <v>1.9962</v>
      </c>
      <c r="G474" s="14">
        <v>17.227205999999999</v>
      </c>
      <c r="H474" s="24" t="str">
        <f t="shared" si="68"/>
        <v>RJSP</v>
      </c>
      <c r="I474" s="24" t="str">
        <f t="shared" si="67"/>
        <v>RJMG</v>
      </c>
      <c r="J474" s="24" t="str">
        <f t="shared" si="67"/>
        <v>RJES</v>
      </c>
      <c r="K474" s="24" t="str">
        <f t="shared" si="67"/>
        <v>RJSC</v>
      </c>
      <c r="L474" s="24" t="str">
        <f t="shared" si="67"/>
        <v>RJRJ</v>
      </c>
      <c r="M474" s="24" t="str">
        <f t="shared" si="67"/>
        <v>RJPR</v>
      </c>
      <c r="N474" s="24" t="str">
        <f t="shared" si="67"/>
        <v>RJAM</v>
      </c>
      <c r="O474" s="24">
        <f>VLOOKUP(H474, KM!$A:$E, 5, 0)</f>
        <v>429</v>
      </c>
      <c r="P474" s="24">
        <f>VLOOKUP(I474, KM!$A:$E, 5, 0)</f>
        <v>434</v>
      </c>
      <c r="Q474" s="24">
        <f>VLOOKUP(J474, KM!$A:$E, 5, 0)</f>
        <v>521</v>
      </c>
      <c r="R474" s="24">
        <f>VLOOKUP(K474, KM!$A:$E, 5, 0)</f>
        <v>1144</v>
      </c>
      <c r="S474" s="24">
        <f>VLOOKUP(L474, KM!$A:$E, 5, 0)</f>
        <v>0</v>
      </c>
      <c r="T474" s="24">
        <f>VLOOKUP(M474, KM!$A:$E, 5, 0)</f>
        <v>852</v>
      </c>
      <c r="U474" s="24">
        <f>VLOOKUP(N474, KM!$A:$E, 5, 0)</f>
        <v>4374</v>
      </c>
      <c r="V474" s="24">
        <f>VLOOKUP(H474, IMPOSTO!$A:$D, 4, 0)</f>
        <v>0.12</v>
      </c>
      <c r="W474" s="24">
        <f>VLOOKUP(I474, IMPOSTO!$A:$D, 4, 0)</f>
        <v>0.12</v>
      </c>
      <c r="X474" s="24">
        <f>VLOOKUP(J474, IMPOSTO!$A:$D, 4, 0)</f>
        <v>7.0000000000000007E-2</v>
      </c>
      <c r="Y474" s="24">
        <f>VLOOKUP(K474, IMPOSTO!$A:$D, 4, 0)</f>
        <v>0.12</v>
      </c>
      <c r="Z474" s="24">
        <f>VLOOKUP(L474, IMPOSTO!$A:$D, 4, 0)</f>
        <v>0.18</v>
      </c>
      <c r="AA474" s="24">
        <f>VLOOKUP(M474, IMPOSTO!$A:$D, 4, 0)</f>
        <v>0.12</v>
      </c>
      <c r="AB474" s="24">
        <f>VLOOKUP(N474, IMPOSTO!$A:$D, 4, 0)</f>
        <v>7.0000000000000007E-2</v>
      </c>
      <c r="AC474" s="25">
        <f t="shared" si="69"/>
        <v>68.326370454545454</v>
      </c>
      <c r="AD474" s="25">
        <f t="shared" si="70"/>
        <v>68.894552272727267</v>
      </c>
      <c r="AE474" s="25">
        <f t="shared" si="71"/>
        <v>74.545382795698927</v>
      </c>
      <c r="AF474" s="25">
        <f t="shared" si="72"/>
        <v>149.57637045454547</v>
      </c>
      <c r="AG474" s="25">
        <f t="shared" si="73"/>
        <v>21.008787804878047</v>
      </c>
      <c r="AH474" s="25">
        <f t="shared" si="74"/>
        <v>116.39455227272727</v>
      </c>
      <c r="AI474" s="25">
        <f t="shared" si="75"/>
        <v>488.84645806451624</v>
      </c>
    </row>
    <row r="475" spans="1:35" ht="15.75" customHeight="1">
      <c r="A475" s="12" t="s">
        <v>284</v>
      </c>
      <c r="B475" s="12" t="s">
        <v>285</v>
      </c>
      <c r="C475" s="12" t="s">
        <v>140</v>
      </c>
      <c r="D475" s="12" t="s">
        <v>33</v>
      </c>
      <c r="E475" s="12" t="s">
        <v>27</v>
      </c>
      <c r="F475" s="13">
        <v>3.996</v>
      </c>
      <c r="G475" s="14">
        <v>68.831100000000006</v>
      </c>
      <c r="H475" s="24" t="str">
        <f t="shared" si="68"/>
        <v>RJSP</v>
      </c>
      <c r="I475" s="24" t="str">
        <f t="shared" si="67"/>
        <v>RJMG</v>
      </c>
      <c r="J475" s="24" t="str">
        <f t="shared" si="67"/>
        <v>RJES</v>
      </c>
      <c r="K475" s="24" t="str">
        <f t="shared" si="67"/>
        <v>RJSC</v>
      </c>
      <c r="L475" s="24" t="str">
        <f t="shared" si="67"/>
        <v>RJRJ</v>
      </c>
      <c r="M475" s="24" t="str">
        <f t="shared" si="67"/>
        <v>RJPR</v>
      </c>
      <c r="N475" s="24" t="str">
        <f t="shared" si="67"/>
        <v>RJAM</v>
      </c>
      <c r="O475" s="24">
        <f>VLOOKUP(H475, KM!$A:$E, 5, 0)</f>
        <v>429</v>
      </c>
      <c r="P475" s="24">
        <f>VLOOKUP(I475, KM!$A:$E, 5, 0)</f>
        <v>434</v>
      </c>
      <c r="Q475" s="24">
        <f>VLOOKUP(J475, KM!$A:$E, 5, 0)</f>
        <v>521</v>
      </c>
      <c r="R475" s="24">
        <f>VLOOKUP(K475, KM!$A:$E, 5, 0)</f>
        <v>1144</v>
      </c>
      <c r="S475" s="24">
        <f>VLOOKUP(L475, KM!$A:$E, 5, 0)</f>
        <v>0</v>
      </c>
      <c r="T475" s="24">
        <f>VLOOKUP(M475, KM!$A:$E, 5, 0)</f>
        <v>852</v>
      </c>
      <c r="U475" s="24">
        <f>VLOOKUP(N475, KM!$A:$E, 5, 0)</f>
        <v>4374</v>
      </c>
      <c r="V475" s="24">
        <f>VLOOKUP(H475, IMPOSTO!$A:$D, 4, 0)</f>
        <v>0.12</v>
      </c>
      <c r="W475" s="24">
        <f>VLOOKUP(I475, IMPOSTO!$A:$D, 4, 0)</f>
        <v>0.12</v>
      </c>
      <c r="X475" s="24">
        <f>VLOOKUP(J475, IMPOSTO!$A:$D, 4, 0)</f>
        <v>7.0000000000000007E-2</v>
      </c>
      <c r="Y475" s="24">
        <f>VLOOKUP(K475, IMPOSTO!$A:$D, 4, 0)</f>
        <v>0.12</v>
      </c>
      <c r="Z475" s="24">
        <f>VLOOKUP(L475, IMPOSTO!$A:$D, 4, 0)</f>
        <v>0.18</v>
      </c>
      <c r="AA475" s="24">
        <f>VLOOKUP(M475, IMPOSTO!$A:$D, 4, 0)</f>
        <v>0.12</v>
      </c>
      <c r="AB475" s="24">
        <f>VLOOKUP(N475, IMPOSTO!$A:$D, 4, 0)</f>
        <v>7.0000000000000007E-2</v>
      </c>
      <c r="AC475" s="25">
        <f t="shared" si="69"/>
        <v>126.96715909090911</v>
      </c>
      <c r="AD475" s="25">
        <f t="shared" si="70"/>
        <v>127.53534090909092</v>
      </c>
      <c r="AE475" s="25">
        <f t="shared" si="71"/>
        <v>130.03344086021508</v>
      </c>
      <c r="AF475" s="25">
        <f t="shared" si="72"/>
        <v>208.21715909090912</v>
      </c>
      <c r="AG475" s="25">
        <f t="shared" si="73"/>
        <v>83.940365853658534</v>
      </c>
      <c r="AH475" s="25">
        <f t="shared" si="74"/>
        <v>175.03534090909091</v>
      </c>
      <c r="AI475" s="25">
        <f t="shared" si="75"/>
        <v>544.33451612903229</v>
      </c>
    </row>
    <row r="476" spans="1:35" ht="15.75" customHeight="1">
      <c r="A476" s="12" t="s">
        <v>39</v>
      </c>
      <c r="B476" s="12" t="s">
        <v>40</v>
      </c>
      <c r="C476" s="12" t="s">
        <v>32</v>
      </c>
      <c r="D476" s="12" t="s">
        <v>33</v>
      </c>
      <c r="E476" s="12" t="s">
        <v>27</v>
      </c>
      <c r="F476" s="13">
        <v>0.54969999999999997</v>
      </c>
      <c r="G476" s="14">
        <v>30.326948999999999</v>
      </c>
      <c r="H476" s="24" t="str">
        <f t="shared" si="68"/>
        <v>RJSP</v>
      </c>
      <c r="I476" s="24" t="str">
        <f t="shared" si="67"/>
        <v>RJMG</v>
      </c>
      <c r="J476" s="24" t="str">
        <f t="shared" si="67"/>
        <v>RJES</v>
      </c>
      <c r="K476" s="24" t="str">
        <f t="shared" si="67"/>
        <v>RJSC</v>
      </c>
      <c r="L476" s="24" t="str">
        <f t="shared" si="67"/>
        <v>RJRJ</v>
      </c>
      <c r="M476" s="24" t="str">
        <f t="shared" si="67"/>
        <v>RJPR</v>
      </c>
      <c r="N476" s="24" t="str">
        <f t="shared" si="67"/>
        <v>RJAM</v>
      </c>
      <c r="O476" s="24">
        <f>VLOOKUP(H476, KM!$A:$E, 5, 0)</f>
        <v>429</v>
      </c>
      <c r="P476" s="24">
        <f>VLOOKUP(I476, KM!$A:$E, 5, 0)</f>
        <v>434</v>
      </c>
      <c r="Q476" s="24">
        <f>VLOOKUP(J476, KM!$A:$E, 5, 0)</f>
        <v>521</v>
      </c>
      <c r="R476" s="24">
        <f>VLOOKUP(K476, KM!$A:$E, 5, 0)</f>
        <v>1144</v>
      </c>
      <c r="S476" s="24">
        <f>VLOOKUP(L476, KM!$A:$E, 5, 0)</f>
        <v>0</v>
      </c>
      <c r="T476" s="24">
        <f>VLOOKUP(M476, KM!$A:$E, 5, 0)</f>
        <v>852</v>
      </c>
      <c r="U476" s="24">
        <f>VLOOKUP(N476, KM!$A:$E, 5, 0)</f>
        <v>4374</v>
      </c>
      <c r="V476" s="24">
        <f>VLOOKUP(H476, IMPOSTO!$A:$D, 4, 0)</f>
        <v>0.12</v>
      </c>
      <c r="W476" s="24">
        <f>VLOOKUP(I476, IMPOSTO!$A:$D, 4, 0)</f>
        <v>0.12</v>
      </c>
      <c r="X476" s="24">
        <f>VLOOKUP(J476, IMPOSTO!$A:$D, 4, 0)</f>
        <v>7.0000000000000007E-2</v>
      </c>
      <c r="Y476" s="24">
        <f>VLOOKUP(K476, IMPOSTO!$A:$D, 4, 0)</f>
        <v>0.12</v>
      </c>
      <c r="Z476" s="24">
        <f>VLOOKUP(L476, IMPOSTO!$A:$D, 4, 0)</f>
        <v>0.18</v>
      </c>
      <c r="AA476" s="24">
        <f>VLOOKUP(M476, IMPOSTO!$A:$D, 4, 0)</f>
        <v>0.12</v>
      </c>
      <c r="AB476" s="24">
        <f>VLOOKUP(N476, IMPOSTO!$A:$D, 4, 0)</f>
        <v>7.0000000000000007E-2</v>
      </c>
      <c r="AC476" s="25">
        <f t="shared" si="69"/>
        <v>83.212442045454551</v>
      </c>
      <c r="AD476" s="25">
        <f t="shared" si="70"/>
        <v>83.780623863636364</v>
      </c>
      <c r="AE476" s="25">
        <f t="shared" si="71"/>
        <v>88.63112795698926</v>
      </c>
      <c r="AF476" s="25">
        <f t="shared" si="72"/>
        <v>164.46244204545454</v>
      </c>
      <c r="AG476" s="25">
        <f t="shared" si="73"/>
        <v>36.984084146341459</v>
      </c>
      <c r="AH476" s="25">
        <f t="shared" si="74"/>
        <v>131.28062386363638</v>
      </c>
      <c r="AI476" s="25">
        <f t="shared" si="75"/>
        <v>502.93220322580652</v>
      </c>
    </row>
    <row r="477" spans="1:35" ht="15.75" customHeight="1">
      <c r="A477" s="12" t="s">
        <v>506</v>
      </c>
      <c r="B477" s="12" t="s">
        <v>507</v>
      </c>
      <c r="C477" s="12" t="s">
        <v>66</v>
      </c>
      <c r="D477" s="12" t="s">
        <v>50</v>
      </c>
      <c r="E477" s="12" t="s">
        <v>27</v>
      </c>
      <c r="F477" s="13">
        <v>0.58760000000000001</v>
      </c>
      <c r="G477" s="14">
        <v>10.171355999999999</v>
      </c>
      <c r="H477" s="24" t="str">
        <f t="shared" si="68"/>
        <v>RJSP</v>
      </c>
      <c r="I477" s="24" t="str">
        <f t="shared" si="67"/>
        <v>RJMG</v>
      </c>
      <c r="J477" s="24" t="str">
        <f t="shared" si="67"/>
        <v>RJES</v>
      </c>
      <c r="K477" s="24" t="str">
        <f t="shared" si="67"/>
        <v>RJSC</v>
      </c>
      <c r="L477" s="24" t="str">
        <f t="shared" si="67"/>
        <v>RJRJ</v>
      </c>
      <c r="M477" s="24" t="str">
        <f t="shared" si="67"/>
        <v>RJPR</v>
      </c>
      <c r="N477" s="24" t="str">
        <f t="shared" si="67"/>
        <v>RJAM</v>
      </c>
      <c r="O477" s="24">
        <f>VLOOKUP(H477, KM!$A:$E, 5, 0)</f>
        <v>429</v>
      </c>
      <c r="P477" s="24">
        <f>VLOOKUP(I477, KM!$A:$E, 5, 0)</f>
        <v>434</v>
      </c>
      <c r="Q477" s="24">
        <f>VLOOKUP(J477, KM!$A:$E, 5, 0)</f>
        <v>521</v>
      </c>
      <c r="R477" s="24">
        <f>VLOOKUP(K477, KM!$A:$E, 5, 0)</f>
        <v>1144</v>
      </c>
      <c r="S477" s="24">
        <f>VLOOKUP(L477, KM!$A:$E, 5, 0)</f>
        <v>0</v>
      </c>
      <c r="T477" s="24">
        <f>VLOOKUP(M477, KM!$A:$E, 5, 0)</f>
        <v>852</v>
      </c>
      <c r="U477" s="24">
        <f>VLOOKUP(N477, KM!$A:$E, 5, 0)</f>
        <v>4374</v>
      </c>
      <c r="V477" s="24">
        <f>VLOOKUP(H477, IMPOSTO!$A:$D, 4, 0)</f>
        <v>0.12</v>
      </c>
      <c r="W477" s="24">
        <f>VLOOKUP(I477, IMPOSTO!$A:$D, 4, 0)</f>
        <v>0.12</v>
      </c>
      <c r="X477" s="24">
        <f>VLOOKUP(J477, IMPOSTO!$A:$D, 4, 0)</f>
        <v>7.0000000000000007E-2</v>
      </c>
      <c r="Y477" s="24">
        <f>VLOOKUP(K477, IMPOSTO!$A:$D, 4, 0)</f>
        <v>0.12</v>
      </c>
      <c r="Z477" s="24">
        <f>VLOOKUP(L477, IMPOSTO!$A:$D, 4, 0)</f>
        <v>0.18</v>
      </c>
      <c r="AA477" s="24">
        <f>VLOOKUP(M477, IMPOSTO!$A:$D, 4, 0)</f>
        <v>0.12</v>
      </c>
      <c r="AB477" s="24">
        <f>VLOOKUP(N477, IMPOSTO!$A:$D, 4, 0)</f>
        <v>7.0000000000000007E-2</v>
      </c>
      <c r="AC477" s="25">
        <f t="shared" si="69"/>
        <v>60.3083590909091</v>
      </c>
      <c r="AD477" s="25">
        <f t="shared" si="70"/>
        <v>60.87654090909092</v>
      </c>
      <c r="AE477" s="25">
        <f t="shared" si="71"/>
        <v>66.958447311827953</v>
      </c>
      <c r="AF477" s="25">
        <f t="shared" si="72"/>
        <v>141.55835909090911</v>
      </c>
      <c r="AG477" s="25">
        <f t="shared" si="73"/>
        <v>12.404092682926828</v>
      </c>
      <c r="AH477" s="25">
        <f t="shared" si="74"/>
        <v>108.37654090909092</v>
      </c>
      <c r="AI477" s="25">
        <f t="shared" si="75"/>
        <v>481.25952258064524</v>
      </c>
    </row>
    <row r="478" spans="1:35" ht="15.75" customHeight="1">
      <c r="A478" s="12" t="s">
        <v>508</v>
      </c>
      <c r="B478" s="12" t="s">
        <v>509</v>
      </c>
      <c r="C478" s="12" t="s">
        <v>140</v>
      </c>
      <c r="D478" s="12" t="s">
        <v>33</v>
      </c>
      <c r="E478" s="12" t="s">
        <v>27</v>
      </c>
      <c r="F478" s="13">
        <v>0.78259999999999996</v>
      </c>
      <c r="G478" s="14">
        <v>48.32555</v>
      </c>
      <c r="H478" s="24" t="str">
        <f t="shared" si="68"/>
        <v>RJSP</v>
      </c>
      <c r="I478" s="24" t="str">
        <f t="shared" si="67"/>
        <v>RJMG</v>
      </c>
      <c r="J478" s="24" t="str">
        <f t="shared" si="67"/>
        <v>RJES</v>
      </c>
      <c r="K478" s="24" t="str">
        <f t="shared" si="67"/>
        <v>RJSC</v>
      </c>
      <c r="L478" s="24" t="str">
        <f t="shared" si="67"/>
        <v>RJRJ</v>
      </c>
      <c r="M478" s="24" t="str">
        <f t="shared" si="67"/>
        <v>RJPR</v>
      </c>
      <c r="N478" s="24" t="str">
        <f t="shared" si="67"/>
        <v>RJAM</v>
      </c>
      <c r="O478" s="24">
        <f>VLOOKUP(H478, KM!$A:$E, 5, 0)</f>
        <v>429</v>
      </c>
      <c r="P478" s="24">
        <f>VLOOKUP(I478, KM!$A:$E, 5, 0)</f>
        <v>434</v>
      </c>
      <c r="Q478" s="24">
        <f>VLOOKUP(J478, KM!$A:$E, 5, 0)</f>
        <v>521</v>
      </c>
      <c r="R478" s="24">
        <f>VLOOKUP(K478, KM!$A:$E, 5, 0)</f>
        <v>1144</v>
      </c>
      <c r="S478" s="24">
        <f>VLOOKUP(L478, KM!$A:$E, 5, 0)</f>
        <v>0</v>
      </c>
      <c r="T478" s="24">
        <f>VLOOKUP(M478, KM!$A:$E, 5, 0)</f>
        <v>852</v>
      </c>
      <c r="U478" s="24">
        <f>VLOOKUP(N478, KM!$A:$E, 5, 0)</f>
        <v>4374</v>
      </c>
      <c r="V478" s="24">
        <f>VLOOKUP(H478, IMPOSTO!$A:$D, 4, 0)</f>
        <v>0.12</v>
      </c>
      <c r="W478" s="24">
        <f>VLOOKUP(I478, IMPOSTO!$A:$D, 4, 0)</f>
        <v>0.12</v>
      </c>
      <c r="X478" s="24">
        <f>VLOOKUP(J478, IMPOSTO!$A:$D, 4, 0)</f>
        <v>7.0000000000000007E-2</v>
      </c>
      <c r="Y478" s="24">
        <f>VLOOKUP(K478, IMPOSTO!$A:$D, 4, 0)</f>
        <v>0.12</v>
      </c>
      <c r="Z478" s="24">
        <f>VLOOKUP(L478, IMPOSTO!$A:$D, 4, 0)</f>
        <v>0.18</v>
      </c>
      <c r="AA478" s="24">
        <f>VLOOKUP(M478, IMPOSTO!$A:$D, 4, 0)</f>
        <v>0.12</v>
      </c>
      <c r="AB478" s="24">
        <f>VLOOKUP(N478, IMPOSTO!$A:$D, 4, 0)</f>
        <v>7.0000000000000007E-2</v>
      </c>
      <c r="AC478" s="25">
        <f t="shared" si="69"/>
        <v>103.66539772727272</v>
      </c>
      <c r="AD478" s="25">
        <f t="shared" si="70"/>
        <v>104.23357954545455</v>
      </c>
      <c r="AE478" s="25">
        <f t="shared" si="71"/>
        <v>107.98446236559141</v>
      </c>
      <c r="AF478" s="25">
        <f t="shared" si="72"/>
        <v>184.91539772727273</v>
      </c>
      <c r="AG478" s="25">
        <f t="shared" si="73"/>
        <v>58.933597560975606</v>
      </c>
      <c r="AH478" s="25">
        <f t="shared" si="74"/>
        <v>151.73357954545455</v>
      </c>
      <c r="AI478" s="25">
        <f t="shared" si="75"/>
        <v>522.28553763440868</v>
      </c>
    </row>
    <row r="479" spans="1:35" ht="15.75" customHeight="1">
      <c r="A479" s="12" t="s">
        <v>510</v>
      </c>
      <c r="B479" s="12" t="s">
        <v>511</v>
      </c>
      <c r="C479" s="12" t="s">
        <v>299</v>
      </c>
      <c r="D479" s="12" t="s">
        <v>33</v>
      </c>
      <c r="E479" s="12" t="s">
        <v>27</v>
      </c>
      <c r="F479" s="13">
        <v>292.67769999999996</v>
      </c>
      <c r="G479" s="14">
        <v>23113.766857999999</v>
      </c>
      <c r="H479" s="24" t="str">
        <f t="shared" si="68"/>
        <v>RJSP</v>
      </c>
      <c r="I479" s="24" t="str">
        <f t="shared" si="67"/>
        <v>RJMG</v>
      </c>
      <c r="J479" s="24" t="str">
        <f t="shared" si="67"/>
        <v>RJES</v>
      </c>
      <c r="K479" s="24" t="str">
        <f t="shared" si="67"/>
        <v>RJSC</v>
      </c>
      <c r="L479" s="24" t="str">
        <f t="shared" si="67"/>
        <v>RJRJ</v>
      </c>
      <c r="M479" s="24" t="str">
        <f t="shared" si="67"/>
        <v>RJPR</v>
      </c>
      <c r="N479" s="24" t="str">
        <f t="shared" si="67"/>
        <v>RJAM</v>
      </c>
      <c r="O479" s="24">
        <f>VLOOKUP(H479, KM!$A:$E, 5, 0)</f>
        <v>429</v>
      </c>
      <c r="P479" s="24">
        <f>VLOOKUP(I479, KM!$A:$E, 5, 0)</f>
        <v>434</v>
      </c>
      <c r="Q479" s="24">
        <f>VLOOKUP(J479, KM!$A:$E, 5, 0)</f>
        <v>521</v>
      </c>
      <c r="R479" s="24">
        <f>VLOOKUP(K479, KM!$A:$E, 5, 0)</f>
        <v>1144</v>
      </c>
      <c r="S479" s="24">
        <f>VLOOKUP(L479, KM!$A:$E, 5, 0)</f>
        <v>0</v>
      </c>
      <c r="T479" s="24">
        <f>VLOOKUP(M479, KM!$A:$E, 5, 0)</f>
        <v>852</v>
      </c>
      <c r="U479" s="24">
        <f>VLOOKUP(N479, KM!$A:$E, 5, 0)</f>
        <v>4374</v>
      </c>
      <c r="V479" s="24">
        <f>VLOOKUP(H479, IMPOSTO!$A:$D, 4, 0)</f>
        <v>0.12</v>
      </c>
      <c r="W479" s="24">
        <f>VLOOKUP(I479, IMPOSTO!$A:$D, 4, 0)</f>
        <v>0.12</v>
      </c>
      <c r="X479" s="24">
        <f>VLOOKUP(J479, IMPOSTO!$A:$D, 4, 0)</f>
        <v>7.0000000000000007E-2</v>
      </c>
      <c r="Y479" s="24">
        <f>VLOOKUP(K479, IMPOSTO!$A:$D, 4, 0)</f>
        <v>0.12</v>
      </c>
      <c r="Z479" s="24">
        <f>VLOOKUP(L479, IMPOSTO!$A:$D, 4, 0)</f>
        <v>0.18</v>
      </c>
      <c r="AA479" s="24">
        <f>VLOOKUP(M479, IMPOSTO!$A:$D, 4, 0)</f>
        <v>0.12</v>
      </c>
      <c r="AB479" s="24">
        <f>VLOOKUP(N479, IMPOSTO!$A:$D, 4, 0)</f>
        <v>7.0000000000000007E-2</v>
      </c>
      <c r="AC479" s="25">
        <f t="shared" si="69"/>
        <v>26314.394156818184</v>
      </c>
      <c r="AD479" s="25">
        <f t="shared" si="70"/>
        <v>26314.962338636364</v>
      </c>
      <c r="AE479" s="25">
        <f t="shared" si="71"/>
        <v>24909.534255913979</v>
      </c>
      <c r="AF479" s="25">
        <f t="shared" si="72"/>
        <v>26395.644156818184</v>
      </c>
      <c r="AG479" s="25">
        <f t="shared" si="73"/>
        <v>28187.520558536584</v>
      </c>
      <c r="AH479" s="25">
        <f t="shared" si="74"/>
        <v>26362.462338636364</v>
      </c>
      <c r="AI479" s="25">
        <f t="shared" si="75"/>
        <v>25323.8353311828</v>
      </c>
    </row>
    <row r="480" spans="1:35" ht="15.75" customHeight="1">
      <c r="A480" s="12" t="s">
        <v>288</v>
      </c>
      <c r="B480" s="12" t="s">
        <v>289</v>
      </c>
      <c r="C480" s="12" t="s">
        <v>283</v>
      </c>
      <c r="D480" s="12" t="s">
        <v>33</v>
      </c>
      <c r="E480" s="12" t="s">
        <v>27</v>
      </c>
      <c r="F480" s="13">
        <v>20.8047</v>
      </c>
      <c r="G480" s="14">
        <v>1210.3480970000001</v>
      </c>
      <c r="H480" s="24" t="str">
        <f t="shared" si="68"/>
        <v>RJSP</v>
      </c>
      <c r="I480" s="24" t="str">
        <f t="shared" si="67"/>
        <v>RJMG</v>
      </c>
      <c r="J480" s="24" t="str">
        <f t="shared" si="67"/>
        <v>RJES</v>
      </c>
      <c r="K480" s="24" t="str">
        <f t="shared" si="67"/>
        <v>RJSC</v>
      </c>
      <c r="L480" s="24" t="str">
        <f t="shared" si="67"/>
        <v>RJRJ</v>
      </c>
      <c r="M480" s="24" t="str">
        <f t="shared" si="67"/>
        <v>RJPR</v>
      </c>
      <c r="N480" s="24" t="str">
        <f t="shared" si="67"/>
        <v>RJAM</v>
      </c>
      <c r="O480" s="24">
        <f>VLOOKUP(H480, KM!$A:$E, 5, 0)</f>
        <v>429</v>
      </c>
      <c r="P480" s="24">
        <f>VLOOKUP(I480, KM!$A:$E, 5, 0)</f>
        <v>434</v>
      </c>
      <c r="Q480" s="24">
        <f>VLOOKUP(J480, KM!$A:$E, 5, 0)</f>
        <v>521</v>
      </c>
      <c r="R480" s="24">
        <f>VLOOKUP(K480, KM!$A:$E, 5, 0)</f>
        <v>1144</v>
      </c>
      <c r="S480" s="24">
        <f>VLOOKUP(L480, KM!$A:$E, 5, 0)</f>
        <v>0</v>
      </c>
      <c r="T480" s="24">
        <f>VLOOKUP(M480, KM!$A:$E, 5, 0)</f>
        <v>852</v>
      </c>
      <c r="U480" s="24">
        <f>VLOOKUP(N480, KM!$A:$E, 5, 0)</f>
        <v>4374</v>
      </c>
      <c r="V480" s="24">
        <f>VLOOKUP(H480, IMPOSTO!$A:$D, 4, 0)</f>
        <v>0.12</v>
      </c>
      <c r="W480" s="24">
        <f>VLOOKUP(I480, IMPOSTO!$A:$D, 4, 0)</f>
        <v>0.12</v>
      </c>
      <c r="X480" s="24">
        <f>VLOOKUP(J480, IMPOSTO!$A:$D, 4, 0)</f>
        <v>7.0000000000000007E-2</v>
      </c>
      <c r="Y480" s="24">
        <f>VLOOKUP(K480, IMPOSTO!$A:$D, 4, 0)</f>
        <v>0.12</v>
      </c>
      <c r="Z480" s="24">
        <f>VLOOKUP(L480, IMPOSTO!$A:$D, 4, 0)</f>
        <v>0.18</v>
      </c>
      <c r="AA480" s="24">
        <f>VLOOKUP(M480, IMPOSTO!$A:$D, 4, 0)</f>
        <v>0.12</v>
      </c>
      <c r="AB480" s="24">
        <f>VLOOKUP(N480, IMPOSTO!$A:$D, 4, 0)</f>
        <v>7.0000000000000007E-2</v>
      </c>
      <c r="AC480" s="25">
        <f t="shared" si="69"/>
        <v>1424.1455647727275</v>
      </c>
      <c r="AD480" s="25">
        <f t="shared" si="70"/>
        <v>1424.7137465909093</v>
      </c>
      <c r="AE480" s="25">
        <f t="shared" si="71"/>
        <v>1357.4710720430107</v>
      </c>
      <c r="AF480" s="25">
        <f t="shared" si="72"/>
        <v>1505.3955647727275</v>
      </c>
      <c r="AG480" s="25">
        <f t="shared" si="73"/>
        <v>1476.0342646341462</v>
      </c>
      <c r="AH480" s="25">
        <f t="shared" si="74"/>
        <v>1472.2137465909093</v>
      </c>
      <c r="AI480" s="25">
        <f t="shared" si="75"/>
        <v>1771.7721473118281</v>
      </c>
    </row>
    <row r="481" spans="1:35" ht="15.75" customHeight="1">
      <c r="A481" s="12" t="s">
        <v>290</v>
      </c>
      <c r="B481" s="12" t="s">
        <v>291</v>
      </c>
      <c r="C481" s="12" t="s">
        <v>283</v>
      </c>
      <c r="D481" s="12" t="s">
        <v>33</v>
      </c>
      <c r="E481" s="12" t="s">
        <v>27</v>
      </c>
      <c r="F481" s="13">
        <v>9.9870000000000001</v>
      </c>
      <c r="G481" s="14">
        <v>581.01369899999997</v>
      </c>
      <c r="H481" s="24" t="str">
        <f t="shared" si="68"/>
        <v>RJSP</v>
      </c>
      <c r="I481" s="24" t="str">
        <f t="shared" si="67"/>
        <v>RJMG</v>
      </c>
      <c r="J481" s="24" t="str">
        <f t="shared" si="67"/>
        <v>RJES</v>
      </c>
      <c r="K481" s="24" t="str">
        <f t="shared" si="67"/>
        <v>RJSC</v>
      </c>
      <c r="L481" s="24" t="str">
        <f t="shared" si="67"/>
        <v>RJRJ</v>
      </c>
      <c r="M481" s="24" t="str">
        <f t="shared" si="67"/>
        <v>RJPR</v>
      </c>
      <c r="N481" s="24" t="str">
        <f t="shared" si="67"/>
        <v>RJAM</v>
      </c>
      <c r="O481" s="24">
        <f>VLOOKUP(H481, KM!$A:$E, 5, 0)</f>
        <v>429</v>
      </c>
      <c r="P481" s="24">
        <f>VLOOKUP(I481, KM!$A:$E, 5, 0)</f>
        <v>434</v>
      </c>
      <c r="Q481" s="24">
        <f>VLOOKUP(J481, KM!$A:$E, 5, 0)</f>
        <v>521</v>
      </c>
      <c r="R481" s="24">
        <f>VLOOKUP(K481, KM!$A:$E, 5, 0)</f>
        <v>1144</v>
      </c>
      <c r="S481" s="24">
        <f>VLOOKUP(L481, KM!$A:$E, 5, 0)</f>
        <v>0</v>
      </c>
      <c r="T481" s="24">
        <f>VLOOKUP(M481, KM!$A:$E, 5, 0)</f>
        <v>852</v>
      </c>
      <c r="U481" s="24">
        <f>VLOOKUP(N481, KM!$A:$E, 5, 0)</f>
        <v>4374</v>
      </c>
      <c r="V481" s="24">
        <f>VLOOKUP(H481, IMPOSTO!$A:$D, 4, 0)</f>
        <v>0.12</v>
      </c>
      <c r="W481" s="24">
        <f>VLOOKUP(I481, IMPOSTO!$A:$D, 4, 0)</f>
        <v>0.12</v>
      </c>
      <c r="X481" s="24">
        <f>VLOOKUP(J481, IMPOSTO!$A:$D, 4, 0)</f>
        <v>7.0000000000000007E-2</v>
      </c>
      <c r="Y481" s="24">
        <f>VLOOKUP(K481, IMPOSTO!$A:$D, 4, 0)</f>
        <v>0.12</v>
      </c>
      <c r="Z481" s="24">
        <f>VLOOKUP(L481, IMPOSTO!$A:$D, 4, 0)</f>
        <v>0.18</v>
      </c>
      <c r="AA481" s="24">
        <f>VLOOKUP(M481, IMPOSTO!$A:$D, 4, 0)</f>
        <v>0.12</v>
      </c>
      <c r="AB481" s="24">
        <f>VLOOKUP(N481, IMPOSTO!$A:$D, 4, 0)</f>
        <v>7.0000000000000007E-2</v>
      </c>
      <c r="AC481" s="25">
        <f t="shared" si="69"/>
        <v>708.99283977272717</v>
      </c>
      <c r="AD481" s="25">
        <f t="shared" si="70"/>
        <v>709.56102159090904</v>
      </c>
      <c r="AE481" s="25">
        <f t="shared" si="71"/>
        <v>680.76741827956994</v>
      </c>
      <c r="AF481" s="25">
        <f t="shared" si="72"/>
        <v>790.24283977272717</v>
      </c>
      <c r="AG481" s="25">
        <f t="shared" si="73"/>
        <v>708.55329146341455</v>
      </c>
      <c r="AH481" s="25">
        <f t="shared" si="74"/>
        <v>757.06102159090915</v>
      </c>
      <c r="AI481" s="25">
        <f t="shared" si="75"/>
        <v>1095.0684935483871</v>
      </c>
    </row>
    <row r="482" spans="1:35" ht="15.75" customHeight="1">
      <c r="A482" s="12" t="s">
        <v>512</v>
      </c>
      <c r="B482" s="12" t="s">
        <v>513</v>
      </c>
      <c r="C482" s="12" t="s">
        <v>278</v>
      </c>
      <c r="D482" s="12" t="s">
        <v>33</v>
      </c>
      <c r="E482" s="12" t="s">
        <v>27</v>
      </c>
      <c r="F482" s="13">
        <v>11</v>
      </c>
      <c r="G482" s="14">
        <v>605.93999999999994</v>
      </c>
      <c r="H482" s="24" t="str">
        <f t="shared" si="68"/>
        <v>RJSP</v>
      </c>
      <c r="I482" s="24" t="str">
        <f t="shared" si="67"/>
        <v>RJMG</v>
      </c>
      <c r="J482" s="24" t="str">
        <f t="shared" si="67"/>
        <v>RJES</v>
      </c>
      <c r="K482" s="24" t="str">
        <f t="shared" si="67"/>
        <v>RJSC</v>
      </c>
      <c r="L482" s="24" t="str">
        <f t="shared" si="67"/>
        <v>RJRJ</v>
      </c>
      <c r="M482" s="24" t="str">
        <f t="shared" si="67"/>
        <v>RJPR</v>
      </c>
      <c r="N482" s="24" t="str">
        <f t="shared" si="67"/>
        <v>RJAM</v>
      </c>
      <c r="O482" s="24">
        <f>VLOOKUP(H482, KM!$A:$E, 5, 0)</f>
        <v>429</v>
      </c>
      <c r="P482" s="24">
        <f>VLOOKUP(I482, KM!$A:$E, 5, 0)</f>
        <v>434</v>
      </c>
      <c r="Q482" s="24">
        <f>VLOOKUP(J482, KM!$A:$E, 5, 0)</f>
        <v>521</v>
      </c>
      <c r="R482" s="24">
        <f>VLOOKUP(K482, KM!$A:$E, 5, 0)</f>
        <v>1144</v>
      </c>
      <c r="S482" s="24">
        <f>VLOOKUP(L482, KM!$A:$E, 5, 0)</f>
        <v>0</v>
      </c>
      <c r="T482" s="24">
        <f>VLOOKUP(M482, KM!$A:$E, 5, 0)</f>
        <v>852</v>
      </c>
      <c r="U482" s="24">
        <f>VLOOKUP(N482, KM!$A:$E, 5, 0)</f>
        <v>4374</v>
      </c>
      <c r="V482" s="24">
        <f>VLOOKUP(H482, IMPOSTO!$A:$D, 4, 0)</f>
        <v>0.12</v>
      </c>
      <c r="W482" s="24">
        <f>VLOOKUP(I482, IMPOSTO!$A:$D, 4, 0)</f>
        <v>0.12</v>
      </c>
      <c r="X482" s="24">
        <f>VLOOKUP(J482, IMPOSTO!$A:$D, 4, 0)</f>
        <v>7.0000000000000007E-2</v>
      </c>
      <c r="Y482" s="24">
        <f>VLOOKUP(K482, IMPOSTO!$A:$D, 4, 0)</f>
        <v>0.12</v>
      </c>
      <c r="Z482" s="24">
        <f>VLOOKUP(L482, IMPOSTO!$A:$D, 4, 0)</f>
        <v>0.18</v>
      </c>
      <c r="AA482" s="24">
        <f>VLOOKUP(M482, IMPOSTO!$A:$D, 4, 0)</f>
        <v>0.12</v>
      </c>
      <c r="AB482" s="24">
        <f>VLOOKUP(N482, IMPOSTO!$A:$D, 4, 0)</f>
        <v>7.0000000000000007E-2</v>
      </c>
      <c r="AC482" s="25">
        <f t="shared" si="69"/>
        <v>737.31818181818176</v>
      </c>
      <c r="AD482" s="25">
        <f t="shared" si="70"/>
        <v>737.88636363636351</v>
      </c>
      <c r="AE482" s="25">
        <f t="shared" si="71"/>
        <v>707.56989247311833</v>
      </c>
      <c r="AF482" s="25">
        <f t="shared" si="72"/>
        <v>818.56818181818176</v>
      </c>
      <c r="AG482" s="25">
        <f t="shared" si="73"/>
        <v>738.95121951219494</v>
      </c>
      <c r="AH482" s="25">
        <f t="shared" si="74"/>
        <v>785.38636363636363</v>
      </c>
      <c r="AI482" s="25">
        <f t="shared" si="75"/>
        <v>1121.8709677419354</v>
      </c>
    </row>
    <row r="483" spans="1:35" ht="15.75" customHeight="1">
      <c r="A483" s="12" t="s">
        <v>514</v>
      </c>
      <c r="B483" s="12" t="s">
        <v>515</v>
      </c>
      <c r="C483" s="12" t="s">
        <v>283</v>
      </c>
      <c r="D483" s="12" t="s">
        <v>33</v>
      </c>
      <c r="E483" s="12" t="s">
        <v>27</v>
      </c>
      <c r="F483" s="13">
        <v>209.74799999999999</v>
      </c>
      <c r="G483" s="14">
        <v>6109.4698280000002</v>
      </c>
      <c r="H483" s="24" t="str">
        <f t="shared" si="68"/>
        <v>RJSP</v>
      </c>
      <c r="I483" s="24" t="str">
        <f t="shared" si="67"/>
        <v>RJMG</v>
      </c>
      <c r="J483" s="24" t="str">
        <f t="shared" si="67"/>
        <v>RJES</v>
      </c>
      <c r="K483" s="24" t="str">
        <f t="shared" si="67"/>
        <v>RJSC</v>
      </c>
      <c r="L483" s="24" t="str">
        <f t="shared" si="67"/>
        <v>RJRJ</v>
      </c>
      <c r="M483" s="24" t="str">
        <f t="shared" si="67"/>
        <v>RJPR</v>
      </c>
      <c r="N483" s="24" t="str">
        <f t="shared" si="67"/>
        <v>RJAM</v>
      </c>
      <c r="O483" s="24">
        <f>VLOOKUP(H483, KM!$A:$E, 5, 0)</f>
        <v>429</v>
      </c>
      <c r="P483" s="24">
        <f>VLOOKUP(I483, KM!$A:$E, 5, 0)</f>
        <v>434</v>
      </c>
      <c r="Q483" s="24">
        <f>VLOOKUP(J483, KM!$A:$E, 5, 0)</f>
        <v>521</v>
      </c>
      <c r="R483" s="24">
        <f>VLOOKUP(K483, KM!$A:$E, 5, 0)</f>
        <v>1144</v>
      </c>
      <c r="S483" s="24">
        <f>VLOOKUP(L483, KM!$A:$E, 5, 0)</f>
        <v>0</v>
      </c>
      <c r="T483" s="24">
        <f>VLOOKUP(M483, KM!$A:$E, 5, 0)</f>
        <v>852</v>
      </c>
      <c r="U483" s="24">
        <f>VLOOKUP(N483, KM!$A:$E, 5, 0)</f>
        <v>4374</v>
      </c>
      <c r="V483" s="24">
        <f>VLOOKUP(H483, IMPOSTO!$A:$D, 4, 0)</f>
        <v>0.12</v>
      </c>
      <c r="W483" s="24">
        <f>VLOOKUP(I483, IMPOSTO!$A:$D, 4, 0)</f>
        <v>0.12</v>
      </c>
      <c r="X483" s="24">
        <f>VLOOKUP(J483, IMPOSTO!$A:$D, 4, 0)</f>
        <v>7.0000000000000007E-2</v>
      </c>
      <c r="Y483" s="24">
        <f>VLOOKUP(K483, IMPOSTO!$A:$D, 4, 0)</f>
        <v>0.12</v>
      </c>
      <c r="Z483" s="24">
        <f>VLOOKUP(L483, IMPOSTO!$A:$D, 4, 0)</f>
        <v>0.18</v>
      </c>
      <c r="AA483" s="24">
        <f>VLOOKUP(M483, IMPOSTO!$A:$D, 4, 0)</f>
        <v>0.12</v>
      </c>
      <c r="AB483" s="24">
        <f>VLOOKUP(N483, IMPOSTO!$A:$D, 4, 0)</f>
        <v>7.0000000000000007E-2</v>
      </c>
      <c r="AC483" s="25">
        <f t="shared" si="69"/>
        <v>6991.32935</v>
      </c>
      <c r="AD483" s="25">
        <f t="shared" si="70"/>
        <v>6991.897531818182</v>
      </c>
      <c r="AE483" s="25">
        <f t="shared" si="71"/>
        <v>6625.34390107527</v>
      </c>
      <c r="AF483" s="25">
        <f t="shared" si="72"/>
        <v>7072.57935</v>
      </c>
      <c r="AG483" s="25">
        <f t="shared" si="73"/>
        <v>7450.5729609756099</v>
      </c>
      <c r="AH483" s="25">
        <f t="shared" si="74"/>
        <v>7039.397531818182</v>
      </c>
      <c r="AI483" s="25">
        <f t="shared" si="75"/>
        <v>7039.644976344086</v>
      </c>
    </row>
    <row r="484" spans="1:35" ht="15.75" customHeight="1">
      <c r="A484" s="12" t="s">
        <v>239</v>
      </c>
      <c r="B484" s="12" t="s">
        <v>240</v>
      </c>
      <c r="C484" s="12" t="s">
        <v>160</v>
      </c>
      <c r="D484" s="12" t="s">
        <v>50</v>
      </c>
      <c r="E484" s="12" t="s">
        <v>27</v>
      </c>
      <c r="F484" s="13">
        <v>2990</v>
      </c>
      <c r="G484" s="14">
        <v>93774.59</v>
      </c>
      <c r="H484" s="24" t="str">
        <f t="shared" si="68"/>
        <v>RJSP</v>
      </c>
      <c r="I484" s="24" t="str">
        <f t="shared" si="67"/>
        <v>RJMG</v>
      </c>
      <c r="J484" s="24" t="str">
        <f t="shared" si="67"/>
        <v>RJES</v>
      </c>
      <c r="K484" s="24" t="str">
        <f t="shared" si="67"/>
        <v>RJSC</v>
      </c>
      <c r="L484" s="24" t="str">
        <f t="shared" si="67"/>
        <v>RJRJ</v>
      </c>
      <c r="M484" s="24" t="str">
        <f t="shared" si="67"/>
        <v>RJPR</v>
      </c>
      <c r="N484" s="24" t="str">
        <f t="shared" si="67"/>
        <v>RJAM</v>
      </c>
      <c r="O484" s="24">
        <f>VLOOKUP(H484, KM!$A:$E, 5, 0)</f>
        <v>429</v>
      </c>
      <c r="P484" s="24">
        <f>VLOOKUP(I484, KM!$A:$E, 5, 0)</f>
        <v>434</v>
      </c>
      <c r="Q484" s="24">
        <f>VLOOKUP(J484, KM!$A:$E, 5, 0)</f>
        <v>521</v>
      </c>
      <c r="R484" s="24">
        <f>VLOOKUP(K484, KM!$A:$E, 5, 0)</f>
        <v>1144</v>
      </c>
      <c r="S484" s="24">
        <f>VLOOKUP(L484, KM!$A:$E, 5, 0)</f>
        <v>0</v>
      </c>
      <c r="T484" s="24">
        <f>VLOOKUP(M484, KM!$A:$E, 5, 0)</f>
        <v>852</v>
      </c>
      <c r="U484" s="24">
        <f>VLOOKUP(N484, KM!$A:$E, 5, 0)</f>
        <v>4374</v>
      </c>
      <c r="V484" s="24">
        <f>VLOOKUP(H484, IMPOSTO!$A:$D, 4, 0)</f>
        <v>0.12</v>
      </c>
      <c r="W484" s="24">
        <f>VLOOKUP(I484, IMPOSTO!$A:$D, 4, 0)</f>
        <v>0.12</v>
      </c>
      <c r="X484" s="24">
        <f>VLOOKUP(J484, IMPOSTO!$A:$D, 4, 0)</f>
        <v>7.0000000000000007E-2</v>
      </c>
      <c r="Y484" s="24">
        <f>VLOOKUP(K484, IMPOSTO!$A:$D, 4, 0)</f>
        <v>0.12</v>
      </c>
      <c r="Z484" s="24">
        <f>VLOOKUP(L484, IMPOSTO!$A:$D, 4, 0)</f>
        <v>0.18</v>
      </c>
      <c r="AA484" s="24">
        <f>VLOOKUP(M484, IMPOSTO!$A:$D, 4, 0)</f>
        <v>0.12</v>
      </c>
      <c r="AB484" s="24">
        <f>VLOOKUP(N484, IMPOSTO!$A:$D, 4, 0)</f>
        <v>7.0000000000000007E-2</v>
      </c>
      <c r="AC484" s="25">
        <f t="shared" si="69"/>
        <v>106610.78409090907</v>
      </c>
      <c r="AD484" s="25">
        <f t="shared" si="70"/>
        <v>106611.35227272726</v>
      </c>
      <c r="AE484" s="25">
        <f t="shared" si="71"/>
        <v>100888.91397849463</v>
      </c>
      <c r="AF484" s="25">
        <f t="shared" si="72"/>
        <v>106692.03409090907</v>
      </c>
      <c r="AG484" s="25">
        <f t="shared" si="73"/>
        <v>114359.25609756097</v>
      </c>
      <c r="AH484" s="25">
        <f t="shared" si="74"/>
        <v>106658.85227272726</v>
      </c>
      <c r="AI484" s="25">
        <f t="shared" si="75"/>
        <v>101303.21505376344</v>
      </c>
    </row>
    <row r="485" spans="1:35" ht="15.75" customHeight="1">
      <c r="A485" s="12" t="s">
        <v>516</v>
      </c>
      <c r="B485" s="12" t="s">
        <v>517</v>
      </c>
      <c r="C485" s="12" t="s">
        <v>259</v>
      </c>
      <c r="D485" s="12" t="s">
        <v>50</v>
      </c>
      <c r="E485" s="12" t="s">
        <v>27</v>
      </c>
      <c r="F485" s="13">
        <v>5.0000000000000001E-4</v>
      </c>
      <c r="G485" s="14">
        <v>2.0309999999999998E-2</v>
      </c>
      <c r="H485" s="24" t="str">
        <f t="shared" si="68"/>
        <v>RJSP</v>
      </c>
      <c r="I485" s="24" t="str">
        <f t="shared" si="67"/>
        <v>RJMG</v>
      </c>
      <c r="J485" s="24" t="str">
        <f t="shared" si="67"/>
        <v>RJES</v>
      </c>
      <c r="K485" s="24" t="str">
        <f t="shared" si="67"/>
        <v>RJSC</v>
      </c>
      <c r="L485" s="24" t="str">
        <f t="shared" si="67"/>
        <v>RJRJ</v>
      </c>
      <c r="M485" s="24" t="str">
        <f t="shared" si="67"/>
        <v>RJPR</v>
      </c>
      <c r="N485" s="24" t="str">
        <f t="shared" si="67"/>
        <v>RJAM</v>
      </c>
      <c r="O485" s="24">
        <f>VLOOKUP(H485, KM!$A:$E, 5, 0)</f>
        <v>429</v>
      </c>
      <c r="P485" s="24">
        <f>VLOOKUP(I485, KM!$A:$E, 5, 0)</f>
        <v>434</v>
      </c>
      <c r="Q485" s="24">
        <f>VLOOKUP(J485, KM!$A:$E, 5, 0)</f>
        <v>521</v>
      </c>
      <c r="R485" s="24">
        <f>VLOOKUP(K485, KM!$A:$E, 5, 0)</f>
        <v>1144</v>
      </c>
      <c r="S485" s="24">
        <f>VLOOKUP(L485, KM!$A:$E, 5, 0)</f>
        <v>0</v>
      </c>
      <c r="T485" s="24">
        <f>VLOOKUP(M485, KM!$A:$E, 5, 0)</f>
        <v>852</v>
      </c>
      <c r="U485" s="24">
        <f>VLOOKUP(N485, KM!$A:$E, 5, 0)</f>
        <v>4374</v>
      </c>
      <c r="V485" s="24">
        <f>VLOOKUP(H485, IMPOSTO!$A:$D, 4, 0)</f>
        <v>0.12</v>
      </c>
      <c r="W485" s="24">
        <f>VLOOKUP(I485, IMPOSTO!$A:$D, 4, 0)</f>
        <v>0.12</v>
      </c>
      <c r="X485" s="24">
        <f>VLOOKUP(J485, IMPOSTO!$A:$D, 4, 0)</f>
        <v>7.0000000000000007E-2</v>
      </c>
      <c r="Y485" s="24">
        <f>VLOOKUP(K485, IMPOSTO!$A:$D, 4, 0)</f>
        <v>0.12</v>
      </c>
      <c r="Z485" s="24">
        <f>VLOOKUP(L485, IMPOSTO!$A:$D, 4, 0)</f>
        <v>0.18</v>
      </c>
      <c r="AA485" s="24">
        <f>VLOOKUP(M485, IMPOSTO!$A:$D, 4, 0)</f>
        <v>0.12</v>
      </c>
      <c r="AB485" s="24">
        <f>VLOOKUP(N485, IMPOSTO!$A:$D, 4, 0)</f>
        <v>7.0000000000000007E-2</v>
      </c>
      <c r="AC485" s="25">
        <f t="shared" si="69"/>
        <v>48.773079545454557</v>
      </c>
      <c r="AD485" s="25">
        <f t="shared" si="70"/>
        <v>49.34126136363637</v>
      </c>
      <c r="AE485" s="25">
        <f t="shared" si="71"/>
        <v>56.043344086021513</v>
      </c>
      <c r="AF485" s="25">
        <f t="shared" si="72"/>
        <v>130.02307954545455</v>
      </c>
      <c r="AG485" s="25">
        <f t="shared" si="73"/>
        <v>2.4768292682926824E-2</v>
      </c>
      <c r="AH485" s="25">
        <f t="shared" si="74"/>
        <v>96.841261363636363</v>
      </c>
      <c r="AI485" s="25">
        <f t="shared" si="75"/>
        <v>470.34441935483875</v>
      </c>
    </row>
    <row r="486" spans="1:35" ht="15.75" customHeight="1">
      <c r="A486" s="12" t="s">
        <v>518</v>
      </c>
      <c r="B486" s="12" t="s">
        <v>519</v>
      </c>
      <c r="C486" s="12" t="s">
        <v>259</v>
      </c>
      <c r="D486" s="12" t="s">
        <v>50</v>
      </c>
      <c r="E486" s="12" t="s">
        <v>27</v>
      </c>
      <c r="F486" s="13">
        <v>4.0000000000000002E-4</v>
      </c>
      <c r="G486" s="14">
        <v>1.4412000000000001E-2</v>
      </c>
      <c r="H486" s="24" t="str">
        <f t="shared" si="68"/>
        <v>RJSP</v>
      </c>
      <c r="I486" s="24" t="str">
        <f t="shared" si="67"/>
        <v>RJMG</v>
      </c>
      <c r="J486" s="24" t="str">
        <f t="shared" si="67"/>
        <v>RJES</v>
      </c>
      <c r="K486" s="24" t="str">
        <f t="shared" si="67"/>
        <v>RJSC</v>
      </c>
      <c r="L486" s="24" t="str">
        <f t="shared" si="67"/>
        <v>RJRJ</v>
      </c>
      <c r="M486" s="24" t="str">
        <f t="shared" si="67"/>
        <v>RJPR</v>
      </c>
      <c r="N486" s="24" t="str">
        <f t="shared" si="67"/>
        <v>RJAM</v>
      </c>
      <c r="O486" s="24">
        <f>VLOOKUP(H486, KM!$A:$E, 5, 0)</f>
        <v>429</v>
      </c>
      <c r="P486" s="24">
        <f>VLOOKUP(I486, KM!$A:$E, 5, 0)</f>
        <v>434</v>
      </c>
      <c r="Q486" s="24">
        <f>VLOOKUP(J486, KM!$A:$E, 5, 0)</f>
        <v>521</v>
      </c>
      <c r="R486" s="24">
        <f>VLOOKUP(K486, KM!$A:$E, 5, 0)</f>
        <v>1144</v>
      </c>
      <c r="S486" s="24">
        <f>VLOOKUP(L486, KM!$A:$E, 5, 0)</f>
        <v>0</v>
      </c>
      <c r="T486" s="24">
        <f>VLOOKUP(M486, KM!$A:$E, 5, 0)</f>
        <v>852</v>
      </c>
      <c r="U486" s="24">
        <f>VLOOKUP(N486, KM!$A:$E, 5, 0)</f>
        <v>4374</v>
      </c>
      <c r="V486" s="24">
        <f>VLOOKUP(H486, IMPOSTO!$A:$D, 4, 0)</f>
        <v>0.12</v>
      </c>
      <c r="W486" s="24">
        <f>VLOOKUP(I486, IMPOSTO!$A:$D, 4, 0)</f>
        <v>0.12</v>
      </c>
      <c r="X486" s="24">
        <f>VLOOKUP(J486, IMPOSTO!$A:$D, 4, 0)</f>
        <v>7.0000000000000007E-2</v>
      </c>
      <c r="Y486" s="24">
        <f>VLOOKUP(K486, IMPOSTO!$A:$D, 4, 0)</f>
        <v>0.12</v>
      </c>
      <c r="Z486" s="24">
        <f>VLOOKUP(L486, IMPOSTO!$A:$D, 4, 0)</f>
        <v>0.18</v>
      </c>
      <c r="AA486" s="24">
        <f>VLOOKUP(M486, IMPOSTO!$A:$D, 4, 0)</f>
        <v>0.12</v>
      </c>
      <c r="AB486" s="24">
        <f>VLOOKUP(N486, IMPOSTO!$A:$D, 4, 0)</f>
        <v>7.0000000000000007E-2</v>
      </c>
      <c r="AC486" s="25">
        <f t="shared" si="69"/>
        <v>48.766377272727276</v>
      </c>
      <c r="AD486" s="25">
        <f t="shared" si="70"/>
        <v>49.334559090909096</v>
      </c>
      <c r="AE486" s="25">
        <f t="shared" si="71"/>
        <v>56.037002150537639</v>
      </c>
      <c r="AF486" s="25">
        <f t="shared" si="72"/>
        <v>130.01637727272728</v>
      </c>
      <c r="AG486" s="25">
        <f t="shared" si="73"/>
        <v>1.7575609756097562E-2</v>
      </c>
      <c r="AH486" s="25">
        <f t="shared" si="74"/>
        <v>96.834559090909082</v>
      </c>
      <c r="AI486" s="25">
        <f t="shared" si="75"/>
        <v>470.33807741935487</v>
      </c>
    </row>
    <row r="487" spans="1:35" ht="15.75" customHeight="1">
      <c r="A487" s="12" t="s">
        <v>64</v>
      </c>
      <c r="B487" s="12" t="s">
        <v>65</v>
      </c>
      <c r="C487" s="12" t="s">
        <v>66</v>
      </c>
      <c r="D487" s="12" t="s">
        <v>50</v>
      </c>
      <c r="E487" s="12" t="s">
        <v>27</v>
      </c>
      <c r="F487" s="13">
        <v>0.57699999999999996</v>
      </c>
      <c r="G487" s="14">
        <v>8.4357399999999991</v>
      </c>
      <c r="H487" s="24" t="str">
        <f t="shared" si="68"/>
        <v>RJSP</v>
      </c>
      <c r="I487" s="24" t="str">
        <f t="shared" si="67"/>
        <v>RJMG</v>
      </c>
      <c r="J487" s="24" t="str">
        <f t="shared" si="67"/>
        <v>RJES</v>
      </c>
      <c r="K487" s="24" t="str">
        <f t="shared" si="67"/>
        <v>RJSC</v>
      </c>
      <c r="L487" s="24" t="str">
        <f t="shared" si="67"/>
        <v>RJRJ</v>
      </c>
      <c r="M487" s="24" t="str">
        <f t="shared" si="67"/>
        <v>RJPR</v>
      </c>
      <c r="N487" s="24" t="str">
        <f t="shared" si="67"/>
        <v>RJAM</v>
      </c>
      <c r="O487" s="24">
        <f>VLOOKUP(H487, KM!$A:$E, 5, 0)</f>
        <v>429</v>
      </c>
      <c r="P487" s="24">
        <f>VLOOKUP(I487, KM!$A:$E, 5, 0)</f>
        <v>434</v>
      </c>
      <c r="Q487" s="24">
        <f>VLOOKUP(J487, KM!$A:$E, 5, 0)</f>
        <v>521</v>
      </c>
      <c r="R487" s="24">
        <f>VLOOKUP(K487, KM!$A:$E, 5, 0)</f>
        <v>1144</v>
      </c>
      <c r="S487" s="24">
        <f>VLOOKUP(L487, KM!$A:$E, 5, 0)</f>
        <v>0</v>
      </c>
      <c r="T487" s="24">
        <f>VLOOKUP(M487, KM!$A:$E, 5, 0)</f>
        <v>852</v>
      </c>
      <c r="U487" s="24">
        <f>VLOOKUP(N487, KM!$A:$E, 5, 0)</f>
        <v>4374</v>
      </c>
      <c r="V487" s="24">
        <f>VLOOKUP(H487, IMPOSTO!$A:$D, 4, 0)</f>
        <v>0.12</v>
      </c>
      <c r="W487" s="24">
        <f>VLOOKUP(I487, IMPOSTO!$A:$D, 4, 0)</f>
        <v>0.12</v>
      </c>
      <c r="X487" s="24">
        <f>VLOOKUP(J487, IMPOSTO!$A:$D, 4, 0)</f>
        <v>7.0000000000000007E-2</v>
      </c>
      <c r="Y487" s="24">
        <f>VLOOKUP(K487, IMPOSTO!$A:$D, 4, 0)</f>
        <v>0.12</v>
      </c>
      <c r="Z487" s="24">
        <f>VLOOKUP(L487, IMPOSTO!$A:$D, 4, 0)</f>
        <v>0.18</v>
      </c>
      <c r="AA487" s="24">
        <f>VLOOKUP(M487, IMPOSTO!$A:$D, 4, 0)</f>
        <v>0.12</v>
      </c>
      <c r="AB487" s="24">
        <f>VLOOKUP(N487, IMPOSTO!$A:$D, 4, 0)</f>
        <v>7.0000000000000007E-2</v>
      </c>
      <c r="AC487" s="25">
        <f t="shared" si="69"/>
        <v>58.336068181818185</v>
      </c>
      <c r="AD487" s="25">
        <f t="shared" si="70"/>
        <v>58.904250000000005</v>
      </c>
      <c r="AE487" s="25">
        <f t="shared" si="71"/>
        <v>65.092193548387101</v>
      </c>
      <c r="AF487" s="25">
        <f t="shared" si="72"/>
        <v>139.58606818181818</v>
      </c>
      <c r="AG487" s="25">
        <f t="shared" si="73"/>
        <v>10.287487804878047</v>
      </c>
      <c r="AH487" s="25">
        <f t="shared" si="74"/>
        <v>106.40425</v>
      </c>
      <c r="AI487" s="25">
        <f t="shared" si="75"/>
        <v>479.39326881720439</v>
      </c>
    </row>
    <row r="488" spans="1:35" ht="15.75" customHeight="1">
      <c r="A488" s="12" t="s">
        <v>516</v>
      </c>
      <c r="B488" s="12" t="s">
        <v>517</v>
      </c>
      <c r="C488" s="12" t="s">
        <v>259</v>
      </c>
      <c r="D488" s="12" t="s">
        <v>50</v>
      </c>
      <c r="E488" s="12" t="s">
        <v>27</v>
      </c>
      <c r="F488" s="13">
        <v>0.99950000000000006</v>
      </c>
      <c r="G488" s="14">
        <v>40.599690000000002</v>
      </c>
      <c r="H488" s="24" t="str">
        <f t="shared" si="68"/>
        <v>RJSP</v>
      </c>
      <c r="I488" s="24" t="str">
        <f t="shared" si="67"/>
        <v>RJMG</v>
      </c>
      <c r="J488" s="24" t="str">
        <f t="shared" si="67"/>
        <v>RJES</v>
      </c>
      <c r="K488" s="24" t="str">
        <f t="shared" si="67"/>
        <v>RJSC</v>
      </c>
      <c r="L488" s="24" t="str">
        <f t="shared" si="67"/>
        <v>RJRJ</v>
      </c>
      <c r="M488" s="24" t="str">
        <f t="shared" si="67"/>
        <v>RJPR</v>
      </c>
      <c r="N488" s="24" t="str">
        <f t="shared" si="67"/>
        <v>RJAM</v>
      </c>
      <c r="O488" s="24">
        <f>VLOOKUP(H488, KM!$A:$E, 5, 0)</f>
        <v>429</v>
      </c>
      <c r="P488" s="24">
        <f>VLOOKUP(I488, KM!$A:$E, 5, 0)</f>
        <v>434</v>
      </c>
      <c r="Q488" s="24">
        <f>VLOOKUP(J488, KM!$A:$E, 5, 0)</f>
        <v>521</v>
      </c>
      <c r="R488" s="24">
        <f>VLOOKUP(K488, KM!$A:$E, 5, 0)</f>
        <v>1144</v>
      </c>
      <c r="S488" s="24">
        <f>VLOOKUP(L488, KM!$A:$E, 5, 0)</f>
        <v>0</v>
      </c>
      <c r="T488" s="24">
        <f>VLOOKUP(M488, KM!$A:$E, 5, 0)</f>
        <v>852</v>
      </c>
      <c r="U488" s="24">
        <f>VLOOKUP(N488, KM!$A:$E, 5, 0)</f>
        <v>4374</v>
      </c>
      <c r="V488" s="24">
        <f>VLOOKUP(H488, IMPOSTO!$A:$D, 4, 0)</f>
        <v>0.12</v>
      </c>
      <c r="W488" s="24">
        <f>VLOOKUP(I488, IMPOSTO!$A:$D, 4, 0)</f>
        <v>0.12</v>
      </c>
      <c r="X488" s="24">
        <f>VLOOKUP(J488, IMPOSTO!$A:$D, 4, 0)</f>
        <v>7.0000000000000007E-2</v>
      </c>
      <c r="Y488" s="24">
        <f>VLOOKUP(K488, IMPOSTO!$A:$D, 4, 0)</f>
        <v>0.12</v>
      </c>
      <c r="Z488" s="24">
        <f>VLOOKUP(L488, IMPOSTO!$A:$D, 4, 0)</f>
        <v>0.18</v>
      </c>
      <c r="AA488" s="24">
        <f>VLOOKUP(M488, IMPOSTO!$A:$D, 4, 0)</f>
        <v>0.12</v>
      </c>
      <c r="AB488" s="24">
        <f>VLOOKUP(N488, IMPOSTO!$A:$D, 4, 0)</f>
        <v>7.0000000000000007E-2</v>
      </c>
      <c r="AC488" s="25">
        <f t="shared" si="69"/>
        <v>94.886011363636385</v>
      </c>
      <c r="AD488" s="25">
        <f t="shared" si="70"/>
        <v>95.454193181818198</v>
      </c>
      <c r="AE488" s="25">
        <f t="shared" si="71"/>
        <v>99.677086021505389</v>
      </c>
      <c r="AF488" s="25">
        <f t="shared" si="72"/>
        <v>176.13601136363638</v>
      </c>
      <c r="AG488" s="25">
        <f t="shared" si="73"/>
        <v>49.511817073170732</v>
      </c>
      <c r="AH488" s="25">
        <f t="shared" si="74"/>
        <v>142.95419318181817</v>
      </c>
      <c r="AI488" s="25">
        <f t="shared" si="75"/>
        <v>513.97816129032265</v>
      </c>
    </row>
    <row r="489" spans="1:35" ht="15.75" customHeight="1">
      <c r="A489" s="12" t="s">
        <v>520</v>
      </c>
      <c r="B489" s="12" t="s">
        <v>521</v>
      </c>
      <c r="C489" s="12" t="s">
        <v>259</v>
      </c>
      <c r="D489" s="12" t="s">
        <v>33</v>
      </c>
      <c r="E489" s="12" t="s">
        <v>27</v>
      </c>
      <c r="F489" s="13">
        <v>10696</v>
      </c>
      <c r="G489" s="14">
        <v>26241.609999999993</v>
      </c>
      <c r="H489" s="24" t="str">
        <f t="shared" si="68"/>
        <v>RJSP</v>
      </c>
      <c r="I489" s="24" t="str">
        <f t="shared" si="67"/>
        <v>RJMG</v>
      </c>
      <c r="J489" s="24" t="str">
        <f t="shared" si="67"/>
        <v>RJES</v>
      </c>
      <c r="K489" s="24" t="str">
        <f t="shared" si="67"/>
        <v>RJSC</v>
      </c>
      <c r="L489" s="24" t="str">
        <f t="shared" si="67"/>
        <v>RJRJ</v>
      </c>
      <c r="M489" s="24" t="str">
        <f t="shared" si="67"/>
        <v>RJPR</v>
      </c>
      <c r="N489" s="24" t="str">
        <f t="shared" si="67"/>
        <v>RJAM</v>
      </c>
      <c r="O489" s="24">
        <f>VLOOKUP(H489, KM!$A:$E, 5, 0)</f>
        <v>429</v>
      </c>
      <c r="P489" s="24">
        <f>VLOOKUP(I489, KM!$A:$E, 5, 0)</f>
        <v>434</v>
      </c>
      <c r="Q489" s="24">
        <f>VLOOKUP(J489, KM!$A:$E, 5, 0)</f>
        <v>521</v>
      </c>
      <c r="R489" s="24">
        <f>VLOOKUP(K489, KM!$A:$E, 5, 0)</f>
        <v>1144</v>
      </c>
      <c r="S489" s="24">
        <f>VLOOKUP(L489, KM!$A:$E, 5, 0)</f>
        <v>0</v>
      </c>
      <c r="T489" s="24">
        <f>VLOOKUP(M489, KM!$A:$E, 5, 0)</f>
        <v>852</v>
      </c>
      <c r="U489" s="24">
        <f>VLOOKUP(N489, KM!$A:$E, 5, 0)</f>
        <v>4374</v>
      </c>
      <c r="V489" s="24">
        <f>VLOOKUP(H489, IMPOSTO!$A:$D, 4, 0)</f>
        <v>0.12</v>
      </c>
      <c r="W489" s="24">
        <f>VLOOKUP(I489, IMPOSTO!$A:$D, 4, 0)</f>
        <v>0.12</v>
      </c>
      <c r="X489" s="24">
        <f>VLOOKUP(J489, IMPOSTO!$A:$D, 4, 0)</f>
        <v>7.0000000000000007E-2</v>
      </c>
      <c r="Y489" s="24">
        <f>VLOOKUP(K489, IMPOSTO!$A:$D, 4, 0)</f>
        <v>0.12</v>
      </c>
      <c r="Z489" s="24">
        <f>VLOOKUP(L489, IMPOSTO!$A:$D, 4, 0)</f>
        <v>0.18</v>
      </c>
      <c r="AA489" s="24">
        <f>VLOOKUP(M489, IMPOSTO!$A:$D, 4, 0)</f>
        <v>0.12</v>
      </c>
      <c r="AB489" s="24">
        <f>VLOOKUP(N489, IMPOSTO!$A:$D, 4, 0)</f>
        <v>7.0000000000000007E-2</v>
      </c>
      <c r="AC489" s="25">
        <f t="shared" si="69"/>
        <v>29868.761363636357</v>
      </c>
      <c r="AD489" s="25">
        <f t="shared" si="70"/>
        <v>29869.32954545454</v>
      </c>
      <c r="AE489" s="25">
        <f t="shared" si="71"/>
        <v>28272.806451612898</v>
      </c>
      <c r="AF489" s="25">
        <f t="shared" si="72"/>
        <v>29950.011363636357</v>
      </c>
      <c r="AG489" s="25">
        <f t="shared" si="73"/>
        <v>32001.963414634134</v>
      </c>
      <c r="AH489" s="25">
        <f t="shared" si="74"/>
        <v>29916.829545454537</v>
      </c>
      <c r="AI489" s="25">
        <f t="shared" si="75"/>
        <v>28687.107526881719</v>
      </c>
    </row>
    <row r="490" spans="1:35" ht="15.75" customHeight="1">
      <c r="A490" s="12" t="s">
        <v>522</v>
      </c>
      <c r="B490" s="12" t="s">
        <v>523</v>
      </c>
      <c r="C490" s="12" t="s">
        <v>259</v>
      </c>
      <c r="D490" s="12" t="s">
        <v>33</v>
      </c>
      <c r="E490" s="12" t="s">
        <v>27</v>
      </c>
      <c r="F490" s="13">
        <v>2122</v>
      </c>
      <c r="G490" s="14">
        <v>9175.34</v>
      </c>
      <c r="H490" s="24" t="str">
        <f t="shared" si="68"/>
        <v>RJSP</v>
      </c>
      <c r="I490" s="24" t="str">
        <f t="shared" si="67"/>
        <v>RJMG</v>
      </c>
      <c r="J490" s="24" t="str">
        <f t="shared" si="67"/>
        <v>RJES</v>
      </c>
      <c r="K490" s="24" t="str">
        <f t="shared" si="67"/>
        <v>RJSC</v>
      </c>
      <c r="L490" s="24" t="str">
        <f t="shared" si="67"/>
        <v>RJRJ</v>
      </c>
      <c r="M490" s="24" t="str">
        <f t="shared" si="67"/>
        <v>RJPR</v>
      </c>
      <c r="N490" s="24" t="str">
        <f t="shared" si="67"/>
        <v>RJAM</v>
      </c>
      <c r="O490" s="24">
        <f>VLOOKUP(H490, KM!$A:$E, 5, 0)</f>
        <v>429</v>
      </c>
      <c r="P490" s="24">
        <f>VLOOKUP(I490, KM!$A:$E, 5, 0)</f>
        <v>434</v>
      </c>
      <c r="Q490" s="24">
        <f>VLOOKUP(J490, KM!$A:$E, 5, 0)</f>
        <v>521</v>
      </c>
      <c r="R490" s="24">
        <f>VLOOKUP(K490, KM!$A:$E, 5, 0)</f>
        <v>1144</v>
      </c>
      <c r="S490" s="24">
        <f>VLOOKUP(L490, KM!$A:$E, 5, 0)</f>
        <v>0</v>
      </c>
      <c r="T490" s="24">
        <f>VLOOKUP(M490, KM!$A:$E, 5, 0)</f>
        <v>852</v>
      </c>
      <c r="U490" s="24">
        <f>VLOOKUP(N490, KM!$A:$E, 5, 0)</f>
        <v>4374</v>
      </c>
      <c r="V490" s="24">
        <f>VLOOKUP(H490, IMPOSTO!$A:$D, 4, 0)</f>
        <v>0.12</v>
      </c>
      <c r="W490" s="24">
        <f>VLOOKUP(I490, IMPOSTO!$A:$D, 4, 0)</f>
        <v>0.12</v>
      </c>
      <c r="X490" s="24">
        <f>VLOOKUP(J490, IMPOSTO!$A:$D, 4, 0)</f>
        <v>7.0000000000000007E-2</v>
      </c>
      <c r="Y490" s="24">
        <f>VLOOKUP(K490, IMPOSTO!$A:$D, 4, 0)</f>
        <v>0.12</v>
      </c>
      <c r="Z490" s="24">
        <f>VLOOKUP(L490, IMPOSTO!$A:$D, 4, 0)</f>
        <v>0.18</v>
      </c>
      <c r="AA490" s="24">
        <f>VLOOKUP(M490, IMPOSTO!$A:$D, 4, 0)</f>
        <v>0.12</v>
      </c>
      <c r="AB490" s="24">
        <f>VLOOKUP(N490, IMPOSTO!$A:$D, 4, 0)</f>
        <v>7.0000000000000007E-2</v>
      </c>
      <c r="AC490" s="25">
        <f t="shared" si="69"/>
        <v>10475.272727272726</v>
      </c>
      <c r="AD490" s="25">
        <f t="shared" si="70"/>
        <v>10475.840909090908</v>
      </c>
      <c r="AE490" s="25">
        <f t="shared" si="71"/>
        <v>9921.9784946236578</v>
      </c>
      <c r="AF490" s="25">
        <f t="shared" si="72"/>
        <v>10556.522727272726</v>
      </c>
      <c r="AG490" s="25">
        <f t="shared" si="73"/>
        <v>11189.439024390244</v>
      </c>
      <c r="AH490" s="25">
        <f t="shared" si="74"/>
        <v>10523.34090909091</v>
      </c>
      <c r="AI490" s="25">
        <f t="shared" si="75"/>
        <v>10336.279569892473</v>
      </c>
    </row>
    <row r="491" spans="1:35" ht="15.75" customHeight="1">
      <c r="A491" s="12" t="s">
        <v>524</v>
      </c>
      <c r="B491" s="12" t="s">
        <v>525</v>
      </c>
      <c r="C491" s="12" t="s">
        <v>259</v>
      </c>
      <c r="D491" s="12" t="s">
        <v>33</v>
      </c>
      <c r="E491" s="12" t="s">
        <v>27</v>
      </c>
      <c r="F491" s="13">
        <v>77</v>
      </c>
      <c r="G491" s="14">
        <v>251.21000000000006</v>
      </c>
      <c r="H491" s="24" t="str">
        <f t="shared" si="68"/>
        <v>RJSP</v>
      </c>
      <c r="I491" s="24" t="str">
        <f t="shared" si="67"/>
        <v>RJMG</v>
      </c>
      <c r="J491" s="24" t="str">
        <f t="shared" si="67"/>
        <v>RJES</v>
      </c>
      <c r="K491" s="24" t="str">
        <f t="shared" si="67"/>
        <v>RJSC</v>
      </c>
      <c r="L491" s="24" t="str">
        <f t="shared" si="67"/>
        <v>RJRJ</v>
      </c>
      <c r="M491" s="24" t="str">
        <f t="shared" si="67"/>
        <v>RJPR</v>
      </c>
      <c r="N491" s="24" t="str">
        <f t="shared" si="67"/>
        <v>RJAM</v>
      </c>
      <c r="O491" s="24">
        <f>VLOOKUP(H491, KM!$A:$E, 5, 0)</f>
        <v>429</v>
      </c>
      <c r="P491" s="24">
        <f>VLOOKUP(I491, KM!$A:$E, 5, 0)</f>
        <v>434</v>
      </c>
      <c r="Q491" s="24">
        <f>VLOOKUP(J491, KM!$A:$E, 5, 0)</f>
        <v>521</v>
      </c>
      <c r="R491" s="24">
        <f>VLOOKUP(K491, KM!$A:$E, 5, 0)</f>
        <v>1144</v>
      </c>
      <c r="S491" s="24">
        <f>VLOOKUP(L491, KM!$A:$E, 5, 0)</f>
        <v>0</v>
      </c>
      <c r="T491" s="24">
        <f>VLOOKUP(M491, KM!$A:$E, 5, 0)</f>
        <v>852</v>
      </c>
      <c r="U491" s="24">
        <f>VLOOKUP(N491, KM!$A:$E, 5, 0)</f>
        <v>4374</v>
      </c>
      <c r="V491" s="24">
        <f>VLOOKUP(H491, IMPOSTO!$A:$D, 4, 0)</f>
        <v>0.12</v>
      </c>
      <c r="W491" s="24">
        <f>VLOOKUP(I491, IMPOSTO!$A:$D, 4, 0)</f>
        <v>0.12</v>
      </c>
      <c r="X491" s="24">
        <f>VLOOKUP(J491, IMPOSTO!$A:$D, 4, 0)</f>
        <v>7.0000000000000007E-2</v>
      </c>
      <c r="Y491" s="24">
        <f>VLOOKUP(K491, IMPOSTO!$A:$D, 4, 0)</f>
        <v>0.12</v>
      </c>
      <c r="Z491" s="24">
        <f>VLOOKUP(L491, IMPOSTO!$A:$D, 4, 0)</f>
        <v>0.18</v>
      </c>
      <c r="AA491" s="24">
        <f>VLOOKUP(M491, IMPOSTO!$A:$D, 4, 0)</f>
        <v>0.12</v>
      </c>
      <c r="AB491" s="24">
        <f>VLOOKUP(N491, IMPOSTO!$A:$D, 4, 0)</f>
        <v>7.0000000000000007E-2</v>
      </c>
      <c r="AC491" s="25">
        <f t="shared" si="69"/>
        <v>334.21590909090918</v>
      </c>
      <c r="AD491" s="25">
        <f t="shared" si="70"/>
        <v>334.78409090909099</v>
      </c>
      <c r="AE491" s="25">
        <f t="shared" si="71"/>
        <v>326.13978494623666</v>
      </c>
      <c r="AF491" s="25">
        <f t="shared" si="72"/>
        <v>415.46590909090918</v>
      </c>
      <c r="AG491" s="25">
        <f t="shared" si="73"/>
        <v>306.35365853658544</v>
      </c>
      <c r="AH491" s="25">
        <f t="shared" si="74"/>
        <v>382.28409090909099</v>
      </c>
      <c r="AI491" s="25">
        <f t="shared" si="75"/>
        <v>740.44086021505393</v>
      </c>
    </row>
    <row r="492" spans="1:35" ht="15.75" customHeight="1">
      <c r="A492" s="12" t="s">
        <v>325</v>
      </c>
      <c r="B492" s="12" t="s">
        <v>326</v>
      </c>
      <c r="C492" s="12" t="s">
        <v>283</v>
      </c>
      <c r="D492" s="12" t="s">
        <v>33</v>
      </c>
      <c r="E492" s="12" t="s">
        <v>27</v>
      </c>
      <c r="F492" s="13">
        <v>19.45320000000001</v>
      </c>
      <c r="G492" s="14">
        <v>431.1520559999999</v>
      </c>
      <c r="H492" s="24" t="str">
        <f t="shared" si="68"/>
        <v>RJSP</v>
      </c>
      <c r="I492" s="24" t="str">
        <f t="shared" si="67"/>
        <v>RJMG</v>
      </c>
      <c r="J492" s="24" t="str">
        <f t="shared" si="67"/>
        <v>RJES</v>
      </c>
      <c r="K492" s="24" t="str">
        <f t="shared" si="67"/>
        <v>RJSC</v>
      </c>
      <c r="L492" s="24" t="str">
        <f t="shared" si="67"/>
        <v>RJRJ</v>
      </c>
      <c r="M492" s="24" t="str">
        <f t="shared" si="67"/>
        <v>RJPR</v>
      </c>
      <c r="N492" s="24" t="str">
        <f t="shared" si="67"/>
        <v>RJAM</v>
      </c>
      <c r="O492" s="24">
        <f>VLOOKUP(H492, KM!$A:$E, 5, 0)</f>
        <v>429</v>
      </c>
      <c r="P492" s="24">
        <f>VLOOKUP(I492, KM!$A:$E, 5, 0)</f>
        <v>434</v>
      </c>
      <c r="Q492" s="24">
        <f>VLOOKUP(J492, KM!$A:$E, 5, 0)</f>
        <v>521</v>
      </c>
      <c r="R492" s="24">
        <f>VLOOKUP(K492, KM!$A:$E, 5, 0)</f>
        <v>1144</v>
      </c>
      <c r="S492" s="24">
        <f>VLOOKUP(L492, KM!$A:$E, 5, 0)</f>
        <v>0</v>
      </c>
      <c r="T492" s="24">
        <f>VLOOKUP(M492, KM!$A:$E, 5, 0)</f>
        <v>852</v>
      </c>
      <c r="U492" s="24">
        <f>VLOOKUP(N492, KM!$A:$E, 5, 0)</f>
        <v>4374</v>
      </c>
      <c r="V492" s="24">
        <f>VLOOKUP(H492, IMPOSTO!$A:$D, 4, 0)</f>
        <v>0.12</v>
      </c>
      <c r="W492" s="24">
        <f>VLOOKUP(I492, IMPOSTO!$A:$D, 4, 0)</f>
        <v>0.12</v>
      </c>
      <c r="X492" s="24">
        <f>VLOOKUP(J492, IMPOSTO!$A:$D, 4, 0)</f>
        <v>7.0000000000000007E-2</v>
      </c>
      <c r="Y492" s="24">
        <f>VLOOKUP(K492, IMPOSTO!$A:$D, 4, 0)</f>
        <v>0.12</v>
      </c>
      <c r="Z492" s="24">
        <f>VLOOKUP(L492, IMPOSTO!$A:$D, 4, 0)</f>
        <v>0.18</v>
      </c>
      <c r="AA492" s="24">
        <f>VLOOKUP(M492, IMPOSTO!$A:$D, 4, 0)</f>
        <v>0.12</v>
      </c>
      <c r="AB492" s="24">
        <f>VLOOKUP(N492, IMPOSTO!$A:$D, 4, 0)</f>
        <v>7.0000000000000007E-2</v>
      </c>
      <c r="AC492" s="25">
        <f t="shared" si="69"/>
        <v>538.69551818181799</v>
      </c>
      <c r="AD492" s="25">
        <f t="shared" si="70"/>
        <v>539.26369999999986</v>
      </c>
      <c r="AE492" s="25">
        <f t="shared" si="71"/>
        <v>519.62586666666664</v>
      </c>
      <c r="AF492" s="25">
        <f t="shared" si="72"/>
        <v>619.94551818181799</v>
      </c>
      <c r="AG492" s="25">
        <f t="shared" si="73"/>
        <v>525.79519024390231</v>
      </c>
      <c r="AH492" s="25">
        <f t="shared" si="74"/>
        <v>586.76369999999997</v>
      </c>
      <c r="AI492" s="25">
        <f t="shared" si="75"/>
        <v>933.92694193548391</v>
      </c>
    </row>
    <row r="493" spans="1:35" ht="15.75" customHeight="1">
      <c r="A493" s="12" t="s">
        <v>357</v>
      </c>
      <c r="B493" s="12" t="s">
        <v>358</v>
      </c>
      <c r="C493" s="12" t="s">
        <v>278</v>
      </c>
      <c r="D493" s="12" t="s">
        <v>33</v>
      </c>
      <c r="E493" s="12" t="s">
        <v>27</v>
      </c>
      <c r="F493" s="13">
        <v>19.104999999999986</v>
      </c>
      <c r="G493" s="14">
        <v>1035.5600599999998</v>
      </c>
      <c r="H493" s="24" t="str">
        <f t="shared" si="68"/>
        <v>RJSP</v>
      </c>
      <c r="I493" s="24" t="str">
        <f t="shared" si="67"/>
        <v>RJMG</v>
      </c>
      <c r="J493" s="24" t="str">
        <f t="shared" ref="I493:N556" si="76">$E493 &amp; J$17</f>
        <v>RJES</v>
      </c>
      <c r="K493" s="24" t="str">
        <f t="shared" si="76"/>
        <v>RJSC</v>
      </c>
      <c r="L493" s="24" t="str">
        <f t="shared" si="76"/>
        <v>RJRJ</v>
      </c>
      <c r="M493" s="24" t="str">
        <f t="shared" si="76"/>
        <v>RJPR</v>
      </c>
      <c r="N493" s="24" t="str">
        <f t="shared" si="76"/>
        <v>RJAM</v>
      </c>
      <c r="O493" s="24">
        <f>VLOOKUP(H493, KM!$A:$E, 5, 0)</f>
        <v>429</v>
      </c>
      <c r="P493" s="24">
        <f>VLOOKUP(I493, KM!$A:$E, 5, 0)</f>
        <v>434</v>
      </c>
      <c r="Q493" s="24">
        <f>VLOOKUP(J493, KM!$A:$E, 5, 0)</f>
        <v>521</v>
      </c>
      <c r="R493" s="24">
        <f>VLOOKUP(K493, KM!$A:$E, 5, 0)</f>
        <v>1144</v>
      </c>
      <c r="S493" s="24">
        <f>VLOOKUP(L493, KM!$A:$E, 5, 0)</f>
        <v>0</v>
      </c>
      <c r="T493" s="24">
        <f>VLOOKUP(M493, KM!$A:$E, 5, 0)</f>
        <v>852</v>
      </c>
      <c r="U493" s="24">
        <f>VLOOKUP(N493, KM!$A:$E, 5, 0)</f>
        <v>4374</v>
      </c>
      <c r="V493" s="24">
        <f>VLOOKUP(H493, IMPOSTO!$A:$D, 4, 0)</f>
        <v>0.12</v>
      </c>
      <c r="W493" s="24">
        <f>VLOOKUP(I493, IMPOSTO!$A:$D, 4, 0)</f>
        <v>0.12</v>
      </c>
      <c r="X493" s="24">
        <f>VLOOKUP(J493, IMPOSTO!$A:$D, 4, 0)</f>
        <v>7.0000000000000007E-2</v>
      </c>
      <c r="Y493" s="24">
        <f>VLOOKUP(K493, IMPOSTO!$A:$D, 4, 0)</f>
        <v>0.12</v>
      </c>
      <c r="Z493" s="24">
        <f>VLOOKUP(L493, IMPOSTO!$A:$D, 4, 0)</f>
        <v>0.18</v>
      </c>
      <c r="AA493" s="24">
        <f>VLOOKUP(M493, IMPOSTO!$A:$D, 4, 0)</f>
        <v>0.12</v>
      </c>
      <c r="AB493" s="24">
        <f>VLOOKUP(N493, IMPOSTO!$A:$D, 4, 0)</f>
        <v>7.0000000000000007E-2</v>
      </c>
      <c r="AC493" s="25">
        <f t="shared" si="69"/>
        <v>1225.5227954545453</v>
      </c>
      <c r="AD493" s="25">
        <f t="shared" si="70"/>
        <v>1226.0909772727271</v>
      </c>
      <c r="AE493" s="25">
        <f t="shared" si="71"/>
        <v>1169.5269462365588</v>
      </c>
      <c r="AF493" s="25">
        <f t="shared" si="72"/>
        <v>1306.7727954545453</v>
      </c>
      <c r="AG493" s="25">
        <f t="shared" si="73"/>
        <v>1262.8781219512191</v>
      </c>
      <c r="AH493" s="25">
        <f t="shared" si="74"/>
        <v>1273.5909772727271</v>
      </c>
      <c r="AI493" s="25">
        <f t="shared" si="75"/>
        <v>1583.8280215053762</v>
      </c>
    </row>
    <row r="494" spans="1:35" ht="15.75" customHeight="1">
      <c r="A494" s="12" t="s">
        <v>276</v>
      </c>
      <c r="B494" s="12" t="s">
        <v>277</v>
      </c>
      <c r="C494" s="12" t="s">
        <v>278</v>
      </c>
      <c r="D494" s="12" t="s">
        <v>33</v>
      </c>
      <c r="E494" s="12" t="s">
        <v>27</v>
      </c>
      <c r="F494" s="13">
        <v>22.484999999999982</v>
      </c>
      <c r="G494" s="14">
        <v>657.52809600000023</v>
      </c>
      <c r="H494" s="24" t="str">
        <f t="shared" si="68"/>
        <v>RJSP</v>
      </c>
      <c r="I494" s="24" t="str">
        <f t="shared" si="76"/>
        <v>RJMG</v>
      </c>
      <c r="J494" s="24" t="str">
        <f t="shared" si="76"/>
        <v>RJES</v>
      </c>
      <c r="K494" s="24" t="str">
        <f t="shared" si="76"/>
        <v>RJSC</v>
      </c>
      <c r="L494" s="24" t="str">
        <f t="shared" si="76"/>
        <v>RJRJ</v>
      </c>
      <c r="M494" s="24" t="str">
        <f t="shared" si="76"/>
        <v>RJPR</v>
      </c>
      <c r="N494" s="24" t="str">
        <f t="shared" si="76"/>
        <v>RJAM</v>
      </c>
      <c r="O494" s="24">
        <f>VLOOKUP(H494, KM!$A:$E, 5, 0)</f>
        <v>429</v>
      </c>
      <c r="P494" s="24">
        <f>VLOOKUP(I494, KM!$A:$E, 5, 0)</f>
        <v>434</v>
      </c>
      <c r="Q494" s="24">
        <f>VLOOKUP(J494, KM!$A:$E, 5, 0)</f>
        <v>521</v>
      </c>
      <c r="R494" s="24">
        <f>VLOOKUP(K494, KM!$A:$E, 5, 0)</f>
        <v>1144</v>
      </c>
      <c r="S494" s="24">
        <f>VLOOKUP(L494, KM!$A:$E, 5, 0)</f>
        <v>0</v>
      </c>
      <c r="T494" s="24">
        <f>VLOOKUP(M494, KM!$A:$E, 5, 0)</f>
        <v>852</v>
      </c>
      <c r="U494" s="24">
        <f>VLOOKUP(N494, KM!$A:$E, 5, 0)</f>
        <v>4374</v>
      </c>
      <c r="V494" s="24">
        <f>VLOOKUP(H494, IMPOSTO!$A:$D, 4, 0)</f>
        <v>0.12</v>
      </c>
      <c r="W494" s="24">
        <f>VLOOKUP(I494, IMPOSTO!$A:$D, 4, 0)</f>
        <v>0.12</v>
      </c>
      <c r="X494" s="24">
        <f>VLOOKUP(J494, IMPOSTO!$A:$D, 4, 0)</f>
        <v>7.0000000000000007E-2</v>
      </c>
      <c r="Y494" s="24">
        <f>VLOOKUP(K494, IMPOSTO!$A:$D, 4, 0)</f>
        <v>0.12</v>
      </c>
      <c r="Z494" s="24">
        <f>VLOOKUP(L494, IMPOSTO!$A:$D, 4, 0)</f>
        <v>0.18</v>
      </c>
      <c r="AA494" s="24">
        <f>VLOOKUP(M494, IMPOSTO!$A:$D, 4, 0)</f>
        <v>0.12</v>
      </c>
      <c r="AB494" s="24">
        <f>VLOOKUP(N494, IMPOSTO!$A:$D, 4, 0)</f>
        <v>7.0000000000000007E-2</v>
      </c>
      <c r="AC494" s="25">
        <f t="shared" si="69"/>
        <v>795.94101818181844</v>
      </c>
      <c r="AD494" s="25">
        <f t="shared" si="70"/>
        <v>796.50920000000019</v>
      </c>
      <c r="AE494" s="25">
        <f t="shared" si="71"/>
        <v>763.04096344086054</v>
      </c>
      <c r="AF494" s="25">
        <f t="shared" si="72"/>
        <v>877.19101818181844</v>
      </c>
      <c r="AG494" s="25">
        <f t="shared" si="73"/>
        <v>801.86353170731729</v>
      </c>
      <c r="AH494" s="25">
        <f t="shared" si="74"/>
        <v>844.00920000000031</v>
      </c>
      <c r="AI494" s="25">
        <f t="shared" si="75"/>
        <v>1177.3420387096778</v>
      </c>
    </row>
    <row r="495" spans="1:35" ht="15.75" customHeight="1">
      <c r="A495" s="12" t="s">
        <v>279</v>
      </c>
      <c r="B495" s="12" t="s">
        <v>280</v>
      </c>
      <c r="C495" s="12" t="s">
        <v>278</v>
      </c>
      <c r="D495" s="12" t="s">
        <v>33</v>
      </c>
      <c r="E495" s="12" t="s">
        <v>27</v>
      </c>
      <c r="F495" s="13">
        <v>33.386399999999981</v>
      </c>
      <c r="G495" s="14">
        <v>1753.7849880000006</v>
      </c>
      <c r="H495" s="24" t="str">
        <f t="shared" si="68"/>
        <v>RJSP</v>
      </c>
      <c r="I495" s="24" t="str">
        <f t="shared" si="76"/>
        <v>RJMG</v>
      </c>
      <c r="J495" s="24" t="str">
        <f t="shared" si="76"/>
        <v>RJES</v>
      </c>
      <c r="K495" s="24" t="str">
        <f t="shared" si="76"/>
        <v>RJSC</v>
      </c>
      <c r="L495" s="24" t="str">
        <f t="shared" si="76"/>
        <v>RJRJ</v>
      </c>
      <c r="M495" s="24" t="str">
        <f t="shared" si="76"/>
        <v>RJPR</v>
      </c>
      <c r="N495" s="24" t="str">
        <f t="shared" si="76"/>
        <v>RJAM</v>
      </c>
      <c r="O495" s="24">
        <f>VLOOKUP(H495, KM!$A:$E, 5, 0)</f>
        <v>429</v>
      </c>
      <c r="P495" s="24">
        <f>VLOOKUP(I495, KM!$A:$E, 5, 0)</f>
        <v>434</v>
      </c>
      <c r="Q495" s="24">
        <f>VLOOKUP(J495, KM!$A:$E, 5, 0)</f>
        <v>521</v>
      </c>
      <c r="R495" s="24">
        <f>VLOOKUP(K495, KM!$A:$E, 5, 0)</f>
        <v>1144</v>
      </c>
      <c r="S495" s="24">
        <f>VLOOKUP(L495, KM!$A:$E, 5, 0)</f>
        <v>0</v>
      </c>
      <c r="T495" s="24">
        <f>VLOOKUP(M495, KM!$A:$E, 5, 0)</f>
        <v>852</v>
      </c>
      <c r="U495" s="24">
        <f>VLOOKUP(N495, KM!$A:$E, 5, 0)</f>
        <v>4374</v>
      </c>
      <c r="V495" s="24">
        <f>VLOOKUP(H495, IMPOSTO!$A:$D, 4, 0)</f>
        <v>0.12</v>
      </c>
      <c r="W495" s="24">
        <f>VLOOKUP(I495, IMPOSTO!$A:$D, 4, 0)</f>
        <v>0.12</v>
      </c>
      <c r="X495" s="24">
        <f>VLOOKUP(J495, IMPOSTO!$A:$D, 4, 0)</f>
        <v>7.0000000000000007E-2</v>
      </c>
      <c r="Y495" s="24">
        <f>VLOOKUP(K495, IMPOSTO!$A:$D, 4, 0)</f>
        <v>0.12</v>
      </c>
      <c r="Z495" s="24">
        <f>VLOOKUP(L495, IMPOSTO!$A:$D, 4, 0)</f>
        <v>0.18</v>
      </c>
      <c r="AA495" s="24">
        <f>VLOOKUP(M495, IMPOSTO!$A:$D, 4, 0)</f>
        <v>0.12</v>
      </c>
      <c r="AB495" s="24">
        <f>VLOOKUP(N495, IMPOSTO!$A:$D, 4, 0)</f>
        <v>7.0000000000000007E-2</v>
      </c>
      <c r="AC495" s="25">
        <f t="shared" si="69"/>
        <v>2041.6874863636372</v>
      </c>
      <c r="AD495" s="25">
        <f t="shared" si="70"/>
        <v>2042.2556681818189</v>
      </c>
      <c r="AE495" s="25">
        <f t="shared" si="71"/>
        <v>1941.8118150537641</v>
      </c>
      <c r="AF495" s="25">
        <f t="shared" si="72"/>
        <v>2122.9374863636372</v>
      </c>
      <c r="AG495" s="25">
        <f t="shared" si="73"/>
        <v>2138.7621804878054</v>
      </c>
      <c r="AH495" s="25">
        <f t="shared" si="74"/>
        <v>2089.7556681818187</v>
      </c>
      <c r="AI495" s="25">
        <f t="shared" si="75"/>
        <v>2356.1128903225813</v>
      </c>
    </row>
    <row r="496" spans="1:35" ht="15.75" customHeight="1">
      <c r="A496" s="12" t="s">
        <v>526</v>
      </c>
      <c r="B496" s="12" t="s">
        <v>527</v>
      </c>
      <c r="C496" s="12" t="s">
        <v>333</v>
      </c>
      <c r="D496" s="12" t="s">
        <v>33</v>
      </c>
      <c r="E496" s="12" t="s">
        <v>27</v>
      </c>
      <c r="F496" s="13">
        <v>9</v>
      </c>
      <c r="G496" s="14">
        <v>108.27</v>
      </c>
      <c r="H496" s="24" t="str">
        <f t="shared" si="68"/>
        <v>RJSP</v>
      </c>
      <c r="I496" s="24" t="str">
        <f t="shared" si="76"/>
        <v>RJMG</v>
      </c>
      <c r="J496" s="24" t="str">
        <f t="shared" si="76"/>
        <v>RJES</v>
      </c>
      <c r="K496" s="24" t="str">
        <f t="shared" si="76"/>
        <v>RJSC</v>
      </c>
      <c r="L496" s="24" t="str">
        <f t="shared" si="76"/>
        <v>RJRJ</v>
      </c>
      <c r="M496" s="24" t="str">
        <f t="shared" si="76"/>
        <v>RJPR</v>
      </c>
      <c r="N496" s="24" t="str">
        <f t="shared" si="76"/>
        <v>RJAM</v>
      </c>
      <c r="O496" s="24">
        <f>VLOOKUP(H496, KM!$A:$E, 5, 0)</f>
        <v>429</v>
      </c>
      <c r="P496" s="24">
        <f>VLOOKUP(I496, KM!$A:$E, 5, 0)</f>
        <v>434</v>
      </c>
      <c r="Q496" s="24">
        <f>VLOOKUP(J496, KM!$A:$E, 5, 0)</f>
        <v>521</v>
      </c>
      <c r="R496" s="24">
        <f>VLOOKUP(K496, KM!$A:$E, 5, 0)</f>
        <v>1144</v>
      </c>
      <c r="S496" s="24">
        <f>VLOOKUP(L496, KM!$A:$E, 5, 0)</f>
        <v>0</v>
      </c>
      <c r="T496" s="24">
        <f>VLOOKUP(M496, KM!$A:$E, 5, 0)</f>
        <v>852</v>
      </c>
      <c r="U496" s="24">
        <f>VLOOKUP(N496, KM!$A:$E, 5, 0)</f>
        <v>4374</v>
      </c>
      <c r="V496" s="24">
        <f>VLOOKUP(H496, IMPOSTO!$A:$D, 4, 0)</f>
        <v>0.12</v>
      </c>
      <c r="W496" s="24">
        <f>VLOOKUP(I496, IMPOSTO!$A:$D, 4, 0)</f>
        <v>0.12</v>
      </c>
      <c r="X496" s="24">
        <f>VLOOKUP(J496, IMPOSTO!$A:$D, 4, 0)</f>
        <v>7.0000000000000007E-2</v>
      </c>
      <c r="Y496" s="24">
        <f>VLOOKUP(K496, IMPOSTO!$A:$D, 4, 0)</f>
        <v>0.12</v>
      </c>
      <c r="Z496" s="24">
        <f>VLOOKUP(L496, IMPOSTO!$A:$D, 4, 0)</f>
        <v>0.18</v>
      </c>
      <c r="AA496" s="24">
        <f>VLOOKUP(M496, IMPOSTO!$A:$D, 4, 0)</f>
        <v>0.12</v>
      </c>
      <c r="AB496" s="24">
        <f>VLOOKUP(N496, IMPOSTO!$A:$D, 4, 0)</f>
        <v>7.0000000000000007E-2</v>
      </c>
      <c r="AC496" s="25">
        <f t="shared" si="69"/>
        <v>171.78409090909093</v>
      </c>
      <c r="AD496" s="25">
        <f t="shared" si="70"/>
        <v>172.35227272727275</v>
      </c>
      <c r="AE496" s="25">
        <f t="shared" si="71"/>
        <v>172.44086021505379</v>
      </c>
      <c r="AF496" s="25">
        <f t="shared" si="72"/>
        <v>253.03409090909093</v>
      </c>
      <c r="AG496" s="25">
        <f t="shared" si="73"/>
        <v>132.03658536585365</v>
      </c>
      <c r="AH496" s="25">
        <f t="shared" si="74"/>
        <v>219.85227272727272</v>
      </c>
      <c r="AI496" s="25">
        <f t="shared" si="75"/>
        <v>586.74193548387109</v>
      </c>
    </row>
    <row r="497" spans="1:35" ht="15.75" customHeight="1">
      <c r="A497" s="12" t="s">
        <v>528</v>
      </c>
      <c r="B497" s="12" t="s">
        <v>529</v>
      </c>
      <c r="C497" s="12" t="s">
        <v>283</v>
      </c>
      <c r="D497" s="12" t="s">
        <v>33</v>
      </c>
      <c r="E497" s="12" t="s">
        <v>27</v>
      </c>
      <c r="F497" s="13">
        <v>5</v>
      </c>
      <c r="G497" s="14">
        <v>87.910000000000011</v>
      </c>
      <c r="H497" s="24" t="str">
        <f t="shared" si="68"/>
        <v>RJSP</v>
      </c>
      <c r="I497" s="24" t="str">
        <f t="shared" si="76"/>
        <v>RJMG</v>
      </c>
      <c r="J497" s="24" t="str">
        <f t="shared" si="76"/>
        <v>RJES</v>
      </c>
      <c r="K497" s="24" t="str">
        <f t="shared" si="76"/>
        <v>RJSC</v>
      </c>
      <c r="L497" s="24" t="str">
        <f t="shared" si="76"/>
        <v>RJRJ</v>
      </c>
      <c r="M497" s="24" t="str">
        <f t="shared" si="76"/>
        <v>RJPR</v>
      </c>
      <c r="N497" s="24" t="str">
        <f t="shared" si="76"/>
        <v>RJAM</v>
      </c>
      <c r="O497" s="24">
        <f>VLOOKUP(H497, KM!$A:$E, 5, 0)</f>
        <v>429</v>
      </c>
      <c r="P497" s="24">
        <f>VLOOKUP(I497, KM!$A:$E, 5, 0)</f>
        <v>434</v>
      </c>
      <c r="Q497" s="24">
        <f>VLOOKUP(J497, KM!$A:$E, 5, 0)</f>
        <v>521</v>
      </c>
      <c r="R497" s="24">
        <f>VLOOKUP(K497, KM!$A:$E, 5, 0)</f>
        <v>1144</v>
      </c>
      <c r="S497" s="24">
        <f>VLOOKUP(L497, KM!$A:$E, 5, 0)</f>
        <v>0</v>
      </c>
      <c r="T497" s="24">
        <f>VLOOKUP(M497, KM!$A:$E, 5, 0)</f>
        <v>852</v>
      </c>
      <c r="U497" s="24">
        <f>VLOOKUP(N497, KM!$A:$E, 5, 0)</f>
        <v>4374</v>
      </c>
      <c r="V497" s="24">
        <f>VLOOKUP(H497, IMPOSTO!$A:$D, 4, 0)</f>
        <v>0.12</v>
      </c>
      <c r="W497" s="24">
        <f>VLOOKUP(I497, IMPOSTO!$A:$D, 4, 0)</f>
        <v>0.12</v>
      </c>
      <c r="X497" s="24">
        <f>VLOOKUP(J497, IMPOSTO!$A:$D, 4, 0)</f>
        <v>7.0000000000000007E-2</v>
      </c>
      <c r="Y497" s="24">
        <f>VLOOKUP(K497, IMPOSTO!$A:$D, 4, 0)</f>
        <v>0.12</v>
      </c>
      <c r="Z497" s="24">
        <f>VLOOKUP(L497, IMPOSTO!$A:$D, 4, 0)</f>
        <v>0.18</v>
      </c>
      <c r="AA497" s="24">
        <f>VLOOKUP(M497, IMPOSTO!$A:$D, 4, 0)</f>
        <v>0.12</v>
      </c>
      <c r="AB497" s="24">
        <f>VLOOKUP(N497, IMPOSTO!$A:$D, 4, 0)</f>
        <v>7.0000000000000007E-2</v>
      </c>
      <c r="AC497" s="25">
        <f t="shared" si="69"/>
        <v>148.64772727272728</v>
      </c>
      <c r="AD497" s="25">
        <f t="shared" si="70"/>
        <v>149.21590909090909</v>
      </c>
      <c r="AE497" s="25">
        <f t="shared" si="71"/>
        <v>150.54838709677423</v>
      </c>
      <c r="AF497" s="25">
        <f t="shared" si="72"/>
        <v>229.89772727272728</v>
      </c>
      <c r="AG497" s="25">
        <f t="shared" si="73"/>
        <v>107.20731707317074</v>
      </c>
      <c r="AH497" s="25">
        <f t="shared" si="74"/>
        <v>196.71590909090909</v>
      </c>
      <c r="AI497" s="25">
        <f t="shared" si="75"/>
        <v>564.84946236559153</v>
      </c>
    </row>
    <row r="498" spans="1:35" ht="15.75" customHeight="1">
      <c r="A498" s="12" t="s">
        <v>371</v>
      </c>
      <c r="B498" s="12" t="s">
        <v>372</v>
      </c>
      <c r="C498" s="12" t="s">
        <v>333</v>
      </c>
      <c r="D498" s="12" t="s">
        <v>33</v>
      </c>
      <c r="E498" s="12" t="s">
        <v>27</v>
      </c>
      <c r="F498" s="13">
        <v>7.4880000000000004</v>
      </c>
      <c r="G498" s="14">
        <v>164.83243399999998</v>
      </c>
      <c r="H498" s="24" t="str">
        <f t="shared" si="68"/>
        <v>RJSP</v>
      </c>
      <c r="I498" s="24" t="str">
        <f t="shared" si="76"/>
        <v>RJMG</v>
      </c>
      <c r="J498" s="24" t="str">
        <f t="shared" si="76"/>
        <v>RJES</v>
      </c>
      <c r="K498" s="24" t="str">
        <f t="shared" si="76"/>
        <v>RJSC</v>
      </c>
      <c r="L498" s="24" t="str">
        <f t="shared" si="76"/>
        <v>RJRJ</v>
      </c>
      <c r="M498" s="24" t="str">
        <f t="shared" si="76"/>
        <v>RJPR</v>
      </c>
      <c r="N498" s="24" t="str">
        <f t="shared" si="76"/>
        <v>RJAM</v>
      </c>
      <c r="O498" s="24">
        <f>VLOOKUP(H498, KM!$A:$E, 5, 0)</f>
        <v>429</v>
      </c>
      <c r="P498" s="24">
        <f>VLOOKUP(I498, KM!$A:$E, 5, 0)</f>
        <v>434</v>
      </c>
      <c r="Q498" s="24">
        <f>VLOOKUP(J498, KM!$A:$E, 5, 0)</f>
        <v>521</v>
      </c>
      <c r="R498" s="24">
        <f>VLOOKUP(K498, KM!$A:$E, 5, 0)</f>
        <v>1144</v>
      </c>
      <c r="S498" s="24">
        <f>VLOOKUP(L498, KM!$A:$E, 5, 0)</f>
        <v>0</v>
      </c>
      <c r="T498" s="24">
        <f>VLOOKUP(M498, KM!$A:$E, 5, 0)</f>
        <v>852</v>
      </c>
      <c r="U498" s="24">
        <f>VLOOKUP(N498, KM!$A:$E, 5, 0)</f>
        <v>4374</v>
      </c>
      <c r="V498" s="24">
        <f>VLOOKUP(H498, IMPOSTO!$A:$D, 4, 0)</f>
        <v>0.12</v>
      </c>
      <c r="W498" s="24">
        <f>VLOOKUP(I498, IMPOSTO!$A:$D, 4, 0)</f>
        <v>0.12</v>
      </c>
      <c r="X498" s="24">
        <f>VLOOKUP(J498, IMPOSTO!$A:$D, 4, 0)</f>
        <v>7.0000000000000007E-2</v>
      </c>
      <c r="Y498" s="24">
        <f>VLOOKUP(K498, IMPOSTO!$A:$D, 4, 0)</f>
        <v>0.12</v>
      </c>
      <c r="Z498" s="24">
        <f>VLOOKUP(L498, IMPOSTO!$A:$D, 4, 0)</f>
        <v>0.18</v>
      </c>
      <c r="AA498" s="24">
        <f>VLOOKUP(M498, IMPOSTO!$A:$D, 4, 0)</f>
        <v>0.12</v>
      </c>
      <c r="AB498" s="24">
        <f>VLOOKUP(N498, IMPOSTO!$A:$D, 4, 0)</f>
        <v>7.0000000000000007E-2</v>
      </c>
      <c r="AC498" s="25">
        <f t="shared" si="69"/>
        <v>236.05958409090908</v>
      </c>
      <c r="AD498" s="25">
        <f t="shared" si="70"/>
        <v>236.6277659090909</v>
      </c>
      <c r="AE498" s="25">
        <f t="shared" si="71"/>
        <v>233.26068172043009</v>
      </c>
      <c r="AF498" s="25">
        <f t="shared" si="72"/>
        <v>317.30958409090908</v>
      </c>
      <c r="AG498" s="25">
        <f t="shared" si="73"/>
        <v>201.01516341463412</v>
      </c>
      <c r="AH498" s="25">
        <f t="shared" si="74"/>
        <v>284.1277659090909</v>
      </c>
      <c r="AI498" s="25">
        <f t="shared" si="75"/>
        <v>647.56175698924733</v>
      </c>
    </row>
    <row r="499" spans="1:35" ht="15.75" customHeight="1">
      <c r="A499" s="12" t="s">
        <v>530</v>
      </c>
      <c r="B499" s="12" t="s">
        <v>531</v>
      </c>
      <c r="C499" s="12" t="s">
        <v>278</v>
      </c>
      <c r="D499" s="12" t="s">
        <v>33</v>
      </c>
      <c r="E499" s="12" t="s">
        <v>27</v>
      </c>
      <c r="F499" s="13">
        <v>12</v>
      </c>
      <c r="G499" s="14">
        <v>100.85</v>
      </c>
      <c r="H499" s="24" t="str">
        <f t="shared" si="68"/>
        <v>RJSP</v>
      </c>
      <c r="I499" s="24" t="str">
        <f t="shared" si="76"/>
        <v>RJMG</v>
      </c>
      <c r="J499" s="24" t="str">
        <f t="shared" si="76"/>
        <v>RJES</v>
      </c>
      <c r="K499" s="24" t="str">
        <f t="shared" si="76"/>
        <v>RJSC</v>
      </c>
      <c r="L499" s="24" t="str">
        <f t="shared" si="76"/>
        <v>RJRJ</v>
      </c>
      <c r="M499" s="24" t="str">
        <f t="shared" si="76"/>
        <v>RJPR</v>
      </c>
      <c r="N499" s="24" t="str">
        <f t="shared" si="76"/>
        <v>RJAM</v>
      </c>
      <c r="O499" s="24">
        <f>VLOOKUP(H499, KM!$A:$E, 5, 0)</f>
        <v>429</v>
      </c>
      <c r="P499" s="24">
        <f>VLOOKUP(I499, KM!$A:$E, 5, 0)</f>
        <v>434</v>
      </c>
      <c r="Q499" s="24">
        <f>VLOOKUP(J499, KM!$A:$E, 5, 0)</f>
        <v>521</v>
      </c>
      <c r="R499" s="24">
        <f>VLOOKUP(K499, KM!$A:$E, 5, 0)</f>
        <v>1144</v>
      </c>
      <c r="S499" s="24">
        <f>VLOOKUP(L499, KM!$A:$E, 5, 0)</f>
        <v>0</v>
      </c>
      <c r="T499" s="24">
        <f>VLOOKUP(M499, KM!$A:$E, 5, 0)</f>
        <v>852</v>
      </c>
      <c r="U499" s="24">
        <f>VLOOKUP(N499, KM!$A:$E, 5, 0)</f>
        <v>4374</v>
      </c>
      <c r="V499" s="24">
        <f>VLOOKUP(H499, IMPOSTO!$A:$D, 4, 0)</f>
        <v>0.12</v>
      </c>
      <c r="W499" s="24">
        <f>VLOOKUP(I499, IMPOSTO!$A:$D, 4, 0)</f>
        <v>0.12</v>
      </c>
      <c r="X499" s="24">
        <f>VLOOKUP(J499, IMPOSTO!$A:$D, 4, 0)</f>
        <v>7.0000000000000007E-2</v>
      </c>
      <c r="Y499" s="24">
        <f>VLOOKUP(K499, IMPOSTO!$A:$D, 4, 0)</f>
        <v>0.12</v>
      </c>
      <c r="Z499" s="24">
        <f>VLOOKUP(L499, IMPOSTO!$A:$D, 4, 0)</f>
        <v>0.18</v>
      </c>
      <c r="AA499" s="24">
        <f>VLOOKUP(M499, IMPOSTO!$A:$D, 4, 0)</f>
        <v>0.12</v>
      </c>
      <c r="AB499" s="24">
        <f>VLOOKUP(N499, IMPOSTO!$A:$D, 4, 0)</f>
        <v>7.0000000000000007E-2</v>
      </c>
      <c r="AC499" s="25">
        <f t="shared" si="69"/>
        <v>163.35227272727272</v>
      </c>
      <c r="AD499" s="25">
        <f t="shared" si="70"/>
        <v>163.92045454545453</v>
      </c>
      <c r="AE499" s="25">
        <f t="shared" si="71"/>
        <v>164.46236559139786</v>
      </c>
      <c r="AF499" s="25">
        <f t="shared" si="72"/>
        <v>244.60227272727272</v>
      </c>
      <c r="AG499" s="25">
        <f t="shared" si="73"/>
        <v>122.98780487804876</v>
      </c>
      <c r="AH499" s="25">
        <f t="shared" si="74"/>
        <v>211.42045454545456</v>
      </c>
      <c r="AI499" s="25">
        <f t="shared" si="75"/>
        <v>578.76344086021504</v>
      </c>
    </row>
    <row r="500" spans="1:35" ht="15.75" customHeight="1">
      <c r="A500" s="12" t="s">
        <v>279</v>
      </c>
      <c r="B500" s="12" t="s">
        <v>280</v>
      </c>
      <c r="C500" s="12" t="s">
        <v>278</v>
      </c>
      <c r="D500" s="12" t="s">
        <v>33</v>
      </c>
      <c r="E500" s="12" t="s">
        <v>27</v>
      </c>
      <c r="F500" s="13">
        <v>0</v>
      </c>
      <c r="G500" s="14">
        <v>0</v>
      </c>
      <c r="H500" s="24" t="str">
        <f t="shared" si="68"/>
        <v>RJSP</v>
      </c>
      <c r="I500" s="24" t="str">
        <f t="shared" si="76"/>
        <v>RJMG</v>
      </c>
      <c r="J500" s="24" t="str">
        <f t="shared" si="76"/>
        <v>RJES</v>
      </c>
      <c r="K500" s="24" t="str">
        <f t="shared" si="76"/>
        <v>RJSC</v>
      </c>
      <c r="L500" s="24" t="str">
        <f t="shared" si="76"/>
        <v>RJRJ</v>
      </c>
      <c r="M500" s="24" t="str">
        <f t="shared" si="76"/>
        <v>RJPR</v>
      </c>
      <c r="N500" s="24" t="str">
        <f t="shared" si="76"/>
        <v>RJAM</v>
      </c>
      <c r="O500" s="24">
        <f>VLOOKUP(H500, KM!$A:$E, 5, 0)</f>
        <v>429</v>
      </c>
      <c r="P500" s="24">
        <f>VLOOKUP(I500, KM!$A:$E, 5, 0)</f>
        <v>434</v>
      </c>
      <c r="Q500" s="24">
        <f>VLOOKUP(J500, KM!$A:$E, 5, 0)</f>
        <v>521</v>
      </c>
      <c r="R500" s="24">
        <f>VLOOKUP(K500, KM!$A:$E, 5, 0)</f>
        <v>1144</v>
      </c>
      <c r="S500" s="24">
        <f>VLOOKUP(L500, KM!$A:$E, 5, 0)</f>
        <v>0</v>
      </c>
      <c r="T500" s="24">
        <f>VLOOKUP(M500, KM!$A:$E, 5, 0)</f>
        <v>852</v>
      </c>
      <c r="U500" s="24">
        <f>VLOOKUP(N500, KM!$A:$E, 5, 0)</f>
        <v>4374</v>
      </c>
      <c r="V500" s="24">
        <f>VLOOKUP(H500, IMPOSTO!$A:$D, 4, 0)</f>
        <v>0.12</v>
      </c>
      <c r="W500" s="24">
        <f>VLOOKUP(I500, IMPOSTO!$A:$D, 4, 0)</f>
        <v>0.12</v>
      </c>
      <c r="X500" s="24">
        <f>VLOOKUP(J500, IMPOSTO!$A:$D, 4, 0)</f>
        <v>7.0000000000000007E-2</v>
      </c>
      <c r="Y500" s="24">
        <f>VLOOKUP(K500, IMPOSTO!$A:$D, 4, 0)</f>
        <v>0.12</v>
      </c>
      <c r="Z500" s="24">
        <f>VLOOKUP(L500, IMPOSTO!$A:$D, 4, 0)</f>
        <v>0.18</v>
      </c>
      <c r="AA500" s="24">
        <f>VLOOKUP(M500, IMPOSTO!$A:$D, 4, 0)</f>
        <v>0.12</v>
      </c>
      <c r="AB500" s="24">
        <f>VLOOKUP(N500, IMPOSTO!$A:$D, 4, 0)</f>
        <v>7.0000000000000007E-2</v>
      </c>
      <c r="AC500" s="25">
        <f t="shared" si="69"/>
        <v>48.750000000000007</v>
      </c>
      <c r="AD500" s="25">
        <f t="shared" si="70"/>
        <v>49.318181818181827</v>
      </c>
      <c r="AE500" s="25">
        <f t="shared" si="71"/>
        <v>56.021505376344088</v>
      </c>
      <c r="AF500" s="25">
        <f t="shared" si="72"/>
        <v>130</v>
      </c>
      <c r="AG500" s="25">
        <f t="shared" si="73"/>
        <v>0</v>
      </c>
      <c r="AH500" s="25">
        <f t="shared" si="74"/>
        <v>96.818181818181827</v>
      </c>
      <c r="AI500" s="25">
        <f t="shared" si="75"/>
        <v>470.32258064516134</v>
      </c>
    </row>
    <row r="501" spans="1:35" ht="15.75" customHeight="1">
      <c r="A501" s="12" t="s">
        <v>532</v>
      </c>
      <c r="B501" s="12" t="s">
        <v>533</v>
      </c>
      <c r="C501" s="12" t="s">
        <v>333</v>
      </c>
      <c r="D501" s="12" t="s">
        <v>33</v>
      </c>
      <c r="E501" s="12" t="s">
        <v>27</v>
      </c>
      <c r="F501" s="13">
        <v>692</v>
      </c>
      <c r="G501" s="14">
        <v>6293.58</v>
      </c>
      <c r="H501" s="24" t="str">
        <f t="shared" si="68"/>
        <v>RJSP</v>
      </c>
      <c r="I501" s="24" t="str">
        <f t="shared" si="76"/>
        <v>RJMG</v>
      </c>
      <c r="J501" s="24" t="str">
        <f t="shared" si="76"/>
        <v>RJES</v>
      </c>
      <c r="K501" s="24" t="str">
        <f t="shared" si="76"/>
        <v>RJSC</v>
      </c>
      <c r="L501" s="24" t="str">
        <f t="shared" si="76"/>
        <v>RJRJ</v>
      </c>
      <c r="M501" s="24" t="str">
        <f t="shared" si="76"/>
        <v>RJPR</v>
      </c>
      <c r="N501" s="24" t="str">
        <f t="shared" si="76"/>
        <v>RJAM</v>
      </c>
      <c r="O501" s="24">
        <f>VLOOKUP(H501, KM!$A:$E, 5, 0)</f>
        <v>429</v>
      </c>
      <c r="P501" s="24">
        <f>VLOOKUP(I501, KM!$A:$E, 5, 0)</f>
        <v>434</v>
      </c>
      <c r="Q501" s="24">
        <f>VLOOKUP(J501, KM!$A:$E, 5, 0)</f>
        <v>521</v>
      </c>
      <c r="R501" s="24">
        <f>VLOOKUP(K501, KM!$A:$E, 5, 0)</f>
        <v>1144</v>
      </c>
      <c r="S501" s="24">
        <f>VLOOKUP(L501, KM!$A:$E, 5, 0)</f>
        <v>0</v>
      </c>
      <c r="T501" s="24">
        <f>VLOOKUP(M501, KM!$A:$E, 5, 0)</f>
        <v>852</v>
      </c>
      <c r="U501" s="24">
        <f>VLOOKUP(N501, KM!$A:$E, 5, 0)</f>
        <v>4374</v>
      </c>
      <c r="V501" s="24">
        <f>VLOOKUP(H501, IMPOSTO!$A:$D, 4, 0)</f>
        <v>0.12</v>
      </c>
      <c r="W501" s="24">
        <f>VLOOKUP(I501, IMPOSTO!$A:$D, 4, 0)</f>
        <v>0.12</v>
      </c>
      <c r="X501" s="24">
        <f>VLOOKUP(J501, IMPOSTO!$A:$D, 4, 0)</f>
        <v>7.0000000000000007E-2</v>
      </c>
      <c r="Y501" s="24">
        <f>VLOOKUP(K501, IMPOSTO!$A:$D, 4, 0)</f>
        <v>0.12</v>
      </c>
      <c r="Z501" s="24">
        <f>VLOOKUP(L501, IMPOSTO!$A:$D, 4, 0)</f>
        <v>0.18</v>
      </c>
      <c r="AA501" s="24">
        <f>VLOOKUP(M501, IMPOSTO!$A:$D, 4, 0)</f>
        <v>0.12</v>
      </c>
      <c r="AB501" s="24">
        <f>VLOOKUP(N501, IMPOSTO!$A:$D, 4, 0)</f>
        <v>7.0000000000000007E-2</v>
      </c>
      <c r="AC501" s="25">
        <f t="shared" si="69"/>
        <v>7200.545454545454</v>
      </c>
      <c r="AD501" s="25">
        <f t="shared" si="70"/>
        <v>7201.113636363636</v>
      </c>
      <c r="AE501" s="25">
        <f t="shared" si="71"/>
        <v>6823.3118279569899</v>
      </c>
      <c r="AF501" s="25">
        <f t="shared" si="72"/>
        <v>7281.795454545454</v>
      </c>
      <c r="AG501" s="25">
        <f t="shared" si="73"/>
        <v>7675.0975609756088</v>
      </c>
      <c r="AH501" s="25">
        <f t="shared" si="74"/>
        <v>7248.613636363636</v>
      </c>
      <c r="AI501" s="25">
        <f t="shared" si="75"/>
        <v>7237.6129032258068</v>
      </c>
    </row>
    <row r="502" spans="1:35" ht="15.75" customHeight="1">
      <c r="A502" s="12" t="s">
        <v>534</v>
      </c>
      <c r="B502" s="12" t="s">
        <v>535</v>
      </c>
      <c r="C502" s="12" t="s">
        <v>278</v>
      </c>
      <c r="D502" s="12" t="s">
        <v>33</v>
      </c>
      <c r="E502" s="12" t="s">
        <v>27</v>
      </c>
      <c r="F502" s="13">
        <v>86</v>
      </c>
      <c r="G502" s="14">
        <v>1708.89</v>
      </c>
      <c r="H502" s="24" t="str">
        <f t="shared" si="68"/>
        <v>RJSP</v>
      </c>
      <c r="I502" s="24" t="str">
        <f t="shared" si="76"/>
        <v>RJMG</v>
      </c>
      <c r="J502" s="24" t="str">
        <f t="shared" si="76"/>
        <v>RJES</v>
      </c>
      <c r="K502" s="24" t="str">
        <f t="shared" si="76"/>
        <v>RJSC</v>
      </c>
      <c r="L502" s="24" t="str">
        <f t="shared" si="76"/>
        <v>RJRJ</v>
      </c>
      <c r="M502" s="24" t="str">
        <f t="shared" si="76"/>
        <v>RJPR</v>
      </c>
      <c r="N502" s="24" t="str">
        <f t="shared" si="76"/>
        <v>RJAM</v>
      </c>
      <c r="O502" s="24">
        <f>VLOOKUP(H502, KM!$A:$E, 5, 0)</f>
        <v>429</v>
      </c>
      <c r="P502" s="24">
        <f>VLOOKUP(I502, KM!$A:$E, 5, 0)</f>
        <v>434</v>
      </c>
      <c r="Q502" s="24">
        <f>VLOOKUP(J502, KM!$A:$E, 5, 0)</f>
        <v>521</v>
      </c>
      <c r="R502" s="24">
        <f>VLOOKUP(K502, KM!$A:$E, 5, 0)</f>
        <v>1144</v>
      </c>
      <c r="S502" s="24">
        <f>VLOOKUP(L502, KM!$A:$E, 5, 0)</f>
        <v>0</v>
      </c>
      <c r="T502" s="24">
        <f>VLOOKUP(M502, KM!$A:$E, 5, 0)</f>
        <v>852</v>
      </c>
      <c r="U502" s="24">
        <f>VLOOKUP(N502, KM!$A:$E, 5, 0)</f>
        <v>4374</v>
      </c>
      <c r="V502" s="24">
        <f>VLOOKUP(H502, IMPOSTO!$A:$D, 4, 0)</f>
        <v>0.12</v>
      </c>
      <c r="W502" s="24">
        <f>VLOOKUP(I502, IMPOSTO!$A:$D, 4, 0)</f>
        <v>0.12</v>
      </c>
      <c r="X502" s="24">
        <f>VLOOKUP(J502, IMPOSTO!$A:$D, 4, 0)</f>
        <v>7.0000000000000007E-2</v>
      </c>
      <c r="Y502" s="24">
        <f>VLOOKUP(K502, IMPOSTO!$A:$D, 4, 0)</f>
        <v>0.12</v>
      </c>
      <c r="Z502" s="24">
        <f>VLOOKUP(L502, IMPOSTO!$A:$D, 4, 0)</f>
        <v>0.18</v>
      </c>
      <c r="AA502" s="24">
        <f>VLOOKUP(M502, IMPOSTO!$A:$D, 4, 0)</f>
        <v>0.12</v>
      </c>
      <c r="AB502" s="24">
        <f>VLOOKUP(N502, IMPOSTO!$A:$D, 4, 0)</f>
        <v>7.0000000000000007E-2</v>
      </c>
      <c r="AC502" s="25">
        <f t="shared" si="69"/>
        <v>1990.6704545454547</v>
      </c>
      <c r="AD502" s="25">
        <f t="shared" si="70"/>
        <v>1991.2386363636365</v>
      </c>
      <c r="AE502" s="25">
        <f t="shared" si="71"/>
        <v>1893.5376344086023</v>
      </c>
      <c r="AF502" s="25">
        <f t="shared" si="72"/>
        <v>2071.920454545455</v>
      </c>
      <c r="AG502" s="25">
        <f t="shared" si="73"/>
        <v>2084.0121951219512</v>
      </c>
      <c r="AH502" s="25">
        <f t="shared" si="74"/>
        <v>2038.7386363636365</v>
      </c>
      <c r="AI502" s="25">
        <f t="shared" si="75"/>
        <v>2307.8387096774195</v>
      </c>
    </row>
    <row r="503" spans="1:35" ht="15.75" customHeight="1">
      <c r="A503" s="12" t="s">
        <v>325</v>
      </c>
      <c r="B503" s="12" t="s">
        <v>326</v>
      </c>
      <c r="C503" s="12" t="s">
        <v>283</v>
      </c>
      <c r="D503" s="12" t="s">
        <v>33</v>
      </c>
      <c r="E503" s="12" t="s">
        <v>27</v>
      </c>
      <c r="F503" s="13">
        <v>16191.546799999989</v>
      </c>
      <c r="G503" s="14">
        <v>358862.22794399993</v>
      </c>
      <c r="H503" s="24" t="str">
        <f t="shared" si="68"/>
        <v>RJSP</v>
      </c>
      <c r="I503" s="24" t="str">
        <f t="shared" si="76"/>
        <v>RJMG</v>
      </c>
      <c r="J503" s="24" t="str">
        <f t="shared" si="76"/>
        <v>RJES</v>
      </c>
      <c r="K503" s="24" t="str">
        <f t="shared" si="76"/>
        <v>RJSC</v>
      </c>
      <c r="L503" s="24" t="str">
        <f t="shared" si="76"/>
        <v>RJRJ</v>
      </c>
      <c r="M503" s="24" t="str">
        <f t="shared" si="76"/>
        <v>RJPR</v>
      </c>
      <c r="N503" s="24" t="str">
        <f t="shared" si="76"/>
        <v>RJAM</v>
      </c>
      <c r="O503" s="24">
        <f>VLOOKUP(H503, KM!$A:$E, 5, 0)</f>
        <v>429</v>
      </c>
      <c r="P503" s="24">
        <f>VLOOKUP(I503, KM!$A:$E, 5, 0)</f>
        <v>434</v>
      </c>
      <c r="Q503" s="24">
        <f>VLOOKUP(J503, KM!$A:$E, 5, 0)</f>
        <v>521</v>
      </c>
      <c r="R503" s="24">
        <f>VLOOKUP(K503, KM!$A:$E, 5, 0)</f>
        <v>1144</v>
      </c>
      <c r="S503" s="24">
        <f>VLOOKUP(L503, KM!$A:$E, 5, 0)</f>
        <v>0</v>
      </c>
      <c r="T503" s="24">
        <f>VLOOKUP(M503, KM!$A:$E, 5, 0)</f>
        <v>852</v>
      </c>
      <c r="U503" s="24">
        <f>VLOOKUP(N503, KM!$A:$E, 5, 0)</f>
        <v>4374</v>
      </c>
      <c r="V503" s="24">
        <f>VLOOKUP(H503, IMPOSTO!$A:$D, 4, 0)</f>
        <v>0.12</v>
      </c>
      <c r="W503" s="24">
        <f>VLOOKUP(I503, IMPOSTO!$A:$D, 4, 0)</f>
        <v>0.12</v>
      </c>
      <c r="X503" s="24">
        <f>VLOOKUP(J503, IMPOSTO!$A:$D, 4, 0)</f>
        <v>7.0000000000000007E-2</v>
      </c>
      <c r="Y503" s="24">
        <f>VLOOKUP(K503, IMPOSTO!$A:$D, 4, 0)</f>
        <v>0.12</v>
      </c>
      <c r="Z503" s="24">
        <f>VLOOKUP(L503, IMPOSTO!$A:$D, 4, 0)</f>
        <v>0.18</v>
      </c>
      <c r="AA503" s="24">
        <f>VLOOKUP(M503, IMPOSTO!$A:$D, 4, 0)</f>
        <v>0.12</v>
      </c>
      <c r="AB503" s="24">
        <f>VLOOKUP(N503, IMPOSTO!$A:$D, 4, 0)</f>
        <v>7.0000000000000007E-2</v>
      </c>
      <c r="AC503" s="25">
        <f t="shared" si="69"/>
        <v>407846.73629999993</v>
      </c>
      <c r="AD503" s="25">
        <f t="shared" si="70"/>
        <v>407847.30448181811</v>
      </c>
      <c r="AE503" s="25">
        <f t="shared" si="71"/>
        <v>385929.38488602143</v>
      </c>
      <c r="AF503" s="25">
        <f t="shared" si="72"/>
        <v>407927.98629999993</v>
      </c>
      <c r="AG503" s="25">
        <f t="shared" si="73"/>
        <v>437636.86334634136</v>
      </c>
      <c r="AH503" s="25">
        <f t="shared" si="74"/>
        <v>407894.80448181811</v>
      </c>
      <c r="AI503" s="25">
        <f t="shared" si="75"/>
        <v>386343.68596129032</v>
      </c>
    </row>
    <row r="504" spans="1:35" ht="15.75" customHeight="1">
      <c r="A504" s="12" t="s">
        <v>536</v>
      </c>
      <c r="B504" s="12" t="s">
        <v>537</v>
      </c>
      <c r="C504" s="12" t="s">
        <v>278</v>
      </c>
      <c r="D504" s="12" t="s">
        <v>33</v>
      </c>
      <c r="E504" s="12" t="s">
        <v>27</v>
      </c>
      <c r="F504" s="13">
        <v>5181.8889999999983</v>
      </c>
      <c r="G504" s="14">
        <v>263893.41889000003</v>
      </c>
      <c r="H504" s="24" t="str">
        <f t="shared" si="68"/>
        <v>RJSP</v>
      </c>
      <c r="I504" s="24" t="str">
        <f t="shared" si="76"/>
        <v>RJMG</v>
      </c>
      <c r="J504" s="24" t="str">
        <f t="shared" si="76"/>
        <v>RJES</v>
      </c>
      <c r="K504" s="24" t="str">
        <f t="shared" si="76"/>
        <v>RJSC</v>
      </c>
      <c r="L504" s="24" t="str">
        <f t="shared" si="76"/>
        <v>RJRJ</v>
      </c>
      <c r="M504" s="24" t="str">
        <f t="shared" si="76"/>
        <v>RJPR</v>
      </c>
      <c r="N504" s="24" t="str">
        <f t="shared" si="76"/>
        <v>RJAM</v>
      </c>
      <c r="O504" s="24">
        <f>VLOOKUP(H504, KM!$A:$E, 5, 0)</f>
        <v>429</v>
      </c>
      <c r="P504" s="24">
        <f>VLOOKUP(I504, KM!$A:$E, 5, 0)</f>
        <v>434</v>
      </c>
      <c r="Q504" s="24">
        <f>VLOOKUP(J504, KM!$A:$E, 5, 0)</f>
        <v>521</v>
      </c>
      <c r="R504" s="24">
        <f>VLOOKUP(K504, KM!$A:$E, 5, 0)</f>
        <v>1144</v>
      </c>
      <c r="S504" s="24">
        <f>VLOOKUP(L504, KM!$A:$E, 5, 0)</f>
        <v>0</v>
      </c>
      <c r="T504" s="24">
        <f>VLOOKUP(M504, KM!$A:$E, 5, 0)</f>
        <v>852</v>
      </c>
      <c r="U504" s="24">
        <f>VLOOKUP(N504, KM!$A:$E, 5, 0)</f>
        <v>4374</v>
      </c>
      <c r="V504" s="24">
        <f>VLOOKUP(H504, IMPOSTO!$A:$D, 4, 0)</f>
        <v>0.12</v>
      </c>
      <c r="W504" s="24">
        <f>VLOOKUP(I504, IMPOSTO!$A:$D, 4, 0)</f>
        <v>0.12</v>
      </c>
      <c r="X504" s="24">
        <f>VLOOKUP(J504, IMPOSTO!$A:$D, 4, 0)</f>
        <v>7.0000000000000007E-2</v>
      </c>
      <c r="Y504" s="24">
        <f>VLOOKUP(K504, IMPOSTO!$A:$D, 4, 0)</f>
        <v>0.12</v>
      </c>
      <c r="Z504" s="24">
        <f>VLOOKUP(L504, IMPOSTO!$A:$D, 4, 0)</f>
        <v>0.18</v>
      </c>
      <c r="AA504" s="24">
        <f>VLOOKUP(M504, IMPOSTO!$A:$D, 4, 0)</f>
        <v>0.12</v>
      </c>
      <c r="AB504" s="24">
        <f>VLOOKUP(N504, IMPOSTO!$A:$D, 4, 0)</f>
        <v>7.0000000000000007E-2</v>
      </c>
      <c r="AC504" s="25">
        <f t="shared" si="69"/>
        <v>299927.63510227279</v>
      </c>
      <c r="AD504" s="25">
        <f t="shared" si="70"/>
        <v>299928.20328409097</v>
      </c>
      <c r="AE504" s="25">
        <f t="shared" si="71"/>
        <v>283812.3859032258</v>
      </c>
      <c r="AF504" s="25">
        <f t="shared" si="72"/>
        <v>300008.88510227279</v>
      </c>
      <c r="AG504" s="25">
        <f t="shared" si="73"/>
        <v>321821.24254878052</v>
      </c>
      <c r="AH504" s="25">
        <f t="shared" si="74"/>
        <v>299975.70328409097</v>
      </c>
      <c r="AI504" s="25">
        <f t="shared" si="75"/>
        <v>284226.68697849469</v>
      </c>
    </row>
    <row r="505" spans="1:35" ht="15.75" customHeight="1">
      <c r="A505" s="12" t="s">
        <v>492</v>
      </c>
      <c r="B505" s="12" t="s">
        <v>493</v>
      </c>
      <c r="C505" s="12" t="s">
        <v>283</v>
      </c>
      <c r="D505" s="12" t="s">
        <v>33</v>
      </c>
      <c r="E505" s="12" t="s">
        <v>27</v>
      </c>
      <c r="F505" s="13">
        <v>8284.3856000000014</v>
      </c>
      <c r="G505" s="14">
        <v>183675.65357599998</v>
      </c>
      <c r="H505" s="24" t="str">
        <f t="shared" si="68"/>
        <v>RJSP</v>
      </c>
      <c r="I505" s="24" t="str">
        <f t="shared" si="76"/>
        <v>RJMG</v>
      </c>
      <c r="J505" s="24" t="str">
        <f t="shared" si="76"/>
        <v>RJES</v>
      </c>
      <c r="K505" s="24" t="str">
        <f t="shared" si="76"/>
        <v>RJSC</v>
      </c>
      <c r="L505" s="24" t="str">
        <f t="shared" si="76"/>
        <v>RJRJ</v>
      </c>
      <c r="M505" s="24" t="str">
        <f t="shared" si="76"/>
        <v>RJPR</v>
      </c>
      <c r="N505" s="24" t="str">
        <f t="shared" si="76"/>
        <v>RJAM</v>
      </c>
      <c r="O505" s="24">
        <f>VLOOKUP(H505, KM!$A:$E, 5, 0)</f>
        <v>429</v>
      </c>
      <c r="P505" s="24">
        <f>VLOOKUP(I505, KM!$A:$E, 5, 0)</f>
        <v>434</v>
      </c>
      <c r="Q505" s="24">
        <f>VLOOKUP(J505, KM!$A:$E, 5, 0)</f>
        <v>521</v>
      </c>
      <c r="R505" s="24">
        <f>VLOOKUP(K505, KM!$A:$E, 5, 0)</f>
        <v>1144</v>
      </c>
      <c r="S505" s="24">
        <f>VLOOKUP(L505, KM!$A:$E, 5, 0)</f>
        <v>0</v>
      </c>
      <c r="T505" s="24">
        <f>VLOOKUP(M505, KM!$A:$E, 5, 0)</f>
        <v>852</v>
      </c>
      <c r="U505" s="24">
        <f>VLOOKUP(N505, KM!$A:$E, 5, 0)</f>
        <v>4374</v>
      </c>
      <c r="V505" s="24">
        <f>VLOOKUP(H505, IMPOSTO!$A:$D, 4, 0)</f>
        <v>0.12</v>
      </c>
      <c r="W505" s="24">
        <f>VLOOKUP(I505, IMPOSTO!$A:$D, 4, 0)</f>
        <v>0.12</v>
      </c>
      <c r="X505" s="24">
        <f>VLOOKUP(J505, IMPOSTO!$A:$D, 4, 0)</f>
        <v>7.0000000000000007E-2</v>
      </c>
      <c r="Y505" s="24">
        <f>VLOOKUP(K505, IMPOSTO!$A:$D, 4, 0)</f>
        <v>0.12</v>
      </c>
      <c r="Z505" s="24">
        <f>VLOOKUP(L505, IMPOSTO!$A:$D, 4, 0)</f>
        <v>0.18</v>
      </c>
      <c r="AA505" s="24">
        <f>VLOOKUP(M505, IMPOSTO!$A:$D, 4, 0)</f>
        <v>0.12</v>
      </c>
      <c r="AB505" s="24">
        <f>VLOOKUP(N505, IMPOSTO!$A:$D, 4, 0)</f>
        <v>7.0000000000000007E-2</v>
      </c>
      <c r="AC505" s="25">
        <f t="shared" si="69"/>
        <v>208771.08360909089</v>
      </c>
      <c r="AD505" s="25">
        <f t="shared" si="70"/>
        <v>208771.65179090906</v>
      </c>
      <c r="AE505" s="25">
        <f t="shared" si="71"/>
        <v>197556.72427526882</v>
      </c>
      <c r="AF505" s="25">
        <f t="shared" si="72"/>
        <v>208852.33360909089</v>
      </c>
      <c r="AG505" s="25">
        <f t="shared" si="73"/>
        <v>223994.69948292678</v>
      </c>
      <c r="AH505" s="25">
        <f t="shared" si="74"/>
        <v>208819.15179090909</v>
      </c>
      <c r="AI505" s="25">
        <f t="shared" si="75"/>
        <v>197971.02535053762</v>
      </c>
    </row>
    <row r="506" spans="1:35" ht="15.75" customHeight="1">
      <c r="A506" s="12" t="s">
        <v>538</v>
      </c>
      <c r="B506" s="12" t="s">
        <v>539</v>
      </c>
      <c r="C506" s="12" t="s">
        <v>283</v>
      </c>
      <c r="D506" s="12" t="s">
        <v>33</v>
      </c>
      <c r="E506" s="12" t="s">
        <v>27</v>
      </c>
      <c r="F506" s="13">
        <v>61</v>
      </c>
      <c r="G506" s="14">
        <v>1622.45</v>
      </c>
      <c r="H506" s="24" t="str">
        <f t="shared" si="68"/>
        <v>RJSP</v>
      </c>
      <c r="I506" s="24" t="str">
        <f t="shared" si="76"/>
        <v>RJMG</v>
      </c>
      <c r="J506" s="24" t="str">
        <f t="shared" si="76"/>
        <v>RJES</v>
      </c>
      <c r="K506" s="24" t="str">
        <f t="shared" si="76"/>
        <v>RJSC</v>
      </c>
      <c r="L506" s="24" t="str">
        <f t="shared" si="76"/>
        <v>RJRJ</v>
      </c>
      <c r="M506" s="24" t="str">
        <f t="shared" si="76"/>
        <v>RJPR</v>
      </c>
      <c r="N506" s="24" t="str">
        <f t="shared" si="76"/>
        <v>RJAM</v>
      </c>
      <c r="O506" s="24">
        <f>VLOOKUP(H506, KM!$A:$E, 5, 0)</f>
        <v>429</v>
      </c>
      <c r="P506" s="24">
        <f>VLOOKUP(I506, KM!$A:$E, 5, 0)</f>
        <v>434</v>
      </c>
      <c r="Q506" s="24">
        <f>VLOOKUP(J506, KM!$A:$E, 5, 0)</f>
        <v>521</v>
      </c>
      <c r="R506" s="24">
        <f>VLOOKUP(K506, KM!$A:$E, 5, 0)</f>
        <v>1144</v>
      </c>
      <c r="S506" s="24">
        <f>VLOOKUP(L506, KM!$A:$E, 5, 0)</f>
        <v>0</v>
      </c>
      <c r="T506" s="24">
        <f>VLOOKUP(M506, KM!$A:$E, 5, 0)</f>
        <v>852</v>
      </c>
      <c r="U506" s="24">
        <f>VLOOKUP(N506, KM!$A:$E, 5, 0)</f>
        <v>4374</v>
      </c>
      <c r="V506" s="24">
        <f>VLOOKUP(H506, IMPOSTO!$A:$D, 4, 0)</f>
        <v>0.12</v>
      </c>
      <c r="W506" s="24">
        <f>VLOOKUP(I506, IMPOSTO!$A:$D, 4, 0)</f>
        <v>0.12</v>
      </c>
      <c r="X506" s="24">
        <f>VLOOKUP(J506, IMPOSTO!$A:$D, 4, 0)</f>
        <v>7.0000000000000007E-2</v>
      </c>
      <c r="Y506" s="24">
        <f>VLOOKUP(K506, IMPOSTO!$A:$D, 4, 0)</f>
        <v>0.12</v>
      </c>
      <c r="Z506" s="24">
        <f>VLOOKUP(L506, IMPOSTO!$A:$D, 4, 0)</f>
        <v>0.18</v>
      </c>
      <c r="AA506" s="24">
        <f>VLOOKUP(M506, IMPOSTO!$A:$D, 4, 0)</f>
        <v>0.12</v>
      </c>
      <c r="AB506" s="24">
        <f>VLOOKUP(N506, IMPOSTO!$A:$D, 4, 0)</f>
        <v>7.0000000000000007E-2</v>
      </c>
      <c r="AC506" s="25">
        <f t="shared" si="69"/>
        <v>1892.443181818182</v>
      </c>
      <c r="AD506" s="25">
        <f t="shared" si="70"/>
        <v>1893.0113636363637</v>
      </c>
      <c r="AE506" s="25">
        <f t="shared" si="71"/>
        <v>1800.5913978494625</v>
      </c>
      <c r="AF506" s="25">
        <f t="shared" si="72"/>
        <v>1973.693181818182</v>
      </c>
      <c r="AG506" s="25">
        <f t="shared" si="73"/>
        <v>1978.5975609756097</v>
      </c>
      <c r="AH506" s="25">
        <f t="shared" si="74"/>
        <v>1940.5113636363637</v>
      </c>
      <c r="AI506" s="25">
        <f t="shared" si="75"/>
        <v>2214.8924731182797</v>
      </c>
    </row>
    <row r="507" spans="1:35" ht="15.75" customHeight="1">
      <c r="A507" s="12" t="s">
        <v>540</v>
      </c>
      <c r="B507" s="12" t="s">
        <v>541</v>
      </c>
      <c r="C507" s="12" t="s">
        <v>283</v>
      </c>
      <c r="D507" s="12" t="s">
        <v>33</v>
      </c>
      <c r="E507" s="12" t="s">
        <v>27</v>
      </c>
      <c r="F507" s="13">
        <v>179</v>
      </c>
      <c r="G507" s="14">
        <v>4298.6900000000005</v>
      </c>
      <c r="H507" s="24" t="str">
        <f t="shared" si="68"/>
        <v>RJSP</v>
      </c>
      <c r="I507" s="24" t="str">
        <f t="shared" si="76"/>
        <v>RJMG</v>
      </c>
      <c r="J507" s="24" t="str">
        <f t="shared" si="76"/>
        <v>RJES</v>
      </c>
      <c r="K507" s="24" t="str">
        <f t="shared" si="76"/>
        <v>RJSC</v>
      </c>
      <c r="L507" s="24" t="str">
        <f t="shared" si="76"/>
        <v>RJRJ</v>
      </c>
      <c r="M507" s="24" t="str">
        <f t="shared" si="76"/>
        <v>RJPR</v>
      </c>
      <c r="N507" s="24" t="str">
        <f t="shared" si="76"/>
        <v>RJAM</v>
      </c>
      <c r="O507" s="24">
        <f>VLOOKUP(H507, KM!$A:$E, 5, 0)</f>
        <v>429</v>
      </c>
      <c r="P507" s="24">
        <f>VLOOKUP(I507, KM!$A:$E, 5, 0)</f>
        <v>434</v>
      </c>
      <c r="Q507" s="24">
        <f>VLOOKUP(J507, KM!$A:$E, 5, 0)</f>
        <v>521</v>
      </c>
      <c r="R507" s="24">
        <f>VLOOKUP(K507, KM!$A:$E, 5, 0)</f>
        <v>1144</v>
      </c>
      <c r="S507" s="24">
        <f>VLOOKUP(L507, KM!$A:$E, 5, 0)</f>
        <v>0</v>
      </c>
      <c r="T507" s="24">
        <f>VLOOKUP(M507, KM!$A:$E, 5, 0)</f>
        <v>852</v>
      </c>
      <c r="U507" s="24">
        <f>VLOOKUP(N507, KM!$A:$E, 5, 0)</f>
        <v>4374</v>
      </c>
      <c r="V507" s="24">
        <f>VLOOKUP(H507, IMPOSTO!$A:$D, 4, 0)</f>
        <v>0.12</v>
      </c>
      <c r="W507" s="24">
        <f>VLOOKUP(I507, IMPOSTO!$A:$D, 4, 0)</f>
        <v>0.12</v>
      </c>
      <c r="X507" s="24">
        <f>VLOOKUP(J507, IMPOSTO!$A:$D, 4, 0)</f>
        <v>7.0000000000000007E-2</v>
      </c>
      <c r="Y507" s="24">
        <f>VLOOKUP(K507, IMPOSTO!$A:$D, 4, 0)</f>
        <v>0.12</v>
      </c>
      <c r="Z507" s="24">
        <f>VLOOKUP(L507, IMPOSTO!$A:$D, 4, 0)</f>
        <v>0.18</v>
      </c>
      <c r="AA507" s="24">
        <f>VLOOKUP(M507, IMPOSTO!$A:$D, 4, 0)</f>
        <v>0.12</v>
      </c>
      <c r="AB507" s="24">
        <f>VLOOKUP(N507, IMPOSTO!$A:$D, 4, 0)</f>
        <v>7.0000000000000007E-2</v>
      </c>
      <c r="AC507" s="25">
        <f t="shared" si="69"/>
        <v>4933.625</v>
      </c>
      <c r="AD507" s="25">
        <f t="shared" si="70"/>
        <v>4934.193181818182</v>
      </c>
      <c r="AE507" s="25">
        <f t="shared" si="71"/>
        <v>4678.2688172043026</v>
      </c>
      <c r="AF507" s="25">
        <f t="shared" si="72"/>
        <v>5014.875</v>
      </c>
      <c r="AG507" s="25">
        <f t="shared" si="73"/>
        <v>5242.3048780487807</v>
      </c>
      <c r="AH507" s="25">
        <f t="shared" si="74"/>
        <v>4981.693181818182</v>
      </c>
      <c r="AI507" s="25">
        <f t="shared" si="75"/>
        <v>5092.5698924731187</v>
      </c>
    </row>
    <row r="508" spans="1:35" ht="15.75" customHeight="1">
      <c r="A508" s="12" t="s">
        <v>542</v>
      </c>
      <c r="B508" s="12" t="s">
        <v>543</v>
      </c>
      <c r="C508" s="12" t="s">
        <v>283</v>
      </c>
      <c r="D508" s="12" t="s">
        <v>33</v>
      </c>
      <c r="E508" s="12" t="s">
        <v>27</v>
      </c>
      <c r="F508" s="13">
        <v>86</v>
      </c>
      <c r="G508" s="14">
        <v>2246.9500000000003</v>
      </c>
      <c r="H508" s="24" t="str">
        <f t="shared" si="68"/>
        <v>RJSP</v>
      </c>
      <c r="I508" s="24" t="str">
        <f t="shared" si="76"/>
        <v>RJMG</v>
      </c>
      <c r="J508" s="24" t="str">
        <f t="shared" si="76"/>
        <v>RJES</v>
      </c>
      <c r="K508" s="24" t="str">
        <f t="shared" si="76"/>
        <v>RJSC</v>
      </c>
      <c r="L508" s="24" t="str">
        <f t="shared" si="76"/>
        <v>RJRJ</v>
      </c>
      <c r="M508" s="24" t="str">
        <f t="shared" si="76"/>
        <v>RJPR</v>
      </c>
      <c r="N508" s="24" t="str">
        <f t="shared" si="76"/>
        <v>RJAM</v>
      </c>
      <c r="O508" s="24">
        <f>VLOOKUP(H508, KM!$A:$E, 5, 0)</f>
        <v>429</v>
      </c>
      <c r="P508" s="24">
        <f>VLOOKUP(I508, KM!$A:$E, 5, 0)</f>
        <v>434</v>
      </c>
      <c r="Q508" s="24">
        <f>VLOOKUP(J508, KM!$A:$E, 5, 0)</f>
        <v>521</v>
      </c>
      <c r="R508" s="24">
        <f>VLOOKUP(K508, KM!$A:$E, 5, 0)</f>
        <v>1144</v>
      </c>
      <c r="S508" s="24">
        <f>VLOOKUP(L508, KM!$A:$E, 5, 0)</f>
        <v>0</v>
      </c>
      <c r="T508" s="24">
        <f>VLOOKUP(M508, KM!$A:$E, 5, 0)</f>
        <v>852</v>
      </c>
      <c r="U508" s="24">
        <f>VLOOKUP(N508, KM!$A:$E, 5, 0)</f>
        <v>4374</v>
      </c>
      <c r="V508" s="24">
        <f>VLOOKUP(H508, IMPOSTO!$A:$D, 4, 0)</f>
        <v>0.12</v>
      </c>
      <c r="W508" s="24">
        <f>VLOOKUP(I508, IMPOSTO!$A:$D, 4, 0)</f>
        <v>0.12</v>
      </c>
      <c r="X508" s="24">
        <f>VLOOKUP(J508, IMPOSTO!$A:$D, 4, 0)</f>
        <v>7.0000000000000007E-2</v>
      </c>
      <c r="Y508" s="24">
        <f>VLOOKUP(K508, IMPOSTO!$A:$D, 4, 0)</f>
        <v>0.12</v>
      </c>
      <c r="Z508" s="24">
        <f>VLOOKUP(L508, IMPOSTO!$A:$D, 4, 0)</f>
        <v>0.18</v>
      </c>
      <c r="AA508" s="24">
        <f>VLOOKUP(M508, IMPOSTO!$A:$D, 4, 0)</f>
        <v>0.12</v>
      </c>
      <c r="AB508" s="24">
        <f>VLOOKUP(N508, IMPOSTO!$A:$D, 4, 0)</f>
        <v>7.0000000000000007E-2</v>
      </c>
      <c r="AC508" s="25">
        <f t="shared" si="69"/>
        <v>2602.102272727273</v>
      </c>
      <c r="AD508" s="25">
        <f t="shared" si="70"/>
        <v>2602.670454545455</v>
      </c>
      <c r="AE508" s="25">
        <f t="shared" si="71"/>
        <v>2472.0967741935488</v>
      </c>
      <c r="AF508" s="25">
        <f t="shared" si="72"/>
        <v>2683.352272727273</v>
      </c>
      <c r="AG508" s="25">
        <f t="shared" si="73"/>
        <v>2740.1829268292686</v>
      </c>
      <c r="AH508" s="25">
        <f t="shared" si="74"/>
        <v>2650.1704545454545</v>
      </c>
      <c r="AI508" s="25">
        <f t="shared" si="75"/>
        <v>2886.3978494623661</v>
      </c>
    </row>
    <row r="509" spans="1:35" ht="15.75" customHeight="1">
      <c r="A509" s="12" t="s">
        <v>544</v>
      </c>
      <c r="B509" s="12" t="s">
        <v>545</v>
      </c>
      <c r="C509" s="12" t="s">
        <v>278</v>
      </c>
      <c r="D509" s="12" t="s">
        <v>33</v>
      </c>
      <c r="E509" s="12" t="s">
        <v>27</v>
      </c>
      <c r="F509" s="13">
        <v>117</v>
      </c>
      <c r="G509" s="14">
        <v>3434.42</v>
      </c>
      <c r="H509" s="24" t="str">
        <f t="shared" si="68"/>
        <v>RJSP</v>
      </c>
      <c r="I509" s="24" t="str">
        <f t="shared" si="76"/>
        <v>RJMG</v>
      </c>
      <c r="J509" s="24" t="str">
        <f t="shared" si="76"/>
        <v>RJES</v>
      </c>
      <c r="K509" s="24" t="str">
        <f t="shared" si="76"/>
        <v>RJSC</v>
      </c>
      <c r="L509" s="24" t="str">
        <f t="shared" si="76"/>
        <v>RJRJ</v>
      </c>
      <c r="M509" s="24" t="str">
        <f t="shared" si="76"/>
        <v>RJPR</v>
      </c>
      <c r="N509" s="24" t="str">
        <f t="shared" si="76"/>
        <v>RJAM</v>
      </c>
      <c r="O509" s="24">
        <f>VLOOKUP(H509, KM!$A:$E, 5, 0)</f>
        <v>429</v>
      </c>
      <c r="P509" s="24">
        <f>VLOOKUP(I509, KM!$A:$E, 5, 0)</f>
        <v>434</v>
      </c>
      <c r="Q509" s="24">
        <f>VLOOKUP(J509, KM!$A:$E, 5, 0)</f>
        <v>521</v>
      </c>
      <c r="R509" s="24">
        <f>VLOOKUP(K509, KM!$A:$E, 5, 0)</f>
        <v>1144</v>
      </c>
      <c r="S509" s="24">
        <f>VLOOKUP(L509, KM!$A:$E, 5, 0)</f>
        <v>0</v>
      </c>
      <c r="T509" s="24">
        <f>VLOOKUP(M509, KM!$A:$E, 5, 0)</f>
        <v>852</v>
      </c>
      <c r="U509" s="24">
        <f>VLOOKUP(N509, KM!$A:$E, 5, 0)</f>
        <v>4374</v>
      </c>
      <c r="V509" s="24">
        <f>VLOOKUP(H509, IMPOSTO!$A:$D, 4, 0)</f>
        <v>0.12</v>
      </c>
      <c r="W509" s="24">
        <f>VLOOKUP(I509, IMPOSTO!$A:$D, 4, 0)</f>
        <v>0.12</v>
      </c>
      <c r="X509" s="24">
        <f>VLOOKUP(J509, IMPOSTO!$A:$D, 4, 0)</f>
        <v>7.0000000000000007E-2</v>
      </c>
      <c r="Y509" s="24">
        <f>VLOOKUP(K509, IMPOSTO!$A:$D, 4, 0)</f>
        <v>0.12</v>
      </c>
      <c r="Z509" s="24">
        <f>VLOOKUP(L509, IMPOSTO!$A:$D, 4, 0)</f>
        <v>0.18</v>
      </c>
      <c r="AA509" s="24">
        <f>VLOOKUP(M509, IMPOSTO!$A:$D, 4, 0)</f>
        <v>0.12</v>
      </c>
      <c r="AB509" s="24">
        <f>VLOOKUP(N509, IMPOSTO!$A:$D, 4, 0)</f>
        <v>7.0000000000000007E-2</v>
      </c>
      <c r="AC509" s="25">
        <f t="shared" si="69"/>
        <v>3951.5</v>
      </c>
      <c r="AD509" s="25">
        <f t="shared" si="70"/>
        <v>3952.068181818182</v>
      </c>
      <c r="AE509" s="25">
        <f t="shared" si="71"/>
        <v>3748.9462365591398</v>
      </c>
      <c r="AF509" s="25">
        <f t="shared" si="72"/>
        <v>4032.75</v>
      </c>
      <c r="AG509" s="25">
        <f t="shared" si="73"/>
        <v>4188.3170731707314</v>
      </c>
      <c r="AH509" s="25">
        <f t="shared" si="74"/>
        <v>3999.5681818181815</v>
      </c>
      <c r="AI509" s="25">
        <f t="shared" si="75"/>
        <v>4163.2473118279577</v>
      </c>
    </row>
    <row r="510" spans="1:35" ht="15.75" customHeight="1">
      <c r="A510" s="12" t="s">
        <v>327</v>
      </c>
      <c r="B510" s="12" t="s">
        <v>328</v>
      </c>
      <c r="C510" s="12" t="s">
        <v>278</v>
      </c>
      <c r="D510" s="12" t="s">
        <v>33</v>
      </c>
      <c r="E510" s="12" t="s">
        <v>27</v>
      </c>
      <c r="F510" s="13">
        <v>569</v>
      </c>
      <c r="G510" s="14">
        <v>7735.43</v>
      </c>
      <c r="H510" s="24" t="str">
        <f t="shared" si="68"/>
        <v>RJSP</v>
      </c>
      <c r="I510" s="24" t="str">
        <f t="shared" si="76"/>
        <v>RJMG</v>
      </c>
      <c r="J510" s="24" t="str">
        <f t="shared" si="76"/>
        <v>RJES</v>
      </c>
      <c r="K510" s="24" t="str">
        <f t="shared" si="76"/>
        <v>RJSC</v>
      </c>
      <c r="L510" s="24" t="str">
        <f t="shared" si="76"/>
        <v>RJRJ</v>
      </c>
      <c r="M510" s="24" t="str">
        <f t="shared" si="76"/>
        <v>RJPR</v>
      </c>
      <c r="N510" s="24" t="str">
        <f t="shared" si="76"/>
        <v>RJAM</v>
      </c>
      <c r="O510" s="24">
        <f>VLOOKUP(H510, KM!$A:$E, 5, 0)</f>
        <v>429</v>
      </c>
      <c r="P510" s="24">
        <f>VLOOKUP(I510, KM!$A:$E, 5, 0)</f>
        <v>434</v>
      </c>
      <c r="Q510" s="24">
        <f>VLOOKUP(J510, KM!$A:$E, 5, 0)</f>
        <v>521</v>
      </c>
      <c r="R510" s="24">
        <f>VLOOKUP(K510, KM!$A:$E, 5, 0)</f>
        <v>1144</v>
      </c>
      <c r="S510" s="24">
        <f>VLOOKUP(L510, KM!$A:$E, 5, 0)</f>
        <v>0</v>
      </c>
      <c r="T510" s="24">
        <f>VLOOKUP(M510, KM!$A:$E, 5, 0)</f>
        <v>852</v>
      </c>
      <c r="U510" s="24">
        <f>VLOOKUP(N510, KM!$A:$E, 5, 0)</f>
        <v>4374</v>
      </c>
      <c r="V510" s="24">
        <f>VLOOKUP(H510, IMPOSTO!$A:$D, 4, 0)</f>
        <v>0.12</v>
      </c>
      <c r="W510" s="24">
        <f>VLOOKUP(I510, IMPOSTO!$A:$D, 4, 0)</f>
        <v>0.12</v>
      </c>
      <c r="X510" s="24">
        <f>VLOOKUP(J510, IMPOSTO!$A:$D, 4, 0)</f>
        <v>7.0000000000000007E-2</v>
      </c>
      <c r="Y510" s="24">
        <f>VLOOKUP(K510, IMPOSTO!$A:$D, 4, 0)</f>
        <v>0.12</v>
      </c>
      <c r="Z510" s="24">
        <f>VLOOKUP(L510, IMPOSTO!$A:$D, 4, 0)</f>
        <v>0.18</v>
      </c>
      <c r="AA510" s="24">
        <f>VLOOKUP(M510, IMPOSTO!$A:$D, 4, 0)</f>
        <v>0.12</v>
      </c>
      <c r="AB510" s="24">
        <f>VLOOKUP(N510, IMPOSTO!$A:$D, 4, 0)</f>
        <v>7.0000000000000007E-2</v>
      </c>
      <c r="AC510" s="25">
        <f t="shared" si="69"/>
        <v>8839.011363636364</v>
      </c>
      <c r="AD510" s="25">
        <f t="shared" si="70"/>
        <v>8839.579545454546</v>
      </c>
      <c r="AE510" s="25">
        <f t="shared" si="71"/>
        <v>8373.6881720430119</v>
      </c>
      <c r="AF510" s="25">
        <f t="shared" si="72"/>
        <v>8920.261363636364</v>
      </c>
      <c r="AG510" s="25">
        <f t="shared" si="73"/>
        <v>9433.4512195121952</v>
      </c>
      <c r="AH510" s="25">
        <f t="shared" si="74"/>
        <v>8887.079545454546</v>
      </c>
      <c r="AI510" s="25">
        <f t="shared" si="75"/>
        <v>8787.9892473118289</v>
      </c>
    </row>
    <row r="511" spans="1:35" ht="15.75" customHeight="1">
      <c r="A511" s="12" t="s">
        <v>331</v>
      </c>
      <c r="B511" s="12" t="s">
        <v>332</v>
      </c>
      <c r="C511" s="12" t="s">
        <v>333</v>
      </c>
      <c r="D511" s="12" t="s">
        <v>33</v>
      </c>
      <c r="E511" s="12" t="s">
        <v>27</v>
      </c>
      <c r="F511" s="13">
        <v>7874.0610000000006</v>
      </c>
      <c r="G511" s="14">
        <v>65044.171644999973</v>
      </c>
      <c r="H511" s="24" t="str">
        <f t="shared" si="68"/>
        <v>RJSP</v>
      </c>
      <c r="I511" s="24" t="str">
        <f t="shared" si="76"/>
        <v>RJMG</v>
      </c>
      <c r="J511" s="24" t="str">
        <f t="shared" si="76"/>
        <v>RJES</v>
      </c>
      <c r="K511" s="24" t="str">
        <f t="shared" si="76"/>
        <v>RJSC</v>
      </c>
      <c r="L511" s="24" t="str">
        <f t="shared" si="76"/>
        <v>RJRJ</v>
      </c>
      <c r="M511" s="24" t="str">
        <f t="shared" si="76"/>
        <v>RJPR</v>
      </c>
      <c r="N511" s="24" t="str">
        <f t="shared" si="76"/>
        <v>RJAM</v>
      </c>
      <c r="O511" s="24">
        <f>VLOOKUP(H511, KM!$A:$E, 5, 0)</f>
        <v>429</v>
      </c>
      <c r="P511" s="24">
        <f>VLOOKUP(I511, KM!$A:$E, 5, 0)</f>
        <v>434</v>
      </c>
      <c r="Q511" s="24">
        <f>VLOOKUP(J511, KM!$A:$E, 5, 0)</f>
        <v>521</v>
      </c>
      <c r="R511" s="24">
        <f>VLOOKUP(K511, KM!$A:$E, 5, 0)</f>
        <v>1144</v>
      </c>
      <c r="S511" s="24">
        <f>VLOOKUP(L511, KM!$A:$E, 5, 0)</f>
        <v>0</v>
      </c>
      <c r="T511" s="24">
        <f>VLOOKUP(M511, KM!$A:$E, 5, 0)</f>
        <v>852</v>
      </c>
      <c r="U511" s="24">
        <f>VLOOKUP(N511, KM!$A:$E, 5, 0)</f>
        <v>4374</v>
      </c>
      <c r="V511" s="24">
        <f>VLOOKUP(H511, IMPOSTO!$A:$D, 4, 0)</f>
        <v>0.12</v>
      </c>
      <c r="W511" s="24">
        <f>VLOOKUP(I511, IMPOSTO!$A:$D, 4, 0)</f>
        <v>0.12</v>
      </c>
      <c r="X511" s="24">
        <f>VLOOKUP(J511, IMPOSTO!$A:$D, 4, 0)</f>
        <v>7.0000000000000007E-2</v>
      </c>
      <c r="Y511" s="24">
        <f>VLOOKUP(K511, IMPOSTO!$A:$D, 4, 0)</f>
        <v>0.12</v>
      </c>
      <c r="Z511" s="24">
        <f>VLOOKUP(L511, IMPOSTO!$A:$D, 4, 0)</f>
        <v>0.18</v>
      </c>
      <c r="AA511" s="24">
        <f>VLOOKUP(M511, IMPOSTO!$A:$D, 4, 0)</f>
        <v>0.12</v>
      </c>
      <c r="AB511" s="24">
        <f>VLOOKUP(N511, IMPOSTO!$A:$D, 4, 0)</f>
        <v>7.0000000000000007E-2</v>
      </c>
      <c r="AC511" s="25">
        <f t="shared" si="69"/>
        <v>73962.581414772692</v>
      </c>
      <c r="AD511" s="25">
        <f t="shared" si="70"/>
        <v>73963.149596590883</v>
      </c>
      <c r="AE511" s="25">
        <f t="shared" si="71"/>
        <v>69995.991016129003</v>
      </c>
      <c r="AF511" s="25">
        <f t="shared" si="72"/>
        <v>74043.831414772692</v>
      </c>
      <c r="AG511" s="25">
        <f t="shared" si="73"/>
        <v>79322.16054268289</v>
      </c>
      <c r="AH511" s="25">
        <f t="shared" si="74"/>
        <v>74010.649596590869</v>
      </c>
      <c r="AI511" s="25">
        <f t="shared" si="75"/>
        <v>70410.292091397831</v>
      </c>
    </row>
    <row r="512" spans="1:35" ht="15.75" customHeight="1">
      <c r="A512" s="12" t="s">
        <v>331</v>
      </c>
      <c r="B512" s="12" t="s">
        <v>334</v>
      </c>
      <c r="C512" s="12" t="s">
        <v>333</v>
      </c>
      <c r="D512" s="12" t="s">
        <v>33</v>
      </c>
      <c r="E512" s="12" t="s">
        <v>27</v>
      </c>
      <c r="F512" s="13">
        <v>48236.869500000001</v>
      </c>
      <c r="G512" s="14">
        <v>549295.68476500048</v>
      </c>
      <c r="H512" s="24" t="str">
        <f t="shared" si="68"/>
        <v>RJSP</v>
      </c>
      <c r="I512" s="24" t="str">
        <f t="shared" si="76"/>
        <v>RJMG</v>
      </c>
      <c r="J512" s="24" t="str">
        <f t="shared" si="76"/>
        <v>RJES</v>
      </c>
      <c r="K512" s="24" t="str">
        <f t="shared" si="76"/>
        <v>RJSC</v>
      </c>
      <c r="L512" s="24" t="str">
        <f t="shared" si="76"/>
        <v>RJRJ</v>
      </c>
      <c r="M512" s="24" t="str">
        <f t="shared" si="76"/>
        <v>RJPR</v>
      </c>
      <c r="N512" s="24" t="str">
        <f t="shared" si="76"/>
        <v>RJAM</v>
      </c>
      <c r="O512" s="24">
        <f>VLOOKUP(H512, KM!$A:$E, 5, 0)</f>
        <v>429</v>
      </c>
      <c r="P512" s="24">
        <f>VLOOKUP(I512, KM!$A:$E, 5, 0)</f>
        <v>434</v>
      </c>
      <c r="Q512" s="24">
        <f>VLOOKUP(J512, KM!$A:$E, 5, 0)</f>
        <v>521</v>
      </c>
      <c r="R512" s="24">
        <f>VLOOKUP(K512, KM!$A:$E, 5, 0)</f>
        <v>1144</v>
      </c>
      <c r="S512" s="24">
        <f>VLOOKUP(L512, KM!$A:$E, 5, 0)</f>
        <v>0</v>
      </c>
      <c r="T512" s="24">
        <f>VLOOKUP(M512, KM!$A:$E, 5, 0)</f>
        <v>852</v>
      </c>
      <c r="U512" s="24">
        <f>VLOOKUP(N512, KM!$A:$E, 5, 0)</f>
        <v>4374</v>
      </c>
      <c r="V512" s="24">
        <f>VLOOKUP(H512, IMPOSTO!$A:$D, 4, 0)</f>
        <v>0.12</v>
      </c>
      <c r="W512" s="24">
        <f>VLOOKUP(I512, IMPOSTO!$A:$D, 4, 0)</f>
        <v>0.12</v>
      </c>
      <c r="X512" s="24">
        <f>VLOOKUP(J512, IMPOSTO!$A:$D, 4, 0)</f>
        <v>7.0000000000000007E-2</v>
      </c>
      <c r="Y512" s="24">
        <f>VLOOKUP(K512, IMPOSTO!$A:$D, 4, 0)</f>
        <v>0.12</v>
      </c>
      <c r="Z512" s="24">
        <f>VLOOKUP(L512, IMPOSTO!$A:$D, 4, 0)</f>
        <v>0.18</v>
      </c>
      <c r="AA512" s="24">
        <f>VLOOKUP(M512, IMPOSTO!$A:$D, 4, 0)</f>
        <v>0.12</v>
      </c>
      <c r="AB512" s="24">
        <f>VLOOKUP(N512, IMPOSTO!$A:$D, 4, 0)</f>
        <v>7.0000000000000007E-2</v>
      </c>
      <c r="AC512" s="25">
        <f t="shared" si="69"/>
        <v>624248.39177840971</v>
      </c>
      <c r="AD512" s="25">
        <f t="shared" si="70"/>
        <v>624248.95996022783</v>
      </c>
      <c r="AE512" s="25">
        <f t="shared" si="71"/>
        <v>590696.54275806504</v>
      </c>
      <c r="AF512" s="25">
        <f t="shared" si="72"/>
        <v>624329.64177840971</v>
      </c>
      <c r="AG512" s="25">
        <f t="shared" si="73"/>
        <v>669872.78629878105</v>
      </c>
      <c r="AH512" s="25">
        <f t="shared" si="74"/>
        <v>624296.45996022772</v>
      </c>
      <c r="AI512" s="25">
        <f t="shared" si="75"/>
        <v>591110.84383333393</v>
      </c>
    </row>
    <row r="513" spans="1:35" ht="15.75" customHeight="1">
      <c r="A513" s="12" t="s">
        <v>546</v>
      </c>
      <c r="B513" s="12" t="s">
        <v>547</v>
      </c>
      <c r="C513" s="12" t="s">
        <v>333</v>
      </c>
      <c r="D513" s="12" t="s">
        <v>33</v>
      </c>
      <c r="E513" s="12" t="s">
        <v>27</v>
      </c>
      <c r="F513" s="13">
        <v>151</v>
      </c>
      <c r="G513" s="14">
        <v>1102.97</v>
      </c>
      <c r="H513" s="24" t="str">
        <f t="shared" si="68"/>
        <v>RJSP</v>
      </c>
      <c r="I513" s="24" t="str">
        <f t="shared" si="76"/>
        <v>RJMG</v>
      </c>
      <c r="J513" s="24" t="str">
        <f t="shared" si="76"/>
        <v>RJES</v>
      </c>
      <c r="K513" s="24" t="str">
        <f t="shared" si="76"/>
        <v>RJSC</v>
      </c>
      <c r="L513" s="24" t="str">
        <f t="shared" si="76"/>
        <v>RJRJ</v>
      </c>
      <c r="M513" s="24" t="str">
        <f t="shared" si="76"/>
        <v>RJPR</v>
      </c>
      <c r="N513" s="24" t="str">
        <f t="shared" si="76"/>
        <v>RJAM</v>
      </c>
      <c r="O513" s="24">
        <f>VLOOKUP(H513, KM!$A:$E, 5, 0)</f>
        <v>429</v>
      </c>
      <c r="P513" s="24">
        <f>VLOOKUP(I513, KM!$A:$E, 5, 0)</f>
        <v>434</v>
      </c>
      <c r="Q513" s="24">
        <f>VLOOKUP(J513, KM!$A:$E, 5, 0)</f>
        <v>521</v>
      </c>
      <c r="R513" s="24">
        <f>VLOOKUP(K513, KM!$A:$E, 5, 0)</f>
        <v>1144</v>
      </c>
      <c r="S513" s="24">
        <f>VLOOKUP(L513, KM!$A:$E, 5, 0)</f>
        <v>0</v>
      </c>
      <c r="T513" s="24">
        <f>VLOOKUP(M513, KM!$A:$E, 5, 0)</f>
        <v>852</v>
      </c>
      <c r="U513" s="24">
        <f>VLOOKUP(N513, KM!$A:$E, 5, 0)</f>
        <v>4374</v>
      </c>
      <c r="V513" s="24">
        <f>VLOOKUP(H513, IMPOSTO!$A:$D, 4, 0)</f>
        <v>0.12</v>
      </c>
      <c r="W513" s="24">
        <f>VLOOKUP(I513, IMPOSTO!$A:$D, 4, 0)</f>
        <v>0.12</v>
      </c>
      <c r="X513" s="24">
        <f>VLOOKUP(J513, IMPOSTO!$A:$D, 4, 0)</f>
        <v>7.0000000000000007E-2</v>
      </c>
      <c r="Y513" s="24">
        <f>VLOOKUP(K513, IMPOSTO!$A:$D, 4, 0)</f>
        <v>0.12</v>
      </c>
      <c r="Z513" s="24">
        <f>VLOOKUP(L513, IMPOSTO!$A:$D, 4, 0)</f>
        <v>0.18</v>
      </c>
      <c r="AA513" s="24">
        <f>VLOOKUP(M513, IMPOSTO!$A:$D, 4, 0)</f>
        <v>0.12</v>
      </c>
      <c r="AB513" s="24">
        <f>VLOOKUP(N513, IMPOSTO!$A:$D, 4, 0)</f>
        <v>7.0000000000000007E-2</v>
      </c>
      <c r="AC513" s="25">
        <f t="shared" si="69"/>
        <v>1302.1250000000002</v>
      </c>
      <c r="AD513" s="25">
        <f t="shared" si="70"/>
        <v>1302.693181818182</v>
      </c>
      <c r="AE513" s="25">
        <f t="shared" si="71"/>
        <v>1242.010752688172</v>
      </c>
      <c r="AF513" s="25">
        <f t="shared" si="72"/>
        <v>1383.3750000000002</v>
      </c>
      <c r="AG513" s="25">
        <f t="shared" si="73"/>
        <v>1345.0853658536585</v>
      </c>
      <c r="AH513" s="25">
        <f t="shared" si="74"/>
        <v>1350.193181818182</v>
      </c>
      <c r="AI513" s="25">
        <f t="shared" si="75"/>
        <v>1656.3118279569894</v>
      </c>
    </row>
    <row r="514" spans="1:35" ht="15.75" customHeight="1">
      <c r="A514" s="12" t="s">
        <v>335</v>
      </c>
      <c r="B514" s="12" t="s">
        <v>336</v>
      </c>
      <c r="C514" s="12" t="s">
        <v>337</v>
      </c>
      <c r="D514" s="12" t="s">
        <v>33</v>
      </c>
      <c r="E514" s="12" t="s">
        <v>27</v>
      </c>
      <c r="F514" s="13">
        <v>251</v>
      </c>
      <c r="G514" s="14">
        <v>6557.55</v>
      </c>
      <c r="H514" s="24" t="str">
        <f t="shared" si="68"/>
        <v>RJSP</v>
      </c>
      <c r="I514" s="24" t="str">
        <f t="shared" si="76"/>
        <v>RJMG</v>
      </c>
      <c r="J514" s="24" t="str">
        <f t="shared" si="76"/>
        <v>RJES</v>
      </c>
      <c r="K514" s="24" t="str">
        <f t="shared" si="76"/>
        <v>RJSC</v>
      </c>
      <c r="L514" s="24" t="str">
        <f t="shared" si="76"/>
        <v>RJRJ</v>
      </c>
      <c r="M514" s="24" t="str">
        <f t="shared" si="76"/>
        <v>RJPR</v>
      </c>
      <c r="N514" s="24" t="str">
        <f t="shared" si="76"/>
        <v>RJAM</v>
      </c>
      <c r="O514" s="24">
        <f>VLOOKUP(H514, KM!$A:$E, 5, 0)</f>
        <v>429</v>
      </c>
      <c r="P514" s="24">
        <f>VLOOKUP(I514, KM!$A:$E, 5, 0)</f>
        <v>434</v>
      </c>
      <c r="Q514" s="24">
        <f>VLOOKUP(J514, KM!$A:$E, 5, 0)</f>
        <v>521</v>
      </c>
      <c r="R514" s="24">
        <f>VLOOKUP(K514, KM!$A:$E, 5, 0)</f>
        <v>1144</v>
      </c>
      <c r="S514" s="24">
        <f>VLOOKUP(L514, KM!$A:$E, 5, 0)</f>
        <v>0</v>
      </c>
      <c r="T514" s="24">
        <f>VLOOKUP(M514, KM!$A:$E, 5, 0)</f>
        <v>852</v>
      </c>
      <c r="U514" s="24">
        <f>VLOOKUP(N514, KM!$A:$E, 5, 0)</f>
        <v>4374</v>
      </c>
      <c r="V514" s="24">
        <f>VLOOKUP(H514, IMPOSTO!$A:$D, 4, 0)</f>
        <v>0.12</v>
      </c>
      <c r="W514" s="24">
        <f>VLOOKUP(I514, IMPOSTO!$A:$D, 4, 0)</f>
        <v>0.12</v>
      </c>
      <c r="X514" s="24">
        <f>VLOOKUP(J514, IMPOSTO!$A:$D, 4, 0)</f>
        <v>7.0000000000000007E-2</v>
      </c>
      <c r="Y514" s="24">
        <f>VLOOKUP(K514, IMPOSTO!$A:$D, 4, 0)</f>
        <v>0.12</v>
      </c>
      <c r="Z514" s="24">
        <f>VLOOKUP(L514, IMPOSTO!$A:$D, 4, 0)</f>
        <v>0.18</v>
      </c>
      <c r="AA514" s="24">
        <f>VLOOKUP(M514, IMPOSTO!$A:$D, 4, 0)</f>
        <v>0.12</v>
      </c>
      <c r="AB514" s="24">
        <f>VLOOKUP(N514, IMPOSTO!$A:$D, 4, 0)</f>
        <v>7.0000000000000007E-2</v>
      </c>
      <c r="AC514" s="25">
        <f t="shared" si="69"/>
        <v>7500.5113636363631</v>
      </c>
      <c r="AD514" s="25">
        <f t="shared" si="70"/>
        <v>7501.079545454545</v>
      </c>
      <c r="AE514" s="25">
        <f t="shared" si="71"/>
        <v>7107.1505376344094</v>
      </c>
      <c r="AF514" s="25">
        <f t="shared" si="72"/>
        <v>7581.7613636363631</v>
      </c>
      <c r="AG514" s="25">
        <f t="shared" si="73"/>
        <v>7997.0121951219508</v>
      </c>
      <c r="AH514" s="25">
        <f t="shared" si="74"/>
        <v>7548.579545454545</v>
      </c>
      <c r="AI514" s="25">
        <f t="shared" si="75"/>
        <v>7521.4516129032263</v>
      </c>
    </row>
    <row r="515" spans="1:35" ht="15.75" customHeight="1">
      <c r="A515" s="12" t="s">
        <v>548</v>
      </c>
      <c r="B515" s="12" t="s">
        <v>549</v>
      </c>
      <c r="C515" s="12" t="s">
        <v>262</v>
      </c>
      <c r="D515" s="12" t="s">
        <v>33</v>
      </c>
      <c r="E515" s="12" t="s">
        <v>27</v>
      </c>
      <c r="F515" s="13">
        <v>295</v>
      </c>
      <c r="G515" s="14">
        <v>7707.1499999999987</v>
      </c>
      <c r="H515" s="24" t="str">
        <f t="shared" si="68"/>
        <v>RJSP</v>
      </c>
      <c r="I515" s="24" t="str">
        <f t="shared" si="76"/>
        <v>RJMG</v>
      </c>
      <c r="J515" s="24" t="str">
        <f t="shared" si="76"/>
        <v>RJES</v>
      </c>
      <c r="K515" s="24" t="str">
        <f t="shared" si="76"/>
        <v>RJSC</v>
      </c>
      <c r="L515" s="24" t="str">
        <f t="shared" si="76"/>
        <v>RJRJ</v>
      </c>
      <c r="M515" s="24" t="str">
        <f t="shared" si="76"/>
        <v>RJPR</v>
      </c>
      <c r="N515" s="24" t="str">
        <f t="shared" si="76"/>
        <v>RJAM</v>
      </c>
      <c r="O515" s="24">
        <f>VLOOKUP(H515, KM!$A:$E, 5, 0)</f>
        <v>429</v>
      </c>
      <c r="P515" s="24">
        <f>VLOOKUP(I515, KM!$A:$E, 5, 0)</f>
        <v>434</v>
      </c>
      <c r="Q515" s="24">
        <f>VLOOKUP(J515, KM!$A:$E, 5, 0)</f>
        <v>521</v>
      </c>
      <c r="R515" s="24">
        <f>VLOOKUP(K515, KM!$A:$E, 5, 0)</f>
        <v>1144</v>
      </c>
      <c r="S515" s="24">
        <f>VLOOKUP(L515, KM!$A:$E, 5, 0)</f>
        <v>0</v>
      </c>
      <c r="T515" s="24">
        <f>VLOOKUP(M515, KM!$A:$E, 5, 0)</f>
        <v>852</v>
      </c>
      <c r="U515" s="24">
        <f>VLOOKUP(N515, KM!$A:$E, 5, 0)</f>
        <v>4374</v>
      </c>
      <c r="V515" s="24">
        <f>VLOOKUP(H515, IMPOSTO!$A:$D, 4, 0)</f>
        <v>0.12</v>
      </c>
      <c r="W515" s="24">
        <f>VLOOKUP(I515, IMPOSTO!$A:$D, 4, 0)</f>
        <v>0.12</v>
      </c>
      <c r="X515" s="24">
        <f>VLOOKUP(J515, IMPOSTO!$A:$D, 4, 0)</f>
        <v>7.0000000000000007E-2</v>
      </c>
      <c r="Y515" s="24">
        <f>VLOOKUP(K515, IMPOSTO!$A:$D, 4, 0)</f>
        <v>0.12</v>
      </c>
      <c r="Z515" s="24">
        <f>VLOOKUP(L515, IMPOSTO!$A:$D, 4, 0)</f>
        <v>0.18</v>
      </c>
      <c r="AA515" s="24">
        <f>VLOOKUP(M515, IMPOSTO!$A:$D, 4, 0)</f>
        <v>0.12</v>
      </c>
      <c r="AB515" s="24">
        <f>VLOOKUP(N515, IMPOSTO!$A:$D, 4, 0)</f>
        <v>7.0000000000000007E-2</v>
      </c>
      <c r="AC515" s="25">
        <f t="shared" si="69"/>
        <v>8806.8749999999982</v>
      </c>
      <c r="AD515" s="25">
        <f t="shared" si="70"/>
        <v>8807.4431818181802</v>
      </c>
      <c r="AE515" s="25">
        <f t="shared" si="71"/>
        <v>8343.2795698924729</v>
      </c>
      <c r="AF515" s="25">
        <f t="shared" si="72"/>
        <v>8888.1249999999982</v>
      </c>
      <c r="AG515" s="25">
        <f t="shared" si="73"/>
        <v>9398.9634146341432</v>
      </c>
      <c r="AH515" s="25">
        <f t="shared" si="74"/>
        <v>8854.9431818181802</v>
      </c>
      <c r="AI515" s="25">
        <f t="shared" si="75"/>
        <v>8757.5806451612898</v>
      </c>
    </row>
    <row r="516" spans="1:35" ht="15.75" customHeight="1">
      <c r="A516" s="12" t="s">
        <v>340</v>
      </c>
      <c r="B516" s="12" t="s">
        <v>341</v>
      </c>
      <c r="C516" s="12" t="s">
        <v>299</v>
      </c>
      <c r="D516" s="12" t="s">
        <v>33</v>
      </c>
      <c r="E516" s="12" t="s">
        <v>27</v>
      </c>
      <c r="F516" s="13">
        <v>324</v>
      </c>
      <c r="G516" s="14">
        <v>10324.86</v>
      </c>
      <c r="H516" s="24" t="str">
        <f t="shared" si="68"/>
        <v>RJSP</v>
      </c>
      <c r="I516" s="24" t="str">
        <f t="shared" si="76"/>
        <v>RJMG</v>
      </c>
      <c r="J516" s="24" t="str">
        <f t="shared" si="76"/>
        <v>RJES</v>
      </c>
      <c r="K516" s="24" t="str">
        <f t="shared" si="76"/>
        <v>RJSC</v>
      </c>
      <c r="L516" s="24" t="str">
        <f t="shared" si="76"/>
        <v>RJRJ</v>
      </c>
      <c r="M516" s="24" t="str">
        <f t="shared" si="76"/>
        <v>RJPR</v>
      </c>
      <c r="N516" s="24" t="str">
        <f t="shared" si="76"/>
        <v>RJAM</v>
      </c>
      <c r="O516" s="24">
        <f>VLOOKUP(H516, KM!$A:$E, 5, 0)</f>
        <v>429</v>
      </c>
      <c r="P516" s="24">
        <f>VLOOKUP(I516, KM!$A:$E, 5, 0)</f>
        <v>434</v>
      </c>
      <c r="Q516" s="24">
        <f>VLOOKUP(J516, KM!$A:$E, 5, 0)</f>
        <v>521</v>
      </c>
      <c r="R516" s="24">
        <f>VLOOKUP(K516, KM!$A:$E, 5, 0)</f>
        <v>1144</v>
      </c>
      <c r="S516" s="24">
        <f>VLOOKUP(L516, KM!$A:$E, 5, 0)</f>
        <v>0</v>
      </c>
      <c r="T516" s="24">
        <f>VLOOKUP(M516, KM!$A:$E, 5, 0)</f>
        <v>852</v>
      </c>
      <c r="U516" s="24">
        <f>VLOOKUP(N516, KM!$A:$E, 5, 0)</f>
        <v>4374</v>
      </c>
      <c r="V516" s="24">
        <f>VLOOKUP(H516, IMPOSTO!$A:$D, 4, 0)</f>
        <v>0.12</v>
      </c>
      <c r="W516" s="24">
        <f>VLOOKUP(I516, IMPOSTO!$A:$D, 4, 0)</f>
        <v>0.12</v>
      </c>
      <c r="X516" s="24">
        <f>VLOOKUP(J516, IMPOSTO!$A:$D, 4, 0)</f>
        <v>7.0000000000000007E-2</v>
      </c>
      <c r="Y516" s="24">
        <f>VLOOKUP(K516, IMPOSTO!$A:$D, 4, 0)</f>
        <v>0.12</v>
      </c>
      <c r="Z516" s="24">
        <f>VLOOKUP(L516, IMPOSTO!$A:$D, 4, 0)</f>
        <v>0.18</v>
      </c>
      <c r="AA516" s="24">
        <f>VLOOKUP(M516, IMPOSTO!$A:$D, 4, 0)</f>
        <v>0.12</v>
      </c>
      <c r="AB516" s="24">
        <f>VLOOKUP(N516, IMPOSTO!$A:$D, 4, 0)</f>
        <v>7.0000000000000007E-2</v>
      </c>
      <c r="AC516" s="25">
        <f t="shared" si="69"/>
        <v>11781.545454545454</v>
      </c>
      <c r="AD516" s="25">
        <f t="shared" si="70"/>
        <v>11782.113636363636</v>
      </c>
      <c r="AE516" s="25">
        <f t="shared" si="71"/>
        <v>11158.021505376346</v>
      </c>
      <c r="AF516" s="25">
        <f t="shared" si="72"/>
        <v>11862.795454545454</v>
      </c>
      <c r="AG516" s="25">
        <f t="shared" si="73"/>
        <v>12591.292682926829</v>
      </c>
      <c r="AH516" s="25">
        <f t="shared" si="74"/>
        <v>11829.613636363638</v>
      </c>
      <c r="AI516" s="25">
        <f t="shared" si="75"/>
        <v>11572.322580645163</v>
      </c>
    </row>
    <row r="517" spans="1:35" ht="15.75" customHeight="1">
      <c r="A517" s="12" t="s">
        <v>498</v>
      </c>
      <c r="B517" s="12" t="s">
        <v>499</v>
      </c>
      <c r="C517" s="12" t="s">
        <v>232</v>
      </c>
      <c r="D517" s="12" t="s">
        <v>33</v>
      </c>
      <c r="E517" s="12" t="s">
        <v>27</v>
      </c>
      <c r="F517" s="13">
        <v>16075.784199999993</v>
      </c>
      <c r="G517" s="14">
        <v>327137.77935600019</v>
      </c>
      <c r="H517" s="24" t="str">
        <f t="shared" ref="H517:H580" si="77">$E517 &amp; H$17</f>
        <v>RJSP</v>
      </c>
      <c r="I517" s="24" t="str">
        <f t="shared" si="76"/>
        <v>RJMG</v>
      </c>
      <c r="J517" s="24" t="str">
        <f t="shared" si="76"/>
        <v>RJES</v>
      </c>
      <c r="K517" s="24" t="str">
        <f t="shared" si="76"/>
        <v>RJSC</v>
      </c>
      <c r="L517" s="24" t="str">
        <f t="shared" si="76"/>
        <v>RJRJ</v>
      </c>
      <c r="M517" s="24" t="str">
        <f t="shared" si="76"/>
        <v>RJPR</v>
      </c>
      <c r="N517" s="24" t="str">
        <f t="shared" si="76"/>
        <v>RJAM</v>
      </c>
      <c r="O517" s="24">
        <f>VLOOKUP(H517, KM!$A:$E, 5, 0)</f>
        <v>429</v>
      </c>
      <c r="P517" s="24">
        <f>VLOOKUP(I517, KM!$A:$E, 5, 0)</f>
        <v>434</v>
      </c>
      <c r="Q517" s="24">
        <f>VLOOKUP(J517, KM!$A:$E, 5, 0)</f>
        <v>521</v>
      </c>
      <c r="R517" s="24">
        <f>VLOOKUP(K517, KM!$A:$E, 5, 0)</f>
        <v>1144</v>
      </c>
      <c r="S517" s="24">
        <f>VLOOKUP(L517, KM!$A:$E, 5, 0)</f>
        <v>0</v>
      </c>
      <c r="T517" s="24">
        <f>VLOOKUP(M517, KM!$A:$E, 5, 0)</f>
        <v>852</v>
      </c>
      <c r="U517" s="24">
        <f>VLOOKUP(N517, KM!$A:$E, 5, 0)</f>
        <v>4374</v>
      </c>
      <c r="V517" s="24">
        <f>VLOOKUP(H517, IMPOSTO!$A:$D, 4, 0)</f>
        <v>0.12</v>
      </c>
      <c r="W517" s="24">
        <f>VLOOKUP(I517, IMPOSTO!$A:$D, 4, 0)</f>
        <v>0.12</v>
      </c>
      <c r="X517" s="24">
        <f>VLOOKUP(J517, IMPOSTO!$A:$D, 4, 0)</f>
        <v>7.0000000000000007E-2</v>
      </c>
      <c r="Y517" s="24">
        <f>VLOOKUP(K517, IMPOSTO!$A:$D, 4, 0)</f>
        <v>0.12</v>
      </c>
      <c r="Z517" s="24">
        <f>VLOOKUP(L517, IMPOSTO!$A:$D, 4, 0)</f>
        <v>0.18</v>
      </c>
      <c r="AA517" s="24">
        <f>VLOOKUP(M517, IMPOSTO!$A:$D, 4, 0)</f>
        <v>0.12</v>
      </c>
      <c r="AB517" s="24">
        <f>VLOOKUP(N517, IMPOSTO!$A:$D, 4, 0)</f>
        <v>7.0000000000000007E-2</v>
      </c>
      <c r="AC517" s="25">
        <f t="shared" si="69"/>
        <v>371796.22654090932</v>
      </c>
      <c r="AD517" s="25">
        <f t="shared" si="70"/>
        <v>371796.7947227275</v>
      </c>
      <c r="AE517" s="25">
        <f t="shared" si="71"/>
        <v>351817.07457634428</v>
      </c>
      <c r="AF517" s="25">
        <f t="shared" si="72"/>
        <v>371877.47654090932</v>
      </c>
      <c r="AG517" s="25">
        <f t="shared" si="73"/>
        <v>398948.51140975632</v>
      </c>
      <c r="AH517" s="25">
        <f t="shared" si="74"/>
        <v>371844.2947227275</v>
      </c>
      <c r="AI517" s="25">
        <f t="shared" si="75"/>
        <v>352231.37565161317</v>
      </c>
    </row>
    <row r="518" spans="1:35" ht="15.75" customHeight="1">
      <c r="A518" s="12" t="s">
        <v>512</v>
      </c>
      <c r="B518" s="12" t="s">
        <v>513</v>
      </c>
      <c r="C518" s="12" t="s">
        <v>278</v>
      </c>
      <c r="D518" s="12" t="s">
        <v>33</v>
      </c>
      <c r="E518" s="12" t="s">
        <v>27</v>
      </c>
      <c r="F518" s="13">
        <v>269</v>
      </c>
      <c r="G518" s="14">
        <v>9229.06</v>
      </c>
      <c r="H518" s="24" t="str">
        <f t="shared" si="77"/>
        <v>RJSP</v>
      </c>
      <c r="I518" s="24" t="str">
        <f t="shared" si="76"/>
        <v>RJMG</v>
      </c>
      <c r="J518" s="24" t="str">
        <f t="shared" si="76"/>
        <v>RJES</v>
      </c>
      <c r="K518" s="24" t="str">
        <f t="shared" si="76"/>
        <v>RJSC</v>
      </c>
      <c r="L518" s="24" t="str">
        <f t="shared" si="76"/>
        <v>RJRJ</v>
      </c>
      <c r="M518" s="24" t="str">
        <f t="shared" si="76"/>
        <v>RJPR</v>
      </c>
      <c r="N518" s="24" t="str">
        <f t="shared" si="76"/>
        <v>RJAM</v>
      </c>
      <c r="O518" s="24">
        <f>VLOOKUP(H518, KM!$A:$E, 5, 0)</f>
        <v>429</v>
      </c>
      <c r="P518" s="24">
        <f>VLOOKUP(I518, KM!$A:$E, 5, 0)</f>
        <v>434</v>
      </c>
      <c r="Q518" s="24">
        <f>VLOOKUP(J518, KM!$A:$E, 5, 0)</f>
        <v>521</v>
      </c>
      <c r="R518" s="24">
        <f>VLOOKUP(K518, KM!$A:$E, 5, 0)</f>
        <v>1144</v>
      </c>
      <c r="S518" s="24">
        <f>VLOOKUP(L518, KM!$A:$E, 5, 0)</f>
        <v>0</v>
      </c>
      <c r="T518" s="24">
        <f>VLOOKUP(M518, KM!$A:$E, 5, 0)</f>
        <v>852</v>
      </c>
      <c r="U518" s="24">
        <f>VLOOKUP(N518, KM!$A:$E, 5, 0)</f>
        <v>4374</v>
      </c>
      <c r="V518" s="24">
        <f>VLOOKUP(H518, IMPOSTO!$A:$D, 4, 0)</f>
        <v>0.12</v>
      </c>
      <c r="W518" s="24">
        <f>VLOOKUP(I518, IMPOSTO!$A:$D, 4, 0)</f>
        <v>0.12</v>
      </c>
      <c r="X518" s="24">
        <f>VLOOKUP(J518, IMPOSTO!$A:$D, 4, 0)</f>
        <v>7.0000000000000007E-2</v>
      </c>
      <c r="Y518" s="24">
        <f>VLOOKUP(K518, IMPOSTO!$A:$D, 4, 0)</f>
        <v>0.12</v>
      </c>
      <c r="Z518" s="24">
        <f>VLOOKUP(L518, IMPOSTO!$A:$D, 4, 0)</f>
        <v>0.18</v>
      </c>
      <c r="AA518" s="24">
        <f>VLOOKUP(M518, IMPOSTO!$A:$D, 4, 0)</f>
        <v>0.12</v>
      </c>
      <c r="AB518" s="24">
        <f>VLOOKUP(N518, IMPOSTO!$A:$D, 4, 0)</f>
        <v>7.0000000000000007E-2</v>
      </c>
      <c r="AC518" s="25">
        <f t="shared" si="69"/>
        <v>10536.31818181818</v>
      </c>
      <c r="AD518" s="25">
        <f t="shared" si="70"/>
        <v>10536.886363636362</v>
      </c>
      <c r="AE518" s="25">
        <f t="shared" si="71"/>
        <v>9979.7419354838712</v>
      </c>
      <c r="AF518" s="25">
        <f t="shared" si="72"/>
        <v>10617.56818181818</v>
      </c>
      <c r="AG518" s="25">
        <f t="shared" si="73"/>
        <v>11254.951219512193</v>
      </c>
      <c r="AH518" s="25">
        <f t="shared" si="74"/>
        <v>10584.386363636364</v>
      </c>
      <c r="AI518" s="25">
        <f t="shared" si="75"/>
        <v>10394.043010752688</v>
      </c>
    </row>
    <row r="519" spans="1:35" ht="15.75" customHeight="1">
      <c r="A519" s="12" t="s">
        <v>550</v>
      </c>
      <c r="B519" s="12" t="s">
        <v>551</v>
      </c>
      <c r="C519" s="12" t="s">
        <v>333</v>
      </c>
      <c r="D519" s="12" t="s">
        <v>33</v>
      </c>
      <c r="E519" s="12" t="s">
        <v>27</v>
      </c>
      <c r="F519" s="13">
        <v>1680</v>
      </c>
      <c r="G519" s="14">
        <v>12717.16</v>
      </c>
      <c r="H519" s="24" t="str">
        <f t="shared" si="77"/>
        <v>RJSP</v>
      </c>
      <c r="I519" s="24" t="str">
        <f t="shared" si="76"/>
        <v>RJMG</v>
      </c>
      <c r="J519" s="24" t="str">
        <f t="shared" si="76"/>
        <v>RJES</v>
      </c>
      <c r="K519" s="24" t="str">
        <f t="shared" si="76"/>
        <v>RJSC</v>
      </c>
      <c r="L519" s="24" t="str">
        <f t="shared" si="76"/>
        <v>RJRJ</v>
      </c>
      <c r="M519" s="24" t="str">
        <f t="shared" si="76"/>
        <v>RJPR</v>
      </c>
      <c r="N519" s="24" t="str">
        <f t="shared" si="76"/>
        <v>RJAM</v>
      </c>
      <c r="O519" s="24">
        <f>VLOOKUP(H519, KM!$A:$E, 5, 0)</f>
        <v>429</v>
      </c>
      <c r="P519" s="24">
        <f>VLOOKUP(I519, KM!$A:$E, 5, 0)</f>
        <v>434</v>
      </c>
      <c r="Q519" s="24">
        <f>VLOOKUP(J519, KM!$A:$E, 5, 0)</f>
        <v>521</v>
      </c>
      <c r="R519" s="24">
        <f>VLOOKUP(K519, KM!$A:$E, 5, 0)</f>
        <v>1144</v>
      </c>
      <c r="S519" s="24">
        <f>VLOOKUP(L519, KM!$A:$E, 5, 0)</f>
        <v>0</v>
      </c>
      <c r="T519" s="24">
        <f>VLOOKUP(M519, KM!$A:$E, 5, 0)</f>
        <v>852</v>
      </c>
      <c r="U519" s="24">
        <f>VLOOKUP(N519, KM!$A:$E, 5, 0)</f>
        <v>4374</v>
      </c>
      <c r="V519" s="24">
        <f>VLOOKUP(H519, IMPOSTO!$A:$D, 4, 0)</f>
        <v>0.12</v>
      </c>
      <c r="W519" s="24">
        <f>VLOOKUP(I519, IMPOSTO!$A:$D, 4, 0)</f>
        <v>0.12</v>
      </c>
      <c r="X519" s="24">
        <f>VLOOKUP(J519, IMPOSTO!$A:$D, 4, 0)</f>
        <v>7.0000000000000007E-2</v>
      </c>
      <c r="Y519" s="24">
        <f>VLOOKUP(K519, IMPOSTO!$A:$D, 4, 0)</f>
        <v>0.12</v>
      </c>
      <c r="Z519" s="24">
        <f>VLOOKUP(L519, IMPOSTO!$A:$D, 4, 0)</f>
        <v>0.18</v>
      </c>
      <c r="AA519" s="24">
        <f>VLOOKUP(M519, IMPOSTO!$A:$D, 4, 0)</f>
        <v>0.12</v>
      </c>
      <c r="AB519" s="24">
        <f>VLOOKUP(N519, IMPOSTO!$A:$D, 4, 0)</f>
        <v>7.0000000000000007E-2</v>
      </c>
      <c r="AC519" s="25">
        <f t="shared" si="69"/>
        <v>14500.068181818182</v>
      </c>
      <c r="AD519" s="25">
        <f t="shared" si="70"/>
        <v>14500.636363636362</v>
      </c>
      <c r="AE519" s="25">
        <f t="shared" si="71"/>
        <v>13730.387096774195</v>
      </c>
      <c r="AF519" s="25">
        <f t="shared" si="72"/>
        <v>14581.318181818182</v>
      </c>
      <c r="AG519" s="25">
        <f t="shared" si="73"/>
        <v>15508.731707317073</v>
      </c>
      <c r="AH519" s="25">
        <f t="shared" si="74"/>
        <v>14548.136363636364</v>
      </c>
      <c r="AI519" s="25">
        <f t="shared" si="75"/>
        <v>14144.688172043012</v>
      </c>
    </row>
    <row r="520" spans="1:35" ht="15.75" customHeight="1">
      <c r="A520" s="12" t="s">
        <v>552</v>
      </c>
      <c r="B520" s="12" t="s">
        <v>553</v>
      </c>
      <c r="C520" s="12" t="s">
        <v>163</v>
      </c>
      <c r="D520" s="12" t="s">
        <v>33</v>
      </c>
      <c r="E520" s="12" t="s">
        <v>27</v>
      </c>
      <c r="F520" s="13">
        <v>266.06978879706151</v>
      </c>
      <c r="G520" s="14">
        <v>3377.303183348638</v>
      </c>
      <c r="H520" s="24" t="str">
        <f t="shared" si="77"/>
        <v>RJSP</v>
      </c>
      <c r="I520" s="24" t="str">
        <f t="shared" si="76"/>
        <v>RJMG</v>
      </c>
      <c r="J520" s="24" t="str">
        <f t="shared" si="76"/>
        <v>RJES</v>
      </c>
      <c r="K520" s="24" t="str">
        <f t="shared" si="76"/>
        <v>RJSC</v>
      </c>
      <c r="L520" s="24" t="str">
        <f t="shared" si="76"/>
        <v>RJRJ</v>
      </c>
      <c r="M520" s="24" t="str">
        <f t="shared" si="76"/>
        <v>RJPR</v>
      </c>
      <c r="N520" s="24" t="str">
        <f t="shared" si="76"/>
        <v>RJAM</v>
      </c>
      <c r="O520" s="24">
        <f>VLOOKUP(H520, KM!$A:$E, 5, 0)</f>
        <v>429</v>
      </c>
      <c r="P520" s="24">
        <f>VLOOKUP(I520, KM!$A:$E, 5, 0)</f>
        <v>434</v>
      </c>
      <c r="Q520" s="24">
        <f>VLOOKUP(J520, KM!$A:$E, 5, 0)</f>
        <v>521</v>
      </c>
      <c r="R520" s="24">
        <f>VLOOKUP(K520, KM!$A:$E, 5, 0)</f>
        <v>1144</v>
      </c>
      <c r="S520" s="24">
        <f>VLOOKUP(L520, KM!$A:$E, 5, 0)</f>
        <v>0</v>
      </c>
      <c r="T520" s="24">
        <f>VLOOKUP(M520, KM!$A:$E, 5, 0)</f>
        <v>852</v>
      </c>
      <c r="U520" s="24">
        <f>VLOOKUP(N520, KM!$A:$E, 5, 0)</f>
        <v>4374</v>
      </c>
      <c r="V520" s="24">
        <f>VLOOKUP(H520, IMPOSTO!$A:$D, 4, 0)</f>
        <v>0.12</v>
      </c>
      <c r="W520" s="24">
        <f>VLOOKUP(I520, IMPOSTO!$A:$D, 4, 0)</f>
        <v>0.12</v>
      </c>
      <c r="X520" s="24">
        <f>VLOOKUP(J520, IMPOSTO!$A:$D, 4, 0)</f>
        <v>7.0000000000000007E-2</v>
      </c>
      <c r="Y520" s="24">
        <f>VLOOKUP(K520, IMPOSTO!$A:$D, 4, 0)</f>
        <v>0.12</v>
      </c>
      <c r="Z520" s="24">
        <f>VLOOKUP(L520, IMPOSTO!$A:$D, 4, 0)</f>
        <v>0.18</v>
      </c>
      <c r="AA520" s="24">
        <f>VLOOKUP(M520, IMPOSTO!$A:$D, 4, 0)</f>
        <v>0.12</v>
      </c>
      <c r="AB520" s="24">
        <f>VLOOKUP(N520, IMPOSTO!$A:$D, 4, 0)</f>
        <v>7.0000000000000007E-2</v>
      </c>
      <c r="AC520" s="25">
        <f t="shared" si="69"/>
        <v>3886.5945265325431</v>
      </c>
      <c r="AD520" s="25">
        <f t="shared" si="70"/>
        <v>3887.1627083507251</v>
      </c>
      <c r="AE520" s="25">
        <f t="shared" si="71"/>
        <v>3687.530304675955</v>
      </c>
      <c r="AF520" s="25">
        <f t="shared" si="72"/>
        <v>3967.8445265325431</v>
      </c>
      <c r="AG520" s="25">
        <f t="shared" si="73"/>
        <v>4118.6624187178504</v>
      </c>
      <c r="AH520" s="25">
        <f t="shared" si="74"/>
        <v>3934.6627083507246</v>
      </c>
      <c r="AI520" s="25">
        <f t="shared" si="75"/>
        <v>4101.8313799447724</v>
      </c>
    </row>
    <row r="521" spans="1:35" ht="15.75" customHeight="1">
      <c r="A521" s="12" t="s">
        <v>552</v>
      </c>
      <c r="B521" s="12" t="s">
        <v>553</v>
      </c>
      <c r="C521" s="12" t="s">
        <v>163</v>
      </c>
      <c r="D521" s="12" t="s">
        <v>33</v>
      </c>
      <c r="E521" s="12" t="s">
        <v>27</v>
      </c>
      <c r="F521" s="13">
        <v>18.67156412610958</v>
      </c>
      <c r="G521" s="14">
        <v>235.56045301499844</v>
      </c>
      <c r="H521" s="24" t="str">
        <f t="shared" si="77"/>
        <v>RJSP</v>
      </c>
      <c r="I521" s="24" t="str">
        <f t="shared" si="76"/>
        <v>RJMG</v>
      </c>
      <c r="J521" s="24" t="str">
        <f t="shared" si="76"/>
        <v>RJES</v>
      </c>
      <c r="K521" s="24" t="str">
        <f t="shared" si="76"/>
        <v>RJSC</v>
      </c>
      <c r="L521" s="24" t="str">
        <f t="shared" si="76"/>
        <v>RJRJ</v>
      </c>
      <c r="M521" s="24" t="str">
        <f t="shared" si="76"/>
        <v>RJPR</v>
      </c>
      <c r="N521" s="24" t="str">
        <f t="shared" si="76"/>
        <v>RJAM</v>
      </c>
      <c r="O521" s="24">
        <f>VLOOKUP(H521, KM!$A:$E, 5, 0)</f>
        <v>429</v>
      </c>
      <c r="P521" s="24">
        <f>VLOOKUP(I521, KM!$A:$E, 5, 0)</f>
        <v>434</v>
      </c>
      <c r="Q521" s="24">
        <f>VLOOKUP(J521, KM!$A:$E, 5, 0)</f>
        <v>521</v>
      </c>
      <c r="R521" s="24">
        <f>VLOOKUP(K521, KM!$A:$E, 5, 0)</f>
        <v>1144</v>
      </c>
      <c r="S521" s="24">
        <f>VLOOKUP(L521, KM!$A:$E, 5, 0)</f>
        <v>0</v>
      </c>
      <c r="T521" s="24">
        <f>VLOOKUP(M521, KM!$A:$E, 5, 0)</f>
        <v>852</v>
      </c>
      <c r="U521" s="24">
        <f>VLOOKUP(N521, KM!$A:$E, 5, 0)</f>
        <v>4374</v>
      </c>
      <c r="V521" s="24">
        <f>VLOOKUP(H521, IMPOSTO!$A:$D, 4, 0)</f>
        <v>0.12</v>
      </c>
      <c r="W521" s="24">
        <f>VLOOKUP(I521, IMPOSTO!$A:$D, 4, 0)</f>
        <v>0.12</v>
      </c>
      <c r="X521" s="24">
        <f>VLOOKUP(J521, IMPOSTO!$A:$D, 4, 0)</f>
        <v>7.0000000000000007E-2</v>
      </c>
      <c r="Y521" s="24">
        <f>VLOOKUP(K521, IMPOSTO!$A:$D, 4, 0)</f>
        <v>0.12</v>
      </c>
      <c r="Z521" s="24">
        <f>VLOOKUP(L521, IMPOSTO!$A:$D, 4, 0)</f>
        <v>0.18</v>
      </c>
      <c r="AA521" s="24">
        <f>VLOOKUP(M521, IMPOSTO!$A:$D, 4, 0)</f>
        <v>0.12</v>
      </c>
      <c r="AB521" s="24">
        <f>VLOOKUP(N521, IMPOSTO!$A:$D, 4, 0)</f>
        <v>7.0000000000000007E-2</v>
      </c>
      <c r="AC521" s="25">
        <f t="shared" si="69"/>
        <v>316.43233297158912</v>
      </c>
      <c r="AD521" s="25">
        <f t="shared" si="70"/>
        <v>317.00051478977099</v>
      </c>
      <c r="AE521" s="25">
        <f t="shared" si="71"/>
        <v>309.31231506989081</v>
      </c>
      <c r="AF521" s="25">
        <f t="shared" si="72"/>
        <v>397.68233297158912</v>
      </c>
      <c r="AG521" s="25">
        <f t="shared" si="73"/>
        <v>287.26884514024198</v>
      </c>
      <c r="AH521" s="25">
        <f t="shared" si="74"/>
        <v>364.50051478977099</v>
      </c>
      <c r="AI521" s="25">
        <f t="shared" si="75"/>
        <v>723.61339033870809</v>
      </c>
    </row>
    <row r="522" spans="1:35" ht="15.75" customHeight="1">
      <c r="A522" s="12" t="s">
        <v>552</v>
      </c>
      <c r="B522" s="12" t="s">
        <v>553</v>
      </c>
      <c r="C522" s="12" t="s">
        <v>163</v>
      </c>
      <c r="D522" s="12" t="s">
        <v>33</v>
      </c>
      <c r="E522" s="12" t="s">
        <v>27</v>
      </c>
      <c r="F522" s="13">
        <v>462.12121212121212</v>
      </c>
      <c r="G522" s="14">
        <v>5818.9369452096726</v>
      </c>
      <c r="H522" s="24" t="str">
        <f t="shared" si="77"/>
        <v>RJSP</v>
      </c>
      <c r="I522" s="24" t="str">
        <f t="shared" si="76"/>
        <v>RJMG</v>
      </c>
      <c r="J522" s="24" t="str">
        <f t="shared" si="76"/>
        <v>RJES</v>
      </c>
      <c r="K522" s="24" t="str">
        <f t="shared" si="76"/>
        <v>RJSC</v>
      </c>
      <c r="L522" s="24" t="str">
        <f t="shared" si="76"/>
        <v>RJRJ</v>
      </c>
      <c r="M522" s="24" t="str">
        <f t="shared" si="76"/>
        <v>RJPR</v>
      </c>
      <c r="N522" s="24" t="str">
        <f t="shared" si="76"/>
        <v>RJAM</v>
      </c>
      <c r="O522" s="24">
        <f>VLOOKUP(H522, KM!$A:$E, 5, 0)</f>
        <v>429</v>
      </c>
      <c r="P522" s="24">
        <f>VLOOKUP(I522, KM!$A:$E, 5, 0)</f>
        <v>434</v>
      </c>
      <c r="Q522" s="24">
        <f>VLOOKUP(J522, KM!$A:$E, 5, 0)</f>
        <v>521</v>
      </c>
      <c r="R522" s="24">
        <f>VLOOKUP(K522, KM!$A:$E, 5, 0)</f>
        <v>1144</v>
      </c>
      <c r="S522" s="24">
        <f>VLOOKUP(L522, KM!$A:$E, 5, 0)</f>
        <v>0</v>
      </c>
      <c r="T522" s="24">
        <f>VLOOKUP(M522, KM!$A:$E, 5, 0)</f>
        <v>852</v>
      </c>
      <c r="U522" s="24">
        <f>VLOOKUP(N522, KM!$A:$E, 5, 0)</f>
        <v>4374</v>
      </c>
      <c r="V522" s="24">
        <f>VLOOKUP(H522, IMPOSTO!$A:$D, 4, 0)</f>
        <v>0.12</v>
      </c>
      <c r="W522" s="24">
        <f>VLOOKUP(I522, IMPOSTO!$A:$D, 4, 0)</f>
        <v>0.12</v>
      </c>
      <c r="X522" s="24">
        <f>VLOOKUP(J522, IMPOSTO!$A:$D, 4, 0)</f>
        <v>7.0000000000000007E-2</v>
      </c>
      <c r="Y522" s="24">
        <f>VLOOKUP(K522, IMPOSTO!$A:$D, 4, 0)</f>
        <v>0.12</v>
      </c>
      <c r="Z522" s="24">
        <f>VLOOKUP(L522, IMPOSTO!$A:$D, 4, 0)</f>
        <v>0.18</v>
      </c>
      <c r="AA522" s="24">
        <f>VLOOKUP(M522, IMPOSTO!$A:$D, 4, 0)</f>
        <v>0.12</v>
      </c>
      <c r="AB522" s="24">
        <f>VLOOKUP(N522, IMPOSTO!$A:$D, 4, 0)</f>
        <v>7.0000000000000007E-2</v>
      </c>
      <c r="AC522" s="25">
        <f t="shared" si="69"/>
        <v>6661.1783468291733</v>
      </c>
      <c r="AD522" s="25">
        <f t="shared" si="70"/>
        <v>6661.7465286473544</v>
      </c>
      <c r="AE522" s="25">
        <f t="shared" si="71"/>
        <v>6312.9429518383586</v>
      </c>
      <c r="AF522" s="25">
        <f t="shared" si="72"/>
        <v>6742.4283468291733</v>
      </c>
      <c r="AG522" s="25">
        <f t="shared" si="73"/>
        <v>7096.264567328868</v>
      </c>
      <c r="AH522" s="25">
        <f t="shared" si="74"/>
        <v>6709.2465286473553</v>
      </c>
      <c r="AI522" s="25">
        <f t="shared" si="75"/>
        <v>6727.2440271071746</v>
      </c>
    </row>
    <row r="523" spans="1:35" ht="15.75" customHeight="1">
      <c r="A523" s="12" t="s">
        <v>554</v>
      </c>
      <c r="B523" s="12" t="s">
        <v>555</v>
      </c>
      <c r="C523" s="12" t="s">
        <v>163</v>
      </c>
      <c r="D523" s="12" t="s">
        <v>33</v>
      </c>
      <c r="E523" s="12" t="s">
        <v>27</v>
      </c>
      <c r="F523" s="13">
        <v>116.2609542356378</v>
      </c>
      <c r="G523" s="14">
        <v>1463.928870496592</v>
      </c>
      <c r="H523" s="24" t="str">
        <f t="shared" si="77"/>
        <v>RJSP</v>
      </c>
      <c r="I523" s="24" t="str">
        <f t="shared" si="76"/>
        <v>RJMG</v>
      </c>
      <c r="J523" s="24" t="str">
        <f t="shared" si="76"/>
        <v>RJES</v>
      </c>
      <c r="K523" s="24" t="str">
        <f t="shared" si="76"/>
        <v>RJSC</v>
      </c>
      <c r="L523" s="24" t="str">
        <f t="shared" si="76"/>
        <v>RJRJ</v>
      </c>
      <c r="M523" s="24" t="str">
        <f t="shared" si="76"/>
        <v>RJPR</v>
      </c>
      <c r="N523" s="24" t="str">
        <f t="shared" si="76"/>
        <v>RJAM</v>
      </c>
      <c r="O523" s="24">
        <f>VLOOKUP(H523, KM!$A:$E, 5, 0)</f>
        <v>429</v>
      </c>
      <c r="P523" s="24">
        <f>VLOOKUP(I523, KM!$A:$E, 5, 0)</f>
        <v>434</v>
      </c>
      <c r="Q523" s="24">
        <f>VLOOKUP(J523, KM!$A:$E, 5, 0)</f>
        <v>521</v>
      </c>
      <c r="R523" s="24">
        <f>VLOOKUP(K523, KM!$A:$E, 5, 0)</f>
        <v>1144</v>
      </c>
      <c r="S523" s="24">
        <f>VLOOKUP(L523, KM!$A:$E, 5, 0)</f>
        <v>0</v>
      </c>
      <c r="T523" s="24">
        <f>VLOOKUP(M523, KM!$A:$E, 5, 0)</f>
        <v>852</v>
      </c>
      <c r="U523" s="24">
        <f>VLOOKUP(N523, KM!$A:$E, 5, 0)</f>
        <v>4374</v>
      </c>
      <c r="V523" s="24">
        <f>VLOOKUP(H523, IMPOSTO!$A:$D, 4, 0)</f>
        <v>0.12</v>
      </c>
      <c r="W523" s="24">
        <f>VLOOKUP(I523, IMPOSTO!$A:$D, 4, 0)</f>
        <v>0.12</v>
      </c>
      <c r="X523" s="24">
        <f>VLOOKUP(J523, IMPOSTO!$A:$D, 4, 0)</f>
        <v>7.0000000000000007E-2</v>
      </c>
      <c r="Y523" s="24">
        <f>VLOOKUP(K523, IMPOSTO!$A:$D, 4, 0)</f>
        <v>0.12</v>
      </c>
      <c r="Z523" s="24">
        <f>VLOOKUP(L523, IMPOSTO!$A:$D, 4, 0)</f>
        <v>0.18</v>
      </c>
      <c r="AA523" s="24">
        <f>VLOOKUP(M523, IMPOSTO!$A:$D, 4, 0)</f>
        <v>0.12</v>
      </c>
      <c r="AB523" s="24">
        <f>VLOOKUP(N523, IMPOSTO!$A:$D, 4, 0)</f>
        <v>7.0000000000000007E-2</v>
      </c>
      <c r="AC523" s="25">
        <f t="shared" si="69"/>
        <v>1712.3055346552183</v>
      </c>
      <c r="AD523" s="25">
        <f t="shared" si="70"/>
        <v>1712.8737164734002</v>
      </c>
      <c r="AE523" s="25">
        <f t="shared" si="71"/>
        <v>1630.138570426443</v>
      </c>
      <c r="AF523" s="25">
        <f t="shared" si="72"/>
        <v>1793.5555346552183</v>
      </c>
      <c r="AG523" s="25">
        <f t="shared" si="73"/>
        <v>1785.2791103616973</v>
      </c>
      <c r="AH523" s="25">
        <f t="shared" si="74"/>
        <v>1760.3737164734</v>
      </c>
      <c r="AI523" s="25">
        <f t="shared" si="75"/>
        <v>2044.4396456952604</v>
      </c>
    </row>
    <row r="524" spans="1:35" ht="15.75" customHeight="1">
      <c r="A524" s="12" t="s">
        <v>377</v>
      </c>
      <c r="B524" s="12" t="s">
        <v>378</v>
      </c>
      <c r="C524" s="12" t="s">
        <v>163</v>
      </c>
      <c r="D524" s="12" t="s">
        <v>33</v>
      </c>
      <c r="E524" s="12" t="s">
        <v>27</v>
      </c>
      <c r="F524" s="13">
        <v>194.148409893993</v>
      </c>
      <c r="G524" s="14">
        <v>5301.4049469964657</v>
      </c>
      <c r="H524" s="24" t="str">
        <f t="shared" si="77"/>
        <v>RJSP</v>
      </c>
      <c r="I524" s="24" t="str">
        <f t="shared" si="76"/>
        <v>RJMG</v>
      </c>
      <c r="J524" s="24" t="str">
        <f t="shared" si="76"/>
        <v>RJES</v>
      </c>
      <c r="K524" s="24" t="str">
        <f t="shared" si="76"/>
        <v>RJSC</v>
      </c>
      <c r="L524" s="24" t="str">
        <f t="shared" si="76"/>
        <v>RJRJ</v>
      </c>
      <c r="M524" s="24" t="str">
        <f t="shared" si="76"/>
        <v>RJPR</v>
      </c>
      <c r="N524" s="24" t="str">
        <f t="shared" si="76"/>
        <v>RJAM</v>
      </c>
      <c r="O524" s="24">
        <f>VLOOKUP(H524, KM!$A:$E, 5, 0)</f>
        <v>429</v>
      </c>
      <c r="P524" s="24">
        <f>VLOOKUP(I524, KM!$A:$E, 5, 0)</f>
        <v>434</v>
      </c>
      <c r="Q524" s="24">
        <f>VLOOKUP(J524, KM!$A:$E, 5, 0)</f>
        <v>521</v>
      </c>
      <c r="R524" s="24">
        <f>VLOOKUP(K524, KM!$A:$E, 5, 0)</f>
        <v>1144</v>
      </c>
      <c r="S524" s="24">
        <f>VLOOKUP(L524, KM!$A:$E, 5, 0)</f>
        <v>0</v>
      </c>
      <c r="T524" s="24">
        <f>VLOOKUP(M524, KM!$A:$E, 5, 0)</f>
        <v>852</v>
      </c>
      <c r="U524" s="24">
        <f>VLOOKUP(N524, KM!$A:$E, 5, 0)</f>
        <v>4374</v>
      </c>
      <c r="V524" s="24">
        <f>VLOOKUP(H524, IMPOSTO!$A:$D, 4, 0)</f>
        <v>0.12</v>
      </c>
      <c r="W524" s="24">
        <f>VLOOKUP(I524, IMPOSTO!$A:$D, 4, 0)</f>
        <v>0.12</v>
      </c>
      <c r="X524" s="24">
        <f>VLOOKUP(J524, IMPOSTO!$A:$D, 4, 0)</f>
        <v>7.0000000000000007E-2</v>
      </c>
      <c r="Y524" s="24">
        <f>VLOOKUP(K524, IMPOSTO!$A:$D, 4, 0)</f>
        <v>0.12</v>
      </c>
      <c r="Z524" s="24">
        <f>VLOOKUP(L524, IMPOSTO!$A:$D, 4, 0)</f>
        <v>0.18</v>
      </c>
      <c r="AA524" s="24">
        <f>VLOOKUP(M524, IMPOSTO!$A:$D, 4, 0)</f>
        <v>0.12</v>
      </c>
      <c r="AB524" s="24">
        <f>VLOOKUP(N524, IMPOSTO!$A:$D, 4, 0)</f>
        <v>7.0000000000000007E-2</v>
      </c>
      <c r="AC524" s="25">
        <f t="shared" si="69"/>
        <v>6073.0738034050746</v>
      </c>
      <c r="AD524" s="25">
        <f t="shared" si="70"/>
        <v>6073.6419852232557</v>
      </c>
      <c r="AE524" s="25">
        <f t="shared" si="71"/>
        <v>5756.4569322542648</v>
      </c>
      <c r="AF524" s="25">
        <f t="shared" si="72"/>
        <v>6154.3238034050746</v>
      </c>
      <c r="AG524" s="25">
        <f t="shared" si="73"/>
        <v>6465.127984142031</v>
      </c>
      <c r="AH524" s="25">
        <f t="shared" si="74"/>
        <v>6121.1419852232566</v>
      </c>
      <c r="AI524" s="25">
        <f t="shared" si="75"/>
        <v>6170.7580075230817</v>
      </c>
    </row>
    <row r="525" spans="1:35" ht="15.75" customHeight="1">
      <c r="A525" s="12" t="s">
        <v>379</v>
      </c>
      <c r="B525" s="12" t="s">
        <v>380</v>
      </c>
      <c r="C525" s="12" t="s">
        <v>192</v>
      </c>
      <c r="D525" s="12" t="s">
        <v>33</v>
      </c>
      <c r="E525" s="12" t="s">
        <v>27</v>
      </c>
      <c r="F525" s="13">
        <v>53.617021276595743</v>
      </c>
      <c r="G525" s="14">
        <v>2190.5555744680851</v>
      </c>
      <c r="H525" s="24" t="str">
        <f t="shared" si="77"/>
        <v>RJSP</v>
      </c>
      <c r="I525" s="24" t="str">
        <f t="shared" si="76"/>
        <v>RJMG</v>
      </c>
      <c r="J525" s="24" t="str">
        <f t="shared" si="76"/>
        <v>RJES</v>
      </c>
      <c r="K525" s="24" t="str">
        <f t="shared" si="76"/>
        <v>RJSC</v>
      </c>
      <c r="L525" s="24" t="str">
        <f t="shared" si="76"/>
        <v>RJRJ</v>
      </c>
      <c r="M525" s="24" t="str">
        <f t="shared" si="76"/>
        <v>RJPR</v>
      </c>
      <c r="N525" s="24" t="str">
        <f t="shared" si="76"/>
        <v>RJAM</v>
      </c>
      <c r="O525" s="24">
        <f>VLOOKUP(H525, KM!$A:$E, 5, 0)</f>
        <v>429</v>
      </c>
      <c r="P525" s="24">
        <f>VLOOKUP(I525, KM!$A:$E, 5, 0)</f>
        <v>434</v>
      </c>
      <c r="Q525" s="24">
        <f>VLOOKUP(J525, KM!$A:$E, 5, 0)</f>
        <v>521</v>
      </c>
      <c r="R525" s="24">
        <f>VLOOKUP(K525, KM!$A:$E, 5, 0)</f>
        <v>1144</v>
      </c>
      <c r="S525" s="24">
        <f>VLOOKUP(L525, KM!$A:$E, 5, 0)</f>
        <v>0</v>
      </c>
      <c r="T525" s="24">
        <f>VLOOKUP(M525, KM!$A:$E, 5, 0)</f>
        <v>852</v>
      </c>
      <c r="U525" s="24">
        <f>VLOOKUP(N525, KM!$A:$E, 5, 0)</f>
        <v>4374</v>
      </c>
      <c r="V525" s="24">
        <f>VLOOKUP(H525, IMPOSTO!$A:$D, 4, 0)</f>
        <v>0.12</v>
      </c>
      <c r="W525" s="24">
        <f>VLOOKUP(I525, IMPOSTO!$A:$D, 4, 0)</f>
        <v>0.12</v>
      </c>
      <c r="X525" s="24">
        <f>VLOOKUP(J525, IMPOSTO!$A:$D, 4, 0)</f>
        <v>7.0000000000000007E-2</v>
      </c>
      <c r="Y525" s="24">
        <f>VLOOKUP(K525, IMPOSTO!$A:$D, 4, 0)</f>
        <v>0.12</v>
      </c>
      <c r="Z525" s="24">
        <f>VLOOKUP(L525, IMPOSTO!$A:$D, 4, 0)</f>
        <v>0.18</v>
      </c>
      <c r="AA525" s="24">
        <f>VLOOKUP(M525, IMPOSTO!$A:$D, 4, 0)</f>
        <v>0.12</v>
      </c>
      <c r="AB525" s="24">
        <f>VLOOKUP(N525, IMPOSTO!$A:$D, 4, 0)</f>
        <v>7.0000000000000007E-2</v>
      </c>
      <c r="AC525" s="25">
        <f t="shared" si="69"/>
        <v>2538.0176982591875</v>
      </c>
      <c r="AD525" s="25">
        <f t="shared" si="70"/>
        <v>2538.5858800773694</v>
      </c>
      <c r="AE525" s="25">
        <f t="shared" si="71"/>
        <v>2411.4576069549303</v>
      </c>
      <c r="AF525" s="25">
        <f t="shared" si="72"/>
        <v>2619.2676982591875</v>
      </c>
      <c r="AG525" s="25">
        <f t="shared" si="73"/>
        <v>2671.409237156201</v>
      </c>
      <c r="AH525" s="25">
        <f t="shared" si="74"/>
        <v>2586.085880077369</v>
      </c>
      <c r="AI525" s="25">
        <f t="shared" si="75"/>
        <v>2825.7586822237477</v>
      </c>
    </row>
    <row r="526" spans="1:35" ht="15.75" customHeight="1">
      <c r="A526" s="12" t="s">
        <v>379</v>
      </c>
      <c r="B526" s="12" t="s">
        <v>380</v>
      </c>
      <c r="C526" s="12" t="s">
        <v>192</v>
      </c>
      <c r="D526" s="12" t="s">
        <v>33</v>
      </c>
      <c r="E526" s="12" t="s">
        <v>27</v>
      </c>
      <c r="F526" s="13">
        <v>327.06382978723406</v>
      </c>
      <c r="G526" s="14">
        <v>13623.838468085109</v>
      </c>
      <c r="H526" s="24" t="str">
        <f t="shared" si="77"/>
        <v>RJSP</v>
      </c>
      <c r="I526" s="24" t="str">
        <f t="shared" si="76"/>
        <v>RJMG</v>
      </c>
      <c r="J526" s="24" t="str">
        <f t="shared" si="76"/>
        <v>RJES</v>
      </c>
      <c r="K526" s="24" t="str">
        <f t="shared" si="76"/>
        <v>RJSC</v>
      </c>
      <c r="L526" s="24" t="str">
        <f t="shared" si="76"/>
        <v>RJRJ</v>
      </c>
      <c r="M526" s="24" t="str">
        <f t="shared" si="76"/>
        <v>RJPR</v>
      </c>
      <c r="N526" s="24" t="str">
        <f t="shared" si="76"/>
        <v>RJAM</v>
      </c>
      <c r="O526" s="24">
        <f>VLOOKUP(H526, KM!$A:$E, 5, 0)</f>
        <v>429</v>
      </c>
      <c r="P526" s="24">
        <f>VLOOKUP(I526, KM!$A:$E, 5, 0)</f>
        <v>434</v>
      </c>
      <c r="Q526" s="24">
        <f>VLOOKUP(J526, KM!$A:$E, 5, 0)</f>
        <v>521</v>
      </c>
      <c r="R526" s="24">
        <f>VLOOKUP(K526, KM!$A:$E, 5, 0)</f>
        <v>1144</v>
      </c>
      <c r="S526" s="24">
        <f>VLOOKUP(L526, KM!$A:$E, 5, 0)</f>
        <v>0</v>
      </c>
      <c r="T526" s="24">
        <f>VLOOKUP(M526, KM!$A:$E, 5, 0)</f>
        <v>852</v>
      </c>
      <c r="U526" s="24">
        <f>VLOOKUP(N526, KM!$A:$E, 5, 0)</f>
        <v>4374</v>
      </c>
      <c r="V526" s="24">
        <f>VLOOKUP(H526, IMPOSTO!$A:$D, 4, 0)</f>
        <v>0.12</v>
      </c>
      <c r="W526" s="24">
        <f>VLOOKUP(I526, IMPOSTO!$A:$D, 4, 0)</f>
        <v>0.12</v>
      </c>
      <c r="X526" s="24">
        <f>VLOOKUP(J526, IMPOSTO!$A:$D, 4, 0)</f>
        <v>7.0000000000000007E-2</v>
      </c>
      <c r="Y526" s="24">
        <f>VLOOKUP(K526, IMPOSTO!$A:$D, 4, 0)</f>
        <v>0.12</v>
      </c>
      <c r="Z526" s="24">
        <f>VLOOKUP(L526, IMPOSTO!$A:$D, 4, 0)</f>
        <v>0.18</v>
      </c>
      <c r="AA526" s="24">
        <f>VLOOKUP(M526, IMPOSTO!$A:$D, 4, 0)</f>
        <v>0.12</v>
      </c>
      <c r="AB526" s="24">
        <f>VLOOKUP(N526, IMPOSTO!$A:$D, 4, 0)</f>
        <v>7.0000000000000007E-2</v>
      </c>
      <c r="AC526" s="25">
        <f t="shared" si="69"/>
        <v>15530.384622823987</v>
      </c>
      <c r="AD526" s="25">
        <f t="shared" si="70"/>
        <v>15530.952804642169</v>
      </c>
      <c r="AE526" s="25">
        <f t="shared" si="71"/>
        <v>14705.310180736677</v>
      </c>
      <c r="AF526" s="25">
        <f t="shared" si="72"/>
        <v>15611.634622823987</v>
      </c>
      <c r="AG526" s="25">
        <f t="shared" si="73"/>
        <v>16614.437156201351</v>
      </c>
      <c r="AH526" s="25">
        <f t="shared" si="74"/>
        <v>15578.452804642169</v>
      </c>
      <c r="AI526" s="25">
        <f t="shared" si="75"/>
        <v>15119.611256005493</v>
      </c>
    </row>
    <row r="527" spans="1:35" ht="15.75" customHeight="1">
      <c r="A527" s="12" t="s">
        <v>79</v>
      </c>
      <c r="B527" s="12" t="s">
        <v>80</v>
      </c>
      <c r="C527" s="12" t="s">
        <v>81</v>
      </c>
      <c r="D527" s="12" t="s">
        <v>50</v>
      </c>
      <c r="E527" s="12" t="s">
        <v>27</v>
      </c>
      <c r="F527" s="13">
        <v>141.54862634256642</v>
      </c>
      <c r="G527" s="14">
        <v>2615.8186148106274</v>
      </c>
      <c r="H527" s="24" t="str">
        <f t="shared" si="77"/>
        <v>RJSP</v>
      </c>
      <c r="I527" s="24" t="str">
        <f t="shared" si="76"/>
        <v>RJMG</v>
      </c>
      <c r="J527" s="24" t="str">
        <f t="shared" si="76"/>
        <v>RJES</v>
      </c>
      <c r="K527" s="24" t="str">
        <f t="shared" si="76"/>
        <v>RJSC</v>
      </c>
      <c r="L527" s="24" t="str">
        <f t="shared" si="76"/>
        <v>RJRJ</v>
      </c>
      <c r="M527" s="24" t="str">
        <f t="shared" si="76"/>
        <v>RJPR</v>
      </c>
      <c r="N527" s="24" t="str">
        <f t="shared" si="76"/>
        <v>RJAM</v>
      </c>
      <c r="O527" s="24">
        <f>VLOOKUP(H527, KM!$A:$E, 5, 0)</f>
        <v>429</v>
      </c>
      <c r="P527" s="24">
        <f>VLOOKUP(I527, KM!$A:$E, 5, 0)</f>
        <v>434</v>
      </c>
      <c r="Q527" s="24">
        <f>VLOOKUP(J527, KM!$A:$E, 5, 0)</f>
        <v>521</v>
      </c>
      <c r="R527" s="24">
        <f>VLOOKUP(K527, KM!$A:$E, 5, 0)</f>
        <v>1144</v>
      </c>
      <c r="S527" s="24">
        <f>VLOOKUP(L527, KM!$A:$E, 5, 0)</f>
        <v>0</v>
      </c>
      <c r="T527" s="24">
        <f>VLOOKUP(M527, KM!$A:$E, 5, 0)</f>
        <v>852</v>
      </c>
      <c r="U527" s="24">
        <f>VLOOKUP(N527, KM!$A:$E, 5, 0)</f>
        <v>4374</v>
      </c>
      <c r="V527" s="24">
        <f>VLOOKUP(H527, IMPOSTO!$A:$D, 4, 0)</f>
        <v>0.12</v>
      </c>
      <c r="W527" s="24">
        <f>VLOOKUP(I527, IMPOSTO!$A:$D, 4, 0)</f>
        <v>0.12</v>
      </c>
      <c r="X527" s="24">
        <f>VLOOKUP(J527, IMPOSTO!$A:$D, 4, 0)</f>
        <v>7.0000000000000007E-2</v>
      </c>
      <c r="Y527" s="24">
        <f>VLOOKUP(K527, IMPOSTO!$A:$D, 4, 0)</f>
        <v>0.12</v>
      </c>
      <c r="Z527" s="24">
        <f>VLOOKUP(L527, IMPOSTO!$A:$D, 4, 0)</f>
        <v>0.18</v>
      </c>
      <c r="AA527" s="24">
        <f>VLOOKUP(M527, IMPOSTO!$A:$D, 4, 0)</f>
        <v>0.12</v>
      </c>
      <c r="AB527" s="24">
        <f>VLOOKUP(N527, IMPOSTO!$A:$D, 4, 0)</f>
        <v>7.0000000000000007E-2</v>
      </c>
      <c r="AC527" s="25">
        <f t="shared" si="69"/>
        <v>3021.2711531938949</v>
      </c>
      <c r="AD527" s="25">
        <f t="shared" si="70"/>
        <v>3021.8393350120768</v>
      </c>
      <c r="AE527" s="25">
        <f t="shared" si="71"/>
        <v>2868.7296933447606</v>
      </c>
      <c r="AF527" s="25">
        <f t="shared" si="72"/>
        <v>3102.5211531938949</v>
      </c>
      <c r="AG527" s="25">
        <f t="shared" si="73"/>
        <v>3190.0227009885698</v>
      </c>
      <c r="AH527" s="25">
        <f t="shared" si="74"/>
        <v>3069.3393350120764</v>
      </c>
      <c r="AI527" s="25">
        <f t="shared" si="75"/>
        <v>3283.0307686135784</v>
      </c>
    </row>
    <row r="528" spans="1:35" ht="15.75" customHeight="1">
      <c r="A528" s="12" t="s">
        <v>79</v>
      </c>
      <c r="B528" s="12" t="s">
        <v>80</v>
      </c>
      <c r="C528" s="12" t="s">
        <v>81</v>
      </c>
      <c r="D528" s="12" t="s">
        <v>50</v>
      </c>
      <c r="E528" s="12" t="s">
        <v>27</v>
      </c>
      <c r="F528" s="13">
        <v>1819.9109101187112</v>
      </c>
      <c r="G528" s="14">
        <v>32589.013229485579</v>
      </c>
      <c r="H528" s="24" t="str">
        <f t="shared" si="77"/>
        <v>RJSP</v>
      </c>
      <c r="I528" s="24" t="str">
        <f t="shared" si="76"/>
        <v>RJMG</v>
      </c>
      <c r="J528" s="24" t="str">
        <f t="shared" si="76"/>
        <v>RJES</v>
      </c>
      <c r="K528" s="24" t="str">
        <f t="shared" si="76"/>
        <v>RJSC</v>
      </c>
      <c r="L528" s="24" t="str">
        <f t="shared" si="76"/>
        <v>RJRJ</v>
      </c>
      <c r="M528" s="24" t="str">
        <f t="shared" si="76"/>
        <v>RJPR</v>
      </c>
      <c r="N528" s="24" t="str">
        <f t="shared" si="76"/>
        <v>RJAM</v>
      </c>
      <c r="O528" s="24">
        <f>VLOOKUP(H528, KM!$A:$E, 5, 0)</f>
        <v>429</v>
      </c>
      <c r="P528" s="24">
        <f>VLOOKUP(I528, KM!$A:$E, 5, 0)</f>
        <v>434</v>
      </c>
      <c r="Q528" s="24">
        <f>VLOOKUP(J528, KM!$A:$E, 5, 0)</f>
        <v>521</v>
      </c>
      <c r="R528" s="24">
        <f>VLOOKUP(K528, KM!$A:$E, 5, 0)</f>
        <v>1144</v>
      </c>
      <c r="S528" s="24">
        <f>VLOOKUP(L528, KM!$A:$E, 5, 0)</f>
        <v>0</v>
      </c>
      <c r="T528" s="24">
        <f>VLOOKUP(M528, KM!$A:$E, 5, 0)</f>
        <v>852</v>
      </c>
      <c r="U528" s="24">
        <f>VLOOKUP(N528, KM!$A:$E, 5, 0)</f>
        <v>4374</v>
      </c>
      <c r="V528" s="24">
        <f>VLOOKUP(H528, IMPOSTO!$A:$D, 4, 0)</f>
        <v>0.12</v>
      </c>
      <c r="W528" s="24">
        <f>VLOOKUP(I528, IMPOSTO!$A:$D, 4, 0)</f>
        <v>0.12</v>
      </c>
      <c r="X528" s="24">
        <f>VLOOKUP(J528, IMPOSTO!$A:$D, 4, 0)</f>
        <v>7.0000000000000007E-2</v>
      </c>
      <c r="Y528" s="24">
        <f>VLOOKUP(K528, IMPOSTO!$A:$D, 4, 0)</f>
        <v>0.12</v>
      </c>
      <c r="Z528" s="24">
        <f>VLOOKUP(L528, IMPOSTO!$A:$D, 4, 0)</f>
        <v>0.18</v>
      </c>
      <c r="AA528" s="24">
        <f>VLOOKUP(M528, IMPOSTO!$A:$D, 4, 0)</f>
        <v>0.12</v>
      </c>
      <c r="AB528" s="24">
        <f>VLOOKUP(N528, IMPOSTO!$A:$D, 4, 0)</f>
        <v>7.0000000000000007E-2</v>
      </c>
      <c r="AC528" s="25">
        <f t="shared" si="69"/>
        <v>37081.719578960889</v>
      </c>
      <c r="AD528" s="25">
        <f t="shared" si="70"/>
        <v>37082.287760779072</v>
      </c>
      <c r="AE528" s="25">
        <f t="shared" si="71"/>
        <v>35097.971214500627</v>
      </c>
      <c r="AF528" s="25">
        <f t="shared" si="72"/>
        <v>37162.969578960889</v>
      </c>
      <c r="AG528" s="25">
        <f t="shared" si="73"/>
        <v>39742.699060348263</v>
      </c>
      <c r="AH528" s="25">
        <f t="shared" si="74"/>
        <v>37129.787760779065</v>
      </c>
      <c r="AI528" s="25">
        <f t="shared" si="75"/>
        <v>35512.272289769448</v>
      </c>
    </row>
    <row r="529" spans="1:35" ht="15.75" customHeight="1">
      <c r="A529" s="12" t="s">
        <v>383</v>
      </c>
      <c r="B529" s="12" t="s">
        <v>384</v>
      </c>
      <c r="C529" s="12" t="s">
        <v>163</v>
      </c>
      <c r="D529" s="12" t="s">
        <v>33</v>
      </c>
      <c r="E529" s="12" t="s">
        <v>27</v>
      </c>
      <c r="F529" s="13">
        <v>71.670103092783492</v>
      </c>
      <c r="G529" s="14">
        <v>4305.5134020618561</v>
      </c>
      <c r="H529" s="24" t="str">
        <f t="shared" si="77"/>
        <v>RJSP</v>
      </c>
      <c r="I529" s="24" t="str">
        <f t="shared" si="76"/>
        <v>RJMG</v>
      </c>
      <c r="J529" s="24" t="str">
        <f t="shared" si="76"/>
        <v>RJES</v>
      </c>
      <c r="K529" s="24" t="str">
        <f t="shared" si="76"/>
        <v>RJSC</v>
      </c>
      <c r="L529" s="24" t="str">
        <f t="shared" si="76"/>
        <v>RJRJ</v>
      </c>
      <c r="M529" s="24" t="str">
        <f t="shared" si="76"/>
        <v>RJPR</v>
      </c>
      <c r="N529" s="24" t="str">
        <f t="shared" si="76"/>
        <v>RJAM</v>
      </c>
      <c r="O529" s="24">
        <f>VLOOKUP(H529, KM!$A:$E, 5, 0)</f>
        <v>429</v>
      </c>
      <c r="P529" s="24">
        <f>VLOOKUP(I529, KM!$A:$E, 5, 0)</f>
        <v>434</v>
      </c>
      <c r="Q529" s="24">
        <f>VLOOKUP(J529, KM!$A:$E, 5, 0)</f>
        <v>521</v>
      </c>
      <c r="R529" s="24">
        <f>VLOOKUP(K529, KM!$A:$E, 5, 0)</f>
        <v>1144</v>
      </c>
      <c r="S529" s="24">
        <f>VLOOKUP(L529, KM!$A:$E, 5, 0)</f>
        <v>0</v>
      </c>
      <c r="T529" s="24">
        <f>VLOOKUP(M529, KM!$A:$E, 5, 0)</f>
        <v>852</v>
      </c>
      <c r="U529" s="24">
        <f>VLOOKUP(N529, KM!$A:$E, 5, 0)</f>
        <v>4374</v>
      </c>
      <c r="V529" s="24">
        <f>VLOOKUP(H529, IMPOSTO!$A:$D, 4, 0)</f>
        <v>0.12</v>
      </c>
      <c r="W529" s="24">
        <f>VLOOKUP(I529, IMPOSTO!$A:$D, 4, 0)</f>
        <v>0.12</v>
      </c>
      <c r="X529" s="24">
        <f>VLOOKUP(J529, IMPOSTO!$A:$D, 4, 0)</f>
        <v>7.0000000000000007E-2</v>
      </c>
      <c r="Y529" s="24">
        <f>VLOOKUP(K529, IMPOSTO!$A:$D, 4, 0)</f>
        <v>0.12</v>
      </c>
      <c r="Z529" s="24">
        <f>VLOOKUP(L529, IMPOSTO!$A:$D, 4, 0)</f>
        <v>0.18</v>
      </c>
      <c r="AA529" s="24">
        <f>VLOOKUP(M529, IMPOSTO!$A:$D, 4, 0)</f>
        <v>0.12</v>
      </c>
      <c r="AB529" s="24">
        <f>VLOOKUP(N529, IMPOSTO!$A:$D, 4, 0)</f>
        <v>7.0000000000000007E-2</v>
      </c>
      <c r="AC529" s="25">
        <f t="shared" si="69"/>
        <v>4941.3788659793818</v>
      </c>
      <c r="AD529" s="25">
        <f t="shared" si="70"/>
        <v>4941.9470477975638</v>
      </c>
      <c r="AE529" s="25">
        <f t="shared" si="71"/>
        <v>4685.6058086686635</v>
      </c>
      <c r="AF529" s="25">
        <f t="shared" si="72"/>
        <v>5022.6288659793818</v>
      </c>
      <c r="AG529" s="25">
        <f t="shared" si="73"/>
        <v>5250.6261000754339</v>
      </c>
      <c r="AH529" s="25">
        <f t="shared" si="74"/>
        <v>4989.4470477975638</v>
      </c>
      <c r="AI529" s="25">
        <f t="shared" si="75"/>
        <v>5099.9068839374795</v>
      </c>
    </row>
    <row r="530" spans="1:35" ht="15.75" customHeight="1">
      <c r="A530" s="12" t="s">
        <v>383</v>
      </c>
      <c r="B530" s="12" t="s">
        <v>384</v>
      </c>
      <c r="C530" s="12" t="s">
        <v>163</v>
      </c>
      <c r="D530" s="12" t="s">
        <v>33</v>
      </c>
      <c r="E530" s="12" t="s">
        <v>27</v>
      </c>
      <c r="F530" s="13">
        <v>40.824742268041234</v>
      </c>
      <c r="G530" s="14">
        <v>2441.2651546391753</v>
      </c>
      <c r="H530" s="24" t="str">
        <f t="shared" si="77"/>
        <v>RJSP</v>
      </c>
      <c r="I530" s="24" t="str">
        <f t="shared" si="76"/>
        <v>RJMG</v>
      </c>
      <c r="J530" s="24" t="str">
        <f t="shared" si="76"/>
        <v>RJES</v>
      </c>
      <c r="K530" s="24" t="str">
        <f t="shared" si="76"/>
        <v>RJSC</v>
      </c>
      <c r="L530" s="24" t="str">
        <f t="shared" si="76"/>
        <v>RJRJ</v>
      </c>
      <c r="M530" s="24" t="str">
        <f t="shared" si="76"/>
        <v>RJPR</v>
      </c>
      <c r="N530" s="24" t="str">
        <f t="shared" si="76"/>
        <v>RJAM</v>
      </c>
      <c r="O530" s="24">
        <f>VLOOKUP(H530, KM!$A:$E, 5, 0)</f>
        <v>429</v>
      </c>
      <c r="P530" s="24">
        <f>VLOOKUP(I530, KM!$A:$E, 5, 0)</f>
        <v>434</v>
      </c>
      <c r="Q530" s="24">
        <f>VLOOKUP(J530, KM!$A:$E, 5, 0)</f>
        <v>521</v>
      </c>
      <c r="R530" s="24">
        <f>VLOOKUP(K530, KM!$A:$E, 5, 0)</f>
        <v>1144</v>
      </c>
      <c r="S530" s="24">
        <f>VLOOKUP(L530, KM!$A:$E, 5, 0)</f>
        <v>0</v>
      </c>
      <c r="T530" s="24">
        <f>VLOOKUP(M530, KM!$A:$E, 5, 0)</f>
        <v>852</v>
      </c>
      <c r="U530" s="24">
        <f>VLOOKUP(N530, KM!$A:$E, 5, 0)</f>
        <v>4374</v>
      </c>
      <c r="V530" s="24">
        <f>VLOOKUP(H530, IMPOSTO!$A:$D, 4, 0)</f>
        <v>0.12</v>
      </c>
      <c r="W530" s="24">
        <f>VLOOKUP(I530, IMPOSTO!$A:$D, 4, 0)</f>
        <v>0.12</v>
      </c>
      <c r="X530" s="24">
        <f>VLOOKUP(J530, IMPOSTO!$A:$D, 4, 0)</f>
        <v>7.0000000000000007E-2</v>
      </c>
      <c r="Y530" s="24">
        <f>VLOOKUP(K530, IMPOSTO!$A:$D, 4, 0)</f>
        <v>0.12</v>
      </c>
      <c r="Z530" s="24">
        <f>VLOOKUP(L530, IMPOSTO!$A:$D, 4, 0)</f>
        <v>0.18</v>
      </c>
      <c r="AA530" s="24">
        <f>VLOOKUP(M530, IMPOSTO!$A:$D, 4, 0)</f>
        <v>0.12</v>
      </c>
      <c r="AB530" s="24">
        <f>VLOOKUP(N530, IMPOSTO!$A:$D, 4, 0)</f>
        <v>7.0000000000000007E-2</v>
      </c>
      <c r="AC530" s="25">
        <f t="shared" si="69"/>
        <v>2822.9149484536083</v>
      </c>
      <c r="AD530" s="25">
        <f t="shared" si="70"/>
        <v>2823.4831302717903</v>
      </c>
      <c r="AE530" s="25">
        <f t="shared" si="71"/>
        <v>2681.0378006872852</v>
      </c>
      <c r="AF530" s="25">
        <f t="shared" si="72"/>
        <v>2904.1649484536083</v>
      </c>
      <c r="AG530" s="25">
        <f t="shared" si="73"/>
        <v>2977.1526276087502</v>
      </c>
      <c r="AH530" s="25">
        <f t="shared" si="74"/>
        <v>2870.9831302717898</v>
      </c>
      <c r="AI530" s="25">
        <f t="shared" si="75"/>
        <v>3095.3388759561026</v>
      </c>
    </row>
    <row r="531" spans="1:35" ht="15.75" customHeight="1">
      <c r="A531" s="12" t="s">
        <v>167</v>
      </c>
      <c r="B531" s="12" t="s">
        <v>168</v>
      </c>
      <c r="C531" s="12" t="s">
        <v>169</v>
      </c>
      <c r="D531" s="12" t="s">
        <v>33</v>
      </c>
      <c r="E531" s="12" t="s">
        <v>27</v>
      </c>
      <c r="F531" s="13">
        <v>26745.325199999999</v>
      </c>
      <c r="G531" s="14">
        <v>480780.82768658671</v>
      </c>
      <c r="H531" s="24" t="str">
        <f t="shared" si="77"/>
        <v>RJSP</v>
      </c>
      <c r="I531" s="24" t="str">
        <f t="shared" si="76"/>
        <v>RJMG</v>
      </c>
      <c r="J531" s="24" t="str">
        <f t="shared" si="76"/>
        <v>RJES</v>
      </c>
      <c r="K531" s="24" t="str">
        <f t="shared" si="76"/>
        <v>RJSC</v>
      </c>
      <c r="L531" s="24" t="str">
        <f t="shared" si="76"/>
        <v>RJRJ</v>
      </c>
      <c r="M531" s="24" t="str">
        <f t="shared" si="76"/>
        <v>RJPR</v>
      </c>
      <c r="N531" s="24" t="str">
        <f t="shared" si="76"/>
        <v>RJAM</v>
      </c>
      <c r="O531" s="24">
        <f>VLOOKUP(H531, KM!$A:$E, 5, 0)</f>
        <v>429</v>
      </c>
      <c r="P531" s="24">
        <f>VLOOKUP(I531, KM!$A:$E, 5, 0)</f>
        <v>434</v>
      </c>
      <c r="Q531" s="24">
        <f>VLOOKUP(J531, KM!$A:$E, 5, 0)</f>
        <v>521</v>
      </c>
      <c r="R531" s="24">
        <f>VLOOKUP(K531, KM!$A:$E, 5, 0)</f>
        <v>1144</v>
      </c>
      <c r="S531" s="24">
        <f>VLOOKUP(L531, KM!$A:$E, 5, 0)</f>
        <v>0</v>
      </c>
      <c r="T531" s="24">
        <f>VLOOKUP(M531, KM!$A:$E, 5, 0)</f>
        <v>852</v>
      </c>
      <c r="U531" s="24">
        <f>VLOOKUP(N531, KM!$A:$E, 5, 0)</f>
        <v>4374</v>
      </c>
      <c r="V531" s="24">
        <f>VLOOKUP(H531, IMPOSTO!$A:$D, 4, 0)</f>
        <v>0.12</v>
      </c>
      <c r="W531" s="24">
        <f>VLOOKUP(I531, IMPOSTO!$A:$D, 4, 0)</f>
        <v>0.12</v>
      </c>
      <c r="X531" s="24">
        <f>VLOOKUP(J531, IMPOSTO!$A:$D, 4, 0)</f>
        <v>7.0000000000000007E-2</v>
      </c>
      <c r="Y531" s="24">
        <f>VLOOKUP(K531, IMPOSTO!$A:$D, 4, 0)</f>
        <v>0.12</v>
      </c>
      <c r="Z531" s="24">
        <f>VLOOKUP(L531, IMPOSTO!$A:$D, 4, 0)</f>
        <v>0.18</v>
      </c>
      <c r="AA531" s="24">
        <f>VLOOKUP(M531, IMPOSTO!$A:$D, 4, 0)</f>
        <v>0.12</v>
      </c>
      <c r="AB531" s="24">
        <f>VLOOKUP(N531, IMPOSTO!$A:$D, 4, 0)</f>
        <v>7.0000000000000007E-2</v>
      </c>
      <c r="AC531" s="25">
        <f t="shared" ref="AC531:AC594" si="78">($G531 + O531 * $AE$5) / (1 - V531)</f>
        <v>546390.5996438486</v>
      </c>
      <c r="AD531" s="25">
        <f t="shared" ref="AD531:AD594" si="79">($G531 + P531 * $AE$5) / (1 - W531)</f>
        <v>546391.16782566672</v>
      </c>
      <c r="AE531" s="25">
        <f t="shared" ref="AE531:AE594" si="80">($G531 + Q531 * $AE$5) / (1 - X531)</f>
        <v>517024.65342643735</v>
      </c>
      <c r="AF531" s="25">
        <f t="shared" ref="AF531:AF594" si="81">($G531 + R531 * $AE$5) / (1 - Y531)</f>
        <v>546471.8496438486</v>
      </c>
      <c r="AG531" s="25">
        <f t="shared" ref="AG531:AG594" si="82">($G531 + S531 * $AE$5) / (1 - Z531)</f>
        <v>586318.08254461794</v>
      </c>
      <c r="AH531" s="25">
        <f t="shared" ref="AH531:AH594" si="83">($G531 + T531 * $AE$5) / (1 - AA531)</f>
        <v>546438.66782566672</v>
      </c>
      <c r="AI531" s="25">
        <f t="shared" ref="AI531:AI594" si="84">($G531 + U531 * $AE$5) / (1 - AB531)</f>
        <v>517438.95450170618</v>
      </c>
    </row>
    <row r="532" spans="1:35" ht="15.75" customHeight="1">
      <c r="A532" s="12" t="s">
        <v>556</v>
      </c>
      <c r="B532" s="12" t="s">
        <v>557</v>
      </c>
      <c r="C532" s="12" t="s">
        <v>192</v>
      </c>
      <c r="D532" s="12" t="s">
        <v>50</v>
      </c>
      <c r="E532" s="12" t="s">
        <v>27</v>
      </c>
      <c r="F532" s="13">
        <v>32.454090150250416</v>
      </c>
      <c r="G532" s="14">
        <v>2061.9345575959928</v>
      </c>
      <c r="H532" s="24" t="str">
        <f t="shared" si="77"/>
        <v>RJSP</v>
      </c>
      <c r="I532" s="24" t="str">
        <f t="shared" si="76"/>
        <v>RJMG</v>
      </c>
      <c r="J532" s="24" t="str">
        <f t="shared" si="76"/>
        <v>RJES</v>
      </c>
      <c r="K532" s="24" t="str">
        <f t="shared" si="76"/>
        <v>RJSC</v>
      </c>
      <c r="L532" s="24" t="str">
        <f t="shared" si="76"/>
        <v>RJRJ</v>
      </c>
      <c r="M532" s="24" t="str">
        <f t="shared" si="76"/>
        <v>RJPR</v>
      </c>
      <c r="N532" s="24" t="str">
        <f t="shared" si="76"/>
        <v>RJAM</v>
      </c>
      <c r="O532" s="24">
        <f>VLOOKUP(H532, KM!$A:$E, 5, 0)</f>
        <v>429</v>
      </c>
      <c r="P532" s="24">
        <f>VLOOKUP(I532, KM!$A:$E, 5, 0)</f>
        <v>434</v>
      </c>
      <c r="Q532" s="24">
        <f>VLOOKUP(J532, KM!$A:$E, 5, 0)</f>
        <v>521</v>
      </c>
      <c r="R532" s="24">
        <f>VLOOKUP(K532, KM!$A:$E, 5, 0)</f>
        <v>1144</v>
      </c>
      <c r="S532" s="24">
        <f>VLOOKUP(L532, KM!$A:$E, 5, 0)</f>
        <v>0</v>
      </c>
      <c r="T532" s="24">
        <f>VLOOKUP(M532, KM!$A:$E, 5, 0)</f>
        <v>852</v>
      </c>
      <c r="U532" s="24">
        <f>VLOOKUP(N532, KM!$A:$E, 5, 0)</f>
        <v>4374</v>
      </c>
      <c r="V532" s="24">
        <f>VLOOKUP(H532, IMPOSTO!$A:$D, 4, 0)</f>
        <v>0.12</v>
      </c>
      <c r="W532" s="24">
        <f>VLOOKUP(I532, IMPOSTO!$A:$D, 4, 0)</f>
        <v>0.12</v>
      </c>
      <c r="X532" s="24">
        <f>VLOOKUP(J532, IMPOSTO!$A:$D, 4, 0)</f>
        <v>7.0000000000000007E-2</v>
      </c>
      <c r="Y532" s="24">
        <f>VLOOKUP(K532, IMPOSTO!$A:$D, 4, 0)</f>
        <v>0.12</v>
      </c>
      <c r="Z532" s="24">
        <f>VLOOKUP(L532, IMPOSTO!$A:$D, 4, 0)</f>
        <v>0.18</v>
      </c>
      <c r="AA532" s="24">
        <f>VLOOKUP(M532, IMPOSTO!$A:$D, 4, 0)</f>
        <v>0.12</v>
      </c>
      <c r="AB532" s="24">
        <f>VLOOKUP(N532, IMPOSTO!$A:$D, 4, 0)</f>
        <v>7.0000000000000007E-2</v>
      </c>
      <c r="AC532" s="25">
        <f t="shared" si="78"/>
        <v>2391.8574518136284</v>
      </c>
      <c r="AD532" s="25">
        <f t="shared" si="79"/>
        <v>2392.4256336318103</v>
      </c>
      <c r="AE532" s="25">
        <f t="shared" si="80"/>
        <v>2273.1554382752611</v>
      </c>
      <c r="AF532" s="25">
        <f t="shared" si="81"/>
        <v>2473.1074518136284</v>
      </c>
      <c r="AG532" s="25">
        <f t="shared" si="82"/>
        <v>2514.5543385316982</v>
      </c>
      <c r="AH532" s="25">
        <f t="shared" si="83"/>
        <v>2439.9256336318099</v>
      </c>
      <c r="AI532" s="25">
        <f t="shared" si="84"/>
        <v>2687.4565135440785</v>
      </c>
    </row>
    <row r="533" spans="1:35" ht="15.75" customHeight="1">
      <c r="A533" s="12" t="s">
        <v>558</v>
      </c>
      <c r="B533" s="12" t="s">
        <v>559</v>
      </c>
      <c r="C533" s="12" t="s">
        <v>192</v>
      </c>
      <c r="D533" s="12" t="s">
        <v>50</v>
      </c>
      <c r="E533" s="12" t="s">
        <v>27</v>
      </c>
      <c r="F533" s="13">
        <v>46.707774399999998</v>
      </c>
      <c r="G533" s="14">
        <v>2786.9250081133328</v>
      </c>
      <c r="H533" s="24" t="str">
        <f t="shared" si="77"/>
        <v>RJSP</v>
      </c>
      <c r="I533" s="24" t="str">
        <f t="shared" si="76"/>
        <v>RJMG</v>
      </c>
      <c r="J533" s="24" t="str">
        <f t="shared" si="76"/>
        <v>RJES</v>
      </c>
      <c r="K533" s="24" t="str">
        <f t="shared" si="76"/>
        <v>RJSC</v>
      </c>
      <c r="L533" s="24" t="str">
        <f t="shared" si="76"/>
        <v>RJRJ</v>
      </c>
      <c r="M533" s="24" t="str">
        <f t="shared" si="76"/>
        <v>RJPR</v>
      </c>
      <c r="N533" s="24" t="str">
        <f t="shared" si="76"/>
        <v>RJAM</v>
      </c>
      <c r="O533" s="24">
        <f>VLOOKUP(H533, KM!$A:$E, 5, 0)</f>
        <v>429</v>
      </c>
      <c r="P533" s="24">
        <f>VLOOKUP(I533, KM!$A:$E, 5, 0)</f>
        <v>434</v>
      </c>
      <c r="Q533" s="24">
        <f>VLOOKUP(J533, KM!$A:$E, 5, 0)</f>
        <v>521</v>
      </c>
      <c r="R533" s="24">
        <f>VLOOKUP(K533, KM!$A:$E, 5, 0)</f>
        <v>1144</v>
      </c>
      <c r="S533" s="24">
        <f>VLOOKUP(L533, KM!$A:$E, 5, 0)</f>
        <v>0</v>
      </c>
      <c r="T533" s="24">
        <f>VLOOKUP(M533, KM!$A:$E, 5, 0)</f>
        <v>852</v>
      </c>
      <c r="U533" s="24">
        <f>VLOOKUP(N533, KM!$A:$E, 5, 0)</f>
        <v>4374</v>
      </c>
      <c r="V533" s="24">
        <f>VLOOKUP(H533, IMPOSTO!$A:$D, 4, 0)</f>
        <v>0.12</v>
      </c>
      <c r="W533" s="24">
        <f>VLOOKUP(I533, IMPOSTO!$A:$D, 4, 0)</f>
        <v>0.12</v>
      </c>
      <c r="X533" s="24">
        <f>VLOOKUP(J533, IMPOSTO!$A:$D, 4, 0)</f>
        <v>7.0000000000000007E-2</v>
      </c>
      <c r="Y533" s="24">
        <f>VLOOKUP(K533, IMPOSTO!$A:$D, 4, 0)</f>
        <v>0.12</v>
      </c>
      <c r="Z533" s="24">
        <f>VLOOKUP(L533, IMPOSTO!$A:$D, 4, 0)</f>
        <v>0.18</v>
      </c>
      <c r="AA533" s="24">
        <f>VLOOKUP(M533, IMPOSTO!$A:$D, 4, 0)</f>
        <v>0.12</v>
      </c>
      <c r="AB533" s="24">
        <f>VLOOKUP(N533, IMPOSTO!$A:$D, 4, 0)</f>
        <v>7.0000000000000007E-2</v>
      </c>
      <c r="AC533" s="25">
        <f t="shared" si="78"/>
        <v>3215.7102364924235</v>
      </c>
      <c r="AD533" s="25">
        <f t="shared" si="79"/>
        <v>3216.2784183106055</v>
      </c>
      <c r="AE533" s="25">
        <f t="shared" si="80"/>
        <v>3052.7150624874548</v>
      </c>
      <c r="AF533" s="25">
        <f t="shared" si="81"/>
        <v>3296.9602364924235</v>
      </c>
      <c r="AG533" s="25">
        <f t="shared" si="82"/>
        <v>3398.6890342845518</v>
      </c>
      <c r="AH533" s="25">
        <f t="shared" si="83"/>
        <v>3263.778418310605</v>
      </c>
      <c r="AI533" s="25">
        <f t="shared" si="84"/>
        <v>3467.0161377562722</v>
      </c>
    </row>
    <row r="534" spans="1:35" ht="15.75" customHeight="1">
      <c r="A534" s="12" t="s">
        <v>170</v>
      </c>
      <c r="B534" s="12" t="s">
        <v>171</v>
      </c>
      <c r="C534" s="12" t="s">
        <v>163</v>
      </c>
      <c r="D534" s="12" t="s">
        <v>33</v>
      </c>
      <c r="E534" s="12" t="s">
        <v>27</v>
      </c>
      <c r="F534" s="13">
        <v>2782.7537763333976</v>
      </c>
      <c r="G534" s="14">
        <v>40784.921204533355</v>
      </c>
      <c r="H534" s="24" t="str">
        <f t="shared" si="77"/>
        <v>RJSP</v>
      </c>
      <c r="I534" s="24" t="str">
        <f t="shared" si="76"/>
        <v>RJMG</v>
      </c>
      <c r="J534" s="24" t="str">
        <f t="shared" si="76"/>
        <v>RJES</v>
      </c>
      <c r="K534" s="24" t="str">
        <f t="shared" si="76"/>
        <v>RJSC</v>
      </c>
      <c r="L534" s="24" t="str">
        <f t="shared" si="76"/>
        <v>RJRJ</v>
      </c>
      <c r="M534" s="24" t="str">
        <f t="shared" si="76"/>
        <v>RJPR</v>
      </c>
      <c r="N534" s="24" t="str">
        <f t="shared" si="76"/>
        <v>RJAM</v>
      </c>
      <c r="O534" s="24">
        <f>VLOOKUP(H534, KM!$A:$E, 5, 0)</f>
        <v>429</v>
      </c>
      <c r="P534" s="24">
        <f>VLOOKUP(I534, KM!$A:$E, 5, 0)</f>
        <v>434</v>
      </c>
      <c r="Q534" s="24">
        <f>VLOOKUP(J534, KM!$A:$E, 5, 0)</f>
        <v>521</v>
      </c>
      <c r="R534" s="24">
        <f>VLOOKUP(K534, KM!$A:$E, 5, 0)</f>
        <v>1144</v>
      </c>
      <c r="S534" s="24">
        <f>VLOOKUP(L534, KM!$A:$E, 5, 0)</f>
        <v>0</v>
      </c>
      <c r="T534" s="24">
        <f>VLOOKUP(M534, KM!$A:$E, 5, 0)</f>
        <v>852</v>
      </c>
      <c r="U534" s="24">
        <f>VLOOKUP(N534, KM!$A:$E, 5, 0)</f>
        <v>4374</v>
      </c>
      <c r="V534" s="24">
        <f>VLOOKUP(H534, IMPOSTO!$A:$D, 4, 0)</f>
        <v>0.12</v>
      </c>
      <c r="W534" s="24">
        <f>VLOOKUP(I534, IMPOSTO!$A:$D, 4, 0)</f>
        <v>0.12</v>
      </c>
      <c r="X534" s="24">
        <f>VLOOKUP(J534, IMPOSTO!$A:$D, 4, 0)</f>
        <v>7.0000000000000007E-2</v>
      </c>
      <c r="Y534" s="24">
        <f>VLOOKUP(K534, IMPOSTO!$A:$D, 4, 0)</f>
        <v>0.12</v>
      </c>
      <c r="Z534" s="24">
        <f>VLOOKUP(L534, IMPOSTO!$A:$D, 4, 0)</f>
        <v>0.18</v>
      </c>
      <c r="AA534" s="24">
        <f>VLOOKUP(M534, IMPOSTO!$A:$D, 4, 0)</f>
        <v>0.12</v>
      </c>
      <c r="AB534" s="24">
        <f>VLOOKUP(N534, IMPOSTO!$A:$D, 4, 0)</f>
        <v>7.0000000000000007E-2</v>
      </c>
      <c r="AC534" s="25">
        <f t="shared" si="78"/>
        <v>46395.251368787904</v>
      </c>
      <c r="AD534" s="25">
        <f t="shared" si="79"/>
        <v>46395.819550606087</v>
      </c>
      <c r="AE534" s="25">
        <f t="shared" si="80"/>
        <v>43910.775488745545</v>
      </c>
      <c r="AF534" s="25">
        <f t="shared" si="81"/>
        <v>46476.501368787904</v>
      </c>
      <c r="AG534" s="25">
        <f t="shared" si="82"/>
        <v>49737.708786016286</v>
      </c>
      <c r="AH534" s="25">
        <f t="shared" si="83"/>
        <v>46443.31955060608</v>
      </c>
      <c r="AI534" s="25">
        <f t="shared" si="84"/>
        <v>44325.076564014365</v>
      </c>
    </row>
    <row r="535" spans="1:35" ht="15.75" customHeight="1">
      <c r="A535" s="12" t="s">
        <v>170</v>
      </c>
      <c r="B535" s="12" t="s">
        <v>171</v>
      </c>
      <c r="C535" s="12" t="s">
        <v>163</v>
      </c>
      <c r="D535" s="12" t="s">
        <v>33</v>
      </c>
      <c r="E535" s="12" t="s">
        <v>27</v>
      </c>
      <c r="F535" s="13">
        <v>2382.9778817052193</v>
      </c>
      <c r="G535" s="14">
        <v>34789.566379282158</v>
      </c>
      <c r="H535" s="24" t="str">
        <f t="shared" si="77"/>
        <v>RJSP</v>
      </c>
      <c r="I535" s="24" t="str">
        <f t="shared" si="76"/>
        <v>RJMG</v>
      </c>
      <c r="J535" s="24" t="str">
        <f t="shared" si="76"/>
        <v>RJES</v>
      </c>
      <c r="K535" s="24" t="str">
        <f t="shared" si="76"/>
        <v>RJSC</v>
      </c>
      <c r="L535" s="24" t="str">
        <f t="shared" si="76"/>
        <v>RJRJ</v>
      </c>
      <c r="M535" s="24" t="str">
        <f t="shared" ref="I535:N598" si="85">$E535 &amp; M$17</f>
        <v>RJPR</v>
      </c>
      <c r="N535" s="24" t="str">
        <f t="shared" si="85"/>
        <v>RJAM</v>
      </c>
      <c r="O535" s="24">
        <f>VLOOKUP(H535, KM!$A:$E, 5, 0)</f>
        <v>429</v>
      </c>
      <c r="P535" s="24">
        <f>VLOOKUP(I535, KM!$A:$E, 5, 0)</f>
        <v>434</v>
      </c>
      <c r="Q535" s="24">
        <f>VLOOKUP(J535, KM!$A:$E, 5, 0)</f>
        <v>521</v>
      </c>
      <c r="R535" s="24">
        <f>VLOOKUP(K535, KM!$A:$E, 5, 0)</f>
        <v>1144</v>
      </c>
      <c r="S535" s="24">
        <f>VLOOKUP(L535, KM!$A:$E, 5, 0)</f>
        <v>0</v>
      </c>
      <c r="T535" s="24">
        <f>VLOOKUP(M535, KM!$A:$E, 5, 0)</f>
        <v>852</v>
      </c>
      <c r="U535" s="24">
        <f>VLOOKUP(N535, KM!$A:$E, 5, 0)</f>
        <v>4374</v>
      </c>
      <c r="V535" s="24">
        <f>VLOOKUP(H535, IMPOSTO!$A:$D, 4, 0)</f>
        <v>0.12</v>
      </c>
      <c r="W535" s="24">
        <f>VLOOKUP(I535, IMPOSTO!$A:$D, 4, 0)</f>
        <v>0.12</v>
      </c>
      <c r="X535" s="24">
        <f>VLOOKUP(J535, IMPOSTO!$A:$D, 4, 0)</f>
        <v>7.0000000000000007E-2</v>
      </c>
      <c r="Y535" s="24">
        <f>VLOOKUP(K535, IMPOSTO!$A:$D, 4, 0)</f>
        <v>0.12</v>
      </c>
      <c r="Z535" s="24">
        <f>VLOOKUP(L535, IMPOSTO!$A:$D, 4, 0)</f>
        <v>0.18</v>
      </c>
      <c r="AA535" s="24">
        <f>VLOOKUP(M535, IMPOSTO!$A:$D, 4, 0)</f>
        <v>0.12</v>
      </c>
      <c r="AB535" s="24">
        <f>VLOOKUP(N535, IMPOSTO!$A:$D, 4, 0)</f>
        <v>7.0000000000000007E-2</v>
      </c>
      <c r="AC535" s="25">
        <f t="shared" si="78"/>
        <v>39582.348158275177</v>
      </c>
      <c r="AD535" s="25">
        <f t="shared" si="79"/>
        <v>39582.916340093361</v>
      </c>
      <c r="AE535" s="25">
        <f t="shared" si="80"/>
        <v>37464.157397077593</v>
      </c>
      <c r="AF535" s="25">
        <f t="shared" si="81"/>
        <v>39663.598158275177</v>
      </c>
      <c r="AG535" s="25">
        <f t="shared" si="82"/>
        <v>42426.300462539213</v>
      </c>
      <c r="AH535" s="25">
        <f t="shared" si="83"/>
        <v>39630.416340093361</v>
      </c>
      <c r="AI535" s="25">
        <f t="shared" si="84"/>
        <v>37878.458472346407</v>
      </c>
    </row>
    <row r="536" spans="1:35" ht="15.75" customHeight="1">
      <c r="A536" s="12" t="s">
        <v>387</v>
      </c>
      <c r="B536" s="12" t="s">
        <v>388</v>
      </c>
      <c r="C536" s="12" t="s">
        <v>223</v>
      </c>
      <c r="D536" s="12" t="s">
        <v>33</v>
      </c>
      <c r="E536" s="12" t="s">
        <v>27</v>
      </c>
      <c r="F536" s="13">
        <v>154.00886766712139</v>
      </c>
      <c r="G536" s="14">
        <v>2291.1889176898585</v>
      </c>
      <c r="H536" s="24" t="str">
        <f t="shared" si="77"/>
        <v>RJSP</v>
      </c>
      <c r="I536" s="24" t="str">
        <f t="shared" si="85"/>
        <v>RJMG</v>
      </c>
      <c r="J536" s="24" t="str">
        <f t="shared" si="85"/>
        <v>RJES</v>
      </c>
      <c r="K536" s="24" t="str">
        <f t="shared" si="85"/>
        <v>RJSC</v>
      </c>
      <c r="L536" s="24" t="str">
        <f t="shared" si="85"/>
        <v>RJRJ</v>
      </c>
      <c r="M536" s="24" t="str">
        <f t="shared" si="85"/>
        <v>RJPR</v>
      </c>
      <c r="N536" s="24" t="str">
        <f t="shared" si="85"/>
        <v>RJAM</v>
      </c>
      <c r="O536" s="24">
        <f>VLOOKUP(H536, KM!$A:$E, 5, 0)</f>
        <v>429</v>
      </c>
      <c r="P536" s="24">
        <f>VLOOKUP(I536, KM!$A:$E, 5, 0)</f>
        <v>434</v>
      </c>
      <c r="Q536" s="24">
        <f>VLOOKUP(J536, KM!$A:$E, 5, 0)</f>
        <v>521</v>
      </c>
      <c r="R536" s="24">
        <f>VLOOKUP(K536, KM!$A:$E, 5, 0)</f>
        <v>1144</v>
      </c>
      <c r="S536" s="24">
        <f>VLOOKUP(L536, KM!$A:$E, 5, 0)</f>
        <v>0</v>
      </c>
      <c r="T536" s="24">
        <f>VLOOKUP(M536, KM!$A:$E, 5, 0)</f>
        <v>852</v>
      </c>
      <c r="U536" s="24">
        <f>VLOOKUP(N536, KM!$A:$E, 5, 0)</f>
        <v>4374</v>
      </c>
      <c r="V536" s="24">
        <f>VLOOKUP(H536, IMPOSTO!$A:$D, 4, 0)</f>
        <v>0.12</v>
      </c>
      <c r="W536" s="24">
        <f>VLOOKUP(I536, IMPOSTO!$A:$D, 4, 0)</f>
        <v>0.12</v>
      </c>
      <c r="X536" s="24">
        <f>VLOOKUP(J536, IMPOSTO!$A:$D, 4, 0)</f>
        <v>7.0000000000000007E-2</v>
      </c>
      <c r="Y536" s="24">
        <f>VLOOKUP(K536, IMPOSTO!$A:$D, 4, 0)</f>
        <v>0.12</v>
      </c>
      <c r="Z536" s="24">
        <f>VLOOKUP(L536, IMPOSTO!$A:$D, 4, 0)</f>
        <v>0.18</v>
      </c>
      <c r="AA536" s="24">
        <f>VLOOKUP(M536, IMPOSTO!$A:$D, 4, 0)</f>
        <v>0.12</v>
      </c>
      <c r="AB536" s="24">
        <f>VLOOKUP(N536, IMPOSTO!$A:$D, 4, 0)</f>
        <v>7.0000000000000007E-2</v>
      </c>
      <c r="AC536" s="25">
        <f t="shared" si="78"/>
        <v>2652.3737701021118</v>
      </c>
      <c r="AD536" s="25">
        <f t="shared" si="79"/>
        <v>2652.9419519202938</v>
      </c>
      <c r="AE536" s="25">
        <f t="shared" si="80"/>
        <v>2519.665502892321</v>
      </c>
      <c r="AF536" s="25">
        <f t="shared" si="81"/>
        <v>2733.6237701021118</v>
      </c>
      <c r="AG536" s="25">
        <f t="shared" si="82"/>
        <v>2794.1328264510466</v>
      </c>
      <c r="AH536" s="25">
        <f t="shared" si="83"/>
        <v>2700.4419519202934</v>
      </c>
      <c r="AI536" s="25">
        <f t="shared" si="84"/>
        <v>2933.9665781611384</v>
      </c>
    </row>
    <row r="537" spans="1:35" ht="15.75" customHeight="1">
      <c r="A537" s="12" t="s">
        <v>394</v>
      </c>
      <c r="B537" s="12" t="s">
        <v>395</v>
      </c>
      <c r="C537" s="12" t="s">
        <v>163</v>
      </c>
      <c r="D537" s="12" t="s">
        <v>33</v>
      </c>
      <c r="E537" s="12" t="s">
        <v>27</v>
      </c>
      <c r="F537" s="13">
        <v>15.000000000000002</v>
      </c>
      <c r="G537" s="14">
        <v>896.95833333333348</v>
      </c>
      <c r="H537" s="24" t="str">
        <f t="shared" si="77"/>
        <v>RJSP</v>
      </c>
      <c r="I537" s="24" t="str">
        <f t="shared" si="85"/>
        <v>RJMG</v>
      </c>
      <c r="J537" s="24" t="str">
        <f t="shared" si="85"/>
        <v>RJES</v>
      </c>
      <c r="K537" s="24" t="str">
        <f t="shared" si="85"/>
        <v>RJSC</v>
      </c>
      <c r="L537" s="24" t="str">
        <f t="shared" si="85"/>
        <v>RJRJ</v>
      </c>
      <c r="M537" s="24" t="str">
        <f t="shared" si="85"/>
        <v>RJPR</v>
      </c>
      <c r="N537" s="24" t="str">
        <f t="shared" si="85"/>
        <v>RJAM</v>
      </c>
      <c r="O537" s="24">
        <f>VLOOKUP(H537, KM!$A:$E, 5, 0)</f>
        <v>429</v>
      </c>
      <c r="P537" s="24">
        <f>VLOOKUP(I537, KM!$A:$E, 5, 0)</f>
        <v>434</v>
      </c>
      <c r="Q537" s="24">
        <f>VLOOKUP(J537, KM!$A:$E, 5, 0)</f>
        <v>521</v>
      </c>
      <c r="R537" s="24">
        <f>VLOOKUP(K537, KM!$A:$E, 5, 0)</f>
        <v>1144</v>
      </c>
      <c r="S537" s="24">
        <f>VLOOKUP(L537, KM!$A:$E, 5, 0)</f>
        <v>0</v>
      </c>
      <c r="T537" s="24">
        <f>VLOOKUP(M537, KM!$A:$E, 5, 0)</f>
        <v>852</v>
      </c>
      <c r="U537" s="24">
        <f>VLOOKUP(N537, KM!$A:$E, 5, 0)</f>
        <v>4374</v>
      </c>
      <c r="V537" s="24">
        <f>VLOOKUP(H537, IMPOSTO!$A:$D, 4, 0)</f>
        <v>0.12</v>
      </c>
      <c r="W537" s="24">
        <f>VLOOKUP(I537, IMPOSTO!$A:$D, 4, 0)</f>
        <v>0.12</v>
      </c>
      <c r="X537" s="24">
        <f>VLOOKUP(J537, IMPOSTO!$A:$D, 4, 0)</f>
        <v>7.0000000000000007E-2</v>
      </c>
      <c r="Y537" s="24">
        <f>VLOOKUP(K537, IMPOSTO!$A:$D, 4, 0)</f>
        <v>0.12</v>
      </c>
      <c r="Z537" s="24">
        <f>VLOOKUP(L537, IMPOSTO!$A:$D, 4, 0)</f>
        <v>0.18</v>
      </c>
      <c r="AA537" s="24">
        <f>VLOOKUP(M537, IMPOSTO!$A:$D, 4, 0)</f>
        <v>0.12</v>
      </c>
      <c r="AB537" s="24">
        <f>VLOOKUP(N537, IMPOSTO!$A:$D, 4, 0)</f>
        <v>7.0000000000000007E-2</v>
      </c>
      <c r="AC537" s="25">
        <f t="shared" si="78"/>
        <v>1068.0208333333335</v>
      </c>
      <c r="AD537" s="25">
        <f t="shared" si="79"/>
        <v>1068.5890151515152</v>
      </c>
      <c r="AE537" s="25">
        <f t="shared" si="80"/>
        <v>1020.4928315412189</v>
      </c>
      <c r="AF537" s="25">
        <f t="shared" si="81"/>
        <v>1149.2708333333335</v>
      </c>
      <c r="AG537" s="25">
        <f t="shared" si="82"/>
        <v>1093.8516260162603</v>
      </c>
      <c r="AH537" s="25">
        <f t="shared" si="83"/>
        <v>1116.0890151515155</v>
      </c>
      <c r="AI537" s="25">
        <f t="shared" si="84"/>
        <v>1434.7939068100361</v>
      </c>
    </row>
    <row r="538" spans="1:35" ht="15.75" customHeight="1">
      <c r="A538" s="12" t="s">
        <v>174</v>
      </c>
      <c r="B538" s="12" t="s">
        <v>175</v>
      </c>
      <c r="C538" s="12" t="s">
        <v>176</v>
      </c>
      <c r="D538" s="12" t="s">
        <v>33</v>
      </c>
      <c r="E538" s="12" t="s">
        <v>27</v>
      </c>
      <c r="F538" s="13">
        <v>2.9735999999999985</v>
      </c>
      <c r="G538" s="14">
        <v>132.29434800000001</v>
      </c>
      <c r="H538" s="24" t="str">
        <f t="shared" si="77"/>
        <v>RJSP</v>
      </c>
      <c r="I538" s="24" t="str">
        <f t="shared" si="85"/>
        <v>RJMG</v>
      </c>
      <c r="J538" s="24" t="str">
        <f t="shared" si="85"/>
        <v>RJES</v>
      </c>
      <c r="K538" s="24" t="str">
        <f t="shared" si="85"/>
        <v>RJSC</v>
      </c>
      <c r="L538" s="24" t="str">
        <f t="shared" si="85"/>
        <v>RJRJ</v>
      </c>
      <c r="M538" s="24" t="str">
        <f t="shared" si="85"/>
        <v>RJPR</v>
      </c>
      <c r="N538" s="24" t="str">
        <f t="shared" si="85"/>
        <v>RJAM</v>
      </c>
      <c r="O538" s="24">
        <f>VLOOKUP(H538, KM!$A:$E, 5, 0)</f>
        <v>429</v>
      </c>
      <c r="P538" s="24">
        <f>VLOOKUP(I538, KM!$A:$E, 5, 0)</f>
        <v>434</v>
      </c>
      <c r="Q538" s="24">
        <f>VLOOKUP(J538, KM!$A:$E, 5, 0)</f>
        <v>521</v>
      </c>
      <c r="R538" s="24">
        <f>VLOOKUP(K538, KM!$A:$E, 5, 0)</f>
        <v>1144</v>
      </c>
      <c r="S538" s="24">
        <f>VLOOKUP(L538, KM!$A:$E, 5, 0)</f>
        <v>0</v>
      </c>
      <c r="T538" s="24">
        <f>VLOOKUP(M538, KM!$A:$E, 5, 0)</f>
        <v>852</v>
      </c>
      <c r="U538" s="24">
        <f>VLOOKUP(N538, KM!$A:$E, 5, 0)</f>
        <v>4374</v>
      </c>
      <c r="V538" s="24">
        <f>VLOOKUP(H538, IMPOSTO!$A:$D, 4, 0)</f>
        <v>0.12</v>
      </c>
      <c r="W538" s="24">
        <f>VLOOKUP(I538, IMPOSTO!$A:$D, 4, 0)</f>
        <v>0.12</v>
      </c>
      <c r="X538" s="24">
        <f>VLOOKUP(J538, IMPOSTO!$A:$D, 4, 0)</f>
        <v>7.0000000000000007E-2</v>
      </c>
      <c r="Y538" s="24">
        <f>VLOOKUP(K538, IMPOSTO!$A:$D, 4, 0)</f>
        <v>0.12</v>
      </c>
      <c r="Z538" s="24">
        <f>VLOOKUP(L538, IMPOSTO!$A:$D, 4, 0)</f>
        <v>0.18</v>
      </c>
      <c r="AA538" s="24">
        <f>VLOOKUP(M538, IMPOSTO!$A:$D, 4, 0)</f>
        <v>0.12</v>
      </c>
      <c r="AB538" s="24">
        <f>VLOOKUP(N538, IMPOSTO!$A:$D, 4, 0)</f>
        <v>7.0000000000000007E-2</v>
      </c>
      <c r="AC538" s="25">
        <f t="shared" si="78"/>
        <v>199.08448636363639</v>
      </c>
      <c r="AD538" s="25">
        <f t="shared" si="79"/>
        <v>199.6526681818182</v>
      </c>
      <c r="AE538" s="25">
        <f t="shared" si="80"/>
        <v>198.2734924731183</v>
      </c>
      <c r="AF538" s="25">
        <f t="shared" si="81"/>
        <v>280.33448636363636</v>
      </c>
      <c r="AG538" s="25">
        <f t="shared" si="82"/>
        <v>161.33457073170732</v>
      </c>
      <c r="AH538" s="25">
        <f t="shared" si="83"/>
        <v>247.15266818181817</v>
      </c>
      <c r="AI538" s="25">
        <f t="shared" si="84"/>
        <v>612.57456774193554</v>
      </c>
    </row>
    <row r="539" spans="1:35" ht="15.75" customHeight="1">
      <c r="A539" s="12" t="s">
        <v>177</v>
      </c>
      <c r="B539" s="12" t="s">
        <v>178</v>
      </c>
      <c r="C539" s="12" t="s">
        <v>128</v>
      </c>
      <c r="D539" s="12" t="s">
        <v>33</v>
      </c>
      <c r="E539" s="12" t="s">
        <v>27</v>
      </c>
      <c r="F539" s="13">
        <v>2.6438191031941058</v>
      </c>
      <c r="G539" s="14">
        <v>196.98894876228499</v>
      </c>
      <c r="H539" s="24" t="str">
        <f t="shared" si="77"/>
        <v>RJSP</v>
      </c>
      <c r="I539" s="24" t="str">
        <f t="shared" si="85"/>
        <v>RJMG</v>
      </c>
      <c r="J539" s="24" t="str">
        <f t="shared" si="85"/>
        <v>RJES</v>
      </c>
      <c r="K539" s="24" t="str">
        <f t="shared" si="85"/>
        <v>RJSC</v>
      </c>
      <c r="L539" s="24" t="str">
        <f t="shared" si="85"/>
        <v>RJRJ</v>
      </c>
      <c r="M539" s="24" t="str">
        <f t="shared" si="85"/>
        <v>RJPR</v>
      </c>
      <c r="N539" s="24" t="str">
        <f t="shared" si="85"/>
        <v>RJAM</v>
      </c>
      <c r="O539" s="24">
        <f>VLOOKUP(H539, KM!$A:$E, 5, 0)</f>
        <v>429</v>
      </c>
      <c r="P539" s="24">
        <f>VLOOKUP(I539, KM!$A:$E, 5, 0)</f>
        <v>434</v>
      </c>
      <c r="Q539" s="24">
        <f>VLOOKUP(J539, KM!$A:$E, 5, 0)</f>
        <v>521</v>
      </c>
      <c r="R539" s="24">
        <f>VLOOKUP(K539, KM!$A:$E, 5, 0)</f>
        <v>1144</v>
      </c>
      <c r="S539" s="24">
        <f>VLOOKUP(L539, KM!$A:$E, 5, 0)</f>
        <v>0</v>
      </c>
      <c r="T539" s="24">
        <f>VLOOKUP(M539, KM!$A:$E, 5, 0)</f>
        <v>852</v>
      </c>
      <c r="U539" s="24">
        <f>VLOOKUP(N539, KM!$A:$E, 5, 0)</f>
        <v>4374</v>
      </c>
      <c r="V539" s="24">
        <f>VLOOKUP(H539, IMPOSTO!$A:$D, 4, 0)</f>
        <v>0.12</v>
      </c>
      <c r="W539" s="24">
        <f>VLOOKUP(I539, IMPOSTO!$A:$D, 4, 0)</f>
        <v>0.12</v>
      </c>
      <c r="X539" s="24">
        <f>VLOOKUP(J539, IMPOSTO!$A:$D, 4, 0)</f>
        <v>7.0000000000000007E-2</v>
      </c>
      <c r="Y539" s="24">
        <f>VLOOKUP(K539, IMPOSTO!$A:$D, 4, 0)</f>
        <v>0.12</v>
      </c>
      <c r="Z539" s="24">
        <f>VLOOKUP(L539, IMPOSTO!$A:$D, 4, 0)</f>
        <v>0.18</v>
      </c>
      <c r="AA539" s="24">
        <f>VLOOKUP(M539, IMPOSTO!$A:$D, 4, 0)</f>
        <v>0.12</v>
      </c>
      <c r="AB539" s="24">
        <f>VLOOKUP(N539, IMPOSTO!$A:$D, 4, 0)</f>
        <v>7.0000000000000007E-2</v>
      </c>
      <c r="AC539" s="25">
        <f t="shared" si="78"/>
        <v>272.60107813896025</v>
      </c>
      <c r="AD539" s="25">
        <f t="shared" si="79"/>
        <v>273.16925995714206</v>
      </c>
      <c r="AE539" s="25">
        <f t="shared" si="80"/>
        <v>267.83757931428494</v>
      </c>
      <c r="AF539" s="25">
        <f t="shared" si="81"/>
        <v>353.85107813896025</v>
      </c>
      <c r="AG539" s="25">
        <f t="shared" si="82"/>
        <v>240.23042531985973</v>
      </c>
      <c r="AH539" s="25">
        <f t="shared" si="83"/>
        <v>320.66925995714206</v>
      </c>
      <c r="AI539" s="25">
        <f t="shared" si="84"/>
        <v>682.13865458310227</v>
      </c>
    </row>
    <row r="540" spans="1:35" ht="15.75" customHeight="1">
      <c r="A540" s="12" t="s">
        <v>179</v>
      </c>
      <c r="B540" s="12" t="s">
        <v>180</v>
      </c>
      <c r="C540" s="12" t="s">
        <v>181</v>
      </c>
      <c r="D540" s="12" t="s">
        <v>33</v>
      </c>
      <c r="E540" s="12" t="s">
        <v>27</v>
      </c>
      <c r="F540" s="13">
        <v>512.8273684210526</v>
      </c>
      <c r="G540" s="14">
        <v>4482.7485711578947</v>
      </c>
      <c r="H540" s="24" t="str">
        <f t="shared" si="77"/>
        <v>RJSP</v>
      </c>
      <c r="I540" s="24" t="str">
        <f t="shared" si="85"/>
        <v>RJMG</v>
      </c>
      <c r="J540" s="24" t="str">
        <f t="shared" si="85"/>
        <v>RJES</v>
      </c>
      <c r="K540" s="24" t="str">
        <f t="shared" si="85"/>
        <v>RJSC</v>
      </c>
      <c r="L540" s="24" t="str">
        <f t="shared" si="85"/>
        <v>RJRJ</v>
      </c>
      <c r="M540" s="24" t="str">
        <f t="shared" si="85"/>
        <v>RJPR</v>
      </c>
      <c r="N540" s="24" t="str">
        <f t="shared" si="85"/>
        <v>RJAM</v>
      </c>
      <c r="O540" s="24">
        <f>VLOOKUP(H540, KM!$A:$E, 5, 0)</f>
        <v>429</v>
      </c>
      <c r="P540" s="24">
        <f>VLOOKUP(I540, KM!$A:$E, 5, 0)</f>
        <v>434</v>
      </c>
      <c r="Q540" s="24">
        <f>VLOOKUP(J540, KM!$A:$E, 5, 0)</f>
        <v>521</v>
      </c>
      <c r="R540" s="24">
        <f>VLOOKUP(K540, KM!$A:$E, 5, 0)</f>
        <v>1144</v>
      </c>
      <c r="S540" s="24">
        <f>VLOOKUP(L540, KM!$A:$E, 5, 0)</f>
        <v>0</v>
      </c>
      <c r="T540" s="24">
        <f>VLOOKUP(M540, KM!$A:$E, 5, 0)</f>
        <v>852</v>
      </c>
      <c r="U540" s="24">
        <f>VLOOKUP(N540, KM!$A:$E, 5, 0)</f>
        <v>4374</v>
      </c>
      <c r="V540" s="24">
        <f>VLOOKUP(H540, IMPOSTO!$A:$D, 4, 0)</f>
        <v>0.12</v>
      </c>
      <c r="W540" s="24">
        <f>VLOOKUP(I540, IMPOSTO!$A:$D, 4, 0)</f>
        <v>0.12</v>
      </c>
      <c r="X540" s="24">
        <f>VLOOKUP(J540, IMPOSTO!$A:$D, 4, 0)</f>
        <v>7.0000000000000007E-2</v>
      </c>
      <c r="Y540" s="24">
        <f>VLOOKUP(K540, IMPOSTO!$A:$D, 4, 0)</f>
        <v>0.12</v>
      </c>
      <c r="Z540" s="24">
        <f>VLOOKUP(L540, IMPOSTO!$A:$D, 4, 0)</f>
        <v>0.18</v>
      </c>
      <c r="AA540" s="24">
        <f>VLOOKUP(M540, IMPOSTO!$A:$D, 4, 0)</f>
        <v>0.12</v>
      </c>
      <c r="AB540" s="24">
        <f>VLOOKUP(N540, IMPOSTO!$A:$D, 4, 0)</f>
        <v>7.0000000000000007E-2</v>
      </c>
      <c r="AC540" s="25">
        <f t="shared" si="78"/>
        <v>5142.7824672248798</v>
      </c>
      <c r="AD540" s="25">
        <f t="shared" si="79"/>
        <v>5143.3506490430618</v>
      </c>
      <c r="AE540" s="25">
        <f t="shared" si="80"/>
        <v>4876.1812593095647</v>
      </c>
      <c r="AF540" s="25">
        <f t="shared" si="81"/>
        <v>5224.0324672248798</v>
      </c>
      <c r="AG540" s="25">
        <f t="shared" si="82"/>
        <v>5466.766550192554</v>
      </c>
      <c r="AH540" s="25">
        <f t="shared" si="83"/>
        <v>5190.8506490430618</v>
      </c>
      <c r="AI540" s="25">
        <f t="shared" si="84"/>
        <v>5290.4823345783816</v>
      </c>
    </row>
    <row r="541" spans="1:35" ht="15.75" customHeight="1">
      <c r="A541" s="12" t="s">
        <v>179</v>
      </c>
      <c r="B541" s="12" t="s">
        <v>180</v>
      </c>
      <c r="C541" s="12" t="s">
        <v>181</v>
      </c>
      <c r="D541" s="12" t="s">
        <v>33</v>
      </c>
      <c r="E541" s="12" t="s">
        <v>27</v>
      </c>
      <c r="F541" s="13">
        <v>14.652210526315789</v>
      </c>
      <c r="G541" s="14">
        <v>130.48526084210525</v>
      </c>
      <c r="H541" s="24" t="str">
        <f t="shared" si="77"/>
        <v>RJSP</v>
      </c>
      <c r="I541" s="24" t="str">
        <f t="shared" si="85"/>
        <v>RJMG</v>
      </c>
      <c r="J541" s="24" t="str">
        <f t="shared" si="85"/>
        <v>RJES</v>
      </c>
      <c r="K541" s="24" t="str">
        <f t="shared" si="85"/>
        <v>RJSC</v>
      </c>
      <c r="L541" s="24" t="str">
        <f t="shared" si="85"/>
        <v>RJRJ</v>
      </c>
      <c r="M541" s="24" t="str">
        <f t="shared" si="85"/>
        <v>RJPR</v>
      </c>
      <c r="N541" s="24" t="str">
        <f t="shared" si="85"/>
        <v>RJAM</v>
      </c>
      <c r="O541" s="24">
        <f>VLOOKUP(H541, KM!$A:$E, 5, 0)</f>
        <v>429</v>
      </c>
      <c r="P541" s="24">
        <f>VLOOKUP(I541, KM!$A:$E, 5, 0)</f>
        <v>434</v>
      </c>
      <c r="Q541" s="24">
        <f>VLOOKUP(J541, KM!$A:$E, 5, 0)</f>
        <v>521</v>
      </c>
      <c r="R541" s="24">
        <f>VLOOKUP(K541, KM!$A:$E, 5, 0)</f>
        <v>1144</v>
      </c>
      <c r="S541" s="24">
        <f>VLOOKUP(L541, KM!$A:$E, 5, 0)</f>
        <v>0</v>
      </c>
      <c r="T541" s="24">
        <f>VLOOKUP(M541, KM!$A:$E, 5, 0)</f>
        <v>852</v>
      </c>
      <c r="U541" s="24">
        <f>VLOOKUP(N541, KM!$A:$E, 5, 0)</f>
        <v>4374</v>
      </c>
      <c r="V541" s="24">
        <f>VLOOKUP(H541, IMPOSTO!$A:$D, 4, 0)</f>
        <v>0.12</v>
      </c>
      <c r="W541" s="24">
        <f>VLOOKUP(I541, IMPOSTO!$A:$D, 4, 0)</f>
        <v>0.12</v>
      </c>
      <c r="X541" s="24">
        <f>VLOOKUP(J541, IMPOSTO!$A:$D, 4, 0)</f>
        <v>7.0000000000000007E-2</v>
      </c>
      <c r="Y541" s="24">
        <f>VLOOKUP(K541, IMPOSTO!$A:$D, 4, 0)</f>
        <v>0.12</v>
      </c>
      <c r="Z541" s="24">
        <f>VLOOKUP(L541, IMPOSTO!$A:$D, 4, 0)</f>
        <v>0.18</v>
      </c>
      <c r="AA541" s="24">
        <f>VLOOKUP(M541, IMPOSTO!$A:$D, 4, 0)</f>
        <v>0.12</v>
      </c>
      <c r="AB541" s="24">
        <f>VLOOKUP(N541, IMPOSTO!$A:$D, 4, 0)</f>
        <v>7.0000000000000007E-2</v>
      </c>
      <c r="AC541" s="25">
        <f t="shared" si="78"/>
        <v>197.02870550239234</v>
      </c>
      <c r="AD541" s="25">
        <f t="shared" si="79"/>
        <v>197.59688732057415</v>
      </c>
      <c r="AE541" s="25">
        <f t="shared" si="80"/>
        <v>196.3282374646293</v>
      </c>
      <c r="AF541" s="25">
        <f t="shared" si="81"/>
        <v>278.27870550239231</v>
      </c>
      <c r="AG541" s="25">
        <f t="shared" si="82"/>
        <v>159.12836688061614</v>
      </c>
      <c r="AH541" s="25">
        <f t="shared" si="83"/>
        <v>245.09688732057415</v>
      </c>
      <c r="AI541" s="25">
        <f t="shared" si="84"/>
        <v>610.62931273344657</v>
      </c>
    </row>
    <row r="542" spans="1:35" ht="15.75" customHeight="1">
      <c r="A542" s="12" t="s">
        <v>179</v>
      </c>
      <c r="B542" s="12" t="s">
        <v>180</v>
      </c>
      <c r="C542" s="12" t="s">
        <v>181</v>
      </c>
      <c r="D542" s="12" t="s">
        <v>33</v>
      </c>
      <c r="E542" s="12" t="s">
        <v>27</v>
      </c>
      <c r="F542" s="13">
        <v>14.652210526315789</v>
      </c>
      <c r="G542" s="14">
        <v>118.28729557894738</v>
      </c>
      <c r="H542" s="24" t="str">
        <f t="shared" si="77"/>
        <v>RJSP</v>
      </c>
      <c r="I542" s="24" t="str">
        <f t="shared" si="85"/>
        <v>RJMG</v>
      </c>
      <c r="J542" s="24" t="str">
        <f t="shared" si="85"/>
        <v>RJES</v>
      </c>
      <c r="K542" s="24" t="str">
        <f t="shared" si="85"/>
        <v>RJSC</v>
      </c>
      <c r="L542" s="24" t="str">
        <f t="shared" si="85"/>
        <v>RJRJ</v>
      </c>
      <c r="M542" s="24" t="str">
        <f t="shared" si="85"/>
        <v>RJPR</v>
      </c>
      <c r="N542" s="24" t="str">
        <f t="shared" si="85"/>
        <v>RJAM</v>
      </c>
      <c r="O542" s="24">
        <f>VLOOKUP(H542, KM!$A:$E, 5, 0)</f>
        <v>429</v>
      </c>
      <c r="P542" s="24">
        <f>VLOOKUP(I542, KM!$A:$E, 5, 0)</f>
        <v>434</v>
      </c>
      <c r="Q542" s="24">
        <f>VLOOKUP(J542, KM!$A:$E, 5, 0)</f>
        <v>521</v>
      </c>
      <c r="R542" s="24">
        <f>VLOOKUP(K542, KM!$A:$E, 5, 0)</f>
        <v>1144</v>
      </c>
      <c r="S542" s="24">
        <f>VLOOKUP(L542, KM!$A:$E, 5, 0)</f>
        <v>0</v>
      </c>
      <c r="T542" s="24">
        <f>VLOOKUP(M542, KM!$A:$E, 5, 0)</f>
        <v>852</v>
      </c>
      <c r="U542" s="24">
        <f>VLOOKUP(N542, KM!$A:$E, 5, 0)</f>
        <v>4374</v>
      </c>
      <c r="V542" s="24">
        <f>VLOOKUP(H542, IMPOSTO!$A:$D, 4, 0)</f>
        <v>0.12</v>
      </c>
      <c r="W542" s="24">
        <f>VLOOKUP(I542, IMPOSTO!$A:$D, 4, 0)</f>
        <v>0.12</v>
      </c>
      <c r="X542" s="24">
        <f>VLOOKUP(J542, IMPOSTO!$A:$D, 4, 0)</f>
        <v>7.0000000000000007E-2</v>
      </c>
      <c r="Y542" s="24">
        <f>VLOOKUP(K542, IMPOSTO!$A:$D, 4, 0)</f>
        <v>0.12</v>
      </c>
      <c r="Z542" s="24">
        <f>VLOOKUP(L542, IMPOSTO!$A:$D, 4, 0)</f>
        <v>0.18</v>
      </c>
      <c r="AA542" s="24">
        <f>VLOOKUP(M542, IMPOSTO!$A:$D, 4, 0)</f>
        <v>0.12</v>
      </c>
      <c r="AB542" s="24">
        <f>VLOOKUP(N542, IMPOSTO!$A:$D, 4, 0)</f>
        <v>7.0000000000000007E-2</v>
      </c>
      <c r="AC542" s="25">
        <f t="shared" si="78"/>
        <v>183.16738133971293</v>
      </c>
      <c r="AD542" s="25">
        <f t="shared" si="79"/>
        <v>183.73556315789475</v>
      </c>
      <c r="AE542" s="25">
        <f t="shared" si="80"/>
        <v>183.21214578381438</v>
      </c>
      <c r="AF542" s="25">
        <f t="shared" si="81"/>
        <v>264.41738133971296</v>
      </c>
      <c r="AG542" s="25">
        <f t="shared" si="82"/>
        <v>144.25279948652118</v>
      </c>
      <c r="AH542" s="25">
        <f t="shared" si="83"/>
        <v>231.23556315789477</v>
      </c>
      <c r="AI542" s="25">
        <f t="shared" si="84"/>
        <v>597.51322105263171</v>
      </c>
    </row>
    <row r="543" spans="1:35" ht="15.75" customHeight="1">
      <c r="A543" s="12" t="s">
        <v>182</v>
      </c>
      <c r="B543" s="12" t="s">
        <v>183</v>
      </c>
      <c r="C543" s="12" t="s">
        <v>160</v>
      </c>
      <c r="D543" s="12" t="s">
        <v>33</v>
      </c>
      <c r="E543" s="12" t="s">
        <v>27</v>
      </c>
      <c r="F543" s="13">
        <v>1098.4459788058095</v>
      </c>
      <c r="G543" s="14">
        <v>6528.9968442078534</v>
      </c>
      <c r="H543" s="24" t="str">
        <f t="shared" si="77"/>
        <v>RJSP</v>
      </c>
      <c r="I543" s="24" t="str">
        <f t="shared" si="85"/>
        <v>RJMG</v>
      </c>
      <c r="J543" s="24" t="str">
        <f t="shared" si="85"/>
        <v>RJES</v>
      </c>
      <c r="K543" s="24" t="str">
        <f t="shared" si="85"/>
        <v>RJSC</v>
      </c>
      <c r="L543" s="24" t="str">
        <f t="shared" si="85"/>
        <v>RJRJ</v>
      </c>
      <c r="M543" s="24" t="str">
        <f t="shared" si="85"/>
        <v>RJPR</v>
      </c>
      <c r="N543" s="24" t="str">
        <f t="shared" si="85"/>
        <v>RJAM</v>
      </c>
      <c r="O543" s="24">
        <f>VLOOKUP(H543, KM!$A:$E, 5, 0)</f>
        <v>429</v>
      </c>
      <c r="P543" s="24">
        <f>VLOOKUP(I543, KM!$A:$E, 5, 0)</f>
        <v>434</v>
      </c>
      <c r="Q543" s="24">
        <f>VLOOKUP(J543, KM!$A:$E, 5, 0)</f>
        <v>521</v>
      </c>
      <c r="R543" s="24">
        <f>VLOOKUP(K543, KM!$A:$E, 5, 0)</f>
        <v>1144</v>
      </c>
      <c r="S543" s="24">
        <f>VLOOKUP(L543, KM!$A:$E, 5, 0)</f>
        <v>0</v>
      </c>
      <c r="T543" s="24">
        <f>VLOOKUP(M543, KM!$A:$E, 5, 0)</f>
        <v>852</v>
      </c>
      <c r="U543" s="24">
        <f>VLOOKUP(N543, KM!$A:$E, 5, 0)</f>
        <v>4374</v>
      </c>
      <c r="V543" s="24">
        <f>VLOOKUP(H543, IMPOSTO!$A:$D, 4, 0)</f>
        <v>0.12</v>
      </c>
      <c r="W543" s="24">
        <f>VLOOKUP(I543, IMPOSTO!$A:$D, 4, 0)</f>
        <v>0.12</v>
      </c>
      <c r="X543" s="24">
        <f>VLOOKUP(J543, IMPOSTO!$A:$D, 4, 0)</f>
        <v>7.0000000000000007E-2</v>
      </c>
      <c r="Y543" s="24">
        <f>VLOOKUP(K543, IMPOSTO!$A:$D, 4, 0)</f>
        <v>0.12</v>
      </c>
      <c r="Z543" s="24">
        <f>VLOOKUP(L543, IMPOSTO!$A:$D, 4, 0)</f>
        <v>0.18</v>
      </c>
      <c r="AA543" s="24">
        <f>VLOOKUP(M543, IMPOSTO!$A:$D, 4, 0)</f>
        <v>0.12</v>
      </c>
      <c r="AB543" s="24">
        <f>VLOOKUP(N543, IMPOSTO!$A:$D, 4, 0)</f>
        <v>7.0000000000000007E-2</v>
      </c>
      <c r="AC543" s="25">
        <f t="shared" si="78"/>
        <v>7468.064595690742</v>
      </c>
      <c r="AD543" s="25">
        <f t="shared" si="79"/>
        <v>7468.6327775089239</v>
      </c>
      <c r="AE543" s="25">
        <f t="shared" si="80"/>
        <v>7076.4482195783376</v>
      </c>
      <c r="AF543" s="25">
        <f t="shared" si="81"/>
        <v>7549.314595690742</v>
      </c>
      <c r="AG543" s="25">
        <f t="shared" si="82"/>
        <v>7962.1912734242105</v>
      </c>
      <c r="AH543" s="25">
        <f t="shared" si="83"/>
        <v>7516.1327775089239</v>
      </c>
      <c r="AI543" s="25">
        <f t="shared" si="84"/>
        <v>7490.7492948471545</v>
      </c>
    </row>
    <row r="544" spans="1:35" ht="15.75" customHeight="1">
      <c r="A544" s="12" t="s">
        <v>182</v>
      </c>
      <c r="B544" s="12" t="s">
        <v>183</v>
      </c>
      <c r="C544" s="12" t="s">
        <v>160</v>
      </c>
      <c r="D544" s="12" t="s">
        <v>33</v>
      </c>
      <c r="E544" s="12" t="s">
        <v>27</v>
      </c>
      <c r="F544" s="13">
        <v>49.816144163528769</v>
      </c>
      <c r="G544" s="14">
        <v>268.39942152426033</v>
      </c>
      <c r="H544" s="24" t="str">
        <f t="shared" si="77"/>
        <v>RJSP</v>
      </c>
      <c r="I544" s="24" t="str">
        <f t="shared" si="85"/>
        <v>RJMG</v>
      </c>
      <c r="J544" s="24" t="str">
        <f t="shared" si="85"/>
        <v>RJES</v>
      </c>
      <c r="K544" s="24" t="str">
        <f t="shared" si="85"/>
        <v>RJSC</v>
      </c>
      <c r="L544" s="24" t="str">
        <f t="shared" si="85"/>
        <v>RJRJ</v>
      </c>
      <c r="M544" s="24" t="str">
        <f t="shared" si="85"/>
        <v>RJPR</v>
      </c>
      <c r="N544" s="24" t="str">
        <f t="shared" si="85"/>
        <v>RJAM</v>
      </c>
      <c r="O544" s="24">
        <f>VLOOKUP(H544, KM!$A:$E, 5, 0)</f>
        <v>429</v>
      </c>
      <c r="P544" s="24">
        <f>VLOOKUP(I544, KM!$A:$E, 5, 0)</f>
        <v>434</v>
      </c>
      <c r="Q544" s="24">
        <f>VLOOKUP(J544, KM!$A:$E, 5, 0)</f>
        <v>521</v>
      </c>
      <c r="R544" s="24">
        <f>VLOOKUP(K544, KM!$A:$E, 5, 0)</f>
        <v>1144</v>
      </c>
      <c r="S544" s="24">
        <f>VLOOKUP(L544, KM!$A:$E, 5, 0)</f>
        <v>0</v>
      </c>
      <c r="T544" s="24">
        <f>VLOOKUP(M544, KM!$A:$E, 5, 0)</f>
        <v>852</v>
      </c>
      <c r="U544" s="24">
        <f>VLOOKUP(N544, KM!$A:$E, 5, 0)</f>
        <v>4374</v>
      </c>
      <c r="V544" s="24">
        <f>VLOOKUP(H544, IMPOSTO!$A:$D, 4, 0)</f>
        <v>0.12</v>
      </c>
      <c r="W544" s="24">
        <f>VLOOKUP(I544, IMPOSTO!$A:$D, 4, 0)</f>
        <v>0.12</v>
      </c>
      <c r="X544" s="24">
        <f>VLOOKUP(J544, IMPOSTO!$A:$D, 4, 0)</f>
        <v>7.0000000000000007E-2</v>
      </c>
      <c r="Y544" s="24">
        <f>VLOOKUP(K544, IMPOSTO!$A:$D, 4, 0)</f>
        <v>0.12</v>
      </c>
      <c r="Z544" s="24">
        <f>VLOOKUP(L544, IMPOSTO!$A:$D, 4, 0)</f>
        <v>0.18</v>
      </c>
      <c r="AA544" s="24">
        <f>VLOOKUP(M544, IMPOSTO!$A:$D, 4, 0)</f>
        <v>0.12</v>
      </c>
      <c r="AB544" s="24">
        <f>VLOOKUP(N544, IMPOSTO!$A:$D, 4, 0)</f>
        <v>7.0000000000000007E-2</v>
      </c>
      <c r="AC544" s="25">
        <f t="shared" si="78"/>
        <v>353.74934264120492</v>
      </c>
      <c r="AD544" s="25">
        <f t="shared" si="79"/>
        <v>354.31752445938673</v>
      </c>
      <c r="AE544" s="25">
        <f t="shared" si="80"/>
        <v>344.62303389705414</v>
      </c>
      <c r="AF544" s="25">
        <f t="shared" si="81"/>
        <v>434.99934264120492</v>
      </c>
      <c r="AG544" s="25">
        <f t="shared" si="82"/>
        <v>327.3163677125126</v>
      </c>
      <c r="AH544" s="25">
        <f t="shared" si="83"/>
        <v>401.81752445938673</v>
      </c>
      <c r="AI544" s="25">
        <f t="shared" si="84"/>
        <v>758.92410916587153</v>
      </c>
    </row>
    <row r="545" spans="1:35" ht="15.75" customHeight="1">
      <c r="A545" s="12" t="s">
        <v>186</v>
      </c>
      <c r="B545" s="12" t="s">
        <v>187</v>
      </c>
      <c r="C545" s="12" t="s">
        <v>181</v>
      </c>
      <c r="D545" s="12" t="s">
        <v>33</v>
      </c>
      <c r="E545" s="12" t="s">
        <v>27</v>
      </c>
      <c r="F545" s="13">
        <v>32.996688045851528</v>
      </c>
      <c r="G545" s="14">
        <v>1414.880385172489</v>
      </c>
      <c r="H545" s="24" t="str">
        <f t="shared" si="77"/>
        <v>RJSP</v>
      </c>
      <c r="I545" s="24" t="str">
        <f t="shared" si="85"/>
        <v>RJMG</v>
      </c>
      <c r="J545" s="24" t="str">
        <f t="shared" si="85"/>
        <v>RJES</v>
      </c>
      <c r="K545" s="24" t="str">
        <f t="shared" si="85"/>
        <v>RJSC</v>
      </c>
      <c r="L545" s="24" t="str">
        <f t="shared" si="85"/>
        <v>RJRJ</v>
      </c>
      <c r="M545" s="24" t="str">
        <f t="shared" si="85"/>
        <v>RJPR</v>
      </c>
      <c r="N545" s="24" t="str">
        <f t="shared" si="85"/>
        <v>RJAM</v>
      </c>
      <c r="O545" s="24">
        <f>VLOOKUP(H545, KM!$A:$E, 5, 0)</f>
        <v>429</v>
      </c>
      <c r="P545" s="24">
        <f>VLOOKUP(I545, KM!$A:$E, 5, 0)</f>
        <v>434</v>
      </c>
      <c r="Q545" s="24">
        <f>VLOOKUP(J545, KM!$A:$E, 5, 0)</f>
        <v>521</v>
      </c>
      <c r="R545" s="24">
        <f>VLOOKUP(K545, KM!$A:$E, 5, 0)</f>
        <v>1144</v>
      </c>
      <c r="S545" s="24">
        <f>VLOOKUP(L545, KM!$A:$E, 5, 0)</f>
        <v>0</v>
      </c>
      <c r="T545" s="24">
        <f>VLOOKUP(M545, KM!$A:$E, 5, 0)</f>
        <v>852</v>
      </c>
      <c r="U545" s="24">
        <f>VLOOKUP(N545, KM!$A:$E, 5, 0)</f>
        <v>4374</v>
      </c>
      <c r="V545" s="24">
        <f>VLOOKUP(H545, IMPOSTO!$A:$D, 4, 0)</f>
        <v>0.12</v>
      </c>
      <c r="W545" s="24">
        <f>VLOOKUP(I545, IMPOSTO!$A:$D, 4, 0)</f>
        <v>0.12</v>
      </c>
      <c r="X545" s="24">
        <f>VLOOKUP(J545, IMPOSTO!$A:$D, 4, 0)</f>
        <v>7.0000000000000007E-2</v>
      </c>
      <c r="Y545" s="24">
        <f>VLOOKUP(K545, IMPOSTO!$A:$D, 4, 0)</f>
        <v>0.12</v>
      </c>
      <c r="Z545" s="24">
        <f>VLOOKUP(L545, IMPOSTO!$A:$D, 4, 0)</f>
        <v>0.18</v>
      </c>
      <c r="AA545" s="24">
        <f>VLOOKUP(M545, IMPOSTO!$A:$D, 4, 0)</f>
        <v>0.12</v>
      </c>
      <c r="AB545" s="24">
        <f>VLOOKUP(N545, IMPOSTO!$A:$D, 4, 0)</f>
        <v>7.0000000000000007E-2</v>
      </c>
      <c r="AC545" s="25">
        <f t="shared" si="78"/>
        <v>1656.5686195141921</v>
      </c>
      <c r="AD545" s="25">
        <f t="shared" si="79"/>
        <v>1657.136801332374</v>
      </c>
      <c r="AE545" s="25">
        <f t="shared" si="80"/>
        <v>1577.3982636263322</v>
      </c>
      <c r="AF545" s="25">
        <f t="shared" si="81"/>
        <v>1737.8186195141921</v>
      </c>
      <c r="AG545" s="25">
        <f t="shared" si="82"/>
        <v>1725.4638843566938</v>
      </c>
      <c r="AH545" s="25">
        <f t="shared" si="83"/>
        <v>1704.636801332374</v>
      </c>
      <c r="AI545" s="25">
        <f t="shared" si="84"/>
        <v>1991.6993388951496</v>
      </c>
    </row>
    <row r="546" spans="1:35" ht="15.75" customHeight="1">
      <c r="A546" s="12" t="s">
        <v>186</v>
      </c>
      <c r="B546" s="12" t="s">
        <v>187</v>
      </c>
      <c r="C546" s="12" t="s">
        <v>181</v>
      </c>
      <c r="D546" s="12" t="s">
        <v>33</v>
      </c>
      <c r="E546" s="12" t="s">
        <v>27</v>
      </c>
      <c r="F546" s="13">
        <v>74.792492903930139</v>
      </c>
      <c r="G546" s="14">
        <v>2726.6527195393014</v>
      </c>
      <c r="H546" s="24" t="str">
        <f t="shared" si="77"/>
        <v>RJSP</v>
      </c>
      <c r="I546" s="24" t="str">
        <f t="shared" si="85"/>
        <v>RJMG</v>
      </c>
      <c r="J546" s="24" t="str">
        <f t="shared" si="85"/>
        <v>RJES</v>
      </c>
      <c r="K546" s="24" t="str">
        <f t="shared" si="85"/>
        <v>RJSC</v>
      </c>
      <c r="L546" s="24" t="str">
        <f t="shared" si="85"/>
        <v>RJRJ</v>
      </c>
      <c r="M546" s="24" t="str">
        <f t="shared" si="85"/>
        <v>RJPR</v>
      </c>
      <c r="N546" s="24" t="str">
        <f t="shared" si="85"/>
        <v>RJAM</v>
      </c>
      <c r="O546" s="24">
        <f>VLOOKUP(H546, KM!$A:$E, 5, 0)</f>
        <v>429</v>
      </c>
      <c r="P546" s="24">
        <f>VLOOKUP(I546, KM!$A:$E, 5, 0)</f>
        <v>434</v>
      </c>
      <c r="Q546" s="24">
        <f>VLOOKUP(J546, KM!$A:$E, 5, 0)</f>
        <v>521</v>
      </c>
      <c r="R546" s="24">
        <f>VLOOKUP(K546, KM!$A:$E, 5, 0)</f>
        <v>1144</v>
      </c>
      <c r="S546" s="24">
        <f>VLOOKUP(L546, KM!$A:$E, 5, 0)</f>
        <v>0</v>
      </c>
      <c r="T546" s="24">
        <f>VLOOKUP(M546, KM!$A:$E, 5, 0)</f>
        <v>852</v>
      </c>
      <c r="U546" s="24">
        <f>VLOOKUP(N546, KM!$A:$E, 5, 0)</f>
        <v>4374</v>
      </c>
      <c r="V546" s="24">
        <f>VLOOKUP(H546, IMPOSTO!$A:$D, 4, 0)</f>
        <v>0.12</v>
      </c>
      <c r="W546" s="24">
        <f>VLOOKUP(I546, IMPOSTO!$A:$D, 4, 0)</f>
        <v>0.12</v>
      </c>
      <c r="X546" s="24">
        <f>VLOOKUP(J546, IMPOSTO!$A:$D, 4, 0)</f>
        <v>7.0000000000000007E-2</v>
      </c>
      <c r="Y546" s="24">
        <f>VLOOKUP(K546, IMPOSTO!$A:$D, 4, 0)</f>
        <v>0.12</v>
      </c>
      <c r="Z546" s="24">
        <f>VLOOKUP(L546, IMPOSTO!$A:$D, 4, 0)</f>
        <v>0.18</v>
      </c>
      <c r="AA546" s="24">
        <f>VLOOKUP(M546, IMPOSTO!$A:$D, 4, 0)</f>
        <v>0.12</v>
      </c>
      <c r="AB546" s="24">
        <f>VLOOKUP(N546, IMPOSTO!$A:$D, 4, 0)</f>
        <v>7.0000000000000007E-2</v>
      </c>
      <c r="AC546" s="25">
        <f t="shared" si="78"/>
        <v>3147.218999476479</v>
      </c>
      <c r="AD546" s="25">
        <f t="shared" si="79"/>
        <v>3147.787181294661</v>
      </c>
      <c r="AE546" s="25">
        <f t="shared" si="80"/>
        <v>2987.9061500422595</v>
      </c>
      <c r="AF546" s="25">
        <f t="shared" si="81"/>
        <v>3228.468999476479</v>
      </c>
      <c r="AG546" s="25">
        <f t="shared" si="82"/>
        <v>3325.1862433406113</v>
      </c>
      <c r="AH546" s="25">
        <f t="shared" si="83"/>
        <v>3195.2871812946605</v>
      </c>
      <c r="AI546" s="25">
        <f t="shared" si="84"/>
        <v>3402.2072253110773</v>
      </c>
    </row>
    <row r="547" spans="1:35" ht="15.75" customHeight="1">
      <c r="A547" s="12" t="s">
        <v>560</v>
      </c>
      <c r="B547" s="12" t="s">
        <v>561</v>
      </c>
      <c r="C547" s="12" t="s">
        <v>192</v>
      </c>
      <c r="D547" s="12" t="s">
        <v>33</v>
      </c>
      <c r="E547" s="12" t="s">
        <v>27</v>
      </c>
      <c r="F547" s="13">
        <v>1.2852830188679245E-2</v>
      </c>
      <c r="G547" s="14">
        <v>0.71455309433962266</v>
      </c>
      <c r="H547" s="24" t="str">
        <f t="shared" si="77"/>
        <v>RJSP</v>
      </c>
      <c r="I547" s="24" t="str">
        <f t="shared" si="85"/>
        <v>RJMG</v>
      </c>
      <c r="J547" s="24" t="str">
        <f t="shared" si="85"/>
        <v>RJES</v>
      </c>
      <c r="K547" s="24" t="str">
        <f t="shared" si="85"/>
        <v>RJSC</v>
      </c>
      <c r="L547" s="24" t="str">
        <f t="shared" si="85"/>
        <v>RJRJ</v>
      </c>
      <c r="M547" s="24" t="str">
        <f t="shared" si="85"/>
        <v>RJPR</v>
      </c>
      <c r="N547" s="24" t="str">
        <f t="shared" si="85"/>
        <v>RJAM</v>
      </c>
      <c r="O547" s="24">
        <f>VLOOKUP(H547, KM!$A:$E, 5, 0)</f>
        <v>429</v>
      </c>
      <c r="P547" s="24">
        <f>VLOOKUP(I547, KM!$A:$E, 5, 0)</f>
        <v>434</v>
      </c>
      <c r="Q547" s="24">
        <f>VLOOKUP(J547, KM!$A:$E, 5, 0)</f>
        <v>521</v>
      </c>
      <c r="R547" s="24">
        <f>VLOOKUP(K547, KM!$A:$E, 5, 0)</f>
        <v>1144</v>
      </c>
      <c r="S547" s="24">
        <f>VLOOKUP(L547, KM!$A:$E, 5, 0)</f>
        <v>0</v>
      </c>
      <c r="T547" s="24">
        <f>VLOOKUP(M547, KM!$A:$E, 5, 0)</f>
        <v>852</v>
      </c>
      <c r="U547" s="24">
        <f>VLOOKUP(N547, KM!$A:$E, 5, 0)</f>
        <v>4374</v>
      </c>
      <c r="V547" s="24">
        <f>VLOOKUP(H547, IMPOSTO!$A:$D, 4, 0)</f>
        <v>0.12</v>
      </c>
      <c r="W547" s="24">
        <f>VLOOKUP(I547, IMPOSTO!$A:$D, 4, 0)</f>
        <v>0.12</v>
      </c>
      <c r="X547" s="24">
        <f>VLOOKUP(J547, IMPOSTO!$A:$D, 4, 0)</f>
        <v>7.0000000000000007E-2</v>
      </c>
      <c r="Y547" s="24">
        <f>VLOOKUP(K547, IMPOSTO!$A:$D, 4, 0)</f>
        <v>0.12</v>
      </c>
      <c r="Z547" s="24">
        <f>VLOOKUP(L547, IMPOSTO!$A:$D, 4, 0)</f>
        <v>0.18</v>
      </c>
      <c r="AA547" s="24">
        <f>VLOOKUP(M547, IMPOSTO!$A:$D, 4, 0)</f>
        <v>0.12</v>
      </c>
      <c r="AB547" s="24">
        <f>VLOOKUP(N547, IMPOSTO!$A:$D, 4, 0)</f>
        <v>7.0000000000000007E-2</v>
      </c>
      <c r="AC547" s="25">
        <f t="shared" si="78"/>
        <v>49.561992152658668</v>
      </c>
      <c r="AD547" s="25">
        <f t="shared" si="79"/>
        <v>50.130173970840488</v>
      </c>
      <c r="AE547" s="25">
        <f t="shared" si="80"/>
        <v>56.789842036924327</v>
      </c>
      <c r="AF547" s="25">
        <f t="shared" si="81"/>
        <v>130.81199215265866</v>
      </c>
      <c r="AG547" s="25">
        <f t="shared" si="82"/>
        <v>0.87140621260929585</v>
      </c>
      <c r="AH547" s="25">
        <f t="shared" si="83"/>
        <v>97.630173970840488</v>
      </c>
      <c r="AI547" s="25">
        <f t="shared" si="84"/>
        <v>471.09091730574158</v>
      </c>
    </row>
    <row r="548" spans="1:35" ht="15.75" customHeight="1">
      <c r="A548" s="12" t="s">
        <v>197</v>
      </c>
      <c r="B548" s="12" t="s">
        <v>198</v>
      </c>
      <c r="C548" s="12" t="s">
        <v>181</v>
      </c>
      <c r="D548" s="12" t="s">
        <v>33</v>
      </c>
      <c r="E548" s="12" t="s">
        <v>27</v>
      </c>
      <c r="F548" s="13">
        <v>3.7828041543026707</v>
      </c>
      <c r="G548" s="14">
        <v>74.574201097922852</v>
      </c>
      <c r="H548" s="24" t="str">
        <f t="shared" si="77"/>
        <v>RJSP</v>
      </c>
      <c r="I548" s="24" t="str">
        <f t="shared" si="85"/>
        <v>RJMG</v>
      </c>
      <c r="J548" s="24" t="str">
        <f t="shared" si="85"/>
        <v>RJES</v>
      </c>
      <c r="K548" s="24" t="str">
        <f t="shared" si="85"/>
        <v>RJSC</v>
      </c>
      <c r="L548" s="24" t="str">
        <f t="shared" si="85"/>
        <v>RJRJ</v>
      </c>
      <c r="M548" s="24" t="str">
        <f t="shared" si="85"/>
        <v>RJPR</v>
      </c>
      <c r="N548" s="24" t="str">
        <f t="shared" si="85"/>
        <v>RJAM</v>
      </c>
      <c r="O548" s="24">
        <f>VLOOKUP(H548, KM!$A:$E, 5, 0)</f>
        <v>429</v>
      </c>
      <c r="P548" s="24">
        <f>VLOOKUP(I548, KM!$A:$E, 5, 0)</f>
        <v>434</v>
      </c>
      <c r="Q548" s="24">
        <f>VLOOKUP(J548, KM!$A:$E, 5, 0)</f>
        <v>521</v>
      </c>
      <c r="R548" s="24">
        <f>VLOOKUP(K548, KM!$A:$E, 5, 0)</f>
        <v>1144</v>
      </c>
      <c r="S548" s="24">
        <f>VLOOKUP(L548, KM!$A:$E, 5, 0)</f>
        <v>0</v>
      </c>
      <c r="T548" s="24">
        <f>VLOOKUP(M548, KM!$A:$E, 5, 0)</f>
        <v>852</v>
      </c>
      <c r="U548" s="24">
        <f>VLOOKUP(N548, KM!$A:$E, 5, 0)</f>
        <v>4374</v>
      </c>
      <c r="V548" s="24">
        <f>VLOOKUP(H548, IMPOSTO!$A:$D, 4, 0)</f>
        <v>0.12</v>
      </c>
      <c r="W548" s="24">
        <f>VLOOKUP(I548, IMPOSTO!$A:$D, 4, 0)</f>
        <v>0.12</v>
      </c>
      <c r="X548" s="24">
        <f>VLOOKUP(J548, IMPOSTO!$A:$D, 4, 0)</f>
        <v>7.0000000000000007E-2</v>
      </c>
      <c r="Y548" s="24">
        <f>VLOOKUP(K548, IMPOSTO!$A:$D, 4, 0)</f>
        <v>0.12</v>
      </c>
      <c r="Z548" s="24">
        <f>VLOOKUP(L548, IMPOSTO!$A:$D, 4, 0)</f>
        <v>0.18</v>
      </c>
      <c r="AA548" s="24">
        <f>VLOOKUP(M548, IMPOSTO!$A:$D, 4, 0)</f>
        <v>0.12</v>
      </c>
      <c r="AB548" s="24">
        <f>VLOOKUP(N548, IMPOSTO!$A:$D, 4, 0)</f>
        <v>7.0000000000000007E-2</v>
      </c>
      <c r="AC548" s="25">
        <f t="shared" si="78"/>
        <v>133.4934103385487</v>
      </c>
      <c r="AD548" s="25">
        <f t="shared" si="79"/>
        <v>134.06159215673051</v>
      </c>
      <c r="AE548" s="25">
        <f t="shared" si="80"/>
        <v>136.20881838486329</v>
      </c>
      <c r="AF548" s="25">
        <f t="shared" si="81"/>
        <v>214.7434103385487</v>
      </c>
      <c r="AG548" s="25">
        <f t="shared" si="82"/>
        <v>90.944147680393712</v>
      </c>
      <c r="AH548" s="25">
        <f t="shared" si="83"/>
        <v>181.56159215673051</v>
      </c>
      <c r="AI548" s="25">
        <f t="shared" si="84"/>
        <v>550.50989365368059</v>
      </c>
    </row>
    <row r="549" spans="1:35" ht="15.75" customHeight="1">
      <c r="A549" s="12" t="s">
        <v>199</v>
      </c>
      <c r="B549" s="12" t="s">
        <v>200</v>
      </c>
      <c r="C549" s="12" t="s">
        <v>181</v>
      </c>
      <c r="D549" s="12" t="s">
        <v>33</v>
      </c>
      <c r="E549" s="12" t="s">
        <v>27</v>
      </c>
      <c r="F549" s="13">
        <v>6.5354808743169395</v>
      </c>
      <c r="G549" s="14">
        <v>76.09913930054644</v>
      </c>
      <c r="H549" s="24" t="str">
        <f t="shared" si="77"/>
        <v>RJSP</v>
      </c>
      <c r="I549" s="24" t="str">
        <f t="shared" si="85"/>
        <v>RJMG</v>
      </c>
      <c r="J549" s="24" t="str">
        <f t="shared" si="85"/>
        <v>RJES</v>
      </c>
      <c r="K549" s="24" t="str">
        <f t="shared" si="85"/>
        <v>RJSC</v>
      </c>
      <c r="L549" s="24" t="str">
        <f t="shared" si="85"/>
        <v>RJRJ</v>
      </c>
      <c r="M549" s="24" t="str">
        <f t="shared" si="85"/>
        <v>RJPR</v>
      </c>
      <c r="N549" s="24" t="str">
        <f t="shared" si="85"/>
        <v>RJAM</v>
      </c>
      <c r="O549" s="24">
        <f>VLOOKUP(H549, KM!$A:$E, 5, 0)</f>
        <v>429</v>
      </c>
      <c r="P549" s="24">
        <f>VLOOKUP(I549, KM!$A:$E, 5, 0)</f>
        <v>434</v>
      </c>
      <c r="Q549" s="24">
        <f>VLOOKUP(J549, KM!$A:$E, 5, 0)</f>
        <v>521</v>
      </c>
      <c r="R549" s="24">
        <f>VLOOKUP(K549, KM!$A:$E, 5, 0)</f>
        <v>1144</v>
      </c>
      <c r="S549" s="24">
        <f>VLOOKUP(L549, KM!$A:$E, 5, 0)</f>
        <v>0</v>
      </c>
      <c r="T549" s="24">
        <f>VLOOKUP(M549, KM!$A:$E, 5, 0)</f>
        <v>852</v>
      </c>
      <c r="U549" s="24">
        <f>VLOOKUP(N549, KM!$A:$E, 5, 0)</f>
        <v>4374</v>
      </c>
      <c r="V549" s="24">
        <f>VLOOKUP(H549, IMPOSTO!$A:$D, 4, 0)</f>
        <v>0.12</v>
      </c>
      <c r="W549" s="24">
        <f>VLOOKUP(I549, IMPOSTO!$A:$D, 4, 0)</f>
        <v>0.12</v>
      </c>
      <c r="X549" s="24">
        <f>VLOOKUP(J549, IMPOSTO!$A:$D, 4, 0)</f>
        <v>7.0000000000000007E-2</v>
      </c>
      <c r="Y549" s="24">
        <f>VLOOKUP(K549, IMPOSTO!$A:$D, 4, 0)</f>
        <v>0.12</v>
      </c>
      <c r="Z549" s="24">
        <f>VLOOKUP(L549, IMPOSTO!$A:$D, 4, 0)</f>
        <v>0.18</v>
      </c>
      <c r="AA549" s="24">
        <f>VLOOKUP(M549, IMPOSTO!$A:$D, 4, 0)</f>
        <v>0.12</v>
      </c>
      <c r="AB549" s="24">
        <f>VLOOKUP(N549, IMPOSTO!$A:$D, 4, 0)</f>
        <v>7.0000000000000007E-2</v>
      </c>
      <c r="AC549" s="25">
        <f t="shared" si="78"/>
        <v>135.22629465971187</v>
      </c>
      <c r="AD549" s="25">
        <f t="shared" si="79"/>
        <v>135.79447647789368</v>
      </c>
      <c r="AE549" s="25">
        <f t="shared" si="80"/>
        <v>137.84853688230803</v>
      </c>
      <c r="AF549" s="25">
        <f t="shared" si="81"/>
        <v>216.4762946597119</v>
      </c>
      <c r="AG549" s="25">
        <f t="shared" si="82"/>
        <v>92.803828415300529</v>
      </c>
      <c r="AH549" s="25">
        <f t="shared" si="83"/>
        <v>183.29447647789368</v>
      </c>
      <c r="AI549" s="25">
        <f t="shared" si="84"/>
        <v>552.14961215112532</v>
      </c>
    </row>
    <row r="550" spans="1:35" ht="15.75" customHeight="1">
      <c r="A550" s="12" t="s">
        <v>221</v>
      </c>
      <c r="B550" s="12" t="s">
        <v>222</v>
      </c>
      <c r="C550" s="12" t="s">
        <v>223</v>
      </c>
      <c r="D550" s="12" t="s">
        <v>33</v>
      </c>
      <c r="E550" s="12" t="s">
        <v>27</v>
      </c>
      <c r="F550" s="13">
        <v>1.02349443378119</v>
      </c>
      <c r="G550" s="14">
        <v>22.68792946180422</v>
      </c>
      <c r="H550" s="24" t="str">
        <f t="shared" si="77"/>
        <v>RJSP</v>
      </c>
      <c r="I550" s="24" t="str">
        <f t="shared" si="85"/>
        <v>RJMG</v>
      </c>
      <c r="J550" s="24" t="str">
        <f t="shared" si="85"/>
        <v>RJES</v>
      </c>
      <c r="K550" s="24" t="str">
        <f t="shared" si="85"/>
        <v>RJSC</v>
      </c>
      <c r="L550" s="24" t="str">
        <f t="shared" si="85"/>
        <v>RJRJ</v>
      </c>
      <c r="M550" s="24" t="str">
        <f t="shared" si="85"/>
        <v>RJPR</v>
      </c>
      <c r="N550" s="24" t="str">
        <f t="shared" si="85"/>
        <v>RJAM</v>
      </c>
      <c r="O550" s="24">
        <f>VLOOKUP(H550, KM!$A:$E, 5, 0)</f>
        <v>429</v>
      </c>
      <c r="P550" s="24">
        <f>VLOOKUP(I550, KM!$A:$E, 5, 0)</f>
        <v>434</v>
      </c>
      <c r="Q550" s="24">
        <f>VLOOKUP(J550, KM!$A:$E, 5, 0)</f>
        <v>521</v>
      </c>
      <c r="R550" s="24">
        <f>VLOOKUP(K550, KM!$A:$E, 5, 0)</f>
        <v>1144</v>
      </c>
      <c r="S550" s="24">
        <f>VLOOKUP(L550, KM!$A:$E, 5, 0)</f>
        <v>0</v>
      </c>
      <c r="T550" s="24">
        <f>VLOOKUP(M550, KM!$A:$E, 5, 0)</f>
        <v>852</v>
      </c>
      <c r="U550" s="24">
        <f>VLOOKUP(N550, KM!$A:$E, 5, 0)</f>
        <v>4374</v>
      </c>
      <c r="V550" s="24">
        <f>VLOOKUP(H550, IMPOSTO!$A:$D, 4, 0)</f>
        <v>0.12</v>
      </c>
      <c r="W550" s="24">
        <f>VLOOKUP(I550, IMPOSTO!$A:$D, 4, 0)</f>
        <v>0.12</v>
      </c>
      <c r="X550" s="24">
        <f>VLOOKUP(J550, IMPOSTO!$A:$D, 4, 0)</f>
        <v>7.0000000000000007E-2</v>
      </c>
      <c r="Y550" s="24">
        <f>VLOOKUP(K550, IMPOSTO!$A:$D, 4, 0)</f>
        <v>0.12</v>
      </c>
      <c r="Z550" s="24">
        <f>VLOOKUP(L550, IMPOSTO!$A:$D, 4, 0)</f>
        <v>0.18</v>
      </c>
      <c r="AA550" s="24">
        <f>VLOOKUP(M550, IMPOSTO!$A:$D, 4, 0)</f>
        <v>0.12</v>
      </c>
      <c r="AB550" s="24">
        <f>VLOOKUP(N550, IMPOSTO!$A:$D, 4, 0)</f>
        <v>7.0000000000000007E-2</v>
      </c>
      <c r="AC550" s="25">
        <f t="shared" si="78"/>
        <v>74.531738024777525</v>
      </c>
      <c r="AD550" s="25">
        <f t="shared" si="79"/>
        <v>75.099919842959338</v>
      </c>
      <c r="AE550" s="25">
        <f t="shared" si="80"/>
        <v>80.417128453552934</v>
      </c>
      <c r="AF550" s="25">
        <f t="shared" si="81"/>
        <v>155.78173802477755</v>
      </c>
      <c r="AG550" s="25">
        <f t="shared" si="82"/>
        <v>27.668206660736853</v>
      </c>
      <c r="AH550" s="25">
        <f t="shared" si="83"/>
        <v>122.59991984295934</v>
      </c>
      <c r="AI550" s="25">
        <f t="shared" si="84"/>
        <v>494.71820372237022</v>
      </c>
    </row>
    <row r="551" spans="1:35" ht="15.75" customHeight="1">
      <c r="A551" s="12" t="s">
        <v>221</v>
      </c>
      <c r="B551" s="12" t="s">
        <v>222</v>
      </c>
      <c r="C551" s="12" t="s">
        <v>223</v>
      </c>
      <c r="D551" s="12" t="s">
        <v>33</v>
      </c>
      <c r="E551" s="12" t="s">
        <v>27</v>
      </c>
      <c r="F551" s="13">
        <v>9.8729366602687135E-2</v>
      </c>
      <c r="G551" s="14">
        <v>2.2409986548944332</v>
      </c>
      <c r="H551" s="24" t="str">
        <f t="shared" si="77"/>
        <v>RJSP</v>
      </c>
      <c r="I551" s="24" t="str">
        <f t="shared" si="85"/>
        <v>RJMG</v>
      </c>
      <c r="J551" s="24" t="str">
        <f t="shared" si="85"/>
        <v>RJES</v>
      </c>
      <c r="K551" s="24" t="str">
        <f t="shared" si="85"/>
        <v>RJSC</v>
      </c>
      <c r="L551" s="24" t="str">
        <f t="shared" si="85"/>
        <v>RJRJ</v>
      </c>
      <c r="M551" s="24" t="str">
        <f t="shared" si="85"/>
        <v>RJPR</v>
      </c>
      <c r="N551" s="24" t="str">
        <f t="shared" si="85"/>
        <v>RJAM</v>
      </c>
      <c r="O551" s="24">
        <f>VLOOKUP(H551, KM!$A:$E, 5, 0)</f>
        <v>429</v>
      </c>
      <c r="P551" s="24">
        <f>VLOOKUP(I551, KM!$A:$E, 5, 0)</f>
        <v>434</v>
      </c>
      <c r="Q551" s="24">
        <f>VLOOKUP(J551, KM!$A:$E, 5, 0)</f>
        <v>521</v>
      </c>
      <c r="R551" s="24">
        <f>VLOOKUP(K551, KM!$A:$E, 5, 0)</f>
        <v>1144</v>
      </c>
      <c r="S551" s="24">
        <f>VLOOKUP(L551, KM!$A:$E, 5, 0)</f>
        <v>0</v>
      </c>
      <c r="T551" s="24">
        <f>VLOOKUP(M551, KM!$A:$E, 5, 0)</f>
        <v>852</v>
      </c>
      <c r="U551" s="24">
        <f>VLOOKUP(N551, KM!$A:$E, 5, 0)</f>
        <v>4374</v>
      </c>
      <c r="V551" s="24">
        <f>VLOOKUP(H551, IMPOSTO!$A:$D, 4, 0)</f>
        <v>0.12</v>
      </c>
      <c r="W551" s="24">
        <f>VLOOKUP(I551, IMPOSTO!$A:$D, 4, 0)</f>
        <v>0.12</v>
      </c>
      <c r="X551" s="24">
        <f>VLOOKUP(J551, IMPOSTO!$A:$D, 4, 0)</f>
        <v>7.0000000000000007E-2</v>
      </c>
      <c r="Y551" s="24">
        <f>VLOOKUP(K551, IMPOSTO!$A:$D, 4, 0)</f>
        <v>0.12</v>
      </c>
      <c r="Z551" s="24">
        <f>VLOOKUP(L551, IMPOSTO!$A:$D, 4, 0)</f>
        <v>0.18</v>
      </c>
      <c r="AA551" s="24">
        <f>VLOOKUP(M551, IMPOSTO!$A:$D, 4, 0)</f>
        <v>0.12</v>
      </c>
      <c r="AB551" s="24">
        <f>VLOOKUP(N551, IMPOSTO!$A:$D, 4, 0)</f>
        <v>7.0000000000000007E-2</v>
      </c>
      <c r="AC551" s="25">
        <f t="shared" si="78"/>
        <v>51.296589380561862</v>
      </c>
      <c r="AD551" s="25">
        <f t="shared" si="79"/>
        <v>51.864771198743682</v>
      </c>
      <c r="AE551" s="25">
        <f t="shared" si="80"/>
        <v>58.431181349348861</v>
      </c>
      <c r="AF551" s="25">
        <f t="shared" si="81"/>
        <v>132.54658938056187</v>
      </c>
      <c r="AG551" s="25">
        <f t="shared" si="82"/>
        <v>2.7329251888956501</v>
      </c>
      <c r="AH551" s="25">
        <f t="shared" si="83"/>
        <v>99.364771198743668</v>
      </c>
      <c r="AI551" s="25">
        <f t="shared" si="84"/>
        <v>472.73225661816616</v>
      </c>
    </row>
    <row r="552" spans="1:35" ht="15.75" customHeight="1">
      <c r="A552" s="12" t="s">
        <v>224</v>
      </c>
      <c r="B552" s="12" t="s">
        <v>225</v>
      </c>
      <c r="C552" s="12" t="s">
        <v>223</v>
      </c>
      <c r="D552" s="12" t="s">
        <v>33</v>
      </c>
      <c r="E552" s="12" t="s">
        <v>27</v>
      </c>
      <c r="F552" s="13">
        <v>0.18278399999999995</v>
      </c>
      <c r="G552" s="14">
        <v>4.0518081488372086</v>
      </c>
      <c r="H552" s="24" t="str">
        <f t="shared" si="77"/>
        <v>RJSP</v>
      </c>
      <c r="I552" s="24" t="str">
        <f t="shared" si="85"/>
        <v>RJMG</v>
      </c>
      <c r="J552" s="24" t="str">
        <f t="shared" si="85"/>
        <v>RJES</v>
      </c>
      <c r="K552" s="24" t="str">
        <f t="shared" si="85"/>
        <v>RJSC</v>
      </c>
      <c r="L552" s="24" t="str">
        <f t="shared" si="85"/>
        <v>RJRJ</v>
      </c>
      <c r="M552" s="24" t="str">
        <f t="shared" si="85"/>
        <v>RJPR</v>
      </c>
      <c r="N552" s="24" t="str">
        <f t="shared" si="85"/>
        <v>RJAM</v>
      </c>
      <c r="O552" s="24">
        <f>VLOOKUP(H552, KM!$A:$E, 5, 0)</f>
        <v>429</v>
      </c>
      <c r="P552" s="24">
        <f>VLOOKUP(I552, KM!$A:$E, 5, 0)</f>
        <v>434</v>
      </c>
      <c r="Q552" s="24">
        <f>VLOOKUP(J552, KM!$A:$E, 5, 0)</f>
        <v>521</v>
      </c>
      <c r="R552" s="24">
        <f>VLOOKUP(K552, KM!$A:$E, 5, 0)</f>
        <v>1144</v>
      </c>
      <c r="S552" s="24">
        <f>VLOOKUP(L552, KM!$A:$E, 5, 0)</f>
        <v>0</v>
      </c>
      <c r="T552" s="24">
        <f>VLOOKUP(M552, KM!$A:$E, 5, 0)</f>
        <v>852</v>
      </c>
      <c r="U552" s="24">
        <f>VLOOKUP(N552, KM!$A:$E, 5, 0)</f>
        <v>4374</v>
      </c>
      <c r="V552" s="24">
        <f>VLOOKUP(H552, IMPOSTO!$A:$D, 4, 0)</f>
        <v>0.12</v>
      </c>
      <c r="W552" s="24">
        <f>VLOOKUP(I552, IMPOSTO!$A:$D, 4, 0)</f>
        <v>0.12</v>
      </c>
      <c r="X552" s="24">
        <f>VLOOKUP(J552, IMPOSTO!$A:$D, 4, 0)</f>
        <v>7.0000000000000007E-2</v>
      </c>
      <c r="Y552" s="24">
        <f>VLOOKUP(K552, IMPOSTO!$A:$D, 4, 0)</f>
        <v>0.12</v>
      </c>
      <c r="Z552" s="24">
        <f>VLOOKUP(L552, IMPOSTO!$A:$D, 4, 0)</f>
        <v>0.18</v>
      </c>
      <c r="AA552" s="24">
        <f>VLOOKUP(M552, IMPOSTO!$A:$D, 4, 0)</f>
        <v>0.12</v>
      </c>
      <c r="AB552" s="24">
        <f>VLOOKUP(N552, IMPOSTO!$A:$D, 4, 0)</f>
        <v>7.0000000000000007E-2</v>
      </c>
      <c r="AC552" s="25">
        <f t="shared" si="78"/>
        <v>53.35432744186047</v>
      </c>
      <c r="AD552" s="25">
        <f t="shared" si="79"/>
        <v>53.92250926004229</v>
      </c>
      <c r="AE552" s="25">
        <f t="shared" si="80"/>
        <v>60.378288332083031</v>
      </c>
      <c r="AF552" s="25">
        <f t="shared" si="81"/>
        <v>134.60432744186048</v>
      </c>
      <c r="AG552" s="25">
        <f t="shared" si="82"/>
        <v>4.9412294498014733</v>
      </c>
      <c r="AH552" s="25">
        <f t="shared" si="83"/>
        <v>101.42250926004229</v>
      </c>
      <c r="AI552" s="25">
        <f t="shared" si="84"/>
        <v>474.67936360090027</v>
      </c>
    </row>
    <row r="553" spans="1:35" ht="15.75" customHeight="1">
      <c r="A553" s="12" t="s">
        <v>226</v>
      </c>
      <c r="B553" s="12" t="s">
        <v>227</v>
      </c>
      <c r="C553" s="12" t="s">
        <v>223</v>
      </c>
      <c r="D553" s="12" t="s">
        <v>33</v>
      </c>
      <c r="E553" s="12" t="s">
        <v>27</v>
      </c>
      <c r="F553" s="13">
        <v>1.3629048543689319</v>
      </c>
      <c r="G553" s="14">
        <v>30.214811439320389</v>
      </c>
      <c r="H553" s="24" t="str">
        <f t="shared" si="77"/>
        <v>RJSP</v>
      </c>
      <c r="I553" s="24" t="str">
        <f t="shared" si="85"/>
        <v>RJMG</v>
      </c>
      <c r="J553" s="24" t="str">
        <f t="shared" si="85"/>
        <v>RJES</v>
      </c>
      <c r="K553" s="24" t="str">
        <f t="shared" si="85"/>
        <v>RJSC</v>
      </c>
      <c r="L553" s="24" t="str">
        <f t="shared" si="85"/>
        <v>RJRJ</v>
      </c>
      <c r="M553" s="24" t="str">
        <f t="shared" si="85"/>
        <v>RJPR</v>
      </c>
      <c r="N553" s="24" t="str">
        <f t="shared" si="85"/>
        <v>RJAM</v>
      </c>
      <c r="O553" s="24">
        <f>VLOOKUP(H553, KM!$A:$E, 5, 0)</f>
        <v>429</v>
      </c>
      <c r="P553" s="24">
        <f>VLOOKUP(I553, KM!$A:$E, 5, 0)</f>
        <v>434</v>
      </c>
      <c r="Q553" s="24">
        <f>VLOOKUP(J553, KM!$A:$E, 5, 0)</f>
        <v>521</v>
      </c>
      <c r="R553" s="24">
        <f>VLOOKUP(K553, KM!$A:$E, 5, 0)</f>
        <v>1144</v>
      </c>
      <c r="S553" s="24">
        <f>VLOOKUP(L553, KM!$A:$E, 5, 0)</f>
        <v>0</v>
      </c>
      <c r="T553" s="24">
        <f>VLOOKUP(M553, KM!$A:$E, 5, 0)</f>
        <v>852</v>
      </c>
      <c r="U553" s="24">
        <f>VLOOKUP(N553, KM!$A:$E, 5, 0)</f>
        <v>4374</v>
      </c>
      <c r="V553" s="24">
        <f>VLOOKUP(H553, IMPOSTO!$A:$D, 4, 0)</f>
        <v>0.12</v>
      </c>
      <c r="W553" s="24">
        <f>VLOOKUP(I553, IMPOSTO!$A:$D, 4, 0)</f>
        <v>0.12</v>
      </c>
      <c r="X553" s="24">
        <f>VLOOKUP(J553, IMPOSTO!$A:$D, 4, 0)</f>
        <v>7.0000000000000007E-2</v>
      </c>
      <c r="Y553" s="24">
        <f>VLOOKUP(K553, IMPOSTO!$A:$D, 4, 0)</f>
        <v>0.12</v>
      </c>
      <c r="Z553" s="24">
        <f>VLOOKUP(L553, IMPOSTO!$A:$D, 4, 0)</f>
        <v>0.18</v>
      </c>
      <c r="AA553" s="24">
        <f>VLOOKUP(M553, IMPOSTO!$A:$D, 4, 0)</f>
        <v>0.12</v>
      </c>
      <c r="AB553" s="24">
        <f>VLOOKUP(N553, IMPOSTO!$A:$D, 4, 0)</f>
        <v>7.0000000000000007E-2</v>
      </c>
      <c r="AC553" s="25">
        <f t="shared" si="78"/>
        <v>83.085012999227715</v>
      </c>
      <c r="AD553" s="25">
        <f t="shared" si="79"/>
        <v>83.653194817409542</v>
      </c>
      <c r="AE553" s="25">
        <f t="shared" si="80"/>
        <v>88.510549934753115</v>
      </c>
      <c r="AF553" s="25">
        <f t="shared" si="81"/>
        <v>164.33501299922773</v>
      </c>
      <c r="AG553" s="25">
        <f t="shared" si="82"/>
        <v>36.847331023561445</v>
      </c>
      <c r="AH553" s="25">
        <f t="shared" si="83"/>
        <v>131.15319481740954</v>
      </c>
      <c r="AI553" s="25">
        <f t="shared" si="84"/>
        <v>502.81162520357037</v>
      </c>
    </row>
    <row r="554" spans="1:35" ht="15.75" customHeight="1">
      <c r="A554" s="12" t="s">
        <v>226</v>
      </c>
      <c r="B554" s="12" t="s">
        <v>227</v>
      </c>
      <c r="C554" s="12" t="s">
        <v>223</v>
      </c>
      <c r="D554" s="12" t="s">
        <v>33</v>
      </c>
      <c r="E554" s="12" t="s">
        <v>27</v>
      </c>
      <c r="F554" s="13">
        <v>0.32569417475728157</v>
      </c>
      <c r="G554" s="14">
        <v>7.2196377184466014</v>
      </c>
      <c r="H554" s="24" t="str">
        <f t="shared" si="77"/>
        <v>RJSP</v>
      </c>
      <c r="I554" s="24" t="str">
        <f t="shared" si="85"/>
        <v>RJMG</v>
      </c>
      <c r="J554" s="24" t="str">
        <f t="shared" si="85"/>
        <v>RJES</v>
      </c>
      <c r="K554" s="24" t="str">
        <f t="shared" si="85"/>
        <v>RJSC</v>
      </c>
      <c r="L554" s="24" t="str">
        <f t="shared" si="85"/>
        <v>RJRJ</v>
      </c>
      <c r="M554" s="24" t="str">
        <f t="shared" si="85"/>
        <v>RJPR</v>
      </c>
      <c r="N554" s="24" t="str">
        <f t="shared" si="85"/>
        <v>RJAM</v>
      </c>
      <c r="O554" s="24">
        <f>VLOOKUP(H554, KM!$A:$E, 5, 0)</f>
        <v>429</v>
      </c>
      <c r="P554" s="24">
        <f>VLOOKUP(I554, KM!$A:$E, 5, 0)</f>
        <v>434</v>
      </c>
      <c r="Q554" s="24">
        <f>VLOOKUP(J554, KM!$A:$E, 5, 0)</f>
        <v>521</v>
      </c>
      <c r="R554" s="24">
        <f>VLOOKUP(K554, KM!$A:$E, 5, 0)</f>
        <v>1144</v>
      </c>
      <c r="S554" s="24">
        <f>VLOOKUP(L554, KM!$A:$E, 5, 0)</f>
        <v>0</v>
      </c>
      <c r="T554" s="24">
        <f>VLOOKUP(M554, KM!$A:$E, 5, 0)</f>
        <v>852</v>
      </c>
      <c r="U554" s="24">
        <f>VLOOKUP(N554, KM!$A:$E, 5, 0)</f>
        <v>4374</v>
      </c>
      <c r="V554" s="24">
        <f>VLOOKUP(H554, IMPOSTO!$A:$D, 4, 0)</f>
        <v>0.12</v>
      </c>
      <c r="W554" s="24">
        <f>VLOOKUP(I554, IMPOSTO!$A:$D, 4, 0)</f>
        <v>0.12</v>
      </c>
      <c r="X554" s="24">
        <f>VLOOKUP(J554, IMPOSTO!$A:$D, 4, 0)</f>
        <v>7.0000000000000007E-2</v>
      </c>
      <c r="Y554" s="24">
        <f>VLOOKUP(K554, IMPOSTO!$A:$D, 4, 0)</f>
        <v>0.12</v>
      </c>
      <c r="Z554" s="24">
        <f>VLOOKUP(L554, IMPOSTO!$A:$D, 4, 0)</f>
        <v>0.18</v>
      </c>
      <c r="AA554" s="24">
        <f>VLOOKUP(M554, IMPOSTO!$A:$D, 4, 0)</f>
        <v>0.12</v>
      </c>
      <c r="AB554" s="24">
        <f>VLOOKUP(N554, IMPOSTO!$A:$D, 4, 0)</f>
        <v>7.0000000000000007E-2</v>
      </c>
      <c r="AC554" s="25">
        <f t="shared" si="78"/>
        <v>56.954133770962052</v>
      </c>
      <c r="AD554" s="25">
        <f t="shared" si="79"/>
        <v>57.522315589143865</v>
      </c>
      <c r="AE554" s="25">
        <f t="shared" si="80"/>
        <v>63.784556686501723</v>
      </c>
      <c r="AF554" s="25">
        <f t="shared" si="81"/>
        <v>138.20413377096204</v>
      </c>
      <c r="AG554" s="25">
        <f t="shared" si="82"/>
        <v>8.80443624200805</v>
      </c>
      <c r="AH554" s="25">
        <f t="shared" si="83"/>
        <v>105.02231558914387</v>
      </c>
      <c r="AI554" s="25">
        <f t="shared" si="84"/>
        <v>478.085631955319</v>
      </c>
    </row>
    <row r="555" spans="1:35" ht="15.75" customHeight="1">
      <c r="A555" s="12" t="s">
        <v>226</v>
      </c>
      <c r="B555" s="12" t="s">
        <v>227</v>
      </c>
      <c r="C555" s="12" t="s">
        <v>223</v>
      </c>
      <c r="D555" s="12" t="s">
        <v>33</v>
      </c>
      <c r="E555" s="12" t="s">
        <v>27</v>
      </c>
      <c r="F555" s="13">
        <v>3.7580097087378639E-2</v>
      </c>
      <c r="G555" s="14">
        <v>0.82978107038834958</v>
      </c>
      <c r="H555" s="24" t="str">
        <f t="shared" si="77"/>
        <v>RJSP</v>
      </c>
      <c r="I555" s="24" t="str">
        <f t="shared" si="85"/>
        <v>RJMG</v>
      </c>
      <c r="J555" s="24" t="str">
        <f t="shared" si="85"/>
        <v>RJES</v>
      </c>
      <c r="K555" s="24" t="str">
        <f t="shared" si="85"/>
        <v>RJSC</v>
      </c>
      <c r="L555" s="24" t="str">
        <f t="shared" si="85"/>
        <v>RJRJ</v>
      </c>
      <c r="M555" s="24" t="str">
        <f t="shared" si="85"/>
        <v>RJPR</v>
      </c>
      <c r="N555" s="24" t="str">
        <f t="shared" si="85"/>
        <v>RJAM</v>
      </c>
      <c r="O555" s="24">
        <f>VLOOKUP(H555, KM!$A:$E, 5, 0)</f>
        <v>429</v>
      </c>
      <c r="P555" s="24">
        <f>VLOOKUP(I555, KM!$A:$E, 5, 0)</f>
        <v>434</v>
      </c>
      <c r="Q555" s="24">
        <f>VLOOKUP(J555, KM!$A:$E, 5, 0)</f>
        <v>521</v>
      </c>
      <c r="R555" s="24">
        <f>VLOOKUP(K555, KM!$A:$E, 5, 0)</f>
        <v>1144</v>
      </c>
      <c r="S555" s="24">
        <f>VLOOKUP(L555, KM!$A:$E, 5, 0)</f>
        <v>0</v>
      </c>
      <c r="T555" s="24">
        <f>VLOOKUP(M555, KM!$A:$E, 5, 0)</f>
        <v>852</v>
      </c>
      <c r="U555" s="24">
        <f>VLOOKUP(N555, KM!$A:$E, 5, 0)</f>
        <v>4374</v>
      </c>
      <c r="V555" s="24">
        <f>VLOOKUP(H555, IMPOSTO!$A:$D, 4, 0)</f>
        <v>0.12</v>
      </c>
      <c r="W555" s="24">
        <f>VLOOKUP(I555, IMPOSTO!$A:$D, 4, 0)</f>
        <v>0.12</v>
      </c>
      <c r="X555" s="24">
        <f>VLOOKUP(J555, IMPOSTO!$A:$D, 4, 0)</f>
        <v>7.0000000000000007E-2</v>
      </c>
      <c r="Y555" s="24">
        <f>VLOOKUP(K555, IMPOSTO!$A:$D, 4, 0)</f>
        <v>0.12</v>
      </c>
      <c r="Z555" s="24">
        <f>VLOOKUP(L555, IMPOSTO!$A:$D, 4, 0)</f>
        <v>0.18</v>
      </c>
      <c r="AA555" s="24">
        <f>VLOOKUP(M555, IMPOSTO!$A:$D, 4, 0)</f>
        <v>0.12</v>
      </c>
      <c r="AB555" s="24">
        <f>VLOOKUP(N555, IMPOSTO!$A:$D, 4, 0)</f>
        <v>7.0000000000000007E-2</v>
      </c>
      <c r="AC555" s="25">
        <f t="shared" si="78"/>
        <v>49.692933034532224</v>
      </c>
      <c r="AD555" s="25">
        <f t="shared" si="79"/>
        <v>50.261114852714037</v>
      </c>
      <c r="AE555" s="25">
        <f t="shared" si="80"/>
        <v>56.913743086439091</v>
      </c>
      <c r="AF555" s="25">
        <f t="shared" si="81"/>
        <v>130.94293303453222</v>
      </c>
      <c r="AG555" s="25">
        <f t="shared" si="82"/>
        <v>1.0119281346199385</v>
      </c>
      <c r="AH555" s="25">
        <f t="shared" si="83"/>
        <v>97.76111485271403</v>
      </c>
      <c r="AI555" s="25">
        <f t="shared" si="84"/>
        <v>471.21481835525634</v>
      </c>
    </row>
    <row r="556" spans="1:35" ht="15.75" customHeight="1">
      <c r="A556" s="12" t="s">
        <v>226</v>
      </c>
      <c r="B556" s="12" t="s">
        <v>227</v>
      </c>
      <c r="C556" s="12" t="s">
        <v>223</v>
      </c>
      <c r="D556" s="12" t="s">
        <v>33</v>
      </c>
      <c r="E556" s="12" t="s">
        <v>27</v>
      </c>
      <c r="F556" s="13">
        <v>6.8896844660194176E-2</v>
      </c>
      <c r="G556" s="14">
        <v>1.5662257063106795</v>
      </c>
      <c r="H556" s="24" t="str">
        <f t="shared" si="77"/>
        <v>RJSP</v>
      </c>
      <c r="I556" s="24" t="str">
        <f t="shared" si="85"/>
        <v>RJMG</v>
      </c>
      <c r="J556" s="24" t="str">
        <f t="shared" si="85"/>
        <v>RJES</v>
      </c>
      <c r="K556" s="24" t="str">
        <f t="shared" si="85"/>
        <v>RJSC</v>
      </c>
      <c r="L556" s="24" t="str">
        <f t="shared" si="85"/>
        <v>RJRJ</v>
      </c>
      <c r="M556" s="24" t="str">
        <f t="shared" si="85"/>
        <v>RJPR</v>
      </c>
      <c r="N556" s="24" t="str">
        <f t="shared" si="85"/>
        <v>RJAM</v>
      </c>
      <c r="O556" s="24">
        <f>VLOOKUP(H556, KM!$A:$E, 5, 0)</f>
        <v>429</v>
      </c>
      <c r="P556" s="24">
        <f>VLOOKUP(I556, KM!$A:$E, 5, 0)</f>
        <v>434</v>
      </c>
      <c r="Q556" s="24">
        <f>VLOOKUP(J556, KM!$A:$E, 5, 0)</f>
        <v>521</v>
      </c>
      <c r="R556" s="24">
        <f>VLOOKUP(K556, KM!$A:$E, 5, 0)</f>
        <v>1144</v>
      </c>
      <c r="S556" s="24">
        <f>VLOOKUP(L556, KM!$A:$E, 5, 0)</f>
        <v>0</v>
      </c>
      <c r="T556" s="24">
        <f>VLOOKUP(M556, KM!$A:$E, 5, 0)</f>
        <v>852</v>
      </c>
      <c r="U556" s="24">
        <f>VLOOKUP(N556, KM!$A:$E, 5, 0)</f>
        <v>4374</v>
      </c>
      <c r="V556" s="24">
        <f>VLOOKUP(H556, IMPOSTO!$A:$D, 4, 0)</f>
        <v>0.12</v>
      </c>
      <c r="W556" s="24">
        <f>VLOOKUP(I556, IMPOSTO!$A:$D, 4, 0)</f>
        <v>0.12</v>
      </c>
      <c r="X556" s="24">
        <f>VLOOKUP(J556, IMPOSTO!$A:$D, 4, 0)</f>
        <v>7.0000000000000007E-2</v>
      </c>
      <c r="Y556" s="24">
        <f>VLOOKUP(K556, IMPOSTO!$A:$D, 4, 0)</f>
        <v>0.12</v>
      </c>
      <c r="Z556" s="24">
        <f>VLOOKUP(L556, IMPOSTO!$A:$D, 4, 0)</f>
        <v>0.18</v>
      </c>
      <c r="AA556" s="24">
        <f>VLOOKUP(M556, IMPOSTO!$A:$D, 4, 0)</f>
        <v>0.12</v>
      </c>
      <c r="AB556" s="24">
        <f>VLOOKUP(N556, IMPOSTO!$A:$D, 4, 0)</f>
        <v>7.0000000000000007E-2</v>
      </c>
      <c r="AC556" s="25">
        <f t="shared" si="78"/>
        <v>50.529801938989415</v>
      </c>
      <c r="AD556" s="25">
        <f t="shared" si="79"/>
        <v>51.097983757171235</v>
      </c>
      <c r="AE556" s="25">
        <f t="shared" si="80"/>
        <v>57.705619039043746</v>
      </c>
      <c r="AF556" s="25">
        <f t="shared" si="81"/>
        <v>131.77980193898941</v>
      </c>
      <c r="AG556" s="25">
        <f t="shared" si="82"/>
        <v>1.910031349159365</v>
      </c>
      <c r="AH556" s="25">
        <f t="shared" si="83"/>
        <v>98.597983757171221</v>
      </c>
      <c r="AI556" s="25">
        <f t="shared" si="84"/>
        <v>472.00669430786098</v>
      </c>
    </row>
    <row r="557" spans="1:35" ht="15.75" customHeight="1">
      <c r="A557" s="12" t="s">
        <v>562</v>
      </c>
      <c r="B557" s="12" t="s">
        <v>563</v>
      </c>
      <c r="C557" s="12" t="s">
        <v>192</v>
      </c>
      <c r="D557" s="12" t="s">
        <v>33</v>
      </c>
      <c r="E557" s="12" t="s">
        <v>27</v>
      </c>
      <c r="F557" s="13">
        <v>48</v>
      </c>
      <c r="G557" s="14">
        <v>866.64999999999986</v>
      </c>
      <c r="H557" s="24" t="str">
        <f t="shared" si="77"/>
        <v>RJSP</v>
      </c>
      <c r="I557" s="24" t="str">
        <f t="shared" si="85"/>
        <v>RJMG</v>
      </c>
      <c r="J557" s="24" t="str">
        <f t="shared" si="85"/>
        <v>RJES</v>
      </c>
      <c r="K557" s="24" t="str">
        <f t="shared" si="85"/>
        <v>RJSC</v>
      </c>
      <c r="L557" s="24" t="str">
        <f t="shared" si="85"/>
        <v>RJRJ</v>
      </c>
      <c r="M557" s="24" t="str">
        <f t="shared" si="85"/>
        <v>RJPR</v>
      </c>
      <c r="N557" s="24" t="str">
        <f t="shared" si="85"/>
        <v>RJAM</v>
      </c>
      <c r="O557" s="24">
        <f>VLOOKUP(H557, KM!$A:$E, 5, 0)</f>
        <v>429</v>
      </c>
      <c r="P557" s="24">
        <f>VLOOKUP(I557, KM!$A:$E, 5, 0)</f>
        <v>434</v>
      </c>
      <c r="Q557" s="24">
        <f>VLOOKUP(J557, KM!$A:$E, 5, 0)</f>
        <v>521</v>
      </c>
      <c r="R557" s="24">
        <f>VLOOKUP(K557, KM!$A:$E, 5, 0)</f>
        <v>1144</v>
      </c>
      <c r="S557" s="24">
        <f>VLOOKUP(L557, KM!$A:$E, 5, 0)</f>
        <v>0</v>
      </c>
      <c r="T557" s="24">
        <f>VLOOKUP(M557, KM!$A:$E, 5, 0)</f>
        <v>852</v>
      </c>
      <c r="U557" s="24">
        <f>VLOOKUP(N557, KM!$A:$E, 5, 0)</f>
        <v>4374</v>
      </c>
      <c r="V557" s="24">
        <f>VLOOKUP(H557, IMPOSTO!$A:$D, 4, 0)</f>
        <v>0.12</v>
      </c>
      <c r="W557" s="24">
        <f>VLOOKUP(I557, IMPOSTO!$A:$D, 4, 0)</f>
        <v>0.12</v>
      </c>
      <c r="X557" s="24">
        <f>VLOOKUP(J557, IMPOSTO!$A:$D, 4, 0)</f>
        <v>7.0000000000000007E-2</v>
      </c>
      <c r="Y557" s="24">
        <f>VLOOKUP(K557, IMPOSTO!$A:$D, 4, 0)</f>
        <v>0.12</v>
      </c>
      <c r="Z557" s="24">
        <f>VLOOKUP(L557, IMPOSTO!$A:$D, 4, 0)</f>
        <v>0.18</v>
      </c>
      <c r="AA557" s="24">
        <f>VLOOKUP(M557, IMPOSTO!$A:$D, 4, 0)</f>
        <v>0.12</v>
      </c>
      <c r="AB557" s="24">
        <f>VLOOKUP(N557, IMPOSTO!$A:$D, 4, 0)</f>
        <v>7.0000000000000007E-2</v>
      </c>
      <c r="AC557" s="25">
        <f t="shared" si="78"/>
        <v>1033.5795454545453</v>
      </c>
      <c r="AD557" s="25">
        <f t="shared" si="79"/>
        <v>1034.147727272727</v>
      </c>
      <c r="AE557" s="25">
        <f t="shared" si="80"/>
        <v>987.90322580645159</v>
      </c>
      <c r="AF557" s="25">
        <f t="shared" si="81"/>
        <v>1114.8295454545453</v>
      </c>
      <c r="AG557" s="25">
        <f t="shared" si="82"/>
        <v>1056.8902439024387</v>
      </c>
      <c r="AH557" s="25">
        <f t="shared" si="83"/>
        <v>1081.6477272727273</v>
      </c>
      <c r="AI557" s="25">
        <f t="shared" si="84"/>
        <v>1402.2043010752689</v>
      </c>
    </row>
    <row r="558" spans="1:35" ht="15.75" customHeight="1">
      <c r="A558" s="12" t="s">
        <v>558</v>
      </c>
      <c r="B558" s="12" t="s">
        <v>559</v>
      </c>
      <c r="C558" s="12" t="s">
        <v>192</v>
      </c>
      <c r="D558" s="12" t="s">
        <v>50</v>
      </c>
      <c r="E558" s="12" t="s">
        <v>27</v>
      </c>
      <c r="F558" s="13">
        <v>33.148225600000004</v>
      </c>
      <c r="G558" s="14">
        <v>1977.8638585533331</v>
      </c>
      <c r="H558" s="24" t="str">
        <f t="shared" si="77"/>
        <v>RJSP</v>
      </c>
      <c r="I558" s="24" t="str">
        <f t="shared" si="85"/>
        <v>RJMG</v>
      </c>
      <c r="J558" s="24" t="str">
        <f t="shared" si="85"/>
        <v>RJES</v>
      </c>
      <c r="K558" s="24" t="str">
        <f t="shared" si="85"/>
        <v>RJSC</v>
      </c>
      <c r="L558" s="24" t="str">
        <f t="shared" si="85"/>
        <v>RJRJ</v>
      </c>
      <c r="M558" s="24" t="str">
        <f t="shared" si="85"/>
        <v>RJPR</v>
      </c>
      <c r="N558" s="24" t="str">
        <f t="shared" si="85"/>
        <v>RJAM</v>
      </c>
      <c r="O558" s="24">
        <f>VLOOKUP(H558, KM!$A:$E, 5, 0)</f>
        <v>429</v>
      </c>
      <c r="P558" s="24">
        <f>VLOOKUP(I558, KM!$A:$E, 5, 0)</f>
        <v>434</v>
      </c>
      <c r="Q558" s="24">
        <f>VLOOKUP(J558, KM!$A:$E, 5, 0)</f>
        <v>521</v>
      </c>
      <c r="R558" s="24">
        <f>VLOOKUP(K558, KM!$A:$E, 5, 0)</f>
        <v>1144</v>
      </c>
      <c r="S558" s="24">
        <f>VLOOKUP(L558, KM!$A:$E, 5, 0)</f>
        <v>0</v>
      </c>
      <c r="T558" s="24">
        <f>VLOOKUP(M558, KM!$A:$E, 5, 0)</f>
        <v>852</v>
      </c>
      <c r="U558" s="24">
        <f>VLOOKUP(N558, KM!$A:$E, 5, 0)</f>
        <v>4374</v>
      </c>
      <c r="V558" s="24">
        <f>VLOOKUP(H558, IMPOSTO!$A:$D, 4, 0)</f>
        <v>0.12</v>
      </c>
      <c r="W558" s="24">
        <f>VLOOKUP(I558, IMPOSTO!$A:$D, 4, 0)</f>
        <v>0.12</v>
      </c>
      <c r="X558" s="24">
        <f>VLOOKUP(J558, IMPOSTO!$A:$D, 4, 0)</f>
        <v>7.0000000000000007E-2</v>
      </c>
      <c r="Y558" s="24">
        <f>VLOOKUP(K558, IMPOSTO!$A:$D, 4, 0)</f>
        <v>0.12</v>
      </c>
      <c r="Z558" s="24">
        <f>VLOOKUP(L558, IMPOSTO!$A:$D, 4, 0)</f>
        <v>0.18</v>
      </c>
      <c r="AA558" s="24">
        <f>VLOOKUP(M558, IMPOSTO!$A:$D, 4, 0)</f>
        <v>0.12</v>
      </c>
      <c r="AB558" s="24">
        <f>VLOOKUP(N558, IMPOSTO!$A:$D, 4, 0)</f>
        <v>7.0000000000000007E-2</v>
      </c>
      <c r="AC558" s="25">
        <f t="shared" si="78"/>
        <v>2296.3225665378786</v>
      </c>
      <c r="AD558" s="25">
        <f t="shared" si="79"/>
        <v>2296.8907483560606</v>
      </c>
      <c r="AE558" s="25">
        <f t="shared" si="80"/>
        <v>2182.7568371541215</v>
      </c>
      <c r="AF558" s="25">
        <f t="shared" si="81"/>
        <v>2377.5725665378786</v>
      </c>
      <c r="AG558" s="25">
        <f t="shared" si="82"/>
        <v>2412.0290957967477</v>
      </c>
      <c r="AH558" s="25">
        <f t="shared" si="83"/>
        <v>2344.3907483560602</v>
      </c>
      <c r="AI558" s="25">
        <f t="shared" si="84"/>
        <v>2597.0579124229389</v>
      </c>
    </row>
    <row r="559" spans="1:35" ht="15.75" customHeight="1">
      <c r="A559" s="12" t="s">
        <v>170</v>
      </c>
      <c r="B559" s="12" t="s">
        <v>171</v>
      </c>
      <c r="C559" s="12" t="s">
        <v>163</v>
      </c>
      <c r="D559" s="12" t="s">
        <v>33</v>
      </c>
      <c r="E559" s="12" t="s">
        <v>27</v>
      </c>
      <c r="F559" s="13">
        <v>33.855987765245651</v>
      </c>
      <c r="G559" s="14">
        <v>494.2702753297649</v>
      </c>
      <c r="H559" s="24" t="str">
        <f t="shared" si="77"/>
        <v>RJSP</v>
      </c>
      <c r="I559" s="24" t="str">
        <f t="shared" si="85"/>
        <v>RJMG</v>
      </c>
      <c r="J559" s="24" t="str">
        <f t="shared" si="85"/>
        <v>RJES</v>
      </c>
      <c r="K559" s="24" t="str">
        <f t="shared" si="85"/>
        <v>RJSC</v>
      </c>
      <c r="L559" s="24" t="str">
        <f t="shared" si="85"/>
        <v>RJRJ</v>
      </c>
      <c r="M559" s="24" t="str">
        <f t="shared" si="85"/>
        <v>RJPR</v>
      </c>
      <c r="N559" s="24" t="str">
        <f t="shared" si="85"/>
        <v>RJAM</v>
      </c>
      <c r="O559" s="24">
        <f>VLOOKUP(H559, KM!$A:$E, 5, 0)</f>
        <v>429</v>
      </c>
      <c r="P559" s="24">
        <f>VLOOKUP(I559, KM!$A:$E, 5, 0)</f>
        <v>434</v>
      </c>
      <c r="Q559" s="24">
        <f>VLOOKUP(J559, KM!$A:$E, 5, 0)</f>
        <v>521</v>
      </c>
      <c r="R559" s="24">
        <f>VLOOKUP(K559, KM!$A:$E, 5, 0)</f>
        <v>1144</v>
      </c>
      <c r="S559" s="24">
        <f>VLOOKUP(L559, KM!$A:$E, 5, 0)</f>
        <v>0</v>
      </c>
      <c r="T559" s="24">
        <f>VLOOKUP(M559, KM!$A:$E, 5, 0)</f>
        <v>852</v>
      </c>
      <c r="U559" s="24">
        <f>VLOOKUP(N559, KM!$A:$E, 5, 0)</f>
        <v>4374</v>
      </c>
      <c r="V559" s="24">
        <f>VLOOKUP(H559, IMPOSTO!$A:$D, 4, 0)</f>
        <v>0.12</v>
      </c>
      <c r="W559" s="24">
        <f>VLOOKUP(I559, IMPOSTO!$A:$D, 4, 0)</f>
        <v>0.12</v>
      </c>
      <c r="X559" s="24">
        <f>VLOOKUP(J559, IMPOSTO!$A:$D, 4, 0)</f>
        <v>7.0000000000000007E-2</v>
      </c>
      <c r="Y559" s="24">
        <f>VLOOKUP(K559, IMPOSTO!$A:$D, 4, 0)</f>
        <v>0.12</v>
      </c>
      <c r="Z559" s="24">
        <f>VLOOKUP(L559, IMPOSTO!$A:$D, 4, 0)</f>
        <v>0.18</v>
      </c>
      <c r="AA559" s="24">
        <f>VLOOKUP(M559, IMPOSTO!$A:$D, 4, 0)</f>
        <v>0.12</v>
      </c>
      <c r="AB559" s="24">
        <f>VLOOKUP(N559, IMPOSTO!$A:$D, 4, 0)</f>
        <v>7.0000000000000007E-2</v>
      </c>
      <c r="AC559" s="25">
        <f t="shared" si="78"/>
        <v>610.4207674201873</v>
      </c>
      <c r="AD559" s="25">
        <f t="shared" si="79"/>
        <v>610.98894923836917</v>
      </c>
      <c r="AE559" s="25">
        <f t="shared" si="80"/>
        <v>587.49491970942472</v>
      </c>
      <c r="AF559" s="25">
        <f t="shared" si="81"/>
        <v>691.6707674201873</v>
      </c>
      <c r="AG559" s="25">
        <f t="shared" si="82"/>
        <v>602.76862845093274</v>
      </c>
      <c r="AH559" s="25">
        <f t="shared" si="83"/>
        <v>658.48894923836929</v>
      </c>
      <c r="AI559" s="25">
        <f t="shared" si="84"/>
        <v>1001.795994978242</v>
      </c>
    </row>
    <row r="560" spans="1:35" ht="15.75" customHeight="1">
      <c r="A560" s="12" t="s">
        <v>170</v>
      </c>
      <c r="B560" s="12" t="s">
        <v>171</v>
      </c>
      <c r="C560" s="12" t="s">
        <v>163</v>
      </c>
      <c r="D560" s="12" t="s">
        <v>33</v>
      </c>
      <c r="E560" s="12" t="s">
        <v>27</v>
      </c>
      <c r="F560" s="13">
        <v>24.083412349455173</v>
      </c>
      <c r="G560" s="14">
        <v>351.47707851080099</v>
      </c>
      <c r="H560" s="24" t="str">
        <f t="shared" si="77"/>
        <v>RJSP</v>
      </c>
      <c r="I560" s="24" t="str">
        <f t="shared" si="85"/>
        <v>RJMG</v>
      </c>
      <c r="J560" s="24" t="str">
        <f t="shared" si="85"/>
        <v>RJES</v>
      </c>
      <c r="K560" s="24" t="str">
        <f t="shared" si="85"/>
        <v>RJSC</v>
      </c>
      <c r="L560" s="24" t="str">
        <f t="shared" si="85"/>
        <v>RJRJ</v>
      </c>
      <c r="M560" s="24" t="str">
        <f t="shared" si="85"/>
        <v>RJPR</v>
      </c>
      <c r="N560" s="24" t="str">
        <f t="shared" si="85"/>
        <v>RJAM</v>
      </c>
      <c r="O560" s="24">
        <f>VLOOKUP(H560, KM!$A:$E, 5, 0)</f>
        <v>429</v>
      </c>
      <c r="P560" s="24">
        <f>VLOOKUP(I560, KM!$A:$E, 5, 0)</f>
        <v>434</v>
      </c>
      <c r="Q560" s="24">
        <f>VLOOKUP(J560, KM!$A:$E, 5, 0)</f>
        <v>521</v>
      </c>
      <c r="R560" s="24">
        <f>VLOOKUP(K560, KM!$A:$E, 5, 0)</f>
        <v>1144</v>
      </c>
      <c r="S560" s="24">
        <f>VLOOKUP(L560, KM!$A:$E, 5, 0)</f>
        <v>0</v>
      </c>
      <c r="T560" s="24">
        <f>VLOOKUP(M560, KM!$A:$E, 5, 0)</f>
        <v>852</v>
      </c>
      <c r="U560" s="24">
        <f>VLOOKUP(N560, KM!$A:$E, 5, 0)</f>
        <v>4374</v>
      </c>
      <c r="V560" s="24">
        <f>VLOOKUP(H560, IMPOSTO!$A:$D, 4, 0)</f>
        <v>0.12</v>
      </c>
      <c r="W560" s="24">
        <f>VLOOKUP(I560, IMPOSTO!$A:$D, 4, 0)</f>
        <v>0.12</v>
      </c>
      <c r="X560" s="24">
        <f>VLOOKUP(J560, IMPOSTO!$A:$D, 4, 0)</f>
        <v>7.0000000000000007E-2</v>
      </c>
      <c r="Y560" s="24">
        <f>VLOOKUP(K560, IMPOSTO!$A:$D, 4, 0)</f>
        <v>0.12</v>
      </c>
      <c r="Z560" s="24">
        <f>VLOOKUP(L560, IMPOSTO!$A:$D, 4, 0)</f>
        <v>0.18</v>
      </c>
      <c r="AA560" s="24">
        <f>VLOOKUP(M560, IMPOSTO!$A:$D, 4, 0)</f>
        <v>0.12</v>
      </c>
      <c r="AB560" s="24">
        <f>VLOOKUP(N560, IMPOSTO!$A:$D, 4, 0)</f>
        <v>7.0000000000000007E-2</v>
      </c>
      <c r="AC560" s="25">
        <f t="shared" si="78"/>
        <v>448.15577103500112</v>
      </c>
      <c r="AD560" s="25">
        <f t="shared" si="79"/>
        <v>448.72395285318294</v>
      </c>
      <c r="AE560" s="25">
        <f t="shared" si="80"/>
        <v>433.95384786107638</v>
      </c>
      <c r="AF560" s="25">
        <f t="shared" si="81"/>
        <v>529.40577103500107</v>
      </c>
      <c r="AG560" s="25">
        <f t="shared" si="82"/>
        <v>428.63058354975726</v>
      </c>
      <c r="AH560" s="25">
        <f t="shared" si="83"/>
        <v>496.22395285318294</v>
      </c>
      <c r="AI560" s="25">
        <f t="shared" si="84"/>
        <v>848.25492312989365</v>
      </c>
    </row>
    <row r="561" spans="1:35" ht="15.75" customHeight="1">
      <c r="A561" s="12" t="s">
        <v>182</v>
      </c>
      <c r="B561" s="12" t="s">
        <v>183</v>
      </c>
      <c r="C561" s="12" t="s">
        <v>160</v>
      </c>
      <c r="D561" s="12" t="s">
        <v>33</v>
      </c>
      <c r="E561" s="12" t="s">
        <v>27</v>
      </c>
      <c r="F561" s="13">
        <v>0.96986261430876797</v>
      </c>
      <c r="G561" s="14">
        <v>5.9166724012910157</v>
      </c>
      <c r="H561" s="24" t="str">
        <f t="shared" si="77"/>
        <v>RJSP</v>
      </c>
      <c r="I561" s="24" t="str">
        <f t="shared" si="85"/>
        <v>RJMG</v>
      </c>
      <c r="J561" s="24" t="str">
        <f t="shared" si="85"/>
        <v>RJES</v>
      </c>
      <c r="K561" s="24" t="str">
        <f t="shared" si="85"/>
        <v>RJSC</v>
      </c>
      <c r="L561" s="24" t="str">
        <f t="shared" si="85"/>
        <v>RJRJ</v>
      </c>
      <c r="M561" s="24" t="str">
        <f t="shared" si="85"/>
        <v>RJPR</v>
      </c>
      <c r="N561" s="24" t="str">
        <f t="shared" si="85"/>
        <v>RJAM</v>
      </c>
      <c r="O561" s="24">
        <f>VLOOKUP(H561, KM!$A:$E, 5, 0)</f>
        <v>429</v>
      </c>
      <c r="P561" s="24">
        <f>VLOOKUP(I561, KM!$A:$E, 5, 0)</f>
        <v>434</v>
      </c>
      <c r="Q561" s="24">
        <f>VLOOKUP(J561, KM!$A:$E, 5, 0)</f>
        <v>521</v>
      </c>
      <c r="R561" s="24">
        <f>VLOOKUP(K561, KM!$A:$E, 5, 0)</f>
        <v>1144</v>
      </c>
      <c r="S561" s="24">
        <f>VLOOKUP(L561, KM!$A:$E, 5, 0)</f>
        <v>0</v>
      </c>
      <c r="T561" s="24">
        <f>VLOOKUP(M561, KM!$A:$E, 5, 0)</f>
        <v>852</v>
      </c>
      <c r="U561" s="24">
        <f>VLOOKUP(N561, KM!$A:$E, 5, 0)</f>
        <v>4374</v>
      </c>
      <c r="V561" s="24">
        <f>VLOOKUP(H561, IMPOSTO!$A:$D, 4, 0)</f>
        <v>0.12</v>
      </c>
      <c r="W561" s="24">
        <f>VLOOKUP(I561, IMPOSTO!$A:$D, 4, 0)</f>
        <v>0.12</v>
      </c>
      <c r="X561" s="24">
        <f>VLOOKUP(J561, IMPOSTO!$A:$D, 4, 0)</f>
        <v>7.0000000000000007E-2</v>
      </c>
      <c r="Y561" s="24">
        <f>VLOOKUP(K561, IMPOSTO!$A:$D, 4, 0)</f>
        <v>0.12</v>
      </c>
      <c r="Z561" s="24">
        <f>VLOOKUP(L561, IMPOSTO!$A:$D, 4, 0)</f>
        <v>0.18</v>
      </c>
      <c r="AA561" s="24">
        <f>VLOOKUP(M561, IMPOSTO!$A:$D, 4, 0)</f>
        <v>0.12</v>
      </c>
      <c r="AB561" s="24">
        <f>VLOOKUP(N561, IMPOSTO!$A:$D, 4, 0)</f>
        <v>7.0000000000000007E-2</v>
      </c>
      <c r="AC561" s="25">
        <f t="shared" si="78"/>
        <v>55.473491365103435</v>
      </c>
      <c r="AD561" s="25">
        <f t="shared" si="79"/>
        <v>56.041673183285255</v>
      </c>
      <c r="AE561" s="25">
        <f t="shared" si="80"/>
        <v>62.383518711065612</v>
      </c>
      <c r="AF561" s="25">
        <f t="shared" si="81"/>
        <v>136.72349136510343</v>
      </c>
      <c r="AG561" s="25">
        <f t="shared" si="82"/>
        <v>7.2154541479158718</v>
      </c>
      <c r="AH561" s="25">
        <f t="shared" si="83"/>
        <v>103.54167318328524</v>
      </c>
      <c r="AI561" s="25">
        <f t="shared" si="84"/>
        <v>476.68459397988289</v>
      </c>
    </row>
    <row r="562" spans="1:35" ht="15.75" customHeight="1">
      <c r="A562" s="12" t="s">
        <v>190</v>
      </c>
      <c r="B562" s="12" t="s">
        <v>191</v>
      </c>
      <c r="C562" s="12" t="s">
        <v>192</v>
      </c>
      <c r="D562" s="12" t="s">
        <v>50</v>
      </c>
      <c r="E562" s="12" t="s">
        <v>27</v>
      </c>
      <c r="F562" s="13">
        <v>1.8463138461538458</v>
      </c>
      <c r="G562" s="14">
        <v>10.888635907692306</v>
      </c>
      <c r="H562" s="24" t="str">
        <f t="shared" si="77"/>
        <v>RJSP</v>
      </c>
      <c r="I562" s="24" t="str">
        <f t="shared" si="85"/>
        <v>RJMG</v>
      </c>
      <c r="J562" s="24" t="str">
        <f t="shared" si="85"/>
        <v>RJES</v>
      </c>
      <c r="K562" s="24" t="str">
        <f t="shared" si="85"/>
        <v>RJSC</v>
      </c>
      <c r="L562" s="24" t="str">
        <f t="shared" si="85"/>
        <v>RJRJ</v>
      </c>
      <c r="M562" s="24" t="str">
        <f t="shared" si="85"/>
        <v>RJPR</v>
      </c>
      <c r="N562" s="24" t="str">
        <f t="shared" si="85"/>
        <v>RJAM</v>
      </c>
      <c r="O562" s="24">
        <f>VLOOKUP(H562, KM!$A:$E, 5, 0)</f>
        <v>429</v>
      </c>
      <c r="P562" s="24">
        <f>VLOOKUP(I562, KM!$A:$E, 5, 0)</f>
        <v>434</v>
      </c>
      <c r="Q562" s="24">
        <f>VLOOKUP(J562, KM!$A:$E, 5, 0)</f>
        <v>521</v>
      </c>
      <c r="R562" s="24">
        <f>VLOOKUP(K562, KM!$A:$E, 5, 0)</f>
        <v>1144</v>
      </c>
      <c r="S562" s="24">
        <f>VLOOKUP(L562, KM!$A:$E, 5, 0)</f>
        <v>0</v>
      </c>
      <c r="T562" s="24">
        <f>VLOOKUP(M562, KM!$A:$E, 5, 0)</f>
        <v>852</v>
      </c>
      <c r="U562" s="24">
        <f>VLOOKUP(N562, KM!$A:$E, 5, 0)</f>
        <v>4374</v>
      </c>
      <c r="V562" s="24">
        <f>VLOOKUP(H562, IMPOSTO!$A:$D, 4, 0)</f>
        <v>0.12</v>
      </c>
      <c r="W562" s="24">
        <f>VLOOKUP(I562, IMPOSTO!$A:$D, 4, 0)</f>
        <v>0.12</v>
      </c>
      <c r="X562" s="24">
        <f>VLOOKUP(J562, IMPOSTO!$A:$D, 4, 0)</f>
        <v>7.0000000000000007E-2</v>
      </c>
      <c r="Y562" s="24">
        <f>VLOOKUP(K562, IMPOSTO!$A:$D, 4, 0)</f>
        <v>0.12</v>
      </c>
      <c r="Z562" s="24">
        <f>VLOOKUP(L562, IMPOSTO!$A:$D, 4, 0)</f>
        <v>0.18</v>
      </c>
      <c r="AA562" s="24">
        <f>VLOOKUP(M562, IMPOSTO!$A:$D, 4, 0)</f>
        <v>0.12</v>
      </c>
      <c r="AB562" s="24">
        <f>VLOOKUP(N562, IMPOSTO!$A:$D, 4, 0)</f>
        <v>7.0000000000000007E-2</v>
      </c>
      <c r="AC562" s="25">
        <f t="shared" si="78"/>
        <v>61.123449895104898</v>
      </c>
      <c r="AD562" s="25">
        <f t="shared" si="79"/>
        <v>61.691631713286718</v>
      </c>
      <c r="AE562" s="25">
        <f t="shared" si="80"/>
        <v>67.729716029776682</v>
      </c>
      <c r="AF562" s="25">
        <f t="shared" si="81"/>
        <v>142.3734498951049</v>
      </c>
      <c r="AG562" s="25">
        <f t="shared" si="82"/>
        <v>13.278824277673543</v>
      </c>
      <c r="AH562" s="25">
        <f t="shared" si="83"/>
        <v>109.19163171328671</v>
      </c>
      <c r="AI562" s="25">
        <f t="shared" si="84"/>
        <v>482.03079129859395</v>
      </c>
    </row>
    <row r="563" spans="1:35" ht="15.75" customHeight="1">
      <c r="A563" s="12" t="s">
        <v>195</v>
      </c>
      <c r="B563" s="12" t="s">
        <v>196</v>
      </c>
      <c r="C563" s="12" t="s">
        <v>98</v>
      </c>
      <c r="D563" s="12" t="s">
        <v>33</v>
      </c>
      <c r="E563" s="12" t="s">
        <v>27</v>
      </c>
      <c r="F563" s="13">
        <v>62.695384615384611</v>
      </c>
      <c r="G563" s="14">
        <v>376.05694818461535</v>
      </c>
      <c r="H563" s="24" t="str">
        <f t="shared" si="77"/>
        <v>RJSP</v>
      </c>
      <c r="I563" s="24" t="str">
        <f t="shared" si="85"/>
        <v>RJMG</v>
      </c>
      <c r="J563" s="24" t="str">
        <f t="shared" si="85"/>
        <v>RJES</v>
      </c>
      <c r="K563" s="24" t="str">
        <f t="shared" si="85"/>
        <v>RJSC</v>
      </c>
      <c r="L563" s="24" t="str">
        <f t="shared" si="85"/>
        <v>RJRJ</v>
      </c>
      <c r="M563" s="24" t="str">
        <f t="shared" si="85"/>
        <v>RJPR</v>
      </c>
      <c r="N563" s="24" t="str">
        <f t="shared" si="85"/>
        <v>RJAM</v>
      </c>
      <c r="O563" s="24">
        <f>VLOOKUP(H563, KM!$A:$E, 5, 0)</f>
        <v>429</v>
      </c>
      <c r="P563" s="24">
        <f>VLOOKUP(I563, KM!$A:$E, 5, 0)</f>
        <v>434</v>
      </c>
      <c r="Q563" s="24">
        <f>VLOOKUP(J563, KM!$A:$E, 5, 0)</f>
        <v>521</v>
      </c>
      <c r="R563" s="24">
        <f>VLOOKUP(K563, KM!$A:$E, 5, 0)</f>
        <v>1144</v>
      </c>
      <c r="S563" s="24">
        <f>VLOOKUP(L563, KM!$A:$E, 5, 0)</f>
        <v>0</v>
      </c>
      <c r="T563" s="24">
        <f>VLOOKUP(M563, KM!$A:$E, 5, 0)</f>
        <v>852</v>
      </c>
      <c r="U563" s="24">
        <f>VLOOKUP(N563, KM!$A:$E, 5, 0)</f>
        <v>4374</v>
      </c>
      <c r="V563" s="24">
        <f>VLOOKUP(H563, IMPOSTO!$A:$D, 4, 0)</f>
        <v>0.12</v>
      </c>
      <c r="W563" s="24">
        <f>VLOOKUP(I563, IMPOSTO!$A:$D, 4, 0)</f>
        <v>0.12</v>
      </c>
      <c r="X563" s="24">
        <f>VLOOKUP(J563, IMPOSTO!$A:$D, 4, 0)</f>
        <v>7.0000000000000007E-2</v>
      </c>
      <c r="Y563" s="24">
        <f>VLOOKUP(K563, IMPOSTO!$A:$D, 4, 0)</f>
        <v>0.12</v>
      </c>
      <c r="Z563" s="24">
        <f>VLOOKUP(L563, IMPOSTO!$A:$D, 4, 0)</f>
        <v>0.18</v>
      </c>
      <c r="AA563" s="24">
        <f>VLOOKUP(M563, IMPOSTO!$A:$D, 4, 0)</f>
        <v>0.12</v>
      </c>
      <c r="AB563" s="24">
        <f>VLOOKUP(N563, IMPOSTO!$A:$D, 4, 0)</f>
        <v>7.0000000000000007E-2</v>
      </c>
      <c r="AC563" s="25">
        <f t="shared" si="78"/>
        <v>476.08744111888115</v>
      </c>
      <c r="AD563" s="25">
        <f t="shared" si="79"/>
        <v>476.65562293706296</v>
      </c>
      <c r="AE563" s="25">
        <f t="shared" si="80"/>
        <v>460.38381525227464</v>
      </c>
      <c r="AF563" s="25">
        <f t="shared" si="81"/>
        <v>557.33744111888109</v>
      </c>
      <c r="AG563" s="25">
        <f t="shared" si="82"/>
        <v>458.60603437148211</v>
      </c>
      <c r="AH563" s="25">
        <f t="shared" si="83"/>
        <v>524.15562293706284</v>
      </c>
      <c r="AI563" s="25">
        <f t="shared" si="84"/>
        <v>874.68489052109192</v>
      </c>
    </row>
    <row r="564" spans="1:35" ht="15.75" customHeight="1">
      <c r="A564" s="12" t="s">
        <v>199</v>
      </c>
      <c r="B564" s="12" t="s">
        <v>200</v>
      </c>
      <c r="C564" s="12" t="s">
        <v>181</v>
      </c>
      <c r="D564" s="12" t="s">
        <v>33</v>
      </c>
      <c r="E564" s="12" t="s">
        <v>27</v>
      </c>
      <c r="F564" s="13">
        <v>20.322524590163933</v>
      </c>
      <c r="G564" s="14">
        <v>279.16713320765029</v>
      </c>
      <c r="H564" s="24" t="str">
        <f t="shared" si="77"/>
        <v>RJSP</v>
      </c>
      <c r="I564" s="24" t="str">
        <f t="shared" si="85"/>
        <v>RJMG</v>
      </c>
      <c r="J564" s="24" t="str">
        <f t="shared" si="85"/>
        <v>RJES</v>
      </c>
      <c r="K564" s="24" t="str">
        <f t="shared" si="85"/>
        <v>RJSC</v>
      </c>
      <c r="L564" s="24" t="str">
        <f t="shared" si="85"/>
        <v>RJRJ</v>
      </c>
      <c r="M564" s="24" t="str">
        <f t="shared" si="85"/>
        <v>RJPR</v>
      </c>
      <c r="N564" s="24" t="str">
        <f t="shared" si="85"/>
        <v>RJAM</v>
      </c>
      <c r="O564" s="24">
        <f>VLOOKUP(H564, KM!$A:$E, 5, 0)</f>
        <v>429</v>
      </c>
      <c r="P564" s="24">
        <f>VLOOKUP(I564, KM!$A:$E, 5, 0)</f>
        <v>434</v>
      </c>
      <c r="Q564" s="24">
        <f>VLOOKUP(J564, KM!$A:$E, 5, 0)</f>
        <v>521</v>
      </c>
      <c r="R564" s="24">
        <f>VLOOKUP(K564, KM!$A:$E, 5, 0)</f>
        <v>1144</v>
      </c>
      <c r="S564" s="24">
        <f>VLOOKUP(L564, KM!$A:$E, 5, 0)</f>
        <v>0</v>
      </c>
      <c r="T564" s="24">
        <f>VLOOKUP(M564, KM!$A:$E, 5, 0)</f>
        <v>852</v>
      </c>
      <c r="U564" s="24">
        <f>VLOOKUP(N564, KM!$A:$E, 5, 0)</f>
        <v>4374</v>
      </c>
      <c r="V564" s="24">
        <f>VLOOKUP(H564, IMPOSTO!$A:$D, 4, 0)</f>
        <v>0.12</v>
      </c>
      <c r="W564" s="24">
        <f>VLOOKUP(I564, IMPOSTO!$A:$D, 4, 0)</f>
        <v>0.12</v>
      </c>
      <c r="X564" s="24">
        <f>VLOOKUP(J564, IMPOSTO!$A:$D, 4, 0)</f>
        <v>7.0000000000000007E-2</v>
      </c>
      <c r="Y564" s="24">
        <f>VLOOKUP(K564, IMPOSTO!$A:$D, 4, 0)</f>
        <v>0.12</v>
      </c>
      <c r="Z564" s="24">
        <f>VLOOKUP(L564, IMPOSTO!$A:$D, 4, 0)</f>
        <v>0.18</v>
      </c>
      <c r="AA564" s="24">
        <f>VLOOKUP(M564, IMPOSTO!$A:$D, 4, 0)</f>
        <v>0.12</v>
      </c>
      <c r="AB564" s="24">
        <f>VLOOKUP(N564, IMPOSTO!$A:$D, 4, 0)</f>
        <v>7.0000000000000007E-2</v>
      </c>
      <c r="AC564" s="25">
        <f t="shared" si="78"/>
        <v>365.98537864505715</v>
      </c>
      <c r="AD564" s="25">
        <f t="shared" si="79"/>
        <v>366.55356046323897</v>
      </c>
      <c r="AE564" s="25">
        <f t="shared" si="80"/>
        <v>356.20121850284983</v>
      </c>
      <c r="AF564" s="25">
        <f t="shared" si="81"/>
        <v>447.23537864505715</v>
      </c>
      <c r="AG564" s="25">
        <f t="shared" si="82"/>
        <v>340.44772342396374</v>
      </c>
      <c r="AH564" s="25">
        <f t="shared" si="83"/>
        <v>414.05356046323897</v>
      </c>
      <c r="AI564" s="25">
        <f t="shared" si="84"/>
        <v>770.50229377166715</v>
      </c>
    </row>
    <row r="565" spans="1:35" ht="15.75" customHeight="1">
      <c r="A565" s="12" t="s">
        <v>199</v>
      </c>
      <c r="B565" s="12" t="s">
        <v>200</v>
      </c>
      <c r="C565" s="12" t="s">
        <v>181</v>
      </c>
      <c r="D565" s="12" t="s">
        <v>33</v>
      </c>
      <c r="E565" s="12" t="s">
        <v>27</v>
      </c>
      <c r="F565" s="13">
        <v>3.3870874316939887</v>
      </c>
      <c r="G565" s="14">
        <v>39.439246054644805</v>
      </c>
      <c r="H565" s="24" t="str">
        <f t="shared" si="77"/>
        <v>RJSP</v>
      </c>
      <c r="I565" s="24" t="str">
        <f t="shared" si="85"/>
        <v>RJMG</v>
      </c>
      <c r="J565" s="24" t="str">
        <f t="shared" si="85"/>
        <v>RJES</v>
      </c>
      <c r="K565" s="24" t="str">
        <f t="shared" si="85"/>
        <v>RJSC</v>
      </c>
      <c r="L565" s="24" t="str">
        <f t="shared" si="85"/>
        <v>RJRJ</v>
      </c>
      <c r="M565" s="24" t="str">
        <f t="shared" si="85"/>
        <v>RJPR</v>
      </c>
      <c r="N565" s="24" t="str">
        <f t="shared" si="85"/>
        <v>RJAM</v>
      </c>
      <c r="O565" s="24">
        <f>VLOOKUP(H565, KM!$A:$E, 5, 0)</f>
        <v>429</v>
      </c>
      <c r="P565" s="24">
        <f>VLOOKUP(I565, KM!$A:$E, 5, 0)</f>
        <v>434</v>
      </c>
      <c r="Q565" s="24">
        <f>VLOOKUP(J565, KM!$A:$E, 5, 0)</f>
        <v>521</v>
      </c>
      <c r="R565" s="24">
        <f>VLOOKUP(K565, KM!$A:$E, 5, 0)</f>
        <v>1144</v>
      </c>
      <c r="S565" s="24">
        <f>VLOOKUP(L565, KM!$A:$E, 5, 0)</f>
        <v>0</v>
      </c>
      <c r="T565" s="24">
        <f>VLOOKUP(M565, KM!$A:$E, 5, 0)</f>
        <v>852</v>
      </c>
      <c r="U565" s="24">
        <f>VLOOKUP(N565, KM!$A:$E, 5, 0)</f>
        <v>4374</v>
      </c>
      <c r="V565" s="24">
        <f>VLOOKUP(H565, IMPOSTO!$A:$D, 4, 0)</f>
        <v>0.12</v>
      </c>
      <c r="W565" s="24">
        <f>VLOOKUP(I565, IMPOSTO!$A:$D, 4, 0)</f>
        <v>0.12</v>
      </c>
      <c r="X565" s="24">
        <f>VLOOKUP(J565, IMPOSTO!$A:$D, 4, 0)</f>
        <v>7.0000000000000007E-2</v>
      </c>
      <c r="Y565" s="24">
        <f>VLOOKUP(K565, IMPOSTO!$A:$D, 4, 0)</f>
        <v>0.12</v>
      </c>
      <c r="Z565" s="24">
        <f>VLOOKUP(L565, IMPOSTO!$A:$D, 4, 0)</f>
        <v>0.18</v>
      </c>
      <c r="AA565" s="24">
        <f>VLOOKUP(M565, IMPOSTO!$A:$D, 4, 0)</f>
        <v>0.12</v>
      </c>
      <c r="AB565" s="24">
        <f>VLOOKUP(N565, IMPOSTO!$A:$D, 4, 0)</f>
        <v>7.0000000000000007E-2</v>
      </c>
      <c r="AC565" s="25">
        <f t="shared" si="78"/>
        <v>93.567325062096373</v>
      </c>
      <c r="AD565" s="25">
        <f t="shared" si="79"/>
        <v>94.135506880278186</v>
      </c>
      <c r="AE565" s="25">
        <f t="shared" si="80"/>
        <v>98.429296832951408</v>
      </c>
      <c r="AF565" s="25">
        <f t="shared" si="81"/>
        <v>174.81732506209636</v>
      </c>
      <c r="AG565" s="25">
        <f t="shared" si="82"/>
        <v>48.096641530054633</v>
      </c>
      <c r="AH565" s="25">
        <f t="shared" si="83"/>
        <v>141.6355068802782</v>
      </c>
      <c r="AI565" s="25">
        <f t="shared" si="84"/>
        <v>512.73037210176869</v>
      </c>
    </row>
    <row r="566" spans="1:35" ht="15.75" customHeight="1">
      <c r="A566" s="12" t="s">
        <v>30</v>
      </c>
      <c r="B566" s="12" t="s">
        <v>31</v>
      </c>
      <c r="C566" s="12" t="s">
        <v>32</v>
      </c>
      <c r="D566" s="12" t="s">
        <v>33</v>
      </c>
      <c r="E566" s="12" t="s">
        <v>27</v>
      </c>
      <c r="F566" s="13">
        <v>680.90672712328774</v>
      </c>
      <c r="G566" s="14">
        <v>21522.09385804685</v>
      </c>
      <c r="H566" s="24" t="str">
        <f t="shared" si="77"/>
        <v>RJSP</v>
      </c>
      <c r="I566" s="24" t="str">
        <f t="shared" si="85"/>
        <v>RJMG</v>
      </c>
      <c r="J566" s="24" t="str">
        <f t="shared" si="85"/>
        <v>RJES</v>
      </c>
      <c r="K566" s="24" t="str">
        <f t="shared" si="85"/>
        <v>RJSC</v>
      </c>
      <c r="L566" s="24" t="str">
        <f t="shared" si="85"/>
        <v>RJRJ</v>
      </c>
      <c r="M566" s="24" t="str">
        <f t="shared" si="85"/>
        <v>RJPR</v>
      </c>
      <c r="N566" s="24" t="str">
        <f t="shared" si="85"/>
        <v>RJAM</v>
      </c>
      <c r="O566" s="24">
        <f>VLOOKUP(H566, KM!$A:$E, 5, 0)</f>
        <v>429</v>
      </c>
      <c r="P566" s="24">
        <f>VLOOKUP(I566, KM!$A:$E, 5, 0)</f>
        <v>434</v>
      </c>
      <c r="Q566" s="24">
        <f>VLOOKUP(J566, KM!$A:$E, 5, 0)</f>
        <v>521</v>
      </c>
      <c r="R566" s="24">
        <f>VLOOKUP(K566, KM!$A:$E, 5, 0)</f>
        <v>1144</v>
      </c>
      <c r="S566" s="24">
        <f>VLOOKUP(L566, KM!$A:$E, 5, 0)</f>
        <v>0</v>
      </c>
      <c r="T566" s="24">
        <f>VLOOKUP(M566, KM!$A:$E, 5, 0)</f>
        <v>852</v>
      </c>
      <c r="U566" s="24">
        <f>VLOOKUP(N566, KM!$A:$E, 5, 0)</f>
        <v>4374</v>
      </c>
      <c r="V566" s="24">
        <f>VLOOKUP(H566, IMPOSTO!$A:$D, 4, 0)</f>
        <v>0.12</v>
      </c>
      <c r="W566" s="24">
        <f>VLOOKUP(I566, IMPOSTO!$A:$D, 4, 0)</f>
        <v>0.12</v>
      </c>
      <c r="X566" s="24">
        <f>VLOOKUP(J566, IMPOSTO!$A:$D, 4, 0)</f>
        <v>7.0000000000000007E-2</v>
      </c>
      <c r="Y566" s="24">
        <f>VLOOKUP(K566, IMPOSTO!$A:$D, 4, 0)</f>
        <v>0.12</v>
      </c>
      <c r="Z566" s="24">
        <f>VLOOKUP(L566, IMPOSTO!$A:$D, 4, 0)</f>
        <v>0.18</v>
      </c>
      <c r="AA566" s="24">
        <f>VLOOKUP(M566, IMPOSTO!$A:$D, 4, 0)</f>
        <v>0.12</v>
      </c>
      <c r="AB566" s="24">
        <f>VLOOKUP(N566, IMPOSTO!$A:$D, 4, 0)</f>
        <v>7.0000000000000007E-2</v>
      </c>
      <c r="AC566" s="25">
        <f t="shared" si="78"/>
        <v>24505.674838689603</v>
      </c>
      <c r="AD566" s="25">
        <f t="shared" si="79"/>
        <v>24506.243020507787</v>
      </c>
      <c r="AE566" s="25">
        <f t="shared" si="80"/>
        <v>23198.057911878332</v>
      </c>
      <c r="AF566" s="25">
        <f t="shared" si="81"/>
        <v>24586.924838689603</v>
      </c>
      <c r="AG566" s="25">
        <f t="shared" si="82"/>
        <v>26246.455924447375</v>
      </c>
      <c r="AH566" s="25">
        <f t="shared" si="83"/>
        <v>24553.743020507784</v>
      </c>
      <c r="AI566" s="25">
        <f t="shared" si="84"/>
        <v>23612.358987147152</v>
      </c>
    </row>
    <row r="567" spans="1:35" ht="15.75" customHeight="1">
      <c r="A567" s="12" t="s">
        <v>410</v>
      </c>
      <c r="B567" s="12" t="s">
        <v>411</v>
      </c>
      <c r="C567" s="12" t="s">
        <v>192</v>
      </c>
      <c r="D567" s="12" t="s">
        <v>33</v>
      </c>
      <c r="E567" s="12" t="s">
        <v>27</v>
      </c>
      <c r="F567" s="13">
        <v>1.695000000000001</v>
      </c>
      <c r="G567" s="14">
        <v>46.876902147454658</v>
      </c>
      <c r="H567" s="24" t="str">
        <f t="shared" si="77"/>
        <v>RJSP</v>
      </c>
      <c r="I567" s="24" t="str">
        <f t="shared" si="85"/>
        <v>RJMG</v>
      </c>
      <c r="J567" s="24" t="str">
        <f t="shared" si="85"/>
        <v>RJES</v>
      </c>
      <c r="K567" s="24" t="str">
        <f t="shared" si="85"/>
        <v>RJSC</v>
      </c>
      <c r="L567" s="24" t="str">
        <f t="shared" si="85"/>
        <v>RJRJ</v>
      </c>
      <c r="M567" s="24" t="str">
        <f t="shared" si="85"/>
        <v>RJPR</v>
      </c>
      <c r="N567" s="24" t="str">
        <f t="shared" si="85"/>
        <v>RJAM</v>
      </c>
      <c r="O567" s="24">
        <f>VLOOKUP(H567, KM!$A:$E, 5, 0)</f>
        <v>429</v>
      </c>
      <c r="P567" s="24">
        <f>VLOOKUP(I567, KM!$A:$E, 5, 0)</f>
        <v>434</v>
      </c>
      <c r="Q567" s="24">
        <f>VLOOKUP(J567, KM!$A:$E, 5, 0)</f>
        <v>521</v>
      </c>
      <c r="R567" s="24">
        <f>VLOOKUP(K567, KM!$A:$E, 5, 0)</f>
        <v>1144</v>
      </c>
      <c r="S567" s="24">
        <f>VLOOKUP(L567, KM!$A:$E, 5, 0)</f>
        <v>0</v>
      </c>
      <c r="T567" s="24">
        <f>VLOOKUP(M567, KM!$A:$E, 5, 0)</f>
        <v>852</v>
      </c>
      <c r="U567" s="24">
        <f>VLOOKUP(N567, KM!$A:$E, 5, 0)</f>
        <v>4374</v>
      </c>
      <c r="V567" s="24">
        <f>VLOOKUP(H567, IMPOSTO!$A:$D, 4, 0)</f>
        <v>0.12</v>
      </c>
      <c r="W567" s="24">
        <f>VLOOKUP(I567, IMPOSTO!$A:$D, 4, 0)</f>
        <v>0.12</v>
      </c>
      <c r="X567" s="24">
        <f>VLOOKUP(J567, IMPOSTO!$A:$D, 4, 0)</f>
        <v>7.0000000000000007E-2</v>
      </c>
      <c r="Y567" s="24">
        <f>VLOOKUP(K567, IMPOSTO!$A:$D, 4, 0)</f>
        <v>0.12</v>
      </c>
      <c r="Z567" s="24">
        <f>VLOOKUP(L567, IMPOSTO!$A:$D, 4, 0)</f>
        <v>0.18</v>
      </c>
      <c r="AA567" s="24">
        <f>VLOOKUP(M567, IMPOSTO!$A:$D, 4, 0)</f>
        <v>0.12</v>
      </c>
      <c r="AB567" s="24">
        <f>VLOOKUP(N567, IMPOSTO!$A:$D, 4, 0)</f>
        <v>7.0000000000000007E-2</v>
      </c>
      <c r="AC567" s="25">
        <f t="shared" si="78"/>
        <v>102.01920698574393</v>
      </c>
      <c r="AD567" s="25">
        <f t="shared" si="79"/>
        <v>102.58738880392575</v>
      </c>
      <c r="AE567" s="25">
        <f t="shared" si="80"/>
        <v>106.42677650263943</v>
      </c>
      <c r="AF567" s="25">
        <f t="shared" si="81"/>
        <v>183.26920698574395</v>
      </c>
      <c r="AG567" s="25">
        <f t="shared" si="82"/>
        <v>57.166953838359333</v>
      </c>
      <c r="AH567" s="25">
        <f t="shared" si="83"/>
        <v>150.08738880392576</v>
      </c>
      <c r="AI567" s="25">
        <f t="shared" si="84"/>
        <v>520.7278517714567</v>
      </c>
    </row>
    <row r="568" spans="1:35" ht="15.75" customHeight="1">
      <c r="A568" s="12" t="s">
        <v>461</v>
      </c>
      <c r="B568" s="12" t="s">
        <v>462</v>
      </c>
      <c r="C568" s="12" t="s">
        <v>217</v>
      </c>
      <c r="D568" s="12" t="s">
        <v>50</v>
      </c>
      <c r="E568" s="12" t="s">
        <v>27</v>
      </c>
      <c r="F568" s="13">
        <v>9.5187109004739341</v>
      </c>
      <c r="G568" s="14">
        <v>84.166345524170637</v>
      </c>
      <c r="H568" s="24" t="str">
        <f t="shared" si="77"/>
        <v>RJSP</v>
      </c>
      <c r="I568" s="24" t="str">
        <f t="shared" si="85"/>
        <v>RJMG</v>
      </c>
      <c r="J568" s="24" t="str">
        <f t="shared" si="85"/>
        <v>RJES</v>
      </c>
      <c r="K568" s="24" t="str">
        <f t="shared" si="85"/>
        <v>RJSC</v>
      </c>
      <c r="L568" s="24" t="str">
        <f t="shared" si="85"/>
        <v>RJRJ</v>
      </c>
      <c r="M568" s="24" t="str">
        <f t="shared" si="85"/>
        <v>RJPR</v>
      </c>
      <c r="N568" s="24" t="str">
        <f t="shared" si="85"/>
        <v>RJAM</v>
      </c>
      <c r="O568" s="24">
        <f>VLOOKUP(H568, KM!$A:$E, 5, 0)</f>
        <v>429</v>
      </c>
      <c r="P568" s="24">
        <f>VLOOKUP(I568, KM!$A:$E, 5, 0)</f>
        <v>434</v>
      </c>
      <c r="Q568" s="24">
        <f>VLOOKUP(J568, KM!$A:$E, 5, 0)</f>
        <v>521</v>
      </c>
      <c r="R568" s="24">
        <f>VLOOKUP(K568, KM!$A:$E, 5, 0)</f>
        <v>1144</v>
      </c>
      <c r="S568" s="24">
        <f>VLOOKUP(L568, KM!$A:$E, 5, 0)</f>
        <v>0</v>
      </c>
      <c r="T568" s="24">
        <f>VLOOKUP(M568, KM!$A:$E, 5, 0)</f>
        <v>852</v>
      </c>
      <c r="U568" s="24">
        <f>VLOOKUP(N568, KM!$A:$E, 5, 0)</f>
        <v>4374</v>
      </c>
      <c r="V568" s="24">
        <f>VLOOKUP(H568, IMPOSTO!$A:$D, 4, 0)</f>
        <v>0.12</v>
      </c>
      <c r="W568" s="24">
        <f>VLOOKUP(I568, IMPOSTO!$A:$D, 4, 0)</f>
        <v>0.12</v>
      </c>
      <c r="X568" s="24">
        <f>VLOOKUP(J568, IMPOSTO!$A:$D, 4, 0)</f>
        <v>7.0000000000000007E-2</v>
      </c>
      <c r="Y568" s="24">
        <f>VLOOKUP(K568, IMPOSTO!$A:$D, 4, 0)</f>
        <v>0.12</v>
      </c>
      <c r="Z568" s="24">
        <f>VLOOKUP(L568, IMPOSTO!$A:$D, 4, 0)</f>
        <v>0.18</v>
      </c>
      <c r="AA568" s="24">
        <f>VLOOKUP(M568, IMPOSTO!$A:$D, 4, 0)</f>
        <v>0.12</v>
      </c>
      <c r="AB568" s="24">
        <f>VLOOKUP(N568, IMPOSTO!$A:$D, 4, 0)</f>
        <v>7.0000000000000007E-2</v>
      </c>
      <c r="AC568" s="25">
        <f t="shared" si="78"/>
        <v>144.39357445928482</v>
      </c>
      <c r="AD568" s="25">
        <f t="shared" si="79"/>
        <v>144.96175627746663</v>
      </c>
      <c r="AE568" s="25">
        <f t="shared" si="80"/>
        <v>146.52295217652758</v>
      </c>
      <c r="AF568" s="25">
        <f t="shared" si="81"/>
        <v>225.64357445928479</v>
      </c>
      <c r="AG568" s="25">
        <f t="shared" si="82"/>
        <v>102.64188478557394</v>
      </c>
      <c r="AH568" s="25">
        <f t="shared" si="83"/>
        <v>192.46175627746663</v>
      </c>
      <c r="AI568" s="25">
        <f t="shared" si="84"/>
        <v>560.82402744534477</v>
      </c>
    </row>
    <row r="569" spans="1:35" ht="15.75" customHeight="1">
      <c r="A569" s="12" t="s">
        <v>564</v>
      </c>
      <c r="B569" s="12" t="s">
        <v>565</v>
      </c>
      <c r="C569" s="12" t="s">
        <v>192</v>
      </c>
      <c r="D569" s="12" t="s">
        <v>33</v>
      </c>
      <c r="E569" s="12" t="s">
        <v>27</v>
      </c>
      <c r="F569" s="13">
        <v>87.99839999999999</v>
      </c>
      <c r="G569" s="14">
        <v>2372.9604908429751</v>
      </c>
      <c r="H569" s="24" t="str">
        <f t="shared" si="77"/>
        <v>RJSP</v>
      </c>
      <c r="I569" s="24" t="str">
        <f t="shared" si="85"/>
        <v>RJMG</v>
      </c>
      <c r="J569" s="24" t="str">
        <f t="shared" si="85"/>
        <v>RJES</v>
      </c>
      <c r="K569" s="24" t="str">
        <f t="shared" si="85"/>
        <v>RJSC</v>
      </c>
      <c r="L569" s="24" t="str">
        <f t="shared" si="85"/>
        <v>RJRJ</v>
      </c>
      <c r="M569" s="24" t="str">
        <f t="shared" si="85"/>
        <v>RJPR</v>
      </c>
      <c r="N569" s="24" t="str">
        <f t="shared" si="85"/>
        <v>RJAM</v>
      </c>
      <c r="O569" s="24">
        <f>VLOOKUP(H569, KM!$A:$E, 5, 0)</f>
        <v>429</v>
      </c>
      <c r="P569" s="24">
        <f>VLOOKUP(I569, KM!$A:$E, 5, 0)</f>
        <v>434</v>
      </c>
      <c r="Q569" s="24">
        <f>VLOOKUP(J569, KM!$A:$E, 5, 0)</f>
        <v>521</v>
      </c>
      <c r="R569" s="24">
        <f>VLOOKUP(K569, KM!$A:$E, 5, 0)</f>
        <v>1144</v>
      </c>
      <c r="S569" s="24">
        <f>VLOOKUP(L569, KM!$A:$E, 5, 0)</f>
        <v>0</v>
      </c>
      <c r="T569" s="24">
        <f>VLOOKUP(M569, KM!$A:$E, 5, 0)</f>
        <v>852</v>
      </c>
      <c r="U569" s="24">
        <f>VLOOKUP(N569, KM!$A:$E, 5, 0)</f>
        <v>4374</v>
      </c>
      <c r="V569" s="24">
        <f>VLOOKUP(H569, IMPOSTO!$A:$D, 4, 0)</f>
        <v>0.12</v>
      </c>
      <c r="W569" s="24">
        <f>VLOOKUP(I569, IMPOSTO!$A:$D, 4, 0)</f>
        <v>0.12</v>
      </c>
      <c r="X569" s="24">
        <f>VLOOKUP(J569, IMPOSTO!$A:$D, 4, 0)</f>
        <v>7.0000000000000007E-2</v>
      </c>
      <c r="Y569" s="24">
        <f>VLOOKUP(K569, IMPOSTO!$A:$D, 4, 0)</f>
        <v>0.12</v>
      </c>
      <c r="Z569" s="24">
        <f>VLOOKUP(L569, IMPOSTO!$A:$D, 4, 0)</f>
        <v>0.18</v>
      </c>
      <c r="AA569" s="24">
        <f>VLOOKUP(M569, IMPOSTO!$A:$D, 4, 0)</f>
        <v>0.12</v>
      </c>
      <c r="AB569" s="24">
        <f>VLOOKUP(N569, IMPOSTO!$A:$D, 4, 0)</f>
        <v>7.0000000000000007E-2</v>
      </c>
      <c r="AC569" s="25">
        <f t="shared" si="78"/>
        <v>2745.2960123215626</v>
      </c>
      <c r="AD569" s="25">
        <f t="shared" si="79"/>
        <v>2745.8641941397445</v>
      </c>
      <c r="AE569" s="25">
        <f t="shared" si="80"/>
        <v>2607.5919256376078</v>
      </c>
      <c r="AF569" s="25">
        <f t="shared" si="81"/>
        <v>2826.5460123215626</v>
      </c>
      <c r="AG569" s="25">
        <f t="shared" si="82"/>
        <v>2893.8542571255794</v>
      </c>
      <c r="AH569" s="25">
        <f t="shared" si="83"/>
        <v>2793.3641941397441</v>
      </c>
      <c r="AI569" s="25">
        <f t="shared" si="84"/>
        <v>3021.8930009064252</v>
      </c>
    </row>
    <row r="570" spans="1:35" ht="15.75" customHeight="1">
      <c r="A570" s="12" t="s">
        <v>39</v>
      </c>
      <c r="B570" s="12" t="s">
        <v>40</v>
      </c>
      <c r="C570" s="12" t="s">
        <v>32</v>
      </c>
      <c r="D570" s="12" t="s">
        <v>33</v>
      </c>
      <c r="E570" s="12" t="s">
        <v>27</v>
      </c>
      <c r="F570" s="13">
        <v>346.45910015408322</v>
      </c>
      <c r="G570" s="14">
        <v>25220.005152976271</v>
      </c>
      <c r="H570" s="24" t="str">
        <f t="shared" si="77"/>
        <v>RJSP</v>
      </c>
      <c r="I570" s="24" t="str">
        <f t="shared" si="85"/>
        <v>RJMG</v>
      </c>
      <c r="J570" s="24" t="str">
        <f t="shared" si="85"/>
        <v>RJES</v>
      </c>
      <c r="K570" s="24" t="str">
        <f t="shared" si="85"/>
        <v>RJSC</v>
      </c>
      <c r="L570" s="24" t="str">
        <f t="shared" si="85"/>
        <v>RJRJ</v>
      </c>
      <c r="M570" s="24" t="str">
        <f t="shared" si="85"/>
        <v>RJPR</v>
      </c>
      <c r="N570" s="24" t="str">
        <f t="shared" si="85"/>
        <v>RJAM</v>
      </c>
      <c r="O570" s="24">
        <f>VLOOKUP(H570, KM!$A:$E, 5, 0)</f>
        <v>429</v>
      </c>
      <c r="P570" s="24">
        <f>VLOOKUP(I570, KM!$A:$E, 5, 0)</f>
        <v>434</v>
      </c>
      <c r="Q570" s="24">
        <f>VLOOKUP(J570, KM!$A:$E, 5, 0)</f>
        <v>521</v>
      </c>
      <c r="R570" s="24">
        <f>VLOOKUP(K570, KM!$A:$E, 5, 0)</f>
        <v>1144</v>
      </c>
      <c r="S570" s="24">
        <f>VLOOKUP(L570, KM!$A:$E, 5, 0)</f>
        <v>0</v>
      </c>
      <c r="T570" s="24">
        <f>VLOOKUP(M570, KM!$A:$E, 5, 0)</f>
        <v>852</v>
      </c>
      <c r="U570" s="24">
        <f>VLOOKUP(N570, KM!$A:$E, 5, 0)</f>
        <v>4374</v>
      </c>
      <c r="V570" s="24">
        <f>VLOOKUP(H570, IMPOSTO!$A:$D, 4, 0)</f>
        <v>0.12</v>
      </c>
      <c r="W570" s="24">
        <f>VLOOKUP(I570, IMPOSTO!$A:$D, 4, 0)</f>
        <v>0.12</v>
      </c>
      <c r="X570" s="24">
        <f>VLOOKUP(J570, IMPOSTO!$A:$D, 4, 0)</f>
        <v>7.0000000000000007E-2</v>
      </c>
      <c r="Y570" s="24">
        <f>VLOOKUP(K570, IMPOSTO!$A:$D, 4, 0)</f>
        <v>0.12</v>
      </c>
      <c r="Z570" s="24">
        <f>VLOOKUP(L570, IMPOSTO!$A:$D, 4, 0)</f>
        <v>0.18</v>
      </c>
      <c r="AA570" s="24">
        <f>VLOOKUP(M570, IMPOSTO!$A:$D, 4, 0)</f>
        <v>0.12</v>
      </c>
      <c r="AB570" s="24">
        <f>VLOOKUP(N570, IMPOSTO!$A:$D, 4, 0)</f>
        <v>7.0000000000000007E-2</v>
      </c>
      <c r="AC570" s="25">
        <f t="shared" si="78"/>
        <v>28707.846764745766</v>
      </c>
      <c r="AD570" s="25">
        <f t="shared" si="79"/>
        <v>28708.414946563946</v>
      </c>
      <c r="AE570" s="25">
        <f t="shared" si="80"/>
        <v>27174.306616103517</v>
      </c>
      <c r="AF570" s="25">
        <f t="shared" si="81"/>
        <v>28789.096764745766</v>
      </c>
      <c r="AG570" s="25">
        <f t="shared" si="82"/>
        <v>30756.10384509301</v>
      </c>
      <c r="AH570" s="25">
        <f t="shared" si="83"/>
        <v>28755.914946563946</v>
      </c>
      <c r="AI570" s="25">
        <f t="shared" si="84"/>
        <v>27588.607691372337</v>
      </c>
    </row>
    <row r="571" spans="1:35" ht="15.75" customHeight="1">
      <c r="A571" s="12" t="s">
        <v>431</v>
      </c>
      <c r="B571" s="12" t="s">
        <v>432</v>
      </c>
      <c r="C571" s="12" t="s">
        <v>433</v>
      </c>
      <c r="D571" s="12" t="s">
        <v>33</v>
      </c>
      <c r="E571" s="12" t="s">
        <v>27</v>
      </c>
      <c r="F571" s="13">
        <v>46.11363636363636</v>
      </c>
      <c r="G571" s="14">
        <v>3727.8263636363631</v>
      </c>
      <c r="H571" s="24" t="str">
        <f t="shared" si="77"/>
        <v>RJSP</v>
      </c>
      <c r="I571" s="24" t="str">
        <f t="shared" si="85"/>
        <v>RJMG</v>
      </c>
      <c r="J571" s="24" t="str">
        <f t="shared" si="85"/>
        <v>RJES</v>
      </c>
      <c r="K571" s="24" t="str">
        <f t="shared" si="85"/>
        <v>RJSC</v>
      </c>
      <c r="L571" s="24" t="str">
        <f t="shared" si="85"/>
        <v>RJRJ</v>
      </c>
      <c r="M571" s="24" t="str">
        <f t="shared" si="85"/>
        <v>RJPR</v>
      </c>
      <c r="N571" s="24" t="str">
        <f t="shared" si="85"/>
        <v>RJAM</v>
      </c>
      <c r="O571" s="24">
        <f>VLOOKUP(H571, KM!$A:$E, 5, 0)</f>
        <v>429</v>
      </c>
      <c r="P571" s="24">
        <f>VLOOKUP(I571, KM!$A:$E, 5, 0)</f>
        <v>434</v>
      </c>
      <c r="Q571" s="24">
        <f>VLOOKUP(J571, KM!$A:$E, 5, 0)</f>
        <v>521</v>
      </c>
      <c r="R571" s="24">
        <f>VLOOKUP(K571, KM!$A:$E, 5, 0)</f>
        <v>1144</v>
      </c>
      <c r="S571" s="24">
        <f>VLOOKUP(L571, KM!$A:$E, 5, 0)</f>
        <v>0</v>
      </c>
      <c r="T571" s="24">
        <f>VLOOKUP(M571, KM!$A:$E, 5, 0)</f>
        <v>852</v>
      </c>
      <c r="U571" s="24">
        <f>VLOOKUP(N571, KM!$A:$E, 5, 0)</f>
        <v>4374</v>
      </c>
      <c r="V571" s="24">
        <f>VLOOKUP(H571, IMPOSTO!$A:$D, 4, 0)</f>
        <v>0.12</v>
      </c>
      <c r="W571" s="24">
        <f>VLOOKUP(I571, IMPOSTO!$A:$D, 4, 0)</f>
        <v>0.12</v>
      </c>
      <c r="X571" s="24">
        <f>VLOOKUP(J571, IMPOSTO!$A:$D, 4, 0)</f>
        <v>7.0000000000000007E-2</v>
      </c>
      <c r="Y571" s="24">
        <f>VLOOKUP(K571, IMPOSTO!$A:$D, 4, 0)</f>
        <v>0.12</v>
      </c>
      <c r="Z571" s="24">
        <f>VLOOKUP(L571, IMPOSTO!$A:$D, 4, 0)</f>
        <v>0.18</v>
      </c>
      <c r="AA571" s="24">
        <f>VLOOKUP(M571, IMPOSTO!$A:$D, 4, 0)</f>
        <v>0.12</v>
      </c>
      <c r="AB571" s="24">
        <f>VLOOKUP(N571, IMPOSTO!$A:$D, 4, 0)</f>
        <v>7.0000000000000007E-2</v>
      </c>
      <c r="AC571" s="25">
        <f t="shared" si="78"/>
        <v>4284.9163223140495</v>
      </c>
      <c r="AD571" s="25">
        <f t="shared" si="79"/>
        <v>4285.4845041322305</v>
      </c>
      <c r="AE571" s="25">
        <f t="shared" si="80"/>
        <v>4064.4369501466272</v>
      </c>
      <c r="AF571" s="25">
        <f t="shared" si="81"/>
        <v>4366.1663223140495</v>
      </c>
      <c r="AG571" s="25">
        <f t="shared" si="82"/>
        <v>4546.1297117516624</v>
      </c>
      <c r="AH571" s="25">
        <f t="shared" si="83"/>
        <v>4332.9845041322305</v>
      </c>
      <c r="AI571" s="25">
        <f t="shared" si="84"/>
        <v>4478.738025415445</v>
      </c>
    </row>
    <row r="572" spans="1:35" ht="15.75" customHeight="1">
      <c r="A572" s="12" t="s">
        <v>566</v>
      </c>
      <c r="B572" s="12" t="s">
        <v>567</v>
      </c>
      <c r="C572" s="12" t="s">
        <v>433</v>
      </c>
      <c r="D572" s="12" t="s">
        <v>33</v>
      </c>
      <c r="E572" s="12" t="s">
        <v>27</v>
      </c>
      <c r="F572" s="13">
        <v>82.970588235294116</v>
      </c>
      <c r="G572" s="14">
        <v>4376.9266985294107</v>
      </c>
      <c r="H572" s="24" t="str">
        <f t="shared" si="77"/>
        <v>RJSP</v>
      </c>
      <c r="I572" s="24" t="str">
        <f t="shared" si="85"/>
        <v>RJMG</v>
      </c>
      <c r="J572" s="24" t="str">
        <f t="shared" si="85"/>
        <v>RJES</v>
      </c>
      <c r="K572" s="24" t="str">
        <f t="shared" si="85"/>
        <v>RJSC</v>
      </c>
      <c r="L572" s="24" t="str">
        <f t="shared" si="85"/>
        <v>RJRJ</v>
      </c>
      <c r="M572" s="24" t="str">
        <f t="shared" si="85"/>
        <v>RJPR</v>
      </c>
      <c r="N572" s="24" t="str">
        <f t="shared" si="85"/>
        <v>RJAM</v>
      </c>
      <c r="O572" s="24">
        <f>VLOOKUP(H572, KM!$A:$E, 5, 0)</f>
        <v>429</v>
      </c>
      <c r="P572" s="24">
        <f>VLOOKUP(I572, KM!$A:$E, 5, 0)</f>
        <v>434</v>
      </c>
      <c r="Q572" s="24">
        <f>VLOOKUP(J572, KM!$A:$E, 5, 0)</f>
        <v>521</v>
      </c>
      <c r="R572" s="24">
        <f>VLOOKUP(K572, KM!$A:$E, 5, 0)</f>
        <v>1144</v>
      </c>
      <c r="S572" s="24">
        <f>VLOOKUP(L572, KM!$A:$E, 5, 0)</f>
        <v>0</v>
      </c>
      <c r="T572" s="24">
        <f>VLOOKUP(M572, KM!$A:$E, 5, 0)</f>
        <v>852</v>
      </c>
      <c r="U572" s="24">
        <f>VLOOKUP(N572, KM!$A:$E, 5, 0)</f>
        <v>4374</v>
      </c>
      <c r="V572" s="24">
        <f>VLOOKUP(H572, IMPOSTO!$A:$D, 4, 0)</f>
        <v>0.12</v>
      </c>
      <c r="W572" s="24">
        <f>VLOOKUP(I572, IMPOSTO!$A:$D, 4, 0)</f>
        <v>0.12</v>
      </c>
      <c r="X572" s="24">
        <f>VLOOKUP(J572, IMPOSTO!$A:$D, 4, 0)</f>
        <v>7.0000000000000007E-2</v>
      </c>
      <c r="Y572" s="24">
        <f>VLOOKUP(K572, IMPOSTO!$A:$D, 4, 0)</f>
        <v>0.12</v>
      </c>
      <c r="Z572" s="24">
        <f>VLOOKUP(L572, IMPOSTO!$A:$D, 4, 0)</f>
        <v>0.18</v>
      </c>
      <c r="AA572" s="24">
        <f>VLOOKUP(M572, IMPOSTO!$A:$D, 4, 0)</f>
        <v>0.12</v>
      </c>
      <c r="AB572" s="24">
        <f>VLOOKUP(N572, IMPOSTO!$A:$D, 4, 0)</f>
        <v>7.0000000000000007E-2</v>
      </c>
      <c r="AC572" s="25">
        <f t="shared" si="78"/>
        <v>5022.5303392379665</v>
      </c>
      <c r="AD572" s="25">
        <f t="shared" si="79"/>
        <v>5023.0985210561485</v>
      </c>
      <c r="AE572" s="25">
        <f t="shared" si="80"/>
        <v>4762.3942994939907</v>
      </c>
      <c r="AF572" s="25">
        <f t="shared" si="81"/>
        <v>5103.7803392379665</v>
      </c>
      <c r="AG572" s="25">
        <f t="shared" si="82"/>
        <v>5337.7154860114761</v>
      </c>
      <c r="AH572" s="25">
        <f t="shared" si="83"/>
        <v>5070.5985210561485</v>
      </c>
      <c r="AI572" s="25">
        <f t="shared" si="84"/>
        <v>5176.6953747628068</v>
      </c>
    </row>
    <row r="573" spans="1:35" ht="15.75" customHeight="1">
      <c r="A573" s="12" t="s">
        <v>434</v>
      </c>
      <c r="B573" s="12" t="s">
        <v>435</v>
      </c>
      <c r="C573" s="12" t="s">
        <v>220</v>
      </c>
      <c r="D573" s="12" t="s">
        <v>33</v>
      </c>
      <c r="E573" s="12" t="s">
        <v>27</v>
      </c>
      <c r="F573" s="13">
        <v>2058.5139519792347</v>
      </c>
      <c r="G573" s="14">
        <v>88996.336177806632</v>
      </c>
      <c r="H573" s="24" t="str">
        <f t="shared" si="77"/>
        <v>RJSP</v>
      </c>
      <c r="I573" s="24" t="str">
        <f t="shared" si="85"/>
        <v>RJMG</v>
      </c>
      <c r="J573" s="24" t="str">
        <f t="shared" si="85"/>
        <v>RJES</v>
      </c>
      <c r="K573" s="24" t="str">
        <f t="shared" si="85"/>
        <v>RJSC</v>
      </c>
      <c r="L573" s="24" t="str">
        <f t="shared" si="85"/>
        <v>RJRJ</v>
      </c>
      <c r="M573" s="24" t="str">
        <f t="shared" si="85"/>
        <v>RJPR</v>
      </c>
      <c r="N573" s="24" t="str">
        <f t="shared" si="85"/>
        <v>RJAM</v>
      </c>
      <c r="O573" s="24">
        <f>VLOOKUP(H573, KM!$A:$E, 5, 0)</f>
        <v>429</v>
      </c>
      <c r="P573" s="24">
        <f>VLOOKUP(I573, KM!$A:$E, 5, 0)</f>
        <v>434</v>
      </c>
      <c r="Q573" s="24">
        <f>VLOOKUP(J573, KM!$A:$E, 5, 0)</f>
        <v>521</v>
      </c>
      <c r="R573" s="24">
        <f>VLOOKUP(K573, KM!$A:$E, 5, 0)</f>
        <v>1144</v>
      </c>
      <c r="S573" s="24">
        <f>VLOOKUP(L573, KM!$A:$E, 5, 0)</f>
        <v>0</v>
      </c>
      <c r="T573" s="24">
        <f>VLOOKUP(M573, KM!$A:$E, 5, 0)</f>
        <v>852</v>
      </c>
      <c r="U573" s="24">
        <f>VLOOKUP(N573, KM!$A:$E, 5, 0)</f>
        <v>4374</v>
      </c>
      <c r="V573" s="24">
        <f>VLOOKUP(H573, IMPOSTO!$A:$D, 4, 0)</f>
        <v>0.12</v>
      </c>
      <c r="W573" s="24">
        <f>VLOOKUP(I573, IMPOSTO!$A:$D, 4, 0)</f>
        <v>0.12</v>
      </c>
      <c r="X573" s="24">
        <f>VLOOKUP(J573, IMPOSTO!$A:$D, 4, 0)</f>
        <v>7.0000000000000007E-2</v>
      </c>
      <c r="Y573" s="24">
        <f>VLOOKUP(K573, IMPOSTO!$A:$D, 4, 0)</f>
        <v>0.12</v>
      </c>
      <c r="Z573" s="24">
        <f>VLOOKUP(L573, IMPOSTO!$A:$D, 4, 0)</f>
        <v>0.18</v>
      </c>
      <c r="AA573" s="24">
        <f>VLOOKUP(M573, IMPOSTO!$A:$D, 4, 0)</f>
        <v>0.12</v>
      </c>
      <c r="AB573" s="24">
        <f>VLOOKUP(N573, IMPOSTO!$A:$D, 4, 0)</f>
        <v>7.0000000000000007E-2</v>
      </c>
      <c r="AC573" s="25">
        <f t="shared" si="78"/>
        <v>101180.95020205299</v>
      </c>
      <c r="AD573" s="25">
        <f t="shared" si="79"/>
        <v>101181.51838387117</v>
      </c>
      <c r="AE573" s="25">
        <f t="shared" si="80"/>
        <v>95751.006642802837</v>
      </c>
      <c r="AF573" s="25">
        <f t="shared" si="81"/>
        <v>101262.20020205299</v>
      </c>
      <c r="AG573" s="25">
        <f t="shared" si="82"/>
        <v>108532.11729000809</v>
      </c>
      <c r="AH573" s="25">
        <f t="shared" si="83"/>
        <v>101229.01838387117</v>
      </c>
      <c r="AI573" s="25">
        <f t="shared" si="84"/>
        <v>96165.30771807165</v>
      </c>
    </row>
    <row r="574" spans="1:35" ht="15.75" customHeight="1">
      <c r="A574" s="12" t="s">
        <v>434</v>
      </c>
      <c r="B574" s="12" t="s">
        <v>435</v>
      </c>
      <c r="C574" s="12" t="s">
        <v>220</v>
      </c>
      <c r="D574" s="12" t="s">
        <v>33</v>
      </c>
      <c r="E574" s="12" t="s">
        <v>27</v>
      </c>
      <c r="F574" s="13">
        <v>753.11486048020777</v>
      </c>
      <c r="G574" s="14">
        <v>32544.713961064241</v>
      </c>
      <c r="H574" s="24" t="str">
        <f t="shared" si="77"/>
        <v>RJSP</v>
      </c>
      <c r="I574" s="24" t="str">
        <f t="shared" si="85"/>
        <v>RJMG</v>
      </c>
      <c r="J574" s="24" t="str">
        <f t="shared" si="85"/>
        <v>RJES</v>
      </c>
      <c r="K574" s="24" t="str">
        <f t="shared" si="85"/>
        <v>RJSC</v>
      </c>
      <c r="L574" s="24" t="str">
        <f t="shared" si="85"/>
        <v>RJRJ</v>
      </c>
      <c r="M574" s="24" t="str">
        <f t="shared" si="85"/>
        <v>RJPR</v>
      </c>
      <c r="N574" s="24" t="str">
        <f t="shared" si="85"/>
        <v>RJAM</v>
      </c>
      <c r="O574" s="24">
        <f>VLOOKUP(H574, KM!$A:$E, 5, 0)</f>
        <v>429</v>
      </c>
      <c r="P574" s="24">
        <f>VLOOKUP(I574, KM!$A:$E, 5, 0)</f>
        <v>434</v>
      </c>
      <c r="Q574" s="24">
        <f>VLOOKUP(J574, KM!$A:$E, 5, 0)</f>
        <v>521</v>
      </c>
      <c r="R574" s="24">
        <f>VLOOKUP(K574, KM!$A:$E, 5, 0)</f>
        <v>1144</v>
      </c>
      <c r="S574" s="24">
        <f>VLOOKUP(L574, KM!$A:$E, 5, 0)</f>
        <v>0</v>
      </c>
      <c r="T574" s="24">
        <f>VLOOKUP(M574, KM!$A:$E, 5, 0)</f>
        <v>852</v>
      </c>
      <c r="U574" s="24">
        <f>VLOOKUP(N574, KM!$A:$E, 5, 0)</f>
        <v>4374</v>
      </c>
      <c r="V574" s="24">
        <f>VLOOKUP(H574, IMPOSTO!$A:$D, 4, 0)</f>
        <v>0.12</v>
      </c>
      <c r="W574" s="24">
        <f>VLOOKUP(I574, IMPOSTO!$A:$D, 4, 0)</f>
        <v>0.12</v>
      </c>
      <c r="X574" s="24">
        <f>VLOOKUP(J574, IMPOSTO!$A:$D, 4, 0)</f>
        <v>7.0000000000000007E-2</v>
      </c>
      <c r="Y574" s="24">
        <f>VLOOKUP(K574, IMPOSTO!$A:$D, 4, 0)</f>
        <v>0.12</v>
      </c>
      <c r="Z574" s="24">
        <f>VLOOKUP(L574, IMPOSTO!$A:$D, 4, 0)</f>
        <v>0.18</v>
      </c>
      <c r="AA574" s="24">
        <f>VLOOKUP(M574, IMPOSTO!$A:$D, 4, 0)</f>
        <v>0.12</v>
      </c>
      <c r="AB574" s="24">
        <f>VLOOKUP(N574, IMPOSTO!$A:$D, 4, 0)</f>
        <v>7.0000000000000007E-2</v>
      </c>
      <c r="AC574" s="25">
        <f t="shared" si="78"/>
        <v>37031.379501209369</v>
      </c>
      <c r="AD574" s="25">
        <f t="shared" si="79"/>
        <v>37031.947683027545</v>
      </c>
      <c r="AE574" s="25">
        <f t="shared" si="80"/>
        <v>35050.337592542193</v>
      </c>
      <c r="AF574" s="25">
        <f t="shared" si="81"/>
        <v>37112.629501209369</v>
      </c>
      <c r="AG574" s="25">
        <f t="shared" si="82"/>
        <v>39688.675562273464</v>
      </c>
      <c r="AH574" s="25">
        <f t="shared" si="83"/>
        <v>37079.447683027545</v>
      </c>
      <c r="AI574" s="25">
        <f t="shared" si="84"/>
        <v>35464.638667811014</v>
      </c>
    </row>
    <row r="575" spans="1:35" ht="15.75" customHeight="1">
      <c r="A575" s="12" t="s">
        <v>438</v>
      </c>
      <c r="B575" s="12" t="s">
        <v>439</v>
      </c>
      <c r="C575" s="12" t="s">
        <v>333</v>
      </c>
      <c r="D575" s="12" t="s">
        <v>50</v>
      </c>
      <c r="E575" s="12" t="s">
        <v>27</v>
      </c>
      <c r="F575" s="13">
        <v>647.45794785534065</v>
      </c>
      <c r="G575" s="14">
        <v>2421.4927249789739</v>
      </c>
      <c r="H575" s="24" t="str">
        <f t="shared" si="77"/>
        <v>RJSP</v>
      </c>
      <c r="I575" s="24" t="str">
        <f t="shared" si="85"/>
        <v>RJMG</v>
      </c>
      <c r="J575" s="24" t="str">
        <f t="shared" si="85"/>
        <v>RJES</v>
      </c>
      <c r="K575" s="24" t="str">
        <f t="shared" si="85"/>
        <v>RJSC</v>
      </c>
      <c r="L575" s="24" t="str">
        <f t="shared" si="85"/>
        <v>RJRJ</v>
      </c>
      <c r="M575" s="24" t="str">
        <f t="shared" si="85"/>
        <v>RJPR</v>
      </c>
      <c r="N575" s="24" t="str">
        <f t="shared" si="85"/>
        <v>RJAM</v>
      </c>
      <c r="O575" s="24">
        <f>VLOOKUP(H575, KM!$A:$E, 5, 0)</f>
        <v>429</v>
      </c>
      <c r="P575" s="24">
        <f>VLOOKUP(I575, KM!$A:$E, 5, 0)</f>
        <v>434</v>
      </c>
      <c r="Q575" s="24">
        <f>VLOOKUP(J575, KM!$A:$E, 5, 0)</f>
        <v>521</v>
      </c>
      <c r="R575" s="24">
        <f>VLOOKUP(K575, KM!$A:$E, 5, 0)</f>
        <v>1144</v>
      </c>
      <c r="S575" s="24">
        <f>VLOOKUP(L575, KM!$A:$E, 5, 0)</f>
        <v>0</v>
      </c>
      <c r="T575" s="24">
        <f>VLOOKUP(M575, KM!$A:$E, 5, 0)</f>
        <v>852</v>
      </c>
      <c r="U575" s="24">
        <f>VLOOKUP(N575, KM!$A:$E, 5, 0)</f>
        <v>4374</v>
      </c>
      <c r="V575" s="24">
        <f>VLOOKUP(H575, IMPOSTO!$A:$D, 4, 0)</f>
        <v>0.12</v>
      </c>
      <c r="W575" s="24">
        <f>VLOOKUP(I575, IMPOSTO!$A:$D, 4, 0)</f>
        <v>0.12</v>
      </c>
      <c r="X575" s="24">
        <f>VLOOKUP(J575, IMPOSTO!$A:$D, 4, 0)</f>
        <v>7.0000000000000007E-2</v>
      </c>
      <c r="Y575" s="24">
        <f>VLOOKUP(K575, IMPOSTO!$A:$D, 4, 0)</f>
        <v>0.12</v>
      </c>
      <c r="Z575" s="24">
        <f>VLOOKUP(L575, IMPOSTO!$A:$D, 4, 0)</f>
        <v>0.18</v>
      </c>
      <c r="AA575" s="24">
        <f>VLOOKUP(M575, IMPOSTO!$A:$D, 4, 0)</f>
        <v>0.12</v>
      </c>
      <c r="AB575" s="24">
        <f>VLOOKUP(N575, IMPOSTO!$A:$D, 4, 0)</f>
        <v>7.0000000000000007E-2</v>
      </c>
      <c r="AC575" s="25">
        <f t="shared" si="78"/>
        <v>2800.4462783851977</v>
      </c>
      <c r="AD575" s="25">
        <f t="shared" si="79"/>
        <v>2801.0144602033797</v>
      </c>
      <c r="AE575" s="25">
        <f t="shared" si="80"/>
        <v>2659.7771236333056</v>
      </c>
      <c r="AF575" s="25">
        <f t="shared" si="81"/>
        <v>2881.6962783851977</v>
      </c>
      <c r="AG575" s="25">
        <f t="shared" si="82"/>
        <v>2953.0399085109434</v>
      </c>
      <c r="AH575" s="25">
        <f t="shared" si="83"/>
        <v>2848.5144602033793</v>
      </c>
      <c r="AI575" s="25">
        <f t="shared" si="84"/>
        <v>3074.0781989021229</v>
      </c>
    </row>
    <row r="576" spans="1:35" ht="15.75" customHeight="1">
      <c r="A576" s="12" t="s">
        <v>84</v>
      </c>
      <c r="B576" s="12" t="s">
        <v>85</v>
      </c>
      <c r="C576" s="12" t="s">
        <v>86</v>
      </c>
      <c r="D576" s="12" t="s">
        <v>33</v>
      </c>
      <c r="E576" s="12" t="s">
        <v>27</v>
      </c>
      <c r="F576" s="13">
        <v>349.68181818181819</v>
      </c>
      <c r="G576" s="14">
        <v>1097.3868844696972</v>
      </c>
      <c r="H576" s="24" t="str">
        <f t="shared" si="77"/>
        <v>RJSP</v>
      </c>
      <c r="I576" s="24" t="str">
        <f t="shared" si="85"/>
        <v>RJMG</v>
      </c>
      <c r="J576" s="24" t="str">
        <f t="shared" si="85"/>
        <v>RJES</v>
      </c>
      <c r="K576" s="24" t="str">
        <f t="shared" si="85"/>
        <v>RJSC</v>
      </c>
      <c r="L576" s="24" t="str">
        <f t="shared" si="85"/>
        <v>RJRJ</v>
      </c>
      <c r="M576" s="24" t="str">
        <f t="shared" si="85"/>
        <v>RJPR</v>
      </c>
      <c r="N576" s="24" t="str">
        <f t="shared" si="85"/>
        <v>RJAM</v>
      </c>
      <c r="O576" s="24">
        <f>VLOOKUP(H576, KM!$A:$E, 5, 0)</f>
        <v>429</v>
      </c>
      <c r="P576" s="24">
        <f>VLOOKUP(I576, KM!$A:$E, 5, 0)</f>
        <v>434</v>
      </c>
      <c r="Q576" s="24">
        <f>VLOOKUP(J576, KM!$A:$E, 5, 0)</f>
        <v>521</v>
      </c>
      <c r="R576" s="24">
        <f>VLOOKUP(K576, KM!$A:$E, 5, 0)</f>
        <v>1144</v>
      </c>
      <c r="S576" s="24">
        <f>VLOOKUP(L576, KM!$A:$E, 5, 0)</f>
        <v>0</v>
      </c>
      <c r="T576" s="24">
        <f>VLOOKUP(M576, KM!$A:$E, 5, 0)</f>
        <v>852</v>
      </c>
      <c r="U576" s="24">
        <f>VLOOKUP(N576, KM!$A:$E, 5, 0)</f>
        <v>4374</v>
      </c>
      <c r="V576" s="24">
        <f>VLOOKUP(H576, IMPOSTO!$A:$D, 4, 0)</f>
        <v>0.12</v>
      </c>
      <c r="W576" s="24">
        <f>VLOOKUP(I576, IMPOSTO!$A:$D, 4, 0)</f>
        <v>0.12</v>
      </c>
      <c r="X576" s="24">
        <f>VLOOKUP(J576, IMPOSTO!$A:$D, 4, 0)</f>
        <v>7.0000000000000007E-2</v>
      </c>
      <c r="Y576" s="24">
        <f>VLOOKUP(K576, IMPOSTO!$A:$D, 4, 0)</f>
        <v>0.12</v>
      </c>
      <c r="Z576" s="24">
        <f>VLOOKUP(L576, IMPOSTO!$A:$D, 4, 0)</f>
        <v>0.18</v>
      </c>
      <c r="AA576" s="24">
        <f>VLOOKUP(M576, IMPOSTO!$A:$D, 4, 0)</f>
        <v>0.12</v>
      </c>
      <c r="AB576" s="24">
        <f>VLOOKUP(N576, IMPOSTO!$A:$D, 4, 0)</f>
        <v>7.0000000000000007E-2</v>
      </c>
      <c r="AC576" s="25">
        <f t="shared" si="78"/>
        <v>1295.7805505337469</v>
      </c>
      <c r="AD576" s="25">
        <f t="shared" si="79"/>
        <v>1296.3487323519287</v>
      </c>
      <c r="AE576" s="25">
        <f t="shared" si="80"/>
        <v>1236.0074026555883</v>
      </c>
      <c r="AF576" s="25">
        <f t="shared" si="81"/>
        <v>1377.0305505337469</v>
      </c>
      <c r="AG576" s="25">
        <f t="shared" si="82"/>
        <v>1338.2766883776794</v>
      </c>
      <c r="AH576" s="25">
        <f t="shared" si="83"/>
        <v>1343.8487323519287</v>
      </c>
      <c r="AI576" s="25">
        <f t="shared" si="84"/>
        <v>1650.3084779244057</v>
      </c>
    </row>
    <row r="577" spans="1:35" ht="15.75" customHeight="1">
      <c r="A577" s="12" t="s">
        <v>568</v>
      </c>
      <c r="B577" s="12" t="s">
        <v>569</v>
      </c>
      <c r="C577" s="12" t="s">
        <v>163</v>
      </c>
      <c r="D577" s="12" t="s">
        <v>33</v>
      </c>
      <c r="E577" s="12" t="s">
        <v>27</v>
      </c>
      <c r="F577" s="13">
        <v>48</v>
      </c>
      <c r="G577" s="14">
        <v>2296.7999999999997</v>
      </c>
      <c r="H577" s="24" t="str">
        <f t="shared" si="77"/>
        <v>RJSP</v>
      </c>
      <c r="I577" s="24" t="str">
        <f t="shared" si="85"/>
        <v>RJMG</v>
      </c>
      <c r="J577" s="24" t="str">
        <f t="shared" si="85"/>
        <v>RJES</v>
      </c>
      <c r="K577" s="24" t="str">
        <f t="shared" si="85"/>
        <v>RJSC</v>
      </c>
      <c r="L577" s="24" t="str">
        <f t="shared" si="85"/>
        <v>RJRJ</v>
      </c>
      <c r="M577" s="24" t="str">
        <f t="shared" si="85"/>
        <v>RJPR</v>
      </c>
      <c r="N577" s="24" t="str">
        <f t="shared" si="85"/>
        <v>RJAM</v>
      </c>
      <c r="O577" s="24">
        <f>VLOOKUP(H577, KM!$A:$E, 5, 0)</f>
        <v>429</v>
      </c>
      <c r="P577" s="24">
        <f>VLOOKUP(I577, KM!$A:$E, 5, 0)</f>
        <v>434</v>
      </c>
      <c r="Q577" s="24">
        <f>VLOOKUP(J577, KM!$A:$E, 5, 0)</f>
        <v>521</v>
      </c>
      <c r="R577" s="24">
        <f>VLOOKUP(K577, KM!$A:$E, 5, 0)</f>
        <v>1144</v>
      </c>
      <c r="S577" s="24">
        <f>VLOOKUP(L577, KM!$A:$E, 5, 0)</f>
        <v>0</v>
      </c>
      <c r="T577" s="24">
        <f>VLOOKUP(M577, KM!$A:$E, 5, 0)</f>
        <v>852</v>
      </c>
      <c r="U577" s="24">
        <f>VLOOKUP(N577, KM!$A:$E, 5, 0)</f>
        <v>4374</v>
      </c>
      <c r="V577" s="24">
        <f>VLOOKUP(H577, IMPOSTO!$A:$D, 4, 0)</f>
        <v>0.12</v>
      </c>
      <c r="W577" s="24">
        <f>VLOOKUP(I577, IMPOSTO!$A:$D, 4, 0)</f>
        <v>0.12</v>
      </c>
      <c r="X577" s="24">
        <f>VLOOKUP(J577, IMPOSTO!$A:$D, 4, 0)</f>
        <v>7.0000000000000007E-2</v>
      </c>
      <c r="Y577" s="24">
        <f>VLOOKUP(K577, IMPOSTO!$A:$D, 4, 0)</f>
        <v>0.12</v>
      </c>
      <c r="Z577" s="24">
        <f>VLOOKUP(L577, IMPOSTO!$A:$D, 4, 0)</f>
        <v>0.18</v>
      </c>
      <c r="AA577" s="24">
        <f>VLOOKUP(M577, IMPOSTO!$A:$D, 4, 0)</f>
        <v>0.12</v>
      </c>
      <c r="AB577" s="24">
        <f>VLOOKUP(N577, IMPOSTO!$A:$D, 4, 0)</f>
        <v>7.0000000000000007E-2</v>
      </c>
      <c r="AC577" s="25">
        <f t="shared" si="78"/>
        <v>2658.75</v>
      </c>
      <c r="AD577" s="25">
        <f t="shared" si="79"/>
        <v>2659.3181818181815</v>
      </c>
      <c r="AE577" s="25">
        <f t="shared" si="80"/>
        <v>2525.6989247311826</v>
      </c>
      <c r="AF577" s="25">
        <f t="shared" si="81"/>
        <v>2740</v>
      </c>
      <c r="AG577" s="25">
        <f t="shared" si="82"/>
        <v>2800.9756097560971</v>
      </c>
      <c r="AH577" s="25">
        <f t="shared" si="83"/>
        <v>2706.8181818181811</v>
      </c>
      <c r="AI577" s="25">
        <f t="shared" si="84"/>
        <v>2940</v>
      </c>
    </row>
    <row r="578" spans="1:35" ht="15.75" customHeight="1">
      <c r="A578" s="12" t="s">
        <v>570</v>
      </c>
      <c r="B578" s="12" t="s">
        <v>571</v>
      </c>
      <c r="C578" s="12" t="s">
        <v>160</v>
      </c>
      <c r="D578" s="12" t="s">
        <v>33</v>
      </c>
      <c r="E578" s="12" t="s">
        <v>27</v>
      </c>
      <c r="F578" s="13">
        <v>97</v>
      </c>
      <c r="G578" s="14">
        <v>572.18061538461529</v>
      </c>
      <c r="H578" s="24" t="str">
        <f t="shared" si="77"/>
        <v>RJSP</v>
      </c>
      <c r="I578" s="24" t="str">
        <f t="shared" si="85"/>
        <v>RJMG</v>
      </c>
      <c r="J578" s="24" t="str">
        <f t="shared" ref="I578:N641" si="86">$E578 &amp; J$17</f>
        <v>RJES</v>
      </c>
      <c r="K578" s="24" t="str">
        <f t="shared" si="86"/>
        <v>RJSC</v>
      </c>
      <c r="L578" s="24" t="str">
        <f t="shared" si="86"/>
        <v>RJRJ</v>
      </c>
      <c r="M578" s="24" t="str">
        <f t="shared" si="86"/>
        <v>RJPR</v>
      </c>
      <c r="N578" s="24" t="str">
        <f t="shared" si="86"/>
        <v>RJAM</v>
      </c>
      <c r="O578" s="24">
        <f>VLOOKUP(H578, KM!$A:$E, 5, 0)</f>
        <v>429</v>
      </c>
      <c r="P578" s="24">
        <f>VLOOKUP(I578, KM!$A:$E, 5, 0)</f>
        <v>434</v>
      </c>
      <c r="Q578" s="24">
        <f>VLOOKUP(J578, KM!$A:$E, 5, 0)</f>
        <v>521</v>
      </c>
      <c r="R578" s="24">
        <f>VLOOKUP(K578, KM!$A:$E, 5, 0)</f>
        <v>1144</v>
      </c>
      <c r="S578" s="24">
        <f>VLOOKUP(L578, KM!$A:$E, 5, 0)</f>
        <v>0</v>
      </c>
      <c r="T578" s="24">
        <f>VLOOKUP(M578, KM!$A:$E, 5, 0)</f>
        <v>852</v>
      </c>
      <c r="U578" s="24">
        <f>VLOOKUP(N578, KM!$A:$E, 5, 0)</f>
        <v>4374</v>
      </c>
      <c r="V578" s="24">
        <f>VLOOKUP(H578, IMPOSTO!$A:$D, 4, 0)</f>
        <v>0.12</v>
      </c>
      <c r="W578" s="24">
        <f>VLOOKUP(I578, IMPOSTO!$A:$D, 4, 0)</f>
        <v>0.12</v>
      </c>
      <c r="X578" s="24">
        <f>VLOOKUP(J578, IMPOSTO!$A:$D, 4, 0)</f>
        <v>7.0000000000000007E-2</v>
      </c>
      <c r="Y578" s="24">
        <f>VLOOKUP(K578, IMPOSTO!$A:$D, 4, 0)</f>
        <v>0.12</v>
      </c>
      <c r="Z578" s="24">
        <f>VLOOKUP(L578, IMPOSTO!$A:$D, 4, 0)</f>
        <v>0.18</v>
      </c>
      <c r="AA578" s="24">
        <f>VLOOKUP(M578, IMPOSTO!$A:$D, 4, 0)</f>
        <v>0.12</v>
      </c>
      <c r="AB578" s="24">
        <f>VLOOKUP(N578, IMPOSTO!$A:$D, 4, 0)</f>
        <v>7.0000000000000007E-2</v>
      </c>
      <c r="AC578" s="25">
        <f t="shared" si="78"/>
        <v>698.95524475524462</v>
      </c>
      <c r="AD578" s="25">
        <f t="shared" si="79"/>
        <v>699.52342657342649</v>
      </c>
      <c r="AE578" s="25">
        <f t="shared" si="80"/>
        <v>671.2694789081886</v>
      </c>
      <c r="AF578" s="25">
        <f t="shared" si="81"/>
        <v>780.20524475524462</v>
      </c>
      <c r="AG578" s="25">
        <f t="shared" si="82"/>
        <v>697.78123827392108</v>
      </c>
      <c r="AH578" s="25">
        <f t="shared" si="83"/>
        <v>747.02342657342649</v>
      </c>
      <c r="AI578" s="25">
        <f t="shared" si="84"/>
        <v>1085.5705541770058</v>
      </c>
    </row>
    <row r="579" spans="1:35" ht="15.75" customHeight="1">
      <c r="A579" s="12" t="s">
        <v>572</v>
      </c>
      <c r="B579" s="12" t="s">
        <v>573</v>
      </c>
      <c r="C579" s="12" t="s">
        <v>451</v>
      </c>
      <c r="D579" s="12" t="s">
        <v>33</v>
      </c>
      <c r="E579" s="12" t="s">
        <v>27</v>
      </c>
      <c r="F579" s="13">
        <v>1672.0085470085469</v>
      </c>
      <c r="G579" s="14">
        <v>29426.70940170938</v>
      </c>
      <c r="H579" s="24" t="str">
        <f t="shared" si="77"/>
        <v>RJSP</v>
      </c>
      <c r="I579" s="24" t="str">
        <f t="shared" si="86"/>
        <v>RJMG</v>
      </c>
      <c r="J579" s="24" t="str">
        <f t="shared" si="86"/>
        <v>RJES</v>
      </c>
      <c r="K579" s="24" t="str">
        <f t="shared" si="86"/>
        <v>RJSC</v>
      </c>
      <c r="L579" s="24" t="str">
        <f t="shared" si="86"/>
        <v>RJRJ</v>
      </c>
      <c r="M579" s="24" t="str">
        <f t="shared" si="86"/>
        <v>RJPR</v>
      </c>
      <c r="N579" s="24" t="str">
        <f t="shared" si="86"/>
        <v>RJAM</v>
      </c>
      <c r="O579" s="24">
        <f>VLOOKUP(H579, KM!$A:$E, 5, 0)</f>
        <v>429</v>
      </c>
      <c r="P579" s="24">
        <f>VLOOKUP(I579, KM!$A:$E, 5, 0)</f>
        <v>434</v>
      </c>
      <c r="Q579" s="24">
        <f>VLOOKUP(J579, KM!$A:$E, 5, 0)</f>
        <v>521</v>
      </c>
      <c r="R579" s="24">
        <f>VLOOKUP(K579, KM!$A:$E, 5, 0)</f>
        <v>1144</v>
      </c>
      <c r="S579" s="24">
        <f>VLOOKUP(L579, KM!$A:$E, 5, 0)</f>
        <v>0</v>
      </c>
      <c r="T579" s="24">
        <f>VLOOKUP(M579, KM!$A:$E, 5, 0)</f>
        <v>852</v>
      </c>
      <c r="U579" s="24">
        <f>VLOOKUP(N579, KM!$A:$E, 5, 0)</f>
        <v>4374</v>
      </c>
      <c r="V579" s="24">
        <f>VLOOKUP(H579, IMPOSTO!$A:$D, 4, 0)</f>
        <v>0.12</v>
      </c>
      <c r="W579" s="24">
        <f>VLOOKUP(I579, IMPOSTO!$A:$D, 4, 0)</f>
        <v>0.12</v>
      </c>
      <c r="X579" s="24">
        <f>VLOOKUP(J579, IMPOSTO!$A:$D, 4, 0)</f>
        <v>7.0000000000000007E-2</v>
      </c>
      <c r="Y579" s="24">
        <f>VLOOKUP(K579, IMPOSTO!$A:$D, 4, 0)</f>
        <v>0.12</v>
      </c>
      <c r="Z579" s="24">
        <f>VLOOKUP(L579, IMPOSTO!$A:$D, 4, 0)</f>
        <v>0.18</v>
      </c>
      <c r="AA579" s="24">
        <f>VLOOKUP(M579, IMPOSTO!$A:$D, 4, 0)</f>
        <v>0.12</v>
      </c>
      <c r="AB579" s="24">
        <f>VLOOKUP(N579, IMPOSTO!$A:$D, 4, 0)</f>
        <v>7.0000000000000007E-2</v>
      </c>
      <c r="AC579" s="25">
        <f t="shared" si="78"/>
        <v>33488.192501942482</v>
      </c>
      <c r="AD579" s="25">
        <f t="shared" si="79"/>
        <v>33488.760683760658</v>
      </c>
      <c r="AE579" s="25">
        <f t="shared" si="80"/>
        <v>31697.644517967077</v>
      </c>
      <c r="AF579" s="25">
        <f t="shared" si="81"/>
        <v>33569.442501942482</v>
      </c>
      <c r="AG579" s="25">
        <f t="shared" si="82"/>
        <v>35886.230977694366</v>
      </c>
      <c r="AH579" s="25">
        <f t="shared" si="83"/>
        <v>33536.260683760658</v>
      </c>
      <c r="AI579" s="25">
        <f t="shared" si="84"/>
        <v>32111.945593235898</v>
      </c>
    </row>
    <row r="580" spans="1:35" ht="15.75" customHeight="1">
      <c r="A580" s="12" t="s">
        <v>161</v>
      </c>
      <c r="B580" s="12" t="s">
        <v>162</v>
      </c>
      <c r="C580" s="12" t="s">
        <v>163</v>
      </c>
      <c r="D580" s="12" t="s">
        <v>33</v>
      </c>
      <c r="E580" s="12" t="s">
        <v>27</v>
      </c>
      <c r="F580" s="13">
        <v>33.285714285714285</v>
      </c>
      <c r="G580" s="14">
        <v>924.54399999999998</v>
      </c>
      <c r="H580" s="24" t="str">
        <f t="shared" si="77"/>
        <v>RJSP</v>
      </c>
      <c r="I580" s="24" t="str">
        <f t="shared" si="86"/>
        <v>RJMG</v>
      </c>
      <c r="J580" s="24" t="str">
        <f t="shared" si="86"/>
        <v>RJES</v>
      </c>
      <c r="K580" s="24" t="str">
        <f t="shared" si="86"/>
        <v>RJSC</v>
      </c>
      <c r="L580" s="24" t="str">
        <f t="shared" si="86"/>
        <v>RJRJ</v>
      </c>
      <c r="M580" s="24" t="str">
        <f t="shared" si="86"/>
        <v>RJPR</v>
      </c>
      <c r="N580" s="24" t="str">
        <f t="shared" si="86"/>
        <v>RJAM</v>
      </c>
      <c r="O580" s="24">
        <f>VLOOKUP(H580, KM!$A:$E, 5, 0)</f>
        <v>429</v>
      </c>
      <c r="P580" s="24">
        <f>VLOOKUP(I580, KM!$A:$E, 5, 0)</f>
        <v>434</v>
      </c>
      <c r="Q580" s="24">
        <f>VLOOKUP(J580, KM!$A:$E, 5, 0)</f>
        <v>521</v>
      </c>
      <c r="R580" s="24">
        <f>VLOOKUP(K580, KM!$A:$E, 5, 0)</f>
        <v>1144</v>
      </c>
      <c r="S580" s="24">
        <f>VLOOKUP(L580, KM!$A:$E, 5, 0)</f>
        <v>0</v>
      </c>
      <c r="T580" s="24">
        <f>VLOOKUP(M580, KM!$A:$E, 5, 0)</f>
        <v>852</v>
      </c>
      <c r="U580" s="24">
        <f>VLOOKUP(N580, KM!$A:$E, 5, 0)</f>
        <v>4374</v>
      </c>
      <c r="V580" s="24">
        <f>VLOOKUP(H580, IMPOSTO!$A:$D, 4, 0)</f>
        <v>0.12</v>
      </c>
      <c r="W580" s="24">
        <f>VLOOKUP(I580, IMPOSTO!$A:$D, 4, 0)</f>
        <v>0.12</v>
      </c>
      <c r="X580" s="24">
        <f>VLOOKUP(J580, IMPOSTO!$A:$D, 4, 0)</f>
        <v>7.0000000000000007E-2</v>
      </c>
      <c r="Y580" s="24">
        <f>VLOOKUP(K580, IMPOSTO!$A:$D, 4, 0)</f>
        <v>0.12</v>
      </c>
      <c r="Z580" s="24">
        <f>VLOOKUP(L580, IMPOSTO!$A:$D, 4, 0)</f>
        <v>0.18</v>
      </c>
      <c r="AA580" s="24">
        <f>VLOOKUP(M580, IMPOSTO!$A:$D, 4, 0)</f>
        <v>0.12</v>
      </c>
      <c r="AB580" s="24">
        <f>VLOOKUP(N580, IMPOSTO!$A:$D, 4, 0)</f>
        <v>7.0000000000000007E-2</v>
      </c>
      <c r="AC580" s="25">
        <f t="shared" si="78"/>
        <v>1099.3681818181817</v>
      </c>
      <c r="AD580" s="25">
        <f t="shared" si="79"/>
        <v>1099.9363636363637</v>
      </c>
      <c r="AE580" s="25">
        <f t="shared" si="80"/>
        <v>1050.1548387096775</v>
      </c>
      <c r="AF580" s="25">
        <f t="shared" si="81"/>
        <v>1180.6181818181817</v>
      </c>
      <c r="AG580" s="25">
        <f t="shared" si="82"/>
        <v>1127.4926829268293</v>
      </c>
      <c r="AH580" s="25">
        <f t="shared" si="83"/>
        <v>1147.4363636363637</v>
      </c>
      <c r="AI580" s="25">
        <f t="shared" si="84"/>
        <v>1464.4559139784947</v>
      </c>
    </row>
    <row r="581" spans="1:35" ht="15.75" customHeight="1">
      <c r="A581" s="12" t="s">
        <v>574</v>
      </c>
      <c r="B581" s="12" t="s">
        <v>575</v>
      </c>
      <c r="C581" s="12" t="s">
        <v>333</v>
      </c>
      <c r="D581" s="12" t="s">
        <v>50</v>
      </c>
      <c r="E581" s="12" t="s">
        <v>27</v>
      </c>
      <c r="F581" s="13">
        <v>178</v>
      </c>
      <c r="G581" s="14">
        <v>10343.670745098039</v>
      </c>
      <c r="H581" s="24" t="str">
        <f t="shared" ref="H581:H644" si="87">$E581 &amp; H$17</f>
        <v>RJSP</v>
      </c>
      <c r="I581" s="24" t="str">
        <f t="shared" si="86"/>
        <v>RJMG</v>
      </c>
      <c r="J581" s="24" t="str">
        <f t="shared" si="86"/>
        <v>RJES</v>
      </c>
      <c r="K581" s="24" t="str">
        <f t="shared" si="86"/>
        <v>RJSC</v>
      </c>
      <c r="L581" s="24" t="str">
        <f t="shared" si="86"/>
        <v>RJRJ</v>
      </c>
      <c r="M581" s="24" t="str">
        <f t="shared" si="86"/>
        <v>RJPR</v>
      </c>
      <c r="N581" s="24" t="str">
        <f t="shared" si="86"/>
        <v>RJAM</v>
      </c>
      <c r="O581" s="24">
        <f>VLOOKUP(H581, KM!$A:$E, 5, 0)</f>
        <v>429</v>
      </c>
      <c r="P581" s="24">
        <f>VLOOKUP(I581, KM!$A:$E, 5, 0)</f>
        <v>434</v>
      </c>
      <c r="Q581" s="24">
        <f>VLOOKUP(J581, KM!$A:$E, 5, 0)</f>
        <v>521</v>
      </c>
      <c r="R581" s="24">
        <f>VLOOKUP(K581, KM!$A:$E, 5, 0)</f>
        <v>1144</v>
      </c>
      <c r="S581" s="24">
        <f>VLOOKUP(L581, KM!$A:$E, 5, 0)</f>
        <v>0</v>
      </c>
      <c r="T581" s="24">
        <f>VLOOKUP(M581, KM!$A:$E, 5, 0)</f>
        <v>852</v>
      </c>
      <c r="U581" s="24">
        <f>VLOOKUP(N581, KM!$A:$E, 5, 0)</f>
        <v>4374</v>
      </c>
      <c r="V581" s="24">
        <f>VLOOKUP(H581, IMPOSTO!$A:$D, 4, 0)</f>
        <v>0.12</v>
      </c>
      <c r="W581" s="24">
        <f>VLOOKUP(I581, IMPOSTO!$A:$D, 4, 0)</f>
        <v>0.12</v>
      </c>
      <c r="X581" s="24">
        <f>VLOOKUP(J581, IMPOSTO!$A:$D, 4, 0)</f>
        <v>7.0000000000000007E-2</v>
      </c>
      <c r="Y581" s="24">
        <f>VLOOKUP(K581, IMPOSTO!$A:$D, 4, 0)</f>
        <v>0.12</v>
      </c>
      <c r="Z581" s="24">
        <f>VLOOKUP(L581, IMPOSTO!$A:$D, 4, 0)</f>
        <v>0.18</v>
      </c>
      <c r="AA581" s="24">
        <f>VLOOKUP(M581, IMPOSTO!$A:$D, 4, 0)</f>
        <v>0.12</v>
      </c>
      <c r="AB581" s="24">
        <f>VLOOKUP(N581, IMPOSTO!$A:$D, 4, 0)</f>
        <v>7.0000000000000007E-2</v>
      </c>
      <c r="AC581" s="25">
        <f t="shared" si="78"/>
        <v>11802.921301247772</v>
      </c>
      <c r="AD581" s="25">
        <f t="shared" si="79"/>
        <v>11803.489483065954</v>
      </c>
      <c r="AE581" s="25">
        <f t="shared" si="80"/>
        <v>11178.248113008645</v>
      </c>
      <c r="AF581" s="25">
        <f t="shared" si="81"/>
        <v>11884.171301247772</v>
      </c>
      <c r="AG581" s="25">
        <f t="shared" si="82"/>
        <v>12614.232615973218</v>
      </c>
      <c r="AH581" s="25">
        <f t="shared" si="83"/>
        <v>11850.989483065954</v>
      </c>
      <c r="AI581" s="25">
        <f t="shared" si="84"/>
        <v>11592.549188277462</v>
      </c>
    </row>
    <row r="582" spans="1:35" ht="15.75" customHeight="1">
      <c r="A582" s="12" t="s">
        <v>109</v>
      </c>
      <c r="B582" s="12" t="s">
        <v>110</v>
      </c>
      <c r="C582" s="12" t="s">
        <v>111</v>
      </c>
      <c r="D582" s="12" t="s">
        <v>33</v>
      </c>
      <c r="E582" s="12" t="s">
        <v>27</v>
      </c>
      <c r="F582" s="13">
        <v>0.90745763578274752</v>
      </c>
      <c r="G582" s="14">
        <v>5.5206396000000018</v>
      </c>
      <c r="H582" s="24" t="str">
        <f t="shared" si="87"/>
        <v>RJSP</v>
      </c>
      <c r="I582" s="24" t="str">
        <f t="shared" si="86"/>
        <v>RJMG</v>
      </c>
      <c r="J582" s="24" t="str">
        <f t="shared" si="86"/>
        <v>RJES</v>
      </c>
      <c r="K582" s="24" t="str">
        <f t="shared" si="86"/>
        <v>RJSC</v>
      </c>
      <c r="L582" s="24" t="str">
        <f t="shared" si="86"/>
        <v>RJRJ</v>
      </c>
      <c r="M582" s="24" t="str">
        <f t="shared" si="86"/>
        <v>RJPR</v>
      </c>
      <c r="N582" s="24" t="str">
        <f t="shared" si="86"/>
        <v>RJAM</v>
      </c>
      <c r="O582" s="24">
        <f>VLOOKUP(H582, KM!$A:$E, 5, 0)</f>
        <v>429</v>
      </c>
      <c r="P582" s="24">
        <f>VLOOKUP(I582, KM!$A:$E, 5, 0)</f>
        <v>434</v>
      </c>
      <c r="Q582" s="24">
        <f>VLOOKUP(J582, KM!$A:$E, 5, 0)</f>
        <v>521</v>
      </c>
      <c r="R582" s="24">
        <f>VLOOKUP(K582, KM!$A:$E, 5, 0)</f>
        <v>1144</v>
      </c>
      <c r="S582" s="24">
        <f>VLOOKUP(L582, KM!$A:$E, 5, 0)</f>
        <v>0</v>
      </c>
      <c r="T582" s="24">
        <f>VLOOKUP(M582, KM!$A:$E, 5, 0)</f>
        <v>852</v>
      </c>
      <c r="U582" s="24">
        <f>VLOOKUP(N582, KM!$A:$E, 5, 0)</f>
        <v>4374</v>
      </c>
      <c r="V582" s="24">
        <f>VLOOKUP(H582, IMPOSTO!$A:$D, 4, 0)</f>
        <v>0.12</v>
      </c>
      <c r="W582" s="24">
        <f>VLOOKUP(I582, IMPOSTO!$A:$D, 4, 0)</f>
        <v>0.12</v>
      </c>
      <c r="X582" s="24">
        <f>VLOOKUP(J582, IMPOSTO!$A:$D, 4, 0)</f>
        <v>7.0000000000000007E-2</v>
      </c>
      <c r="Y582" s="24">
        <f>VLOOKUP(K582, IMPOSTO!$A:$D, 4, 0)</f>
        <v>0.12</v>
      </c>
      <c r="Z582" s="24">
        <f>VLOOKUP(L582, IMPOSTO!$A:$D, 4, 0)</f>
        <v>0.18</v>
      </c>
      <c r="AA582" s="24">
        <f>VLOOKUP(M582, IMPOSTO!$A:$D, 4, 0)</f>
        <v>0.12</v>
      </c>
      <c r="AB582" s="24">
        <f>VLOOKUP(N582, IMPOSTO!$A:$D, 4, 0)</f>
        <v>7.0000000000000007E-2</v>
      </c>
      <c r="AC582" s="25">
        <f t="shared" si="78"/>
        <v>55.023454090909098</v>
      </c>
      <c r="AD582" s="25">
        <f t="shared" si="79"/>
        <v>55.591635909090918</v>
      </c>
      <c r="AE582" s="25">
        <f t="shared" si="80"/>
        <v>61.957676989247318</v>
      </c>
      <c r="AF582" s="25">
        <f t="shared" si="81"/>
        <v>136.2734540909091</v>
      </c>
      <c r="AG582" s="25">
        <f t="shared" si="82"/>
        <v>6.7324873170731721</v>
      </c>
      <c r="AH582" s="25">
        <f t="shared" si="83"/>
        <v>103.09163590909091</v>
      </c>
      <c r="AI582" s="25">
        <f t="shared" si="84"/>
        <v>476.25875225806459</v>
      </c>
    </row>
    <row r="583" spans="1:35" ht="15.75" customHeight="1">
      <c r="A583" s="12" t="s">
        <v>576</v>
      </c>
      <c r="B583" s="12" t="s">
        <v>577</v>
      </c>
      <c r="C583" s="12" t="s">
        <v>169</v>
      </c>
      <c r="D583" s="12" t="s">
        <v>33</v>
      </c>
      <c r="E583" s="12" t="s">
        <v>27</v>
      </c>
      <c r="F583" s="13">
        <v>4.1736000000000022</v>
      </c>
      <c r="G583" s="14">
        <v>77.569449005628542</v>
      </c>
      <c r="H583" s="24" t="str">
        <f t="shared" si="87"/>
        <v>RJSP</v>
      </c>
      <c r="I583" s="24" t="str">
        <f t="shared" si="86"/>
        <v>RJMG</v>
      </c>
      <c r="J583" s="24" t="str">
        <f t="shared" si="86"/>
        <v>RJES</v>
      </c>
      <c r="K583" s="24" t="str">
        <f t="shared" si="86"/>
        <v>RJSC</v>
      </c>
      <c r="L583" s="24" t="str">
        <f t="shared" si="86"/>
        <v>RJRJ</v>
      </c>
      <c r="M583" s="24" t="str">
        <f t="shared" si="86"/>
        <v>RJPR</v>
      </c>
      <c r="N583" s="24" t="str">
        <f t="shared" si="86"/>
        <v>RJAM</v>
      </c>
      <c r="O583" s="24">
        <f>VLOOKUP(H583, KM!$A:$E, 5, 0)</f>
        <v>429</v>
      </c>
      <c r="P583" s="24">
        <f>VLOOKUP(I583, KM!$A:$E, 5, 0)</f>
        <v>434</v>
      </c>
      <c r="Q583" s="24">
        <f>VLOOKUP(J583, KM!$A:$E, 5, 0)</f>
        <v>521</v>
      </c>
      <c r="R583" s="24">
        <f>VLOOKUP(K583, KM!$A:$E, 5, 0)</f>
        <v>1144</v>
      </c>
      <c r="S583" s="24">
        <f>VLOOKUP(L583, KM!$A:$E, 5, 0)</f>
        <v>0</v>
      </c>
      <c r="T583" s="24">
        <f>VLOOKUP(M583, KM!$A:$E, 5, 0)</f>
        <v>852</v>
      </c>
      <c r="U583" s="24">
        <f>VLOOKUP(N583, KM!$A:$E, 5, 0)</f>
        <v>4374</v>
      </c>
      <c r="V583" s="24">
        <f>VLOOKUP(H583, IMPOSTO!$A:$D, 4, 0)</f>
        <v>0.12</v>
      </c>
      <c r="W583" s="24">
        <f>VLOOKUP(I583, IMPOSTO!$A:$D, 4, 0)</f>
        <v>0.12</v>
      </c>
      <c r="X583" s="24">
        <f>VLOOKUP(J583, IMPOSTO!$A:$D, 4, 0)</f>
        <v>7.0000000000000007E-2</v>
      </c>
      <c r="Y583" s="24">
        <f>VLOOKUP(K583, IMPOSTO!$A:$D, 4, 0)</f>
        <v>0.12</v>
      </c>
      <c r="Z583" s="24">
        <f>VLOOKUP(L583, IMPOSTO!$A:$D, 4, 0)</f>
        <v>0.18</v>
      </c>
      <c r="AA583" s="24">
        <f>VLOOKUP(M583, IMPOSTO!$A:$D, 4, 0)</f>
        <v>0.12</v>
      </c>
      <c r="AB583" s="24">
        <f>VLOOKUP(N583, IMPOSTO!$A:$D, 4, 0)</f>
        <v>7.0000000000000007E-2</v>
      </c>
      <c r="AC583" s="25">
        <f t="shared" si="78"/>
        <v>136.89710114275971</v>
      </c>
      <c r="AD583" s="25">
        <f t="shared" si="79"/>
        <v>137.46528296094152</v>
      </c>
      <c r="AE583" s="25">
        <f t="shared" si="80"/>
        <v>139.42951505981563</v>
      </c>
      <c r="AF583" s="25">
        <f t="shared" si="81"/>
        <v>218.14710114275971</v>
      </c>
      <c r="AG583" s="25">
        <f t="shared" si="82"/>
        <v>94.596889031254307</v>
      </c>
      <c r="AH583" s="25">
        <f t="shared" si="83"/>
        <v>184.96528296094152</v>
      </c>
      <c r="AI583" s="25">
        <f t="shared" si="84"/>
        <v>553.73059032863296</v>
      </c>
    </row>
    <row r="584" spans="1:35" ht="15.75" customHeight="1">
      <c r="A584" s="12" t="s">
        <v>578</v>
      </c>
      <c r="B584" s="12" t="s">
        <v>579</v>
      </c>
      <c r="C584" s="12" t="s">
        <v>176</v>
      </c>
      <c r="D584" s="12" t="s">
        <v>33</v>
      </c>
      <c r="E584" s="12" t="s">
        <v>27</v>
      </c>
      <c r="F584" s="13">
        <v>2.0129999999999999</v>
      </c>
      <c r="G584" s="14">
        <v>65.449076862745102</v>
      </c>
      <c r="H584" s="24" t="str">
        <f t="shared" si="87"/>
        <v>RJSP</v>
      </c>
      <c r="I584" s="24" t="str">
        <f t="shared" si="86"/>
        <v>RJMG</v>
      </c>
      <c r="J584" s="24" t="str">
        <f t="shared" si="86"/>
        <v>RJES</v>
      </c>
      <c r="K584" s="24" t="str">
        <f t="shared" si="86"/>
        <v>RJSC</v>
      </c>
      <c r="L584" s="24" t="str">
        <f t="shared" si="86"/>
        <v>RJRJ</v>
      </c>
      <c r="M584" s="24" t="str">
        <f t="shared" si="86"/>
        <v>RJPR</v>
      </c>
      <c r="N584" s="24" t="str">
        <f t="shared" si="86"/>
        <v>RJAM</v>
      </c>
      <c r="O584" s="24">
        <f>VLOOKUP(H584, KM!$A:$E, 5, 0)</f>
        <v>429</v>
      </c>
      <c r="P584" s="24">
        <f>VLOOKUP(I584, KM!$A:$E, 5, 0)</f>
        <v>434</v>
      </c>
      <c r="Q584" s="24">
        <f>VLOOKUP(J584, KM!$A:$E, 5, 0)</f>
        <v>521</v>
      </c>
      <c r="R584" s="24">
        <f>VLOOKUP(K584, KM!$A:$E, 5, 0)</f>
        <v>1144</v>
      </c>
      <c r="S584" s="24">
        <f>VLOOKUP(L584, KM!$A:$E, 5, 0)</f>
        <v>0</v>
      </c>
      <c r="T584" s="24">
        <f>VLOOKUP(M584, KM!$A:$E, 5, 0)</f>
        <v>852</v>
      </c>
      <c r="U584" s="24">
        <f>VLOOKUP(N584, KM!$A:$E, 5, 0)</f>
        <v>4374</v>
      </c>
      <c r="V584" s="24">
        <f>VLOOKUP(H584, IMPOSTO!$A:$D, 4, 0)</f>
        <v>0.12</v>
      </c>
      <c r="W584" s="24">
        <f>VLOOKUP(I584, IMPOSTO!$A:$D, 4, 0)</f>
        <v>0.12</v>
      </c>
      <c r="X584" s="24">
        <f>VLOOKUP(J584, IMPOSTO!$A:$D, 4, 0)</f>
        <v>7.0000000000000007E-2</v>
      </c>
      <c r="Y584" s="24">
        <f>VLOOKUP(K584, IMPOSTO!$A:$D, 4, 0)</f>
        <v>0.12</v>
      </c>
      <c r="Z584" s="24">
        <f>VLOOKUP(L584, IMPOSTO!$A:$D, 4, 0)</f>
        <v>0.18</v>
      </c>
      <c r="AA584" s="24">
        <f>VLOOKUP(M584, IMPOSTO!$A:$D, 4, 0)</f>
        <v>0.12</v>
      </c>
      <c r="AB584" s="24">
        <f>VLOOKUP(N584, IMPOSTO!$A:$D, 4, 0)</f>
        <v>7.0000000000000007E-2</v>
      </c>
      <c r="AC584" s="25">
        <f t="shared" si="78"/>
        <v>123.12395098039217</v>
      </c>
      <c r="AD584" s="25">
        <f t="shared" si="79"/>
        <v>123.69213279857398</v>
      </c>
      <c r="AE584" s="25">
        <f t="shared" si="80"/>
        <v>126.3968568416614</v>
      </c>
      <c r="AF584" s="25">
        <f t="shared" si="81"/>
        <v>204.37395098039218</v>
      </c>
      <c r="AG584" s="25">
        <f t="shared" si="82"/>
        <v>79.815947393591586</v>
      </c>
      <c r="AH584" s="25">
        <f t="shared" si="83"/>
        <v>171.19213279857399</v>
      </c>
      <c r="AI584" s="25">
        <f t="shared" si="84"/>
        <v>540.69793211047875</v>
      </c>
    </row>
    <row r="585" spans="1:35" ht="15.75" customHeight="1">
      <c r="A585" s="12" t="s">
        <v>79</v>
      </c>
      <c r="B585" s="12" t="s">
        <v>80</v>
      </c>
      <c r="C585" s="12" t="s">
        <v>81</v>
      </c>
      <c r="D585" s="12" t="s">
        <v>50</v>
      </c>
      <c r="E585" s="12" t="s">
        <v>27</v>
      </c>
      <c r="F585" s="13">
        <v>2.8332391181458454</v>
      </c>
      <c r="G585" s="14">
        <v>47.208296348219314</v>
      </c>
      <c r="H585" s="24" t="str">
        <f t="shared" si="87"/>
        <v>RJSP</v>
      </c>
      <c r="I585" s="24" t="str">
        <f t="shared" si="86"/>
        <v>RJMG</v>
      </c>
      <c r="J585" s="24" t="str">
        <f t="shared" si="86"/>
        <v>RJES</v>
      </c>
      <c r="K585" s="24" t="str">
        <f t="shared" si="86"/>
        <v>RJSC</v>
      </c>
      <c r="L585" s="24" t="str">
        <f t="shared" si="86"/>
        <v>RJRJ</v>
      </c>
      <c r="M585" s="24" t="str">
        <f t="shared" si="86"/>
        <v>RJPR</v>
      </c>
      <c r="N585" s="24" t="str">
        <f t="shared" si="86"/>
        <v>RJAM</v>
      </c>
      <c r="O585" s="24">
        <f>VLOOKUP(H585, KM!$A:$E, 5, 0)</f>
        <v>429</v>
      </c>
      <c r="P585" s="24">
        <f>VLOOKUP(I585, KM!$A:$E, 5, 0)</f>
        <v>434</v>
      </c>
      <c r="Q585" s="24">
        <f>VLOOKUP(J585, KM!$A:$E, 5, 0)</f>
        <v>521</v>
      </c>
      <c r="R585" s="24">
        <f>VLOOKUP(K585, KM!$A:$E, 5, 0)</f>
        <v>1144</v>
      </c>
      <c r="S585" s="24">
        <f>VLOOKUP(L585, KM!$A:$E, 5, 0)</f>
        <v>0</v>
      </c>
      <c r="T585" s="24">
        <f>VLOOKUP(M585, KM!$A:$E, 5, 0)</f>
        <v>852</v>
      </c>
      <c r="U585" s="24">
        <f>VLOOKUP(N585, KM!$A:$E, 5, 0)</f>
        <v>4374</v>
      </c>
      <c r="V585" s="24">
        <f>VLOOKUP(H585, IMPOSTO!$A:$D, 4, 0)</f>
        <v>0.12</v>
      </c>
      <c r="W585" s="24">
        <f>VLOOKUP(I585, IMPOSTO!$A:$D, 4, 0)</f>
        <v>0.12</v>
      </c>
      <c r="X585" s="24">
        <f>VLOOKUP(J585, IMPOSTO!$A:$D, 4, 0)</f>
        <v>7.0000000000000007E-2</v>
      </c>
      <c r="Y585" s="24">
        <f>VLOOKUP(K585, IMPOSTO!$A:$D, 4, 0)</f>
        <v>0.12</v>
      </c>
      <c r="Z585" s="24">
        <f>VLOOKUP(L585, IMPOSTO!$A:$D, 4, 0)</f>
        <v>0.18</v>
      </c>
      <c r="AA585" s="24">
        <f>VLOOKUP(M585, IMPOSTO!$A:$D, 4, 0)</f>
        <v>0.12</v>
      </c>
      <c r="AB585" s="24">
        <f>VLOOKUP(N585, IMPOSTO!$A:$D, 4, 0)</f>
        <v>7.0000000000000007E-2</v>
      </c>
      <c r="AC585" s="25">
        <f t="shared" si="78"/>
        <v>102.39579130479467</v>
      </c>
      <c r="AD585" s="25">
        <f t="shared" si="79"/>
        <v>102.9639731229765</v>
      </c>
      <c r="AE585" s="25">
        <f t="shared" si="80"/>
        <v>106.783114352924</v>
      </c>
      <c r="AF585" s="25">
        <f t="shared" si="81"/>
        <v>183.64579130479467</v>
      </c>
      <c r="AG585" s="25">
        <f t="shared" si="82"/>
        <v>57.571093107584524</v>
      </c>
      <c r="AH585" s="25">
        <f t="shared" si="83"/>
        <v>150.46397312297651</v>
      </c>
      <c r="AI585" s="25">
        <f t="shared" si="84"/>
        <v>521.0841896217413</v>
      </c>
    </row>
    <row r="586" spans="1:35" ht="15.75" customHeight="1">
      <c r="A586" s="12" t="s">
        <v>170</v>
      </c>
      <c r="B586" s="12" t="s">
        <v>171</v>
      </c>
      <c r="C586" s="12" t="s">
        <v>163</v>
      </c>
      <c r="D586" s="12" t="s">
        <v>33</v>
      </c>
      <c r="E586" s="12" t="s">
        <v>27</v>
      </c>
      <c r="F586" s="13">
        <v>1.0261800802905754</v>
      </c>
      <c r="G586" s="14">
        <v>14.971066480787609</v>
      </c>
      <c r="H586" s="24" t="str">
        <f t="shared" si="87"/>
        <v>RJSP</v>
      </c>
      <c r="I586" s="24" t="str">
        <f t="shared" si="86"/>
        <v>RJMG</v>
      </c>
      <c r="J586" s="24" t="str">
        <f t="shared" si="86"/>
        <v>RJES</v>
      </c>
      <c r="K586" s="24" t="str">
        <f t="shared" si="86"/>
        <v>RJSC</v>
      </c>
      <c r="L586" s="24" t="str">
        <f t="shared" si="86"/>
        <v>RJRJ</v>
      </c>
      <c r="M586" s="24" t="str">
        <f t="shared" si="86"/>
        <v>RJPR</v>
      </c>
      <c r="N586" s="24" t="str">
        <f t="shared" si="86"/>
        <v>RJAM</v>
      </c>
      <c r="O586" s="24">
        <f>VLOOKUP(H586, KM!$A:$E, 5, 0)</f>
        <v>429</v>
      </c>
      <c r="P586" s="24">
        <f>VLOOKUP(I586, KM!$A:$E, 5, 0)</f>
        <v>434</v>
      </c>
      <c r="Q586" s="24">
        <f>VLOOKUP(J586, KM!$A:$E, 5, 0)</f>
        <v>521</v>
      </c>
      <c r="R586" s="24">
        <f>VLOOKUP(K586, KM!$A:$E, 5, 0)</f>
        <v>1144</v>
      </c>
      <c r="S586" s="24">
        <f>VLOOKUP(L586, KM!$A:$E, 5, 0)</f>
        <v>0</v>
      </c>
      <c r="T586" s="24">
        <f>VLOOKUP(M586, KM!$A:$E, 5, 0)</f>
        <v>852</v>
      </c>
      <c r="U586" s="24">
        <f>VLOOKUP(N586, KM!$A:$E, 5, 0)</f>
        <v>4374</v>
      </c>
      <c r="V586" s="24">
        <f>VLOOKUP(H586, IMPOSTO!$A:$D, 4, 0)</f>
        <v>0.12</v>
      </c>
      <c r="W586" s="24">
        <f>VLOOKUP(I586, IMPOSTO!$A:$D, 4, 0)</f>
        <v>0.12</v>
      </c>
      <c r="X586" s="24">
        <f>VLOOKUP(J586, IMPOSTO!$A:$D, 4, 0)</f>
        <v>7.0000000000000007E-2</v>
      </c>
      <c r="Y586" s="24">
        <f>VLOOKUP(K586, IMPOSTO!$A:$D, 4, 0)</f>
        <v>0.12</v>
      </c>
      <c r="Z586" s="24">
        <f>VLOOKUP(L586, IMPOSTO!$A:$D, 4, 0)</f>
        <v>0.18</v>
      </c>
      <c r="AA586" s="24">
        <f>VLOOKUP(M586, IMPOSTO!$A:$D, 4, 0)</f>
        <v>0.12</v>
      </c>
      <c r="AB586" s="24">
        <f>VLOOKUP(N586, IMPOSTO!$A:$D, 4, 0)</f>
        <v>7.0000000000000007E-2</v>
      </c>
      <c r="AC586" s="25">
        <f t="shared" si="78"/>
        <v>65.762575546349566</v>
      </c>
      <c r="AD586" s="25">
        <f t="shared" si="79"/>
        <v>66.330757364531379</v>
      </c>
      <c r="AE586" s="25">
        <f t="shared" si="80"/>
        <v>72.119426323427533</v>
      </c>
      <c r="AF586" s="25">
        <f t="shared" si="81"/>
        <v>147.01257554634955</v>
      </c>
      <c r="AG586" s="25">
        <f t="shared" si="82"/>
        <v>18.257398147301963</v>
      </c>
      <c r="AH586" s="25">
        <f t="shared" si="83"/>
        <v>113.83075736453138</v>
      </c>
      <c r="AI586" s="25">
        <f t="shared" si="84"/>
        <v>486.42050159224482</v>
      </c>
    </row>
    <row r="587" spans="1:35" ht="15.75" customHeight="1">
      <c r="A587" s="12" t="s">
        <v>170</v>
      </c>
      <c r="B587" s="12" t="s">
        <v>171</v>
      </c>
      <c r="C587" s="12" t="s">
        <v>163</v>
      </c>
      <c r="D587" s="12" t="s">
        <v>33</v>
      </c>
      <c r="E587" s="12" t="s">
        <v>27</v>
      </c>
      <c r="F587" s="13">
        <v>0.1610864079525903</v>
      </c>
      <c r="G587" s="14">
        <v>2.3490276285605045</v>
      </c>
      <c r="H587" s="24" t="str">
        <f t="shared" si="87"/>
        <v>RJSP</v>
      </c>
      <c r="I587" s="24" t="str">
        <f t="shared" si="86"/>
        <v>RJMG</v>
      </c>
      <c r="J587" s="24" t="str">
        <f t="shared" si="86"/>
        <v>RJES</v>
      </c>
      <c r="K587" s="24" t="str">
        <f t="shared" si="86"/>
        <v>RJSC</v>
      </c>
      <c r="L587" s="24" t="str">
        <f t="shared" si="86"/>
        <v>RJRJ</v>
      </c>
      <c r="M587" s="24" t="str">
        <f t="shared" si="86"/>
        <v>RJPR</v>
      </c>
      <c r="N587" s="24" t="str">
        <f t="shared" si="86"/>
        <v>RJAM</v>
      </c>
      <c r="O587" s="24">
        <f>VLOOKUP(H587, KM!$A:$E, 5, 0)</f>
        <v>429</v>
      </c>
      <c r="P587" s="24">
        <f>VLOOKUP(I587, KM!$A:$E, 5, 0)</f>
        <v>434</v>
      </c>
      <c r="Q587" s="24">
        <f>VLOOKUP(J587, KM!$A:$E, 5, 0)</f>
        <v>521</v>
      </c>
      <c r="R587" s="24">
        <f>VLOOKUP(K587, KM!$A:$E, 5, 0)</f>
        <v>1144</v>
      </c>
      <c r="S587" s="24">
        <f>VLOOKUP(L587, KM!$A:$E, 5, 0)</f>
        <v>0</v>
      </c>
      <c r="T587" s="24">
        <f>VLOOKUP(M587, KM!$A:$E, 5, 0)</f>
        <v>852</v>
      </c>
      <c r="U587" s="24">
        <f>VLOOKUP(N587, KM!$A:$E, 5, 0)</f>
        <v>4374</v>
      </c>
      <c r="V587" s="24">
        <f>VLOOKUP(H587, IMPOSTO!$A:$D, 4, 0)</f>
        <v>0.12</v>
      </c>
      <c r="W587" s="24">
        <f>VLOOKUP(I587, IMPOSTO!$A:$D, 4, 0)</f>
        <v>0.12</v>
      </c>
      <c r="X587" s="24">
        <f>VLOOKUP(J587, IMPOSTO!$A:$D, 4, 0)</f>
        <v>7.0000000000000007E-2</v>
      </c>
      <c r="Y587" s="24">
        <f>VLOOKUP(K587, IMPOSTO!$A:$D, 4, 0)</f>
        <v>0.12</v>
      </c>
      <c r="Z587" s="24">
        <f>VLOOKUP(L587, IMPOSTO!$A:$D, 4, 0)</f>
        <v>0.18</v>
      </c>
      <c r="AA587" s="24">
        <f>VLOOKUP(M587, IMPOSTO!$A:$D, 4, 0)</f>
        <v>0.12</v>
      </c>
      <c r="AB587" s="24">
        <f>VLOOKUP(N587, IMPOSTO!$A:$D, 4, 0)</f>
        <v>7.0000000000000007E-2</v>
      </c>
      <c r="AC587" s="25">
        <f t="shared" si="78"/>
        <v>51.419349577909671</v>
      </c>
      <c r="AD587" s="25">
        <f t="shared" si="79"/>
        <v>51.987531396091491</v>
      </c>
      <c r="AE587" s="25">
        <f t="shared" si="80"/>
        <v>58.54734153608657</v>
      </c>
      <c r="AF587" s="25">
        <f t="shared" si="81"/>
        <v>132.66934957790968</v>
      </c>
      <c r="AG587" s="25">
        <f t="shared" si="82"/>
        <v>2.8646678397079319</v>
      </c>
      <c r="AH587" s="25">
        <f t="shared" si="83"/>
        <v>99.487531396091484</v>
      </c>
      <c r="AI587" s="25">
        <f t="shared" si="84"/>
        <v>472.84841680490388</v>
      </c>
    </row>
    <row r="588" spans="1:35" ht="15.75" customHeight="1">
      <c r="A588" s="12" t="s">
        <v>170</v>
      </c>
      <c r="B588" s="12" t="s">
        <v>171</v>
      </c>
      <c r="C588" s="12" t="s">
        <v>163</v>
      </c>
      <c r="D588" s="12" t="s">
        <v>33</v>
      </c>
      <c r="E588" s="12" t="s">
        <v>27</v>
      </c>
      <c r="F588" s="13">
        <v>9.5458612120053507E-2</v>
      </c>
      <c r="G588" s="14">
        <v>1.455362000382336</v>
      </c>
      <c r="H588" s="24" t="str">
        <f t="shared" si="87"/>
        <v>RJSP</v>
      </c>
      <c r="I588" s="24" t="str">
        <f t="shared" si="86"/>
        <v>RJMG</v>
      </c>
      <c r="J588" s="24" t="str">
        <f t="shared" si="86"/>
        <v>RJES</v>
      </c>
      <c r="K588" s="24" t="str">
        <f t="shared" si="86"/>
        <v>RJSC</v>
      </c>
      <c r="L588" s="24" t="str">
        <f t="shared" si="86"/>
        <v>RJRJ</v>
      </c>
      <c r="M588" s="24" t="str">
        <f t="shared" si="86"/>
        <v>RJPR</v>
      </c>
      <c r="N588" s="24" t="str">
        <f t="shared" si="86"/>
        <v>RJAM</v>
      </c>
      <c r="O588" s="24">
        <f>VLOOKUP(H588, KM!$A:$E, 5, 0)</f>
        <v>429</v>
      </c>
      <c r="P588" s="24">
        <f>VLOOKUP(I588, KM!$A:$E, 5, 0)</f>
        <v>434</v>
      </c>
      <c r="Q588" s="24">
        <f>VLOOKUP(J588, KM!$A:$E, 5, 0)</f>
        <v>521</v>
      </c>
      <c r="R588" s="24">
        <f>VLOOKUP(K588, KM!$A:$E, 5, 0)</f>
        <v>1144</v>
      </c>
      <c r="S588" s="24">
        <f>VLOOKUP(L588, KM!$A:$E, 5, 0)</f>
        <v>0</v>
      </c>
      <c r="T588" s="24">
        <f>VLOOKUP(M588, KM!$A:$E, 5, 0)</f>
        <v>852</v>
      </c>
      <c r="U588" s="24">
        <f>VLOOKUP(N588, KM!$A:$E, 5, 0)</f>
        <v>4374</v>
      </c>
      <c r="V588" s="24">
        <f>VLOOKUP(H588, IMPOSTO!$A:$D, 4, 0)</f>
        <v>0.12</v>
      </c>
      <c r="W588" s="24">
        <f>VLOOKUP(I588, IMPOSTO!$A:$D, 4, 0)</f>
        <v>0.12</v>
      </c>
      <c r="X588" s="24">
        <f>VLOOKUP(J588, IMPOSTO!$A:$D, 4, 0)</f>
        <v>7.0000000000000007E-2</v>
      </c>
      <c r="Y588" s="24">
        <f>VLOOKUP(K588, IMPOSTO!$A:$D, 4, 0)</f>
        <v>0.12</v>
      </c>
      <c r="Z588" s="24">
        <f>VLOOKUP(L588, IMPOSTO!$A:$D, 4, 0)</f>
        <v>0.18</v>
      </c>
      <c r="AA588" s="24">
        <f>VLOOKUP(M588, IMPOSTO!$A:$D, 4, 0)</f>
        <v>0.12</v>
      </c>
      <c r="AB588" s="24">
        <f>VLOOKUP(N588, IMPOSTO!$A:$D, 4, 0)</f>
        <v>7.0000000000000007E-2</v>
      </c>
      <c r="AC588" s="25">
        <f t="shared" si="78"/>
        <v>50.403820454979936</v>
      </c>
      <c r="AD588" s="25">
        <f t="shared" si="79"/>
        <v>50.972002273161756</v>
      </c>
      <c r="AE588" s="25">
        <f t="shared" si="80"/>
        <v>57.586410753099294</v>
      </c>
      <c r="AF588" s="25">
        <f t="shared" si="81"/>
        <v>131.65382045497992</v>
      </c>
      <c r="AG588" s="25">
        <f t="shared" si="82"/>
        <v>1.7748317077833364</v>
      </c>
      <c r="AH588" s="25">
        <f t="shared" si="83"/>
        <v>98.472002273161749</v>
      </c>
      <c r="AI588" s="25">
        <f t="shared" si="84"/>
        <v>471.88748602191652</v>
      </c>
    </row>
    <row r="589" spans="1:35" ht="15.75" customHeight="1">
      <c r="A589" s="12" t="s">
        <v>398</v>
      </c>
      <c r="B589" s="12" t="s">
        <v>399</v>
      </c>
      <c r="C589" s="12" t="s">
        <v>98</v>
      </c>
      <c r="D589" s="12" t="s">
        <v>33</v>
      </c>
      <c r="E589" s="12" t="s">
        <v>27</v>
      </c>
      <c r="F589" s="13">
        <v>3138.8858445595856</v>
      </c>
      <c r="G589" s="14">
        <v>37326.339890569958</v>
      </c>
      <c r="H589" s="24" t="str">
        <f t="shared" si="87"/>
        <v>RJSP</v>
      </c>
      <c r="I589" s="24" t="str">
        <f t="shared" si="86"/>
        <v>RJMG</v>
      </c>
      <c r="J589" s="24" t="str">
        <f t="shared" si="86"/>
        <v>RJES</v>
      </c>
      <c r="K589" s="24" t="str">
        <f t="shared" si="86"/>
        <v>RJSC</v>
      </c>
      <c r="L589" s="24" t="str">
        <f t="shared" si="86"/>
        <v>RJRJ</v>
      </c>
      <c r="M589" s="24" t="str">
        <f t="shared" si="86"/>
        <v>RJPR</v>
      </c>
      <c r="N589" s="24" t="str">
        <f t="shared" si="86"/>
        <v>RJAM</v>
      </c>
      <c r="O589" s="24">
        <f>VLOOKUP(H589, KM!$A:$E, 5, 0)</f>
        <v>429</v>
      </c>
      <c r="P589" s="24">
        <f>VLOOKUP(I589, KM!$A:$E, 5, 0)</f>
        <v>434</v>
      </c>
      <c r="Q589" s="24">
        <f>VLOOKUP(J589, KM!$A:$E, 5, 0)</f>
        <v>521</v>
      </c>
      <c r="R589" s="24">
        <f>VLOOKUP(K589, KM!$A:$E, 5, 0)</f>
        <v>1144</v>
      </c>
      <c r="S589" s="24">
        <f>VLOOKUP(L589, KM!$A:$E, 5, 0)</f>
        <v>0</v>
      </c>
      <c r="T589" s="24">
        <f>VLOOKUP(M589, KM!$A:$E, 5, 0)</f>
        <v>852</v>
      </c>
      <c r="U589" s="24">
        <f>VLOOKUP(N589, KM!$A:$E, 5, 0)</f>
        <v>4374</v>
      </c>
      <c r="V589" s="24">
        <f>VLOOKUP(H589, IMPOSTO!$A:$D, 4, 0)</f>
        <v>0.12</v>
      </c>
      <c r="W589" s="24">
        <f>VLOOKUP(I589, IMPOSTO!$A:$D, 4, 0)</f>
        <v>0.12</v>
      </c>
      <c r="X589" s="24">
        <f>VLOOKUP(J589, IMPOSTO!$A:$D, 4, 0)</f>
        <v>7.0000000000000007E-2</v>
      </c>
      <c r="Y589" s="24">
        <f>VLOOKUP(K589, IMPOSTO!$A:$D, 4, 0)</f>
        <v>0.12</v>
      </c>
      <c r="Z589" s="24">
        <f>VLOOKUP(L589, IMPOSTO!$A:$D, 4, 0)</f>
        <v>0.18</v>
      </c>
      <c r="AA589" s="24">
        <f>VLOOKUP(M589, IMPOSTO!$A:$D, 4, 0)</f>
        <v>0.12</v>
      </c>
      <c r="AB589" s="24">
        <f>VLOOKUP(N589, IMPOSTO!$A:$D, 4, 0)</f>
        <v>7.0000000000000007E-2</v>
      </c>
      <c r="AC589" s="25">
        <f t="shared" si="78"/>
        <v>42465.045330193134</v>
      </c>
      <c r="AD589" s="25">
        <f t="shared" si="79"/>
        <v>42465.613512011318</v>
      </c>
      <c r="AE589" s="25">
        <f t="shared" si="80"/>
        <v>40191.870850075225</v>
      </c>
      <c r="AF589" s="25">
        <f t="shared" si="81"/>
        <v>42546.295330193134</v>
      </c>
      <c r="AG589" s="25">
        <f t="shared" si="82"/>
        <v>45519.926695817019</v>
      </c>
      <c r="AH589" s="25">
        <f t="shared" si="83"/>
        <v>42513.11351201131</v>
      </c>
      <c r="AI589" s="25">
        <f t="shared" si="84"/>
        <v>40606.171925344046</v>
      </c>
    </row>
    <row r="590" spans="1:35" ht="15.75" customHeight="1">
      <c r="A590" s="12" t="s">
        <v>400</v>
      </c>
      <c r="B590" s="12" t="s">
        <v>401</v>
      </c>
      <c r="C590" s="12" t="s">
        <v>122</v>
      </c>
      <c r="D590" s="12" t="s">
        <v>33</v>
      </c>
      <c r="E590" s="12" t="s">
        <v>27</v>
      </c>
      <c r="F590" s="13">
        <v>7508.6219683954669</v>
      </c>
      <c r="G590" s="14">
        <v>371995.02065890108</v>
      </c>
      <c r="H590" s="24" t="str">
        <f t="shared" si="87"/>
        <v>RJSP</v>
      </c>
      <c r="I590" s="24" t="str">
        <f t="shared" si="86"/>
        <v>RJMG</v>
      </c>
      <c r="J590" s="24" t="str">
        <f t="shared" si="86"/>
        <v>RJES</v>
      </c>
      <c r="K590" s="24" t="str">
        <f t="shared" si="86"/>
        <v>RJSC</v>
      </c>
      <c r="L590" s="24" t="str">
        <f t="shared" si="86"/>
        <v>RJRJ</v>
      </c>
      <c r="M590" s="24" t="str">
        <f t="shared" si="86"/>
        <v>RJPR</v>
      </c>
      <c r="N590" s="24" t="str">
        <f t="shared" si="86"/>
        <v>RJAM</v>
      </c>
      <c r="O590" s="24">
        <f>VLOOKUP(H590, KM!$A:$E, 5, 0)</f>
        <v>429</v>
      </c>
      <c r="P590" s="24">
        <f>VLOOKUP(I590, KM!$A:$E, 5, 0)</f>
        <v>434</v>
      </c>
      <c r="Q590" s="24">
        <f>VLOOKUP(J590, KM!$A:$E, 5, 0)</f>
        <v>521</v>
      </c>
      <c r="R590" s="24">
        <f>VLOOKUP(K590, KM!$A:$E, 5, 0)</f>
        <v>1144</v>
      </c>
      <c r="S590" s="24">
        <f>VLOOKUP(L590, KM!$A:$E, 5, 0)</f>
        <v>0</v>
      </c>
      <c r="T590" s="24">
        <f>VLOOKUP(M590, KM!$A:$E, 5, 0)</f>
        <v>852</v>
      </c>
      <c r="U590" s="24">
        <f>VLOOKUP(N590, KM!$A:$E, 5, 0)</f>
        <v>4374</v>
      </c>
      <c r="V590" s="24">
        <f>VLOOKUP(H590, IMPOSTO!$A:$D, 4, 0)</f>
        <v>0.12</v>
      </c>
      <c r="W590" s="24">
        <f>VLOOKUP(I590, IMPOSTO!$A:$D, 4, 0)</f>
        <v>0.12</v>
      </c>
      <c r="X590" s="24">
        <f>VLOOKUP(J590, IMPOSTO!$A:$D, 4, 0)</f>
        <v>7.0000000000000007E-2</v>
      </c>
      <c r="Y590" s="24">
        <f>VLOOKUP(K590, IMPOSTO!$A:$D, 4, 0)</f>
        <v>0.12</v>
      </c>
      <c r="Z590" s="24">
        <f>VLOOKUP(L590, IMPOSTO!$A:$D, 4, 0)</f>
        <v>0.18</v>
      </c>
      <c r="AA590" s="24">
        <f>VLOOKUP(M590, IMPOSTO!$A:$D, 4, 0)</f>
        <v>0.12</v>
      </c>
      <c r="AB590" s="24">
        <f>VLOOKUP(N590, IMPOSTO!$A:$D, 4, 0)</f>
        <v>7.0000000000000007E-2</v>
      </c>
      <c r="AC590" s="25">
        <f t="shared" si="78"/>
        <v>422770.36438511487</v>
      </c>
      <c r="AD590" s="25">
        <f t="shared" si="79"/>
        <v>422770.93256693304</v>
      </c>
      <c r="AE590" s="25">
        <f t="shared" si="80"/>
        <v>400050.66737516248</v>
      </c>
      <c r="AF590" s="25">
        <f t="shared" si="81"/>
        <v>422851.61438511487</v>
      </c>
      <c r="AG590" s="25">
        <f t="shared" si="82"/>
        <v>453652.46421817201</v>
      </c>
      <c r="AH590" s="25">
        <f t="shared" si="83"/>
        <v>422818.43256693304</v>
      </c>
      <c r="AI590" s="25">
        <f t="shared" si="84"/>
        <v>400464.9684504313</v>
      </c>
    </row>
    <row r="591" spans="1:35" ht="15.75" customHeight="1">
      <c r="A591" s="12" t="s">
        <v>402</v>
      </c>
      <c r="B591" s="12" t="s">
        <v>403</v>
      </c>
      <c r="C591" s="12" t="s">
        <v>181</v>
      </c>
      <c r="D591" s="12" t="s">
        <v>33</v>
      </c>
      <c r="E591" s="12" t="s">
        <v>27</v>
      </c>
      <c r="F591" s="13">
        <v>937.9313999999996</v>
      </c>
      <c r="G591" s="14">
        <v>19093.421368188319</v>
      </c>
      <c r="H591" s="24" t="str">
        <f t="shared" si="87"/>
        <v>RJSP</v>
      </c>
      <c r="I591" s="24" t="str">
        <f t="shared" si="86"/>
        <v>RJMG</v>
      </c>
      <c r="J591" s="24" t="str">
        <f t="shared" si="86"/>
        <v>RJES</v>
      </c>
      <c r="K591" s="24" t="str">
        <f t="shared" si="86"/>
        <v>RJSC</v>
      </c>
      <c r="L591" s="24" t="str">
        <f t="shared" si="86"/>
        <v>RJRJ</v>
      </c>
      <c r="M591" s="24" t="str">
        <f t="shared" si="86"/>
        <v>RJPR</v>
      </c>
      <c r="N591" s="24" t="str">
        <f t="shared" si="86"/>
        <v>RJAM</v>
      </c>
      <c r="O591" s="24">
        <f>VLOOKUP(H591, KM!$A:$E, 5, 0)</f>
        <v>429</v>
      </c>
      <c r="P591" s="24">
        <f>VLOOKUP(I591, KM!$A:$E, 5, 0)</f>
        <v>434</v>
      </c>
      <c r="Q591" s="24">
        <f>VLOOKUP(J591, KM!$A:$E, 5, 0)</f>
        <v>521</v>
      </c>
      <c r="R591" s="24">
        <f>VLOOKUP(K591, KM!$A:$E, 5, 0)</f>
        <v>1144</v>
      </c>
      <c r="S591" s="24">
        <f>VLOOKUP(L591, KM!$A:$E, 5, 0)</f>
        <v>0</v>
      </c>
      <c r="T591" s="24">
        <f>VLOOKUP(M591, KM!$A:$E, 5, 0)</f>
        <v>852</v>
      </c>
      <c r="U591" s="24">
        <f>VLOOKUP(N591, KM!$A:$E, 5, 0)</f>
        <v>4374</v>
      </c>
      <c r="V591" s="24">
        <f>VLOOKUP(H591, IMPOSTO!$A:$D, 4, 0)</f>
        <v>0.12</v>
      </c>
      <c r="W591" s="24">
        <f>VLOOKUP(I591, IMPOSTO!$A:$D, 4, 0)</f>
        <v>0.12</v>
      </c>
      <c r="X591" s="24">
        <f>VLOOKUP(J591, IMPOSTO!$A:$D, 4, 0)</f>
        <v>7.0000000000000007E-2</v>
      </c>
      <c r="Y591" s="24">
        <f>VLOOKUP(K591, IMPOSTO!$A:$D, 4, 0)</f>
        <v>0.12</v>
      </c>
      <c r="Z591" s="24">
        <f>VLOOKUP(L591, IMPOSTO!$A:$D, 4, 0)</f>
        <v>0.18</v>
      </c>
      <c r="AA591" s="24">
        <f>VLOOKUP(M591, IMPOSTO!$A:$D, 4, 0)</f>
        <v>0.12</v>
      </c>
      <c r="AB591" s="24">
        <f>VLOOKUP(N591, IMPOSTO!$A:$D, 4, 0)</f>
        <v>7.0000000000000007E-2</v>
      </c>
      <c r="AC591" s="25">
        <f t="shared" si="78"/>
        <v>21745.819736577636</v>
      </c>
      <c r="AD591" s="25">
        <f t="shared" si="79"/>
        <v>21746.38791839582</v>
      </c>
      <c r="AE591" s="25">
        <f t="shared" si="80"/>
        <v>20586.582116331527</v>
      </c>
      <c r="AF591" s="25">
        <f t="shared" si="81"/>
        <v>21827.069736577636</v>
      </c>
      <c r="AG591" s="25">
        <f t="shared" si="82"/>
        <v>23284.660205107706</v>
      </c>
      <c r="AH591" s="25">
        <f t="shared" si="83"/>
        <v>21793.88791839582</v>
      </c>
      <c r="AI591" s="25">
        <f t="shared" si="84"/>
        <v>21000.883191600347</v>
      </c>
    </row>
    <row r="592" spans="1:35" ht="15.75" customHeight="1">
      <c r="A592" s="12" t="s">
        <v>457</v>
      </c>
      <c r="B592" s="12" t="s">
        <v>458</v>
      </c>
      <c r="C592" s="12" t="s">
        <v>181</v>
      </c>
      <c r="D592" s="12" t="s">
        <v>33</v>
      </c>
      <c r="E592" s="12" t="s">
        <v>27</v>
      </c>
      <c r="F592" s="13">
        <v>122.53846153846152</v>
      </c>
      <c r="G592" s="14">
        <v>821.69753846153844</v>
      </c>
      <c r="H592" s="24" t="str">
        <f t="shared" si="87"/>
        <v>RJSP</v>
      </c>
      <c r="I592" s="24" t="str">
        <f t="shared" si="86"/>
        <v>RJMG</v>
      </c>
      <c r="J592" s="24" t="str">
        <f t="shared" si="86"/>
        <v>RJES</v>
      </c>
      <c r="K592" s="24" t="str">
        <f t="shared" si="86"/>
        <v>RJSC</v>
      </c>
      <c r="L592" s="24" t="str">
        <f t="shared" si="86"/>
        <v>RJRJ</v>
      </c>
      <c r="M592" s="24" t="str">
        <f t="shared" si="86"/>
        <v>RJPR</v>
      </c>
      <c r="N592" s="24" t="str">
        <f t="shared" si="86"/>
        <v>RJAM</v>
      </c>
      <c r="O592" s="24">
        <f>VLOOKUP(H592, KM!$A:$E, 5, 0)</f>
        <v>429</v>
      </c>
      <c r="P592" s="24">
        <f>VLOOKUP(I592, KM!$A:$E, 5, 0)</f>
        <v>434</v>
      </c>
      <c r="Q592" s="24">
        <f>VLOOKUP(J592, KM!$A:$E, 5, 0)</f>
        <v>521</v>
      </c>
      <c r="R592" s="24">
        <f>VLOOKUP(K592, KM!$A:$E, 5, 0)</f>
        <v>1144</v>
      </c>
      <c r="S592" s="24">
        <f>VLOOKUP(L592, KM!$A:$E, 5, 0)</f>
        <v>0</v>
      </c>
      <c r="T592" s="24">
        <f>VLOOKUP(M592, KM!$A:$E, 5, 0)</f>
        <v>852</v>
      </c>
      <c r="U592" s="24">
        <f>VLOOKUP(N592, KM!$A:$E, 5, 0)</f>
        <v>4374</v>
      </c>
      <c r="V592" s="24">
        <f>VLOOKUP(H592, IMPOSTO!$A:$D, 4, 0)</f>
        <v>0.12</v>
      </c>
      <c r="W592" s="24">
        <f>VLOOKUP(I592, IMPOSTO!$A:$D, 4, 0)</f>
        <v>0.12</v>
      </c>
      <c r="X592" s="24">
        <f>VLOOKUP(J592, IMPOSTO!$A:$D, 4, 0)</f>
        <v>7.0000000000000007E-2</v>
      </c>
      <c r="Y592" s="24">
        <f>VLOOKUP(K592, IMPOSTO!$A:$D, 4, 0)</f>
        <v>0.12</v>
      </c>
      <c r="Z592" s="24">
        <f>VLOOKUP(L592, IMPOSTO!$A:$D, 4, 0)</f>
        <v>0.18</v>
      </c>
      <c r="AA592" s="24">
        <f>VLOOKUP(M592, IMPOSTO!$A:$D, 4, 0)</f>
        <v>0.12</v>
      </c>
      <c r="AB592" s="24">
        <f>VLOOKUP(N592, IMPOSTO!$A:$D, 4, 0)</f>
        <v>7.0000000000000007E-2</v>
      </c>
      <c r="AC592" s="25">
        <f t="shared" si="78"/>
        <v>982.4972027972027</v>
      </c>
      <c r="AD592" s="25">
        <f t="shared" si="79"/>
        <v>983.06538461538457</v>
      </c>
      <c r="AE592" s="25">
        <f t="shared" si="80"/>
        <v>939.56724565756826</v>
      </c>
      <c r="AF592" s="25">
        <f t="shared" si="81"/>
        <v>1063.7472027972028</v>
      </c>
      <c r="AG592" s="25">
        <f t="shared" si="82"/>
        <v>1002.0701688555346</v>
      </c>
      <c r="AH592" s="25">
        <f t="shared" si="83"/>
        <v>1030.5653846153846</v>
      </c>
      <c r="AI592" s="25">
        <f t="shared" si="84"/>
        <v>1353.8683209263856</v>
      </c>
    </row>
    <row r="593" spans="1:35" ht="15.75" customHeight="1">
      <c r="A593" s="12" t="s">
        <v>457</v>
      </c>
      <c r="B593" s="12" t="s">
        <v>458</v>
      </c>
      <c r="C593" s="12" t="s">
        <v>181</v>
      </c>
      <c r="D593" s="12" t="s">
        <v>33</v>
      </c>
      <c r="E593" s="12" t="s">
        <v>27</v>
      </c>
      <c r="F593" s="13">
        <v>27.230769230769234</v>
      </c>
      <c r="G593" s="14">
        <v>181.67461538461535</v>
      </c>
      <c r="H593" s="24" t="str">
        <f t="shared" si="87"/>
        <v>RJSP</v>
      </c>
      <c r="I593" s="24" t="str">
        <f t="shared" si="86"/>
        <v>RJMG</v>
      </c>
      <c r="J593" s="24" t="str">
        <f t="shared" si="86"/>
        <v>RJES</v>
      </c>
      <c r="K593" s="24" t="str">
        <f t="shared" si="86"/>
        <v>RJSC</v>
      </c>
      <c r="L593" s="24" t="str">
        <f t="shared" si="86"/>
        <v>RJRJ</v>
      </c>
      <c r="M593" s="24" t="str">
        <f t="shared" si="86"/>
        <v>RJPR</v>
      </c>
      <c r="N593" s="24" t="str">
        <f t="shared" si="86"/>
        <v>RJAM</v>
      </c>
      <c r="O593" s="24">
        <f>VLOOKUP(H593, KM!$A:$E, 5, 0)</f>
        <v>429</v>
      </c>
      <c r="P593" s="24">
        <f>VLOOKUP(I593, KM!$A:$E, 5, 0)</f>
        <v>434</v>
      </c>
      <c r="Q593" s="24">
        <f>VLOOKUP(J593, KM!$A:$E, 5, 0)</f>
        <v>521</v>
      </c>
      <c r="R593" s="24">
        <f>VLOOKUP(K593, KM!$A:$E, 5, 0)</f>
        <v>1144</v>
      </c>
      <c r="S593" s="24">
        <f>VLOOKUP(L593, KM!$A:$E, 5, 0)</f>
        <v>0</v>
      </c>
      <c r="T593" s="24">
        <f>VLOOKUP(M593, KM!$A:$E, 5, 0)</f>
        <v>852</v>
      </c>
      <c r="U593" s="24">
        <f>VLOOKUP(N593, KM!$A:$E, 5, 0)</f>
        <v>4374</v>
      </c>
      <c r="V593" s="24">
        <f>VLOOKUP(H593, IMPOSTO!$A:$D, 4, 0)</f>
        <v>0.12</v>
      </c>
      <c r="W593" s="24">
        <f>VLOOKUP(I593, IMPOSTO!$A:$D, 4, 0)</f>
        <v>0.12</v>
      </c>
      <c r="X593" s="24">
        <f>VLOOKUP(J593, IMPOSTO!$A:$D, 4, 0)</f>
        <v>7.0000000000000007E-2</v>
      </c>
      <c r="Y593" s="24">
        <f>VLOOKUP(K593, IMPOSTO!$A:$D, 4, 0)</f>
        <v>0.12</v>
      </c>
      <c r="Z593" s="24">
        <f>VLOOKUP(L593, IMPOSTO!$A:$D, 4, 0)</f>
        <v>0.18</v>
      </c>
      <c r="AA593" s="24">
        <f>VLOOKUP(M593, IMPOSTO!$A:$D, 4, 0)</f>
        <v>0.12</v>
      </c>
      <c r="AB593" s="24">
        <f>VLOOKUP(N593, IMPOSTO!$A:$D, 4, 0)</f>
        <v>7.0000000000000007E-2</v>
      </c>
      <c r="AC593" s="25">
        <f t="shared" si="78"/>
        <v>255.19842657342653</v>
      </c>
      <c r="AD593" s="25">
        <f t="shared" si="79"/>
        <v>255.76660839160837</v>
      </c>
      <c r="AE593" s="25">
        <f t="shared" si="80"/>
        <v>251.37055417700577</v>
      </c>
      <c r="AF593" s="25">
        <f t="shared" si="81"/>
        <v>336.44842657342656</v>
      </c>
      <c r="AG593" s="25">
        <f t="shared" si="82"/>
        <v>221.55440900562846</v>
      </c>
      <c r="AH593" s="25">
        <f t="shared" si="83"/>
        <v>303.26660839160837</v>
      </c>
      <c r="AI593" s="25">
        <f t="shared" si="84"/>
        <v>665.6716294458231</v>
      </c>
    </row>
    <row r="594" spans="1:35" ht="15.75" customHeight="1">
      <c r="A594" s="12" t="s">
        <v>179</v>
      </c>
      <c r="B594" s="12" t="s">
        <v>180</v>
      </c>
      <c r="C594" s="12" t="s">
        <v>181</v>
      </c>
      <c r="D594" s="12" t="s">
        <v>33</v>
      </c>
      <c r="E594" s="12" t="s">
        <v>27</v>
      </c>
      <c r="F594" s="13">
        <v>44.804000000000002</v>
      </c>
      <c r="G594" s="14">
        <v>391.49971010526315</v>
      </c>
      <c r="H594" s="24" t="str">
        <f t="shared" si="87"/>
        <v>RJSP</v>
      </c>
      <c r="I594" s="24" t="str">
        <f t="shared" si="86"/>
        <v>RJMG</v>
      </c>
      <c r="J594" s="24" t="str">
        <f t="shared" si="86"/>
        <v>RJES</v>
      </c>
      <c r="K594" s="24" t="str">
        <f t="shared" si="86"/>
        <v>RJSC</v>
      </c>
      <c r="L594" s="24" t="str">
        <f t="shared" si="86"/>
        <v>RJRJ</v>
      </c>
      <c r="M594" s="24" t="str">
        <f t="shared" si="86"/>
        <v>RJPR</v>
      </c>
      <c r="N594" s="24" t="str">
        <f t="shared" si="86"/>
        <v>RJAM</v>
      </c>
      <c r="O594" s="24">
        <f>VLOOKUP(H594, KM!$A:$E, 5, 0)</f>
        <v>429</v>
      </c>
      <c r="P594" s="24">
        <f>VLOOKUP(I594, KM!$A:$E, 5, 0)</f>
        <v>434</v>
      </c>
      <c r="Q594" s="24">
        <f>VLOOKUP(J594, KM!$A:$E, 5, 0)</f>
        <v>521</v>
      </c>
      <c r="R594" s="24">
        <f>VLOOKUP(K594, KM!$A:$E, 5, 0)</f>
        <v>1144</v>
      </c>
      <c r="S594" s="24">
        <f>VLOOKUP(L594, KM!$A:$E, 5, 0)</f>
        <v>0</v>
      </c>
      <c r="T594" s="24">
        <f>VLOOKUP(M594, KM!$A:$E, 5, 0)</f>
        <v>852</v>
      </c>
      <c r="U594" s="24">
        <f>VLOOKUP(N594, KM!$A:$E, 5, 0)</f>
        <v>4374</v>
      </c>
      <c r="V594" s="24">
        <f>VLOOKUP(H594, IMPOSTO!$A:$D, 4, 0)</f>
        <v>0.12</v>
      </c>
      <c r="W594" s="24">
        <f>VLOOKUP(I594, IMPOSTO!$A:$D, 4, 0)</f>
        <v>0.12</v>
      </c>
      <c r="X594" s="24">
        <f>VLOOKUP(J594, IMPOSTO!$A:$D, 4, 0)</f>
        <v>7.0000000000000007E-2</v>
      </c>
      <c r="Y594" s="24">
        <f>VLOOKUP(K594, IMPOSTO!$A:$D, 4, 0)</f>
        <v>0.12</v>
      </c>
      <c r="Z594" s="24">
        <f>VLOOKUP(L594, IMPOSTO!$A:$D, 4, 0)</f>
        <v>0.18</v>
      </c>
      <c r="AA594" s="24">
        <f>VLOOKUP(M594, IMPOSTO!$A:$D, 4, 0)</f>
        <v>0.12</v>
      </c>
      <c r="AB594" s="24">
        <f>VLOOKUP(N594, IMPOSTO!$A:$D, 4, 0)</f>
        <v>7.0000000000000007E-2</v>
      </c>
      <c r="AC594" s="25">
        <f t="shared" si="78"/>
        <v>493.6360342105263</v>
      </c>
      <c r="AD594" s="25">
        <f t="shared" si="79"/>
        <v>494.20421602870812</v>
      </c>
      <c r="AE594" s="25">
        <f t="shared" si="80"/>
        <v>476.98893559705721</v>
      </c>
      <c r="AF594" s="25">
        <f t="shared" si="81"/>
        <v>574.8860342105263</v>
      </c>
      <c r="AG594" s="25">
        <f t="shared" si="82"/>
        <v>477.43867086007697</v>
      </c>
      <c r="AH594" s="25">
        <f t="shared" si="83"/>
        <v>541.70421602870806</v>
      </c>
      <c r="AI594" s="25">
        <f t="shared" si="84"/>
        <v>891.29001086587448</v>
      </c>
    </row>
    <row r="595" spans="1:35" ht="15.75" customHeight="1">
      <c r="A595" s="12" t="s">
        <v>182</v>
      </c>
      <c r="B595" s="12" t="s">
        <v>183</v>
      </c>
      <c r="C595" s="12" t="s">
        <v>160</v>
      </c>
      <c r="D595" s="12" t="s">
        <v>33</v>
      </c>
      <c r="E595" s="12" t="s">
        <v>27</v>
      </c>
      <c r="F595" s="13">
        <v>678.09387493275949</v>
      </c>
      <c r="G595" s="14">
        <v>4135.2964364883264</v>
      </c>
      <c r="H595" s="24" t="str">
        <f t="shared" si="87"/>
        <v>RJSP</v>
      </c>
      <c r="I595" s="24" t="str">
        <f t="shared" si="86"/>
        <v>RJMG</v>
      </c>
      <c r="J595" s="24" t="str">
        <f t="shared" si="86"/>
        <v>RJES</v>
      </c>
      <c r="K595" s="24" t="str">
        <f t="shared" si="86"/>
        <v>RJSC</v>
      </c>
      <c r="L595" s="24" t="str">
        <f t="shared" si="86"/>
        <v>RJRJ</v>
      </c>
      <c r="M595" s="24" t="str">
        <f t="shared" si="86"/>
        <v>RJPR</v>
      </c>
      <c r="N595" s="24" t="str">
        <f t="shared" si="86"/>
        <v>RJAM</v>
      </c>
      <c r="O595" s="24">
        <f>VLOOKUP(H595, KM!$A:$E, 5, 0)</f>
        <v>429</v>
      </c>
      <c r="P595" s="24">
        <f>VLOOKUP(I595, KM!$A:$E, 5, 0)</f>
        <v>434</v>
      </c>
      <c r="Q595" s="24">
        <f>VLOOKUP(J595, KM!$A:$E, 5, 0)</f>
        <v>521</v>
      </c>
      <c r="R595" s="24">
        <f>VLOOKUP(K595, KM!$A:$E, 5, 0)</f>
        <v>1144</v>
      </c>
      <c r="S595" s="24">
        <f>VLOOKUP(L595, KM!$A:$E, 5, 0)</f>
        <v>0</v>
      </c>
      <c r="T595" s="24">
        <f>VLOOKUP(M595, KM!$A:$E, 5, 0)</f>
        <v>852</v>
      </c>
      <c r="U595" s="24">
        <f>VLOOKUP(N595, KM!$A:$E, 5, 0)</f>
        <v>4374</v>
      </c>
      <c r="V595" s="24">
        <f>VLOOKUP(H595, IMPOSTO!$A:$D, 4, 0)</f>
        <v>0.12</v>
      </c>
      <c r="W595" s="24">
        <f>VLOOKUP(I595, IMPOSTO!$A:$D, 4, 0)</f>
        <v>0.12</v>
      </c>
      <c r="X595" s="24">
        <f>VLOOKUP(J595, IMPOSTO!$A:$D, 4, 0)</f>
        <v>7.0000000000000007E-2</v>
      </c>
      <c r="Y595" s="24">
        <f>VLOOKUP(K595, IMPOSTO!$A:$D, 4, 0)</f>
        <v>0.12</v>
      </c>
      <c r="Z595" s="24">
        <f>VLOOKUP(L595, IMPOSTO!$A:$D, 4, 0)</f>
        <v>0.18</v>
      </c>
      <c r="AA595" s="24">
        <f>VLOOKUP(M595, IMPOSTO!$A:$D, 4, 0)</f>
        <v>0.12</v>
      </c>
      <c r="AB595" s="24">
        <f>VLOOKUP(N595, IMPOSTO!$A:$D, 4, 0)</f>
        <v>7.0000000000000007E-2</v>
      </c>
      <c r="AC595" s="25">
        <f t="shared" ref="AC595:AC658" si="88">($G595 + O595 * $AE$5) / (1 - V595)</f>
        <v>4747.9504960094619</v>
      </c>
      <c r="AD595" s="25">
        <f t="shared" ref="AD595:AD658" si="89">($G595 + P595 * $AE$5) / (1 - W595)</f>
        <v>4748.5186778276429</v>
      </c>
      <c r="AE595" s="25">
        <f t="shared" ref="AE595:AE658" si="90">($G595 + Q595 * $AE$5) / (1 - X595)</f>
        <v>4502.5768134283089</v>
      </c>
      <c r="AF595" s="25">
        <f t="shared" ref="AF595:AF658" si="91">($G595 + R595 * $AE$5) / (1 - Y595)</f>
        <v>4829.2004960094619</v>
      </c>
      <c r="AG595" s="25">
        <f t="shared" ref="AG595:AG658" si="92">($G595 + S595 * $AE$5) / (1 - Z595)</f>
        <v>5043.0444347418616</v>
      </c>
      <c r="AH595" s="25">
        <f t="shared" ref="AH595:AH658" si="93">($G595 + T595 * $AE$5) / (1 - AA595)</f>
        <v>4796.0186778276438</v>
      </c>
      <c r="AI595" s="25">
        <f t="shared" ref="AI595:AI658" si="94">($G595 + U595 * $AE$5) / (1 - AB595)</f>
        <v>4916.8778886971249</v>
      </c>
    </row>
    <row r="596" spans="1:35" ht="15.75" customHeight="1">
      <c r="A596" s="12" t="s">
        <v>186</v>
      </c>
      <c r="B596" s="12" t="s">
        <v>187</v>
      </c>
      <c r="C596" s="12" t="s">
        <v>181</v>
      </c>
      <c r="D596" s="12" t="s">
        <v>33</v>
      </c>
      <c r="E596" s="12" t="s">
        <v>27</v>
      </c>
      <c r="F596" s="13">
        <v>755.54649606986902</v>
      </c>
      <c r="G596" s="14">
        <v>32235.581293192681</v>
      </c>
      <c r="H596" s="24" t="str">
        <f t="shared" si="87"/>
        <v>RJSP</v>
      </c>
      <c r="I596" s="24" t="str">
        <f t="shared" si="86"/>
        <v>RJMG</v>
      </c>
      <c r="J596" s="24" t="str">
        <f t="shared" si="86"/>
        <v>RJES</v>
      </c>
      <c r="K596" s="24" t="str">
        <f t="shared" si="86"/>
        <v>RJSC</v>
      </c>
      <c r="L596" s="24" t="str">
        <f t="shared" si="86"/>
        <v>RJRJ</v>
      </c>
      <c r="M596" s="24" t="str">
        <f t="shared" si="86"/>
        <v>RJPR</v>
      </c>
      <c r="N596" s="24" t="str">
        <f t="shared" si="86"/>
        <v>RJAM</v>
      </c>
      <c r="O596" s="24">
        <f>VLOOKUP(H596, KM!$A:$E, 5, 0)</f>
        <v>429</v>
      </c>
      <c r="P596" s="24">
        <f>VLOOKUP(I596, KM!$A:$E, 5, 0)</f>
        <v>434</v>
      </c>
      <c r="Q596" s="24">
        <f>VLOOKUP(J596, KM!$A:$E, 5, 0)</f>
        <v>521</v>
      </c>
      <c r="R596" s="24">
        <f>VLOOKUP(K596, KM!$A:$E, 5, 0)</f>
        <v>1144</v>
      </c>
      <c r="S596" s="24">
        <f>VLOOKUP(L596, KM!$A:$E, 5, 0)</f>
        <v>0</v>
      </c>
      <c r="T596" s="24">
        <f>VLOOKUP(M596, KM!$A:$E, 5, 0)</f>
        <v>852</v>
      </c>
      <c r="U596" s="24">
        <f>VLOOKUP(N596, KM!$A:$E, 5, 0)</f>
        <v>4374</v>
      </c>
      <c r="V596" s="24">
        <f>VLOOKUP(H596, IMPOSTO!$A:$D, 4, 0)</f>
        <v>0.12</v>
      </c>
      <c r="W596" s="24">
        <f>VLOOKUP(I596, IMPOSTO!$A:$D, 4, 0)</f>
        <v>0.12</v>
      </c>
      <c r="X596" s="24">
        <f>VLOOKUP(J596, IMPOSTO!$A:$D, 4, 0)</f>
        <v>7.0000000000000007E-2</v>
      </c>
      <c r="Y596" s="24">
        <f>VLOOKUP(K596, IMPOSTO!$A:$D, 4, 0)</f>
        <v>0.12</v>
      </c>
      <c r="Z596" s="24">
        <f>VLOOKUP(L596, IMPOSTO!$A:$D, 4, 0)</f>
        <v>0.18</v>
      </c>
      <c r="AA596" s="24">
        <f>VLOOKUP(M596, IMPOSTO!$A:$D, 4, 0)</f>
        <v>0.12</v>
      </c>
      <c r="AB596" s="24">
        <f>VLOOKUP(N596, IMPOSTO!$A:$D, 4, 0)</f>
        <v>7.0000000000000007E-2</v>
      </c>
      <c r="AC596" s="25">
        <f t="shared" si="88"/>
        <v>36680.092378628047</v>
      </c>
      <c r="AD596" s="25">
        <f t="shared" si="89"/>
        <v>36680.660560446231</v>
      </c>
      <c r="AE596" s="25">
        <f t="shared" si="90"/>
        <v>34717.93687440073</v>
      </c>
      <c r="AF596" s="25">
        <f t="shared" si="91"/>
        <v>36761.342378628047</v>
      </c>
      <c r="AG596" s="25">
        <f t="shared" si="92"/>
        <v>39311.684503893513</v>
      </c>
      <c r="AH596" s="25">
        <f t="shared" si="93"/>
        <v>36728.160560446231</v>
      </c>
      <c r="AI596" s="25">
        <f t="shared" si="94"/>
        <v>35132.23794966955</v>
      </c>
    </row>
    <row r="597" spans="1:35" ht="15.75" customHeight="1">
      <c r="A597" s="12" t="s">
        <v>186</v>
      </c>
      <c r="B597" s="12" t="s">
        <v>187</v>
      </c>
      <c r="C597" s="12" t="s">
        <v>181</v>
      </c>
      <c r="D597" s="12" t="s">
        <v>33</v>
      </c>
      <c r="E597" s="12" t="s">
        <v>27</v>
      </c>
      <c r="F597" s="13">
        <v>103.65729366812226</v>
      </c>
      <c r="G597" s="14">
        <v>4434.1365337641919</v>
      </c>
      <c r="H597" s="24" t="str">
        <f t="shared" si="87"/>
        <v>RJSP</v>
      </c>
      <c r="I597" s="24" t="str">
        <f t="shared" si="86"/>
        <v>RJMG</v>
      </c>
      <c r="J597" s="24" t="str">
        <f t="shared" si="86"/>
        <v>RJES</v>
      </c>
      <c r="K597" s="24" t="str">
        <f t="shared" si="86"/>
        <v>RJSC</v>
      </c>
      <c r="L597" s="24" t="str">
        <f t="shared" si="86"/>
        <v>RJRJ</v>
      </c>
      <c r="M597" s="24" t="str">
        <f t="shared" si="86"/>
        <v>RJPR</v>
      </c>
      <c r="N597" s="24" t="str">
        <f t="shared" si="86"/>
        <v>RJAM</v>
      </c>
      <c r="O597" s="24">
        <f>VLOOKUP(H597, KM!$A:$E, 5, 0)</f>
        <v>429</v>
      </c>
      <c r="P597" s="24">
        <f>VLOOKUP(I597, KM!$A:$E, 5, 0)</f>
        <v>434</v>
      </c>
      <c r="Q597" s="24">
        <f>VLOOKUP(J597, KM!$A:$E, 5, 0)</f>
        <v>521</v>
      </c>
      <c r="R597" s="24">
        <f>VLOOKUP(K597, KM!$A:$E, 5, 0)</f>
        <v>1144</v>
      </c>
      <c r="S597" s="24">
        <f>VLOOKUP(L597, KM!$A:$E, 5, 0)</f>
        <v>0</v>
      </c>
      <c r="T597" s="24">
        <f>VLOOKUP(M597, KM!$A:$E, 5, 0)</f>
        <v>852</v>
      </c>
      <c r="U597" s="24">
        <f>VLOOKUP(N597, KM!$A:$E, 5, 0)</f>
        <v>4374</v>
      </c>
      <c r="V597" s="24">
        <f>VLOOKUP(H597, IMPOSTO!$A:$D, 4, 0)</f>
        <v>0.12</v>
      </c>
      <c r="W597" s="24">
        <f>VLOOKUP(I597, IMPOSTO!$A:$D, 4, 0)</f>
        <v>0.12</v>
      </c>
      <c r="X597" s="24">
        <f>VLOOKUP(J597, IMPOSTO!$A:$D, 4, 0)</f>
        <v>7.0000000000000007E-2</v>
      </c>
      <c r="Y597" s="24">
        <f>VLOOKUP(K597, IMPOSTO!$A:$D, 4, 0)</f>
        <v>0.12</v>
      </c>
      <c r="Z597" s="24">
        <f>VLOOKUP(L597, IMPOSTO!$A:$D, 4, 0)</f>
        <v>0.18</v>
      </c>
      <c r="AA597" s="24">
        <f>VLOOKUP(M597, IMPOSTO!$A:$D, 4, 0)</f>
        <v>0.12</v>
      </c>
      <c r="AB597" s="24">
        <f>VLOOKUP(N597, IMPOSTO!$A:$D, 4, 0)</f>
        <v>7.0000000000000007E-2</v>
      </c>
      <c r="AC597" s="25">
        <f t="shared" si="88"/>
        <v>5087.5415156411264</v>
      </c>
      <c r="AD597" s="25">
        <f t="shared" si="89"/>
        <v>5088.1096974593083</v>
      </c>
      <c r="AE597" s="25">
        <f t="shared" si="90"/>
        <v>4823.9102513593471</v>
      </c>
      <c r="AF597" s="25">
        <f t="shared" si="91"/>
        <v>5168.7915156411264</v>
      </c>
      <c r="AG597" s="25">
        <f t="shared" si="92"/>
        <v>5407.4835777612088</v>
      </c>
      <c r="AH597" s="25">
        <f t="shared" si="93"/>
        <v>5135.6096974593083</v>
      </c>
      <c r="AI597" s="25">
        <f t="shared" si="94"/>
        <v>5238.2113266281631</v>
      </c>
    </row>
    <row r="598" spans="1:35" ht="15.75" customHeight="1">
      <c r="A598" s="12" t="s">
        <v>580</v>
      </c>
      <c r="B598" s="12" t="s">
        <v>581</v>
      </c>
      <c r="C598" s="12" t="s">
        <v>135</v>
      </c>
      <c r="D598" s="12" t="s">
        <v>33</v>
      </c>
      <c r="E598" s="12" t="s">
        <v>27</v>
      </c>
      <c r="F598" s="13">
        <v>13197.999999999989</v>
      </c>
      <c r="G598" s="14">
        <v>264631.27689001081</v>
      </c>
      <c r="H598" s="24" t="str">
        <f t="shared" si="87"/>
        <v>RJSP</v>
      </c>
      <c r="I598" s="24" t="str">
        <f t="shared" si="86"/>
        <v>RJMG</v>
      </c>
      <c r="J598" s="24" t="str">
        <f t="shared" si="86"/>
        <v>RJES</v>
      </c>
      <c r="K598" s="24" t="str">
        <f t="shared" si="86"/>
        <v>RJSC</v>
      </c>
      <c r="L598" s="24" t="str">
        <f t="shared" si="86"/>
        <v>RJRJ</v>
      </c>
      <c r="M598" s="24" t="str">
        <f t="shared" si="86"/>
        <v>RJPR</v>
      </c>
      <c r="N598" s="24" t="str">
        <f t="shared" si="86"/>
        <v>RJAM</v>
      </c>
      <c r="O598" s="24">
        <f>VLOOKUP(H598, KM!$A:$E, 5, 0)</f>
        <v>429</v>
      </c>
      <c r="P598" s="24">
        <f>VLOOKUP(I598, KM!$A:$E, 5, 0)</f>
        <v>434</v>
      </c>
      <c r="Q598" s="24">
        <f>VLOOKUP(J598, KM!$A:$E, 5, 0)</f>
        <v>521</v>
      </c>
      <c r="R598" s="24">
        <f>VLOOKUP(K598, KM!$A:$E, 5, 0)</f>
        <v>1144</v>
      </c>
      <c r="S598" s="24">
        <f>VLOOKUP(L598, KM!$A:$E, 5, 0)</f>
        <v>0</v>
      </c>
      <c r="T598" s="24">
        <f>VLOOKUP(M598, KM!$A:$E, 5, 0)</f>
        <v>852</v>
      </c>
      <c r="U598" s="24">
        <f>VLOOKUP(N598, KM!$A:$E, 5, 0)</f>
        <v>4374</v>
      </c>
      <c r="V598" s="24">
        <f>VLOOKUP(H598, IMPOSTO!$A:$D, 4, 0)</f>
        <v>0.12</v>
      </c>
      <c r="W598" s="24">
        <f>VLOOKUP(I598, IMPOSTO!$A:$D, 4, 0)</f>
        <v>0.12</v>
      </c>
      <c r="X598" s="24">
        <f>VLOOKUP(J598, IMPOSTO!$A:$D, 4, 0)</f>
        <v>7.0000000000000007E-2</v>
      </c>
      <c r="Y598" s="24">
        <f>VLOOKUP(K598, IMPOSTO!$A:$D, 4, 0)</f>
        <v>0.12</v>
      </c>
      <c r="Z598" s="24">
        <f>VLOOKUP(L598, IMPOSTO!$A:$D, 4, 0)</f>
        <v>0.18</v>
      </c>
      <c r="AA598" s="24">
        <f>VLOOKUP(M598, IMPOSTO!$A:$D, 4, 0)</f>
        <v>0.12</v>
      </c>
      <c r="AB598" s="24">
        <f>VLOOKUP(N598, IMPOSTO!$A:$D, 4, 0)</f>
        <v>7.0000000000000007E-2</v>
      </c>
      <c r="AC598" s="25">
        <f t="shared" si="88"/>
        <v>300766.11010228505</v>
      </c>
      <c r="AD598" s="25">
        <f t="shared" si="89"/>
        <v>300766.67828410323</v>
      </c>
      <c r="AE598" s="25">
        <f t="shared" si="90"/>
        <v>284605.78160216217</v>
      </c>
      <c r="AF598" s="25">
        <f t="shared" si="91"/>
        <v>300847.36010228505</v>
      </c>
      <c r="AG598" s="25">
        <f t="shared" si="92"/>
        <v>322721.06937806192</v>
      </c>
      <c r="AH598" s="25">
        <f t="shared" si="93"/>
        <v>300814.17828410323</v>
      </c>
      <c r="AI598" s="25">
        <f t="shared" si="94"/>
        <v>285020.082677431</v>
      </c>
    </row>
    <row r="599" spans="1:35" ht="15.75" customHeight="1">
      <c r="A599" s="12" t="s">
        <v>417</v>
      </c>
      <c r="B599" s="12" t="s">
        <v>418</v>
      </c>
      <c r="C599" s="12" t="s">
        <v>192</v>
      </c>
      <c r="D599" s="12" t="s">
        <v>33</v>
      </c>
      <c r="E599" s="12" t="s">
        <v>27</v>
      </c>
      <c r="F599" s="13">
        <v>58.520970905763946</v>
      </c>
      <c r="G599" s="14">
        <v>557.10519340042697</v>
      </c>
      <c r="H599" s="24" t="str">
        <f t="shared" si="87"/>
        <v>RJSP</v>
      </c>
      <c r="I599" s="24" t="str">
        <f t="shared" si="86"/>
        <v>RJMG</v>
      </c>
      <c r="J599" s="24" t="str">
        <f t="shared" si="86"/>
        <v>RJES</v>
      </c>
      <c r="K599" s="24" t="str">
        <f t="shared" si="86"/>
        <v>RJSC</v>
      </c>
      <c r="L599" s="24" t="str">
        <f t="shared" si="86"/>
        <v>RJRJ</v>
      </c>
      <c r="M599" s="24" t="str">
        <f t="shared" si="86"/>
        <v>RJPR</v>
      </c>
      <c r="N599" s="24" t="str">
        <f t="shared" si="86"/>
        <v>RJAM</v>
      </c>
      <c r="O599" s="24">
        <f>VLOOKUP(H599, KM!$A:$E, 5, 0)</f>
        <v>429</v>
      </c>
      <c r="P599" s="24">
        <f>VLOOKUP(I599, KM!$A:$E, 5, 0)</f>
        <v>434</v>
      </c>
      <c r="Q599" s="24">
        <f>VLOOKUP(J599, KM!$A:$E, 5, 0)</f>
        <v>521</v>
      </c>
      <c r="R599" s="24">
        <f>VLOOKUP(K599, KM!$A:$E, 5, 0)</f>
        <v>1144</v>
      </c>
      <c r="S599" s="24">
        <f>VLOOKUP(L599, KM!$A:$E, 5, 0)</f>
        <v>0</v>
      </c>
      <c r="T599" s="24">
        <f>VLOOKUP(M599, KM!$A:$E, 5, 0)</f>
        <v>852</v>
      </c>
      <c r="U599" s="24">
        <f>VLOOKUP(N599, KM!$A:$E, 5, 0)</f>
        <v>4374</v>
      </c>
      <c r="V599" s="24">
        <f>VLOOKUP(H599, IMPOSTO!$A:$D, 4, 0)</f>
        <v>0.12</v>
      </c>
      <c r="W599" s="24">
        <f>VLOOKUP(I599, IMPOSTO!$A:$D, 4, 0)</f>
        <v>0.12</v>
      </c>
      <c r="X599" s="24">
        <f>VLOOKUP(J599, IMPOSTO!$A:$D, 4, 0)</f>
        <v>7.0000000000000007E-2</v>
      </c>
      <c r="Y599" s="24">
        <f>VLOOKUP(K599, IMPOSTO!$A:$D, 4, 0)</f>
        <v>0.12</v>
      </c>
      <c r="Z599" s="24">
        <f>VLOOKUP(L599, IMPOSTO!$A:$D, 4, 0)</f>
        <v>0.18</v>
      </c>
      <c r="AA599" s="24">
        <f>VLOOKUP(M599, IMPOSTO!$A:$D, 4, 0)</f>
        <v>0.12</v>
      </c>
      <c r="AB599" s="24">
        <f>VLOOKUP(N599, IMPOSTO!$A:$D, 4, 0)</f>
        <v>7.0000000000000007E-2</v>
      </c>
      <c r="AC599" s="25">
        <f t="shared" si="88"/>
        <v>681.82408340957602</v>
      </c>
      <c r="AD599" s="25">
        <f t="shared" si="89"/>
        <v>682.39226522775789</v>
      </c>
      <c r="AE599" s="25">
        <f t="shared" si="90"/>
        <v>655.05934774239461</v>
      </c>
      <c r="AF599" s="25">
        <f t="shared" si="91"/>
        <v>763.07408340957602</v>
      </c>
      <c r="AG599" s="25">
        <f t="shared" si="92"/>
        <v>679.39657731759382</v>
      </c>
      <c r="AH599" s="25">
        <f t="shared" si="93"/>
        <v>729.892265227758</v>
      </c>
      <c r="AI599" s="25">
        <f t="shared" si="94"/>
        <v>1069.3604230112119</v>
      </c>
    </row>
    <row r="600" spans="1:35" ht="15.75" customHeight="1">
      <c r="A600" s="12" t="s">
        <v>582</v>
      </c>
      <c r="B600" s="12" t="s">
        <v>583</v>
      </c>
      <c r="C600" s="12" t="s">
        <v>181</v>
      </c>
      <c r="D600" s="12" t="s">
        <v>33</v>
      </c>
      <c r="E600" s="12" t="s">
        <v>27</v>
      </c>
      <c r="F600" s="13">
        <v>712.02319999999986</v>
      </c>
      <c r="G600" s="14">
        <v>9654.1351942736856</v>
      </c>
      <c r="H600" s="24" t="str">
        <f t="shared" si="87"/>
        <v>RJSP</v>
      </c>
      <c r="I600" s="24" t="str">
        <f t="shared" si="86"/>
        <v>RJMG</v>
      </c>
      <c r="J600" s="24" t="str">
        <f t="shared" si="86"/>
        <v>RJES</v>
      </c>
      <c r="K600" s="24" t="str">
        <f t="shared" si="86"/>
        <v>RJSC</v>
      </c>
      <c r="L600" s="24" t="str">
        <f t="shared" si="86"/>
        <v>RJRJ</v>
      </c>
      <c r="M600" s="24" t="str">
        <f t="shared" si="86"/>
        <v>RJPR</v>
      </c>
      <c r="N600" s="24" t="str">
        <f t="shared" si="86"/>
        <v>RJAM</v>
      </c>
      <c r="O600" s="24">
        <f>VLOOKUP(H600, KM!$A:$E, 5, 0)</f>
        <v>429</v>
      </c>
      <c r="P600" s="24">
        <f>VLOOKUP(I600, KM!$A:$E, 5, 0)</f>
        <v>434</v>
      </c>
      <c r="Q600" s="24">
        <f>VLOOKUP(J600, KM!$A:$E, 5, 0)</f>
        <v>521</v>
      </c>
      <c r="R600" s="24">
        <f>VLOOKUP(K600, KM!$A:$E, 5, 0)</f>
        <v>1144</v>
      </c>
      <c r="S600" s="24">
        <f>VLOOKUP(L600, KM!$A:$E, 5, 0)</f>
        <v>0</v>
      </c>
      <c r="T600" s="24">
        <f>VLOOKUP(M600, KM!$A:$E, 5, 0)</f>
        <v>852</v>
      </c>
      <c r="U600" s="24">
        <f>VLOOKUP(N600, KM!$A:$E, 5, 0)</f>
        <v>4374</v>
      </c>
      <c r="V600" s="24">
        <f>VLOOKUP(H600, IMPOSTO!$A:$D, 4, 0)</f>
        <v>0.12</v>
      </c>
      <c r="W600" s="24">
        <f>VLOOKUP(I600, IMPOSTO!$A:$D, 4, 0)</f>
        <v>0.12</v>
      </c>
      <c r="X600" s="24">
        <f>VLOOKUP(J600, IMPOSTO!$A:$D, 4, 0)</f>
        <v>7.0000000000000007E-2</v>
      </c>
      <c r="Y600" s="24">
        <f>VLOOKUP(K600, IMPOSTO!$A:$D, 4, 0)</f>
        <v>0.12</v>
      </c>
      <c r="Z600" s="24">
        <f>VLOOKUP(L600, IMPOSTO!$A:$D, 4, 0)</f>
        <v>0.18</v>
      </c>
      <c r="AA600" s="24">
        <f>VLOOKUP(M600, IMPOSTO!$A:$D, 4, 0)</f>
        <v>0.12</v>
      </c>
      <c r="AB600" s="24">
        <f>VLOOKUP(N600, IMPOSTO!$A:$D, 4, 0)</f>
        <v>7.0000000000000007E-2</v>
      </c>
      <c r="AC600" s="25">
        <f t="shared" si="88"/>
        <v>11019.358175311007</v>
      </c>
      <c r="AD600" s="25">
        <f t="shared" si="89"/>
        <v>11019.926357129189</v>
      </c>
      <c r="AE600" s="25">
        <f t="shared" si="90"/>
        <v>10436.812036853426</v>
      </c>
      <c r="AF600" s="25">
        <f t="shared" si="91"/>
        <v>11100.608175311007</v>
      </c>
      <c r="AG600" s="25">
        <f t="shared" si="92"/>
        <v>11773.335602772786</v>
      </c>
      <c r="AH600" s="25">
        <f t="shared" si="93"/>
        <v>11067.426357129189</v>
      </c>
      <c r="AI600" s="25">
        <f t="shared" si="94"/>
        <v>10851.113112122242</v>
      </c>
    </row>
    <row r="601" spans="1:35" ht="15.75" customHeight="1">
      <c r="A601" s="12" t="s">
        <v>584</v>
      </c>
      <c r="B601" s="12" t="s">
        <v>585</v>
      </c>
      <c r="C601" s="12" t="s">
        <v>163</v>
      </c>
      <c r="D601" s="12" t="s">
        <v>33</v>
      </c>
      <c r="E601" s="12" t="s">
        <v>27</v>
      </c>
      <c r="F601" s="13">
        <v>11</v>
      </c>
      <c r="G601" s="14">
        <v>205.33333333333331</v>
      </c>
      <c r="H601" s="24" t="str">
        <f t="shared" si="87"/>
        <v>RJSP</v>
      </c>
      <c r="I601" s="24" t="str">
        <f t="shared" si="86"/>
        <v>RJMG</v>
      </c>
      <c r="J601" s="24" t="str">
        <f t="shared" si="86"/>
        <v>RJES</v>
      </c>
      <c r="K601" s="24" t="str">
        <f t="shared" si="86"/>
        <v>RJSC</v>
      </c>
      <c r="L601" s="24" t="str">
        <f t="shared" si="86"/>
        <v>RJRJ</v>
      </c>
      <c r="M601" s="24" t="str">
        <f t="shared" si="86"/>
        <v>RJPR</v>
      </c>
      <c r="N601" s="24" t="str">
        <f t="shared" si="86"/>
        <v>RJAM</v>
      </c>
      <c r="O601" s="24">
        <f>VLOOKUP(H601, KM!$A:$E, 5, 0)</f>
        <v>429</v>
      </c>
      <c r="P601" s="24">
        <f>VLOOKUP(I601, KM!$A:$E, 5, 0)</f>
        <v>434</v>
      </c>
      <c r="Q601" s="24">
        <f>VLOOKUP(J601, KM!$A:$E, 5, 0)</f>
        <v>521</v>
      </c>
      <c r="R601" s="24">
        <f>VLOOKUP(K601, KM!$A:$E, 5, 0)</f>
        <v>1144</v>
      </c>
      <c r="S601" s="24">
        <f>VLOOKUP(L601, KM!$A:$E, 5, 0)</f>
        <v>0</v>
      </c>
      <c r="T601" s="24">
        <f>VLOOKUP(M601, KM!$A:$E, 5, 0)</f>
        <v>852</v>
      </c>
      <c r="U601" s="24">
        <f>VLOOKUP(N601, KM!$A:$E, 5, 0)</f>
        <v>4374</v>
      </c>
      <c r="V601" s="24">
        <f>VLOOKUP(H601, IMPOSTO!$A:$D, 4, 0)</f>
        <v>0.12</v>
      </c>
      <c r="W601" s="24">
        <f>VLOOKUP(I601, IMPOSTO!$A:$D, 4, 0)</f>
        <v>0.12</v>
      </c>
      <c r="X601" s="24">
        <f>VLOOKUP(J601, IMPOSTO!$A:$D, 4, 0)</f>
        <v>7.0000000000000007E-2</v>
      </c>
      <c r="Y601" s="24">
        <f>VLOOKUP(K601, IMPOSTO!$A:$D, 4, 0)</f>
        <v>0.12</v>
      </c>
      <c r="Z601" s="24">
        <f>VLOOKUP(L601, IMPOSTO!$A:$D, 4, 0)</f>
        <v>0.18</v>
      </c>
      <c r="AA601" s="24">
        <f>VLOOKUP(M601, IMPOSTO!$A:$D, 4, 0)</f>
        <v>0.12</v>
      </c>
      <c r="AB601" s="24">
        <f>VLOOKUP(N601, IMPOSTO!$A:$D, 4, 0)</f>
        <v>7.0000000000000007E-2</v>
      </c>
      <c r="AC601" s="25">
        <f t="shared" si="88"/>
        <v>282.08333333333331</v>
      </c>
      <c r="AD601" s="25">
        <f t="shared" si="89"/>
        <v>282.65151515151513</v>
      </c>
      <c r="AE601" s="25">
        <f t="shared" si="90"/>
        <v>276.81003584229393</v>
      </c>
      <c r="AF601" s="25">
        <f t="shared" si="91"/>
        <v>363.33333333333337</v>
      </c>
      <c r="AG601" s="25">
        <f t="shared" si="92"/>
        <v>250.40650406504062</v>
      </c>
      <c r="AH601" s="25">
        <f t="shared" si="93"/>
        <v>330.15151515151513</v>
      </c>
      <c r="AI601" s="25">
        <f t="shared" si="94"/>
        <v>691.1111111111112</v>
      </c>
    </row>
    <row r="602" spans="1:35" ht="15.75" customHeight="1">
      <c r="A602" s="12" t="s">
        <v>560</v>
      </c>
      <c r="B602" s="12" t="s">
        <v>561</v>
      </c>
      <c r="C602" s="12" t="s">
        <v>192</v>
      </c>
      <c r="D602" s="12" t="s">
        <v>33</v>
      </c>
      <c r="E602" s="12" t="s">
        <v>27</v>
      </c>
      <c r="F602" s="13">
        <v>9.8739396226415099</v>
      </c>
      <c r="G602" s="14">
        <v>717.71692329056611</v>
      </c>
      <c r="H602" s="24" t="str">
        <f t="shared" si="87"/>
        <v>RJSP</v>
      </c>
      <c r="I602" s="24" t="str">
        <f t="shared" si="86"/>
        <v>RJMG</v>
      </c>
      <c r="J602" s="24" t="str">
        <f t="shared" si="86"/>
        <v>RJES</v>
      </c>
      <c r="K602" s="24" t="str">
        <f t="shared" si="86"/>
        <v>RJSC</v>
      </c>
      <c r="L602" s="24" t="str">
        <f t="shared" si="86"/>
        <v>RJRJ</v>
      </c>
      <c r="M602" s="24" t="str">
        <f t="shared" si="86"/>
        <v>RJPR</v>
      </c>
      <c r="N602" s="24" t="str">
        <f t="shared" si="86"/>
        <v>RJAM</v>
      </c>
      <c r="O602" s="24">
        <f>VLOOKUP(H602, KM!$A:$E, 5, 0)</f>
        <v>429</v>
      </c>
      <c r="P602" s="24">
        <f>VLOOKUP(I602, KM!$A:$E, 5, 0)</f>
        <v>434</v>
      </c>
      <c r="Q602" s="24">
        <f>VLOOKUP(J602, KM!$A:$E, 5, 0)</f>
        <v>521</v>
      </c>
      <c r="R602" s="24">
        <f>VLOOKUP(K602, KM!$A:$E, 5, 0)</f>
        <v>1144</v>
      </c>
      <c r="S602" s="24">
        <f>VLOOKUP(L602, KM!$A:$E, 5, 0)</f>
        <v>0</v>
      </c>
      <c r="T602" s="24">
        <f>VLOOKUP(M602, KM!$A:$E, 5, 0)</f>
        <v>852</v>
      </c>
      <c r="U602" s="24">
        <f>VLOOKUP(N602, KM!$A:$E, 5, 0)</f>
        <v>4374</v>
      </c>
      <c r="V602" s="24">
        <f>VLOOKUP(H602, IMPOSTO!$A:$D, 4, 0)</f>
        <v>0.12</v>
      </c>
      <c r="W602" s="24">
        <f>VLOOKUP(I602, IMPOSTO!$A:$D, 4, 0)</f>
        <v>0.12</v>
      </c>
      <c r="X602" s="24">
        <f>VLOOKUP(J602, IMPOSTO!$A:$D, 4, 0)</f>
        <v>7.0000000000000007E-2</v>
      </c>
      <c r="Y602" s="24">
        <f>VLOOKUP(K602, IMPOSTO!$A:$D, 4, 0)</f>
        <v>0.12</v>
      </c>
      <c r="Z602" s="24">
        <f>VLOOKUP(L602, IMPOSTO!$A:$D, 4, 0)</f>
        <v>0.18</v>
      </c>
      <c r="AA602" s="24">
        <f>VLOOKUP(M602, IMPOSTO!$A:$D, 4, 0)</f>
        <v>0.12</v>
      </c>
      <c r="AB602" s="24">
        <f>VLOOKUP(N602, IMPOSTO!$A:$D, 4, 0)</f>
        <v>7.0000000000000007E-2</v>
      </c>
      <c r="AC602" s="25">
        <f t="shared" si="88"/>
        <v>864.33741283018878</v>
      </c>
      <c r="AD602" s="25">
        <f t="shared" si="89"/>
        <v>864.90559464837054</v>
      </c>
      <c r="AE602" s="25">
        <f t="shared" si="90"/>
        <v>827.76013257050124</v>
      </c>
      <c r="AF602" s="25">
        <f t="shared" si="91"/>
        <v>945.58741283018878</v>
      </c>
      <c r="AG602" s="25">
        <f t="shared" si="92"/>
        <v>875.2645405982513</v>
      </c>
      <c r="AH602" s="25">
        <f t="shared" si="93"/>
        <v>912.40559464837065</v>
      </c>
      <c r="AI602" s="25">
        <f t="shared" si="94"/>
        <v>1242.0612078393185</v>
      </c>
    </row>
    <row r="603" spans="1:35" ht="15.75" customHeight="1">
      <c r="A603" s="12" t="s">
        <v>586</v>
      </c>
      <c r="B603" s="12" t="s">
        <v>587</v>
      </c>
      <c r="C603" s="12" t="s">
        <v>220</v>
      </c>
      <c r="D603" s="12" t="s">
        <v>33</v>
      </c>
      <c r="E603" s="12" t="s">
        <v>27</v>
      </c>
      <c r="F603" s="13">
        <v>4950.0601999999981</v>
      </c>
      <c r="G603" s="14">
        <v>57058.164604171157</v>
      </c>
      <c r="H603" s="24" t="str">
        <f t="shared" si="87"/>
        <v>RJSP</v>
      </c>
      <c r="I603" s="24" t="str">
        <f t="shared" si="86"/>
        <v>RJMG</v>
      </c>
      <c r="J603" s="24" t="str">
        <f t="shared" si="86"/>
        <v>RJES</v>
      </c>
      <c r="K603" s="24" t="str">
        <f t="shared" si="86"/>
        <v>RJSC</v>
      </c>
      <c r="L603" s="24" t="str">
        <f t="shared" si="86"/>
        <v>RJRJ</v>
      </c>
      <c r="M603" s="24" t="str">
        <f t="shared" si="86"/>
        <v>RJPR</v>
      </c>
      <c r="N603" s="24" t="str">
        <f t="shared" si="86"/>
        <v>RJAM</v>
      </c>
      <c r="O603" s="24">
        <f>VLOOKUP(H603, KM!$A:$E, 5, 0)</f>
        <v>429</v>
      </c>
      <c r="P603" s="24">
        <f>VLOOKUP(I603, KM!$A:$E, 5, 0)</f>
        <v>434</v>
      </c>
      <c r="Q603" s="24">
        <f>VLOOKUP(J603, KM!$A:$E, 5, 0)</f>
        <v>521</v>
      </c>
      <c r="R603" s="24">
        <f>VLOOKUP(K603, KM!$A:$E, 5, 0)</f>
        <v>1144</v>
      </c>
      <c r="S603" s="24">
        <f>VLOOKUP(L603, KM!$A:$E, 5, 0)</f>
        <v>0</v>
      </c>
      <c r="T603" s="24">
        <f>VLOOKUP(M603, KM!$A:$E, 5, 0)</f>
        <v>852</v>
      </c>
      <c r="U603" s="24">
        <f>VLOOKUP(N603, KM!$A:$E, 5, 0)</f>
        <v>4374</v>
      </c>
      <c r="V603" s="24">
        <f>VLOOKUP(H603, IMPOSTO!$A:$D, 4, 0)</f>
        <v>0.12</v>
      </c>
      <c r="W603" s="24">
        <f>VLOOKUP(I603, IMPOSTO!$A:$D, 4, 0)</f>
        <v>0.12</v>
      </c>
      <c r="X603" s="24">
        <f>VLOOKUP(J603, IMPOSTO!$A:$D, 4, 0)</f>
        <v>7.0000000000000007E-2</v>
      </c>
      <c r="Y603" s="24">
        <f>VLOOKUP(K603, IMPOSTO!$A:$D, 4, 0)</f>
        <v>0.12</v>
      </c>
      <c r="Z603" s="24">
        <f>VLOOKUP(L603, IMPOSTO!$A:$D, 4, 0)</f>
        <v>0.18</v>
      </c>
      <c r="AA603" s="24">
        <f>VLOOKUP(M603, IMPOSTO!$A:$D, 4, 0)</f>
        <v>0.12</v>
      </c>
      <c r="AB603" s="24">
        <f>VLOOKUP(N603, IMPOSTO!$A:$D, 4, 0)</f>
        <v>7.0000000000000007E-2</v>
      </c>
      <c r="AC603" s="25">
        <f t="shared" si="88"/>
        <v>64887.573413830862</v>
      </c>
      <c r="AD603" s="25">
        <f t="shared" si="89"/>
        <v>64888.141595649045</v>
      </c>
      <c r="AE603" s="25">
        <f t="shared" si="90"/>
        <v>61408.886671151784</v>
      </c>
      <c r="AF603" s="25">
        <f t="shared" si="91"/>
        <v>64968.823413830862</v>
      </c>
      <c r="AG603" s="25">
        <f t="shared" si="92"/>
        <v>69583.12756606238</v>
      </c>
      <c r="AH603" s="25">
        <f t="shared" si="93"/>
        <v>64935.641595649038</v>
      </c>
      <c r="AI603" s="25">
        <f t="shared" si="94"/>
        <v>61823.187746420605</v>
      </c>
    </row>
    <row r="604" spans="1:35" ht="15.75" customHeight="1">
      <c r="A604" s="12" t="s">
        <v>459</v>
      </c>
      <c r="B604" s="12" t="s">
        <v>460</v>
      </c>
      <c r="C604" s="12" t="s">
        <v>192</v>
      </c>
      <c r="D604" s="12" t="s">
        <v>50</v>
      </c>
      <c r="E604" s="12" t="s">
        <v>27</v>
      </c>
      <c r="F604" s="13">
        <v>382.43336800947861</v>
      </c>
      <c r="G604" s="14">
        <v>1333.8212032748818</v>
      </c>
      <c r="H604" s="24" t="str">
        <f t="shared" si="87"/>
        <v>RJSP</v>
      </c>
      <c r="I604" s="24" t="str">
        <f t="shared" si="86"/>
        <v>RJMG</v>
      </c>
      <c r="J604" s="24" t="str">
        <f t="shared" si="86"/>
        <v>RJES</v>
      </c>
      <c r="K604" s="24" t="str">
        <f t="shared" si="86"/>
        <v>RJSC</v>
      </c>
      <c r="L604" s="24" t="str">
        <f t="shared" si="86"/>
        <v>RJRJ</v>
      </c>
      <c r="M604" s="24" t="str">
        <f t="shared" si="86"/>
        <v>RJPR</v>
      </c>
      <c r="N604" s="24" t="str">
        <f t="shared" si="86"/>
        <v>RJAM</v>
      </c>
      <c r="O604" s="24">
        <f>VLOOKUP(H604, KM!$A:$E, 5, 0)</f>
        <v>429</v>
      </c>
      <c r="P604" s="24">
        <f>VLOOKUP(I604, KM!$A:$E, 5, 0)</f>
        <v>434</v>
      </c>
      <c r="Q604" s="24">
        <f>VLOOKUP(J604, KM!$A:$E, 5, 0)</f>
        <v>521</v>
      </c>
      <c r="R604" s="24">
        <f>VLOOKUP(K604, KM!$A:$E, 5, 0)</f>
        <v>1144</v>
      </c>
      <c r="S604" s="24">
        <f>VLOOKUP(L604, KM!$A:$E, 5, 0)</f>
        <v>0</v>
      </c>
      <c r="T604" s="24">
        <f>VLOOKUP(M604, KM!$A:$E, 5, 0)</f>
        <v>852</v>
      </c>
      <c r="U604" s="24">
        <f>VLOOKUP(N604, KM!$A:$E, 5, 0)</f>
        <v>4374</v>
      </c>
      <c r="V604" s="24">
        <f>VLOOKUP(H604, IMPOSTO!$A:$D, 4, 0)</f>
        <v>0.12</v>
      </c>
      <c r="W604" s="24">
        <f>VLOOKUP(I604, IMPOSTO!$A:$D, 4, 0)</f>
        <v>0.12</v>
      </c>
      <c r="X604" s="24">
        <f>VLOOKUP(J604, IMPOSTO!$A:$D, 4, 0)</f>
        <v>7.0000000000000007E-2</v>
      </c>
      <c r="Y604" s="24">
        <f>VLOOKUP(K604, IMPOSTO!$A:$D, 4, 0)</f>
        <v>0.12</v>
      </c>
      <c r="Z604" s="24">
        <f>VLOOKUP(L604, IMPOSTO!$A:$D, 4, 0)</f>
        <v>0.18</v>
      </c>
      <c r="AA604" s="24">
        <f>VLOOKUP(M604, IMPOSTO!$A:$D, 4, 0)</f>
        <v>0.12</v>
      </c>
      <c r="AB604" s="24">
        <f>VLOOKUP(N604, IMPOSTO!$A:$D, 4, 0)</f>
        <v>7.0000000000000007E-2</v>
      </c>
      <c r="AC604" s="25">
        <f t="shared" si="88"/>
        <v>1564.4559128123658</v>
      </c>
      <c r="AD604" s="25">
        <f t="shared" si="89"/>
        <v>1565.0240946305476</v>
      </c>
      <c r="AE604" s="25">
        <f t="shared" si="90"/>
        <v>1490.2378529837438</v>
      </c>
      <c r="AF604" s="25">
        <f t="shared" si="91"/>
        <v>1645.7059128123658</v>
      </c>
      <c r="AG604" s="25">
        <f t="shared" si="92"/>
        <v>1626.6112235059534</v>
      </c>
      <c r="AH604" s="25">
        <f t="shared" si="93"/>
        <v>1612.5240946305476</v>
      </c>
      <c r="AI604" s="25">
        <f t="shared" si="94"/>
        <v>1904.5389282525614</v>
      </c>
    </row>
    <row r="605" spans="1:35" ht="15.75" customHeight="1">
      <c r="A605" s="12" t="s">
        <v>195</v>
      </c>
      <c r="B605" s="12" t="s">
        <v>196</v>
      </c>
      <c r="C605" s="12" t="s">
        <v>98</v>
      </c>
      <c r="D605" s="12" t="s">
        <v>33</v>
      </c>
      <c r="E605" s="12" t="s">
        <v>27</v>
      </c>
      <c r="F605" s="13">
        <v>3678.1292307692293</v>
      </c>
      <c r="G605" s="14">
        <v>22140.692006399997</v>
      </c>
      <c r="H605" s="24" t="str">
        <f t="shared" si="87"/>
        <v>RJSP</v>
      </c>
      <c r="I605" s="24" t="str">
        <f t="shared" si="86"/>
        <v>RJMG</v>
      </c>
      <c r="J605" s="24" t="str">
        <f t="shared" si="86"/>
        <v>RJES</v>
      </c>
      <c r="K605" s="24" t="str">
        <f t="shared" si="86"/>
        <v>RJSC</v>
      </c>
      <c r="L605" s="24" t="str">
        <f t="shared" si="86"/>
        <v>RJRJ</v>
      </c>
      <c r="M605" s="24" t="str">
        <f t="shared" si="86"/>
        <v>RJPR</v>
      </c>
      <c r="N605" s="24" t="str">
        <f t="shared" si="86"/>
        <v>RJAM</v>
      </c>
      <c r="O605" s="24">
        <f>VLOOKUP(H605, KM!$A:$E, 5, 0)</f>
        <v>429</v>
      </c>
      <c r="P605" s="24">
        <f>VLOOKUP(I605, KM!$A:$E, 5, 0)</f>
        <v>434</v>
      </c>
      <c r="Q605" s="24">
        <f>VLOOKUP(J605, KM!$A:$E, 5, 0)</f>
        <v>521</v>
      </c>
      <c r="R605" s="24">
        <f>VLOOKUP(K605, KM!$A:$E, 5, 0)</f>
        <v>1144</v>
      </c>
      <c r="S605" s="24">
        <f>VLOOKUP(L605, KM!$A:$E, 5, 0)</f>
        <v>0</v>
      </c>
      <c r="T605" s="24">
        <f>VLOOKUP(M605, KM!$A:$E, 5, 0)</f>
        <v>852</v>
      </c>
      <c r="U605" s="24">
        <f>VLOOKUP(N605, KM!$A:$E, 5, 0)</f>
        <v>4374</v>
      </c>
      <c r="V605" s="24">
        <f>VLOOKUP(H605, IMPOSTO!$A:$D, 4, 0)</f>
        <v>0.12</v>
      </c>
      <c r="W605" s="24">
        <f>VLOOKUP(I605, IMPOSTO!$A:$D, 4, 0)</f>
        <v>0.12</v>
      </c>
      <c r="X605" s="24">
        <f>VLOOKUP(J605, IMPOSTO!$A:$D, 4, 0)</f>
        <v>7.0000000000000007E-2</v>
      </c>
      <c r="Y605" s="24">
        <f>VLOOKUP(K605, IMPOSTO!$A:$D, 4, 0)</f>
        <v>0.12</v>
      </c>
      <c r="Z605" s="24">
        <f>VLOOKUP(L605, IMPOSTO!$A:$D, 4, 0)</f>
        <v>0.18</v>
      </c>
      <c r="AA605" s="24">
        <f>VLOOKUP(M605, IMPOSTO!$A:$D, 4, 0)</f>
        <v>0.12</v>
      </c>
      <c r="AB605" s="24">
        <f>VLOOKUP(N605, IMPOSTO!$A:$D, 4, 0)</f>
        <v>7.0000000000000007E-2</v>
      </c>
      <c r="AC605" s="25">
        <f t="shared" si="88"/>
        <v>25208.627279999997</v>
      </c>
      <c r="AD605" s="25">
        <f t="shared" si="89"/>
        <v>25209.195461818181</v>
      </c>
      <c r="AE605" s="25">
        <f t="shared" si="90"/>
        <v>23863.217211182793</v>
      </c>
      <c r="AF605" s="25">
        <f t="shared" si="91"/>
        <v>25289.877279999997</v>
      </c>
      <c r="AG605" s="25">
        <f t="shared" si="92"/>
        <v>27000.843910243897</v>
      </c>
      <c r="AH605" s="25">
        <f t="shared" si="93"/>
        <v>25256.695461818181</v>
      </c>
      <c r="AI605" s="25">
        <f t="shared" si="94"/>
        <v>24277.518286451614</v>
      </c>
    </row>
    <row r="606" spans="1:35" ht="15.75" customHeight="1">
      <c r="A606" s="12" t="s">
        <v>195</v>
      </c>
      <c r="B606" s="12" t="s">
        <v>196</v>
      </c>
      <c r="C606" s="12" t="s">
        <v>98</v>
      </c>
      <c r="D606" s="12" t="s">
        <v>33</v>
      </c>
      <c r="E606" s="12" t="s">
        <v>27</v>
      </c>
      <c r="F606" s="13">
        <v>1839.0646153846153</v>
      </c>
      <c r="G606" s="14">
        <v>11023.4268672</v>
      </c>
      <c r="H606" s="24" t="str">
        <f t="shared" si="87"/>
        <v>RJSP</v>
      </c>
      <c r="I606" s="24" t="str">
        <f t="shared" si="86"/>
        <v>RJMG</v>
      </c>
      <c r="J606" s="24" t="str">
        <f t="shared" si="86"/>
        <v>RJES</v>
      </c>
      <c r="K606" s="24" t="str">
        <f t="shared" si="86"/>
        <v>RJSC</v>
      </c>
      <c r="L606" s="24" t="str">
        <f t="shared" si="86"/>
        <v>RJRJ</v>
      </c>
      <c r="M606" s="24" t="str">
        <f t="shared" si="86"/>
        <v>RJPR</v>
      </c>
      <c r="N606" s="24" t="str">
        <f t="shared" si="86"/>
        <v>RJAM</v>
      </c>
      <c r="O606" s="24">
        <f>VLOOKUP(H606, KM!$A:$E, 5, 0)</f>
        <v>429</v>
      </c>
      <c r="P606" s="24">
        <f>VLOOKUP(I606, KM!$A:$E, 5, 0)</f>
        <v>434</v>
      </c>
      <c r="Q606" s="24">
        <f>VLOOKUP(J606, KM!$A:$E, 5, 0)</f>
        <v>521</v>
      </c>
      <c r="R606" s="24">
        <f>VLOOKUP(K606, KM!$A:$E, 5, 0)</f>
        <v>1144</v>
      </c>
      <c r="S606" s="24">
        <f>VLOOKUP(L606, KM!$A:$E, 5, 0)</f>
        <v>0</v>
      </c>
      <c r="T606" s="24">
        <f>VLOOKUP(M606, KM!$A:$E, 5, 0)</f>
        <v>852</v>
      </c>
      <c r="U606" s="24">
        <f>VLOOKUP(N606, KM!$A:$E, 5, 0)</f>
        <v>4374</v>
      </c>
      <c r="V606" s="24">
        <f>VLOOKUP(H606, IMPOSTO!$A:$D, 4, 0)</f>
        <v>0.12</v>
      </c>
      <c r="W606" s="24">
        <f>VLOOKUP(I606, IMPOSTO!$A:$D, 4, 0)</f>
        <v>0.12</v>
      </c>
      <c r="X606" s="24">
        <f>VLOOKUP(J606, IMPOSTO!$A:$D, 4, 0)</f>
        <v>7.0000000000000007E-2</v>
      </c>
      <c r="Y606" s="24">
        <f>VLOOKUP(K606, IMPOSTO!$A:$D, 4, 0)</f>
        <v>0.12</v>
      </c>
      <c r="Z606" s="24">
        <f>VLOOKUP(L606, IMPOSTO!$A:$D, 4, 0)</f>
        <v>0.18</v>
      </c>
      <c r="AA606" s="24">
        <f>VLOOKUP(M606, IMPOSTO!$A:$D, 4, 0)</f>
        <v>0.12</v>
      </c>
      <c r="AB606" s="24">
        <f>VLOOKUP(N606, IMPOSTO!$A:$D, 4, 0)</f>
        <v>7.0000000000000007E-2</v>
      </c>
      <c r="AC606" s="25">
        <f t="shared" si="88"/>
        <v>12575.371439999999</v>
      </c>
      <c r="AD606" s="25">
        <f t="shared" si="89"/>
        <v>12575.939621818181</v>
      </c>
      <c r="AE606" s="25">
        <f t="shared" si="90"/>
        <v>11909.168674408604</v>
      </c>
      <c r="AF606" s="25">
        <f t="shared" si="91"/>
        <v>12656.621439999999</v>
      </c>
      <c r="AG606" s="25">
        <f t="shared" si="92"/>
        <v>13443.203496585365</v>
      </c>
      <c r="AH606" s="25">
        <f t="shared" si="93"/>
        <v>12623.439621818183</v>
      </c>
      <c r="AI606" s="25">
        <f t="shared" si="94"/>
        <v>12323.469749677419</v>
      </c>
    </row>
    <row r="607" spans="1:35" ht="15.75" customHeight="1">
      <c r="A607" s="12" t="s">
        <v>195</v>
      </c>
      <c r="B607" s="12" t="s">
        <v>196</v>
      </c>
      <c r="C607" s="12" t="s">
        <v>98</v>
      </c>
      <c r="D607" s="12" t="s">
        <v>33</v>
      </c>
      <c r="E607" s="12" t="s">
        <v>27</v>
      </c>
      <c r="F607" s="13">
        <v>2068.9476923076923</v>
      </c>
      <c r="G607" s="14">
        <v>12397.051814400002</v>
      </c>
      <c r="H607" s="24" t="str">
        <f t="shared" si="87"/>
        <v>RJSP</v>
      </c>
      <c r="I607" s="24" t="str">
        <f t="shared" si="86"/>
        <v>RJMG</v>
      </c>
      <c r="J607" s="24" t="str">
        <f t="shared" si="86"/>
        <v>RJES</v>
      </c>
      <c r="K607" s="24" t="str">
        <f t="shared" si="86"/>
        <v>RJSC</v>
      </c>
      <c r="L607" s="24" t="str">
        <f t="shared" si="86"/>
        <v>RJRJ</v>
      </c>
      <c r="M607" s="24" t="str">
        <f t="shared" si="86"/>
        <v>RJPR</v>
      </c>
      <c r="N607" s="24" t="str">
        <f t="shared" si="86"/>
        <v>RJAM</v>
      </c>
      <c r="O607" s="24">
        <f>VLOOKUP(H607, KM!$A:$E, 5, 0)</f>
        <v>429</v>
      </c>
      <c r="P607" s="24">
        <f>VLOOKUP(I607, KM!$A:$E, 5, 0)</f>
        <v>434</v>
      </c>
      <c r="Q607" s="24">
        <f>VLOOKUP(J607, KM!$A:$E, 5, 0)</f>
        <v>521</v>
      </c>
      <c r="R607" s="24">
        <f>VLOOKUP(K607, KM!$A:$E, 5, 0)</f>
        <v>1144</v>
      </c>
      <c r="S607" s="24">
        <f>VLOOKUP(L607, KM!$A:$E, 5, 0)</f>
        <v>0</v>
      </c>
      <c r="T607" s="24">
        <f>VLOOKUP(M607, KM!$A:$E, 5, 0)</f>
        <v>852</v>
      </c>
      <c r="U607" s="24">
        <f>VLOOKUP(N607, KM!$A:$E, 5, 0)</f>
        <v>4374</v>
      </c>
      <c r="V607" s="24">
        <f>VLOOKUP(H607, IMPOSTO!$A:$D, 4, 0)</f>
        <v>0.12</v>
      </c>
      <c r="W607" s="24">
        <f>VLOOKUP(I607, IMPOSTO!$A:$D, 4, 0)</f>
        <v>0.12</v>
      </c>
      <c r="X607" s="24">
        <f>VLOOKUP(J607, IMPOSTO!$A:$D, 4, 0)</f>
        <v>7.0000000000000007E-2</v>
      </c>
      <c r="Y607" s="24">
        <f>VLOOKUP(K607, IMPOSTO!$A:$D, 4, 0)</f>
        <v>0.12</v>
      </c>
      <c r="Z607" s="24">
        <f>VLOOKUP(L607, IMPOSTO!$A:$D, 4, 0)</f>
        <v>0.18</v>
      </c>
      <c r="AA607" s="24">
        <f>VLOOKUP(M607, IMPOSTO!$A:$D, 4, 0)</f>
        <v>0.12</v>
      </c>
      <c r="AB607" s="24">
        <f>VLOOKUP(N607, IMPOSTO!$A:$D, 4, 0)</f>
        <v>7.0000000000000007E-2</v>
      </c>
      <c r="AC607" s="25">
        <f t="shared" si="88"/>
        <v>14136.30888</v>
      </c>
      <c r="AD607" s="25">
        <f t="shared" si="89"/>
        <v>14136.877061818182</v>
      </c>
      <c r="AE607" s="25">
        <f t="shared" si="90"/>
        <v>13386.18474666667</v>
      </c>
      <c r="AF607" s="25">
        <f t="shared" si="91"/>
        <v>14217.55888</v>
      </c>
      <c r="AG607" s="25">
        <f t="shared" si="92"/>
        <v>15118.355871219514</v>
      </c>
      <c r="AH607" s="25">
        <f t="shared" si="93"/>
        <v>14184.377061818184</v>
      </c>
      <c r="AI607" s="25">
        <f t="shared" si="94"/>
        <v>13800.485821935486</v>
      </c>
    </row>
    <row r="608" spans="1:35" ht="15.75" customHeight="1">
      <c r="A608" s="12" t="s">
        <v>197</v>
      </c>
      <c r="B608" s="12" t="s">
        <v>198</v>
      </c>
      <c r="C608" s="12" t="s">
        <v>181</v>
      </c>
      <c r="D608" s="12" t="s">
        <v>33</v>
      </c>
      <c r="E608" s="12" t="s">
        <v>27</v>
      </c>
      <c r="F608" s="13">
        <v>183.03596439169144</v>
      </c>
      <c r="G608" s="14">
        <v>3601.5986713353104</v>
      </c>
      <c r="H608" s="24" t="str">
        <f t="shared" si="87"/>
        <v>RJSP</v>
      </c>
      <c r="I608" s="24" t="str">
        <f t="shared" si="86"/>
        <v>RJMG</v>
      </c>
      <c r="J608" s="24" t="str">
        <f t="shared" si="86"/>
        <v>RJES</v>
      </c>
      <c r="K608" s="24" t="str">
        <f t="shared" si="86"/>
        <v>RJSC</v>
      </c>
      <c r="L608" s="24" t="str">
        <f t="shared" si="86"/>
        <v>RJRJ</v>
      </c>
      <c r="M608" s="24" t="str">
        <f t="shared" si="86"/>
        <v>RJPR</v>
      </c>
      <c r="N608" s="24" t="str">
        <f t="shared" si="86"/>
        <v>RJAM</v>
      </c>
      <c r="O608" s="24">
        <f>VLOOKUP(H608, KM!$A:$E, 5, 0)</f>
        <v>429</v>
      </c>
      <c r="P608" s="24">
        <f>VLOOKUP(I608, KM!$A:$E, 5, 0)</f>
        <v>434</v>
      </c>
      <c r="Q608" s="24">
        <f>VLOOKUP(J608, KM!$A:$E, 5, 0)</f>
        <v>521</v>
      </c>
      <c r="R608" s="24">
        <f>VLOOKUP(K608, KM!$A:$E, 5, 0)</f>
        <v>1144</v>
      </c>
      <c r="S608" s="24">
        <f>VLOOKUP(L608, KM!$A:$E, 5, 0)</f>
        <v>0</v>
      </c>
      <c r="T608" s="24">
        <f>VLOOKUP(M608, KM!$A:$E, 5, 0)</f>
        <v>852</v>
      </c>
      <c r="U608" s="24">
        <f>VLOOKUP(N608, KM!$A:$E, 5, 0)</f>
        <v>4374</v>
      </c>
      <c r="V608" s="24">
        <f>VLOOKUP(H608, IMPOSTO!$A:$D, 4, 0)</f>
        <v>0.12</v>
      </c>
      <c r="W608" s="24">
        <f>VLOOKUP(I608, IMPOSTO!$A:$D, 4, 0)</f>
        <v>0.12</v>
      </c>
      <c r="X608" s="24">
        <f>VLOOKUP(J608, IMPOSTO!$A:$D, 4, 0)</f>
        <v>7.0000000000000007E-2</v>
      </c>
      <c r="Y608" s="24">
        <f>VLOOKUP(K608, IMPOSTO!$A:$D, 4, 0)</f>
        <v>0.12</v>
      </c>
      <c r="Z608" s="24">
        <f>VLOOKUP(L608, IMPOSTO!$A:$D, 4, 0)</f>
        <v>0.18</v>
      </c>
      <c r="AA608" s="24">
        <f>VLOOKUP(M608, IMPOSTO!$A:$D, 4, 0)</f>
        <v>0.12</v>
      </c>
      <c r="AB608" s="24">
        <f>VLOOKUP(N608, IMPOSTO!$A:$D, 4, 0)</f>
        <v>7.0000000000000007E-2</v>
      </c>
      <c r="AC608" s="25">
        <f t="shared" si="88"/>
        <v>4141.4757628810348</v>
      </c>
      <c r="AD608" s="25">
        <f t="shared" si="89"/>
        <v>4142.0439446992168</v>
      </c>
      <c r="AE608" s="25">
        <f t="shared" si="90"/>
        <v>3928.7082487476459</v>
      </c>
      <c r="AF608" s="25">
        <f t="shared" si="91"/>
        <v>4222.7257628810348</v>
      </c>
      <c r="AG608" s="25">
        <f t="shared" si="92"/>
        <v>4392.1935016284269</v>
      </c>
      <c r="AH608" s="25">
        <f t="shared" si="93"/>
        <v>4189.5439446992159</v>
      </c>
      <c r="AI608" s="25">
        <f t="shared" si="94"/>
        <v>4343.0093240164633</v>
      </c>
    </row>
    <row r="609" spans="1:35" ht="15.75" customHeight="1">
      <c r="A609" s="12" t="s">
        <v>197</v>
      </c>
      <c r="B609" s="12" t="s">
        <v>198</v>
      </c>
      <c r="C609" s="12" t="s">
        <v>181</v>
      </c>
      <c r="D609" s="12" t="s">
        <v>33</v>
      </c>
      <c r="E609" s="12" t="s">
        <v>27</v>
      </c>
      <c r="F609" s="13">
        <v>235.65880415430266</v>
      </c>
      <c r="G609" s="14">
        <v>4777.3835740949544</v>
      </c>
      <c r="H609" s="24" t="str">
        <f t="shared" si="87"/>
        <v>RJSP</v>
      </c>
      <c r="I609" s="24" t="str">
        <f t="shared" si="86"/>
        <v>RJMG</v>
      </c>
      <c r="J609" s="24" t="str">
        <f t="shared" si="86"/>
        <v>RJES</v>
      </c>
      <c r="K609" s="24" t="str">
        <f t="shared" si="86"/>
        <v>RJSC</v>
      </c>
      <c r="L609" s="24" t="str">
        <f t="shared" si="86"/>
        <v>RJRJ</v>
      </c>
      <c r="M609" s="24" t="str">
        <f t="shared" si="86"/>
        <v>RJPR</v>
      </c>
      <c r="N609" s="24" t="str">
        <f t="shared" si="86"/>
        <v>RJAM</v>
      </c>
      <c r="O609" s="24">
        <f>VLOOKUP(H609, KM!$A:$E, 5, 0)</f>
        <v>429</v>
      </c>
      <c r="P609" s="24">
        <f>VLOOKUP(I609, KM!$A:$E, 5, 0)</f>
        <v>434</v>
      </c>
      <c r="Q609" s="24">
        <f>VLOOKUP(J609, KM!$A:$E, 5, 0)</f>
        <v>521</v>
      </c>
      <c r="R609" s="24">
        <f>VLOOKUP(K609, KM!$A:$E, 5, 0)</f>
        <v>1144</v>
      </c>
      <c r="S609" s="24">
        <f>VLOOKUP(L609, KM!$A:$E, 5, 0)</f>
        <v>0</v>
      </c>
      <c r="T609" s="24">
        <f>VLOOKUP(M609, KM!$A:$E, 5, 0)</f>
        <v>852</v>
      </c>
      <c r="U609" s="24">
        <f>VLOOKUP(N609, KM!$A:$E, 5, 0)</f>
        <v>4374</v>
      </c>
      <c r="V609" s="24">
        <f>VLOOKUP(H609, IMPOSTO!$A:$D, 4, 0)</f>
        <v>0.12</v>
      </c>
      <c r="W609" s="24">
        <f>VLOOKUP(I609, IMPOSTO!$A:$D, 4, 0)</f>
        <v>0.12</v>
      </c>
      <c r="X609" s="24">
        <f>VLOOKUP(J609, IMPOSTO!$A:$D, 4, 0)</f>
        <v>7.0000000000000007E-2</v>
      </c>
      <c r="Y609" s="24">
        <f>VLOOKUP(K609, IMPOSTO!$A:$D, 4, 0)</f>
        <v>0.12</v>
      </c>
      <c r="Z609" s="24">
        <f>VLOOKUP(L609, IMPOSTO!$A:$D, 4, 0)</f>
        <v>0.18</v>
      </c>
      <c r="AA609" s="24">
        <f>VLOOKUP(M609, IMPOSTO!$A:$D, 4, 0)</f>
        <v>0.12</v>
      </c>
      <c r="AB609" s="24">
        <f>VLOOKUP(N609, IMPOSTO!$A:$D, 4, 0)</f>
        <v>7.0000000000000007E-2</v>
      </c>
      <c r="AC609" s="25">
        <f t="shared" si="88"/>
        <v>5477.594970562448</v>
      </c>
      <c r="AD609" s="25">
        <f t="shared" si="89"/>
        <v>5478.16315238063</v>
      </c>
      <c r="AE609" s="25">
        <f t="shared" si="90"/>
        <v>5192.993090424683</v>
      </c>
      <c r="AF609" s="25">
        <f t="shared" si="91"/>
        <v>5558.844970562448</v>
      </c>
      <c r="AG609" s="25">
        <f t="shared" si="92"/>
        <v>5826.0775293840907</v>
      </c>
      <c r="AH609" s="25">
        <f t="shared" si="93"/>
        <v>5525.66315238063</v>
      </c>
      <c r="AI609" s="25">
        <f t="shared" si="94"/>
        <v>5607.2941656934991</v>
      </c>
    </row>
    <row r="610" spans="1:35" ht="15.75" customHeight="1">
      <c r="A610" s="12" t="s">
        <v>199</v>
      </c>
      <c r="B610" s="12" t="s">
        <v>200</v>
      </c>
      <c r="C610" s="12" t="s">
        <v>181</v>
      </c>
      <c r="D610" s="12" t="s">
        <v>33</v>
      </c>
      <c r="E610" s="12" t="s">
        <v>27</v>
      </c>
      <c r="F610" s="13">
        <v>259.81150273224046</v>
      </c>
      <c r="G610" s="14">
        <v>3344.0975790163934</v>
      </c>
      <c r="H610" s="24" t="str">
        <f t="shared" si="87"/>
        <v>RJSP</v>
      </c>
      <c r="I610" s="24" t="str">
        <f t="shared" si="86"/>
        <v>RJMG</v>
      </c>
      <c r="J610" s="24" t="str">
        <f t="shared" si="86"/>
        <v>RJES</v>
      </c>
      <c r="K610" s="24" t="str">
        <f t="shared" si="86"/>
        <v>RJSC</v>
      </c>
      <c r="L610" s="24" t="str">
        <f t="shared" si="86"/>
        <v>RJRJ</v>
      </c>
      <c r="M610" s="24" t="str">
        <f t="shared" si="86"/>
        <v>RJPR</v>
      </c>
      <c r="N610" s="24" t="str">
        <f t="shared" si="86"/>
        <v>RJAM</v>
      </c>
      <c r="O610" s="24">
        <f>VLOOKUP(H610, KM!$A:$E, 5, 0)</f>
        <v>429</v>
      </c>
      <c r="P610" s="24">
        <f>VLOOKUP(I610, KM!$A:$E, 5, 0)</f>
        <v>434</v>
      </c>
      <c r="Q610" s="24">
        <f>VLOOKUP(J610, KM!$A:$E, 5, 0)</f>
        <v>521</v>
      </c>
      <c r="R610" s="24">
        <f>VLOOKUP(K610, KM!$A:$E, 5, 0)</f>
        <v>1144</v>
      </c>
      <c r="S610" s="24">
        <f>VLOOKUP(L610, KM!$A:$E, 5, 0)</f>
        <v>0</v>
      </c>
      <c r="T610" s="24">
        <f>VLOOKUP(M610, KM!$A:$E, 5, 0)</f>
        <v>852</v>
      </c>
      <c r="U610" s="24">
        <f>VLOOKUP(N610, KM!$A:$E, 5, 0)</f>
        <v>4374</v>
      </c>
      <c r="V610" s="24">
        <f>VLOOKUP(H610, IMPOSTO!$A:$D, 4, 0)</f>
        <v>0.12</v>
      </c>
      <c r="W610" s="24">
        <f>VLOOKUP(I610, IMPOSTO!$A:$D, 4, 0)</f>
        <v>0.12</v>
      </c>
      <c r="X610" s="24">
        <f>VLOOKUP(J610, IMPOSTO!$A:$D, 4, 0)</f>
        <v>7.0000000000000007E-2</v>
      </c>
      <c r="Y610" s="24">
        <f>VLOOKUP(K610, IMPOSTO!$A:$D, 4, 0)</f>
        <v>0.12</v>
      </c>
      <c r="Z610" s="24">
        <f>VLOOKUP(L610, IMPOSTO!$A:$D, 4, 0)</f>
        <v>0.18</v>
      </c>
      <c r="AA610" s="24">
        <f>VLOOKUP(M610, IMPOSTO!$A:$D, 4, 0)</f>
        <v>0.12</v>
      </c>
      <c r="AB610" s="24">
        <f>VLOOKUP(N610, IMPOSTO!$A:$D, 4, 0)</f>
        <v>7.0000000000000007E-2</v>
      </c>
      <c r="AC610" s="25">
        <f t="shared" si="88"/>
        <v>3848.8608852459015</v>
      </c>
      <c r="AD610" s="25">
        <f t="shared" si="89"/>
        <v>3849.4290670640835</v>
      </c>
      <c r="AE610" s="25">
        <f t="shared" si="90"/>
        <v>3651.8253537810683</v>
      </c>
      <c r="AF610" s="25">
        <f t="shared" si="91"/>
        <v>3930.1108852459015</v>
      </c>
      <c r="AG610" s="25">
        <f t="shared" si="92"/>
        <v>4078.1677792882842</v>
      </c>
      <c r="AH610" s="25">
        <f t="shared" si="93"/>
        <v>3896.929067064083</v>
      </c>
      <c r="AI610" s="25">
        <f t="shared" si="94"/>
        <v>4066.1264290498857</v>
      </c>
    </row>
    <row r="611" spans="1:35" ht="15.75" customHeight="1">
      <c r="A611" s="12" t="s">
        <v>211</v>
      </c>
      <c r="B611" s="12" t="s">
        <v>588</v>
      </c>
      <c r="C611" s="12" t="s">
        <v>192</v>
      </c>
      <c r="D611" s="12" t="s">
        <v>33</v>
      </c>
      <c r="E611" s="12" t="s">
        <v>27</v>
      </c>
      <c r="F611" s="13">
        <v>135.1009174311927</v>
      </c>
      <c r="G611" s="14">
        <v>7172.5716055045878</v>
      </c>
      <c r="H611" s="24" t="str">
        <f t="shared" si="87"/>
        <v>RJSP</v>
      </c>
      <c r="I611" s="24" t="str">
        <f t="shared" si="86"/>
        <v>RJMG</v>
      </c>
      <c r="J611" s="24" t="str">
        <f t="shared" si="86"/>
        <v>RJES</v>
      </c>
      <c r="K611" s="24" t="str">
        <f t="shared" si="86"/>
        <v>RJSC</v>
      </c>
      <c r="L611" s="24" t="str">
        <f t="shared" si="86"/>
        <v>RJRJ</v>
      </c>
      <c r="M611" s="24" t="str">
        <f t="shared" si="86"/>
        <v>RJPR</v>
      </c>
      <c r="N611" s="24" t="str">
        <f t="shared" si="86"/>
        <v>RJAM</v>
      </c>
      <c r="O611" s="24">
        <f>VLOOKUP(H611, KM!$A:$E, 5, 0)</f>
        <v>429</v>
      </c>
      <c r="P611" s="24">
        <f>VLOOKUP(I611, KM!$A:$E, 5, 0)</f>
        <v>434</v>
      </c>
      <c r="Q611" s="24">
        <f>VLOOKUP(J611, KM!$A:$E, 5, 0)</f>
        <v>521</v>
      </c>
      <c r="R611" s="24">
        <f>VLOOKUP(K611, KM!$A:$E, 5, 0)</f>
        <v>1144</v>
      </c>
      <c r="S611" s="24">
        <f>VLOOKUP(L611, KM!$A:$E, 5, 0)</f>
        <v>0</v>
      </c>
      <c r="T611" s="24">
        <f>VLOOKUP(M611, KM!$A:$E, 5, 0)</f>
        <v>852</v>
      </c>
      <c r="U611" s="24">
        <f>VLOOKUP(N611, KM!$A:$E, 5, 0)</f>
        <v>4374</v>
      </c>
      <c r="V611" s="24">
        <f>VLOOKUP(H611, IMPOSTO!$A:$D, 4, 0)</f>
        <v>0.12</v>
      </c>
      <c r="W611" s="24">
        <f>VLOOKUP(I611, IMPOSTO!$A:$D, 4, 0)</f>
        <v>0.12</v>
      </c>
      <c r="X611" s="24">
        <f>VLOOKUP(J611, IMPOSTO!$A:$D, 4, 0)</f>
        <v>7.0000000000000007E-2</v>
      </c>
      <c r="Y611" s="24">
        <f>VLOOKUP(K611, IMPOSTO!$A:$D, 4, 0)</f>
        <v>0.12</v>
      </c>
      <c r="Z611" s="24">
        <f>VLOOKUP(L611, IMPOSTO!$A:$D, 4, 0)</f>
        <v>0.18</v>
      </c>
      <c r="AA611" s="24">
        <f>VLOOKUP(M611, IMPOSTO!$A:$D, 4, 0)</f>
        <v>0.12</v>
      </c>
      <c r="AB611" s="24">
        <f>VLOOKUP(N611, IMPOSTO!$A:$D, 4, 0)</f>
        <v>7.0000000000000007E-2</v>
      </c>
      <c r="AC611" s="25">
        <f t="shared" si="88"/>
        <v>8199.3995517097592</v>
      </c>
      <c r="AD611" s="25">
        <f t="shared" si="89"/>
        <v>8199.9677335279393</v>
      </c>
      <c r="AE611" s="25">
        <f t="shared" si="90"/>
        <v>7768.4640919404183</v>
      </c>
      <c r="AF611" s="25">
        <f t="shared" si="91"/>
        <v>8280.6495517097592</v>
      </c>
      <c r="AG611" s="25">
        <f t="shared" si="92"/>
        <v>8747.0385432982766</v>
      </c>
      <c r="AH611" s="25">
        <f t="shared" si="93"/>
        <v>8247.4677335279412</v>
      </c>
      <c r="AI611" s="25">
        <f t="shared" si="94"/>
        <v>8182.7651672092343</v>
      </c>
    </row>
    <row r="612" spans="1:35" ht="15.75" customHeight="1">
      <c r="A612" s="12" t="s">
        <v>589</v>
      </c>
      <c r="B612" s="12" t="s">
        <v>590</v>
      </c>
      <c r="C612" s="12" t="s">
        <v>192</v>
      </c>
      <c r="D612" s="12" t="s">
        <v>50</v>
      </c>
      <c r="E612" s="12" t="s">
        <v>27</v>
      </c>
      <c r="F612" s="13">
        <v>30</v>
      </c>
      <c r="G612" s="14">
        <v>580.66000000000008</v>
      </c>
      <c r="H612" s="24" t="str">
        <f t="shared" si="87"/>
        <v>RJSP</v>
      </c>
      <c r="I612" s="24" t="str">
        <f t="shared" si="86"/>
        <v>RJMG</v>
      </c>
      <c r="J612" s="24" t="str">
        <f t="shared" si="86"/>
        <v>RJES</v>
      </c>
      <c r="K612" s="24" t="str">
        <f t="shared" si="86"/>
        <v>RJSC</v>
      </c>
      <c r="L612" s="24" t="str">
        <f t="shared" si="86"/>
        <v>RJRJ</v>
      </c>
      <c r="M612" s="24" t="str">
        <f t="shared" si="86"/>
        <v>RJPR</v>
      </c>
      <c r="N612" s="24" t="str">
        <f t="shared" si="86"/>
        <v>RJAM</v>
      </c>
      <c r="O612" s="24">
        <f>VLOOKUP(H612, KM!$A:$E, 5, 0)</f>
        <v>429</v>
      </c>
      <c r="P612" s="24">
        <f>VLOOKUP(I612, KM!$A:$E, 5, 0)</f>
        <v>434</v>
      </c>
      <c r="Q612" s="24">
        <f>VLOOKUP(J612, KM!$A:$E, 5, 0)</f>
        <v>521</v>
      </c>
      <c r="R612" s="24">
        <f>VLOOKUP(K612, KM!$A:$E, 5, 0)</f>
        <v>1144</v>
      </c>
      <c r="S612" s="24">
        <f>VLOOKUP(L612, KM!$A:$E, 5, 0)</f>
        <v>0</v>
      </c>
      <c r="T612" s="24">
        <f>VLOOKUP(M612, KM!$A:$E, 5, 0)</f>
        <v>852</v>
      </c>
      <c r="U612" s="24">
        <f>VLOOKUP(N612, KM!$A:$E, 5, 0)</f>
        <v>4374</v>
      </c>
      <c r="V612" s="24">
        <f>VLOOKUP(H612, IMPOSTO!$A:$D, 4, 0)</f>
        <v>0.12</v>
      </c>
      <c r="W612" s="24">
        <f>VLOOKUP(I612, IMPOSTO!$A:$D, 4, 0)</f>
        <v>0.12</v>
      </c>
      <c r="X612" s="24">
        <f>VLOOKUP(J612, IMPOSTO!$A:$D, 4, 0)</f>
        <v>7.0000000000000007E-2</v>
      </c>
      <c r="Y612" s="24">
        <f>VLOOKUP(K612, IMPOSTO!$A:$D, 4, 0)</f>
        <v>0.12</v>
      </c>
      <c r="Z612" s="24">
        <f>VLOOKUP(L612, IMPOSTO!$A:$D, 4, 0)</f>
        <v>0.18</v>
      </c>
      <c r="AA612" s="24">
        <f>VLOOKUP(M612, IMPOSTO!$A:$D, 4, 0)</f>
        <v>0.12</v>
      </c>
      <c r="AB612" s="24">
        <f>VLOOKUP(N612, IMPOSTO!$A:$D, 4, 0)</f>
        <v>7.0000000000000007E-2</v>
      </c>
      <c r="AC612" s="25">
        <f t="shared" si="88"/>
        <v>708.59090909090912</v>
      </c>
      <c r="AD612" s="25">
        <f t="shared" si="89"/>
        <v>709.15909090909099</v>
      </c>
      <c r="AE612" s="25">
        <f t="shared" si="90"/>
        <v>680.38709677419365</v>
      </c>
      <c r="AF612" s="25">
        <f t="shared" si="91"/>
        <v>789.84090909090912</v>
      </c>
      <c r="AG612" s="25">
        <f t="shared" si="92"/>
        <v>708.1219512195122</v>
      </c>
      <c r="AH612" s="25">
        <f t="shared" si="93"/>
        <v>756.65909090909111</v>
      </c>
      <c r="AI612" s="25">
        <f t="shared" si="94"/>
        <v>1094.688172043011</v>
      </c>
    </row>
    <row r="613" spans="1:35" ht="15.75" customHeight="1">
      <c r="A613" s="12" t="s">
        <v>589</v>
      </c>
      <c r="B613" s="12" t="s">
        <v>590</v>
      </c>
      <c r="C613" s="12" t="s">
        <v>192</v>
      </c>
      <c r="D613" s="12" t="s">
        <v>50</v>
      </c>
      <c r="E613" s="12" t="s">
        <v>27</v>
      </c>
      <c r="F613" s="13">
        <v>126</v>
      </c>
      <c r="G613" s="14">
        <v>2432.3199999999997</v>
      </c>
      <c r="H613" s="24" t="str">
        <f t="shared" si="87"/>
        <v>RJSP</v>
      </c>
      <c r="I613" s="24" t="str">
        <f t="shared" si="86"/>
        <v>RJMG</v>
      </c>
      <c r="J613" s="24" t="str">
        <f t="shared" si="86"/>
        <v>RJES</v>
      </c>
      <c r="K613" s="24" t="str">
        <f t="shared" si="86"/>
        <v>RJSC</v>
      </c>
      <c r="L613" s="24" t="str">
        <f t="shared" si="86"/>
        <v>RJRJ</v>
      </c>
      <c r="M613" s="24" t="str">
        <f t="shared" si="86"/>
        <v>RJPR</v>
      </c>
      <c r="N613" s="24" t="str">
        <f t="shared" si="86"/>
        <v>RJAM</v>
      </c>
      <c r="O613" s="24">
        <f>VLOOKUP(H613, KM!$A:$E, 5, 0)</f>
        <v>429</v>
      </c>
      <c r="P613" s="24">
        <f>VLOOKUP(I613, KM!$A:$E, 5, 0)</f>
        <v>434</v>
      </c>
      <c r="Q613" s="24">
        <f>VLOOKUP(J613, KM!$A:$E, 5, 0)</f>
        <v>521</v>
      </c>
      <c r="R613" s="24">
        <f>VLOOKUP(K613, KM!$A:$E, 5, 0)</f>
        <v>1144</v>
      </c>
      <c r="S613" s="24">
        <f>VLOOKUP(L613, KM!$A:$E, 5, 0)</f>
        <v>0</v>
      </c>
      <c r="T613" s="24">
        <f>VLOOKUP(M613, KM!$A:$E, 5, 0)</f>
        <v>852</v>
      </c>
      <c r="U613" s="24">
        <f>VLOOKUP(N613, KM!$A:$E, 5, 0)</f>
        <v>4374</v>
      </c>
      <c r="V613" s="24">
        <f>VLOOKUP(H613, IMPOSTO!$A:$D, 4, 0)</f>
        <v>0.12</v>
      </c>
      <c r="W613" s="24">
        <f>VLOOKUP(I613, IMPOSTO!$A:$D, 4, 0)</f>
        <v>0.12</v>
      </c>
      <c r="X613" s="24">
        <f>VLOOKUP(J613, IMPOSTO!$A:$D, 4, 0)</f>
        <v>7.0000000000000007E-2</v>
      </c>
      <c r="Y613" s="24">
        <f>VLOOKUP(K613, IMPOSTO!$A:$D, 4, 0)</f>
        <v>0.12</v>
      </c>
      <c r="Z613" s="24">
        <f>VLOOKUP(L613, IMPOSTO!$A:$D, 4, 0)</f>
        <v>0.18</v>
      </c>
      <c r="AA613" s="24">
        <f>VLOOKUP(M613, IMPOSTO!$A:$D, 4, 0)</f>
        <v>0.12</v>
      </c>
      <c r="AB613" s="24">
        <f>VLOOKUP(N613, IMPOSTO!$A:$D, 4, 0)</f>
        <v>7.0000000000000007E-2</v>
      </c>
      <c r="AC613" s="25">
        <f t="shared" si="88"/>
        <v>2812.7499999999995</v>
      </c>
      <c r="AD613" s="25">
        <f t="shared" si="89"/>
        <v>2813.3181818181815</v>
      </c>
      <c r="AE613" s="25">
        <f t="shared" si="90"/>
        <v>2671.4193548387093</v>
      </c>
      <c r="AF613" s="25">
        <f t="shared" si="91"/>
        <v>2893.9999999999995</v>
      </c>
      <c r="AG613" s="25">
        <f t="shared" si="92"/>
        <v>2966.2439024390237</v>
      </c>
      <c r="AH613" s="25">
        <f t="shared" si="93"/>
        <v>2860.8181818181811</v>
      </c>
      <c r="AI613" s="25">
        <f t="shared" si="94"/>
        <v>3085.7204301075267</v>
      </c>
    </row>
    <row r="614" spans="1:35" ht="15.75" customHeight="1">
      <c r="A614" s="12" t="s">
        <v>591</v>
      </c>
      <c r="B614" s="12" t="s">
        <v>592</v>
      </c>
      <c r="C614" s="12" t="s">
        <v>192</v>
      </c>
      <c r="D614" s="12" t="s">
        <v>50</v>
      </c>
      <c r="E614" s="12" t="s">
        <v>27</v>
      </c>
      <c r="F614" s="13">
        <v>73.033805491990833</v>
      </c>
      <c r="G614" s="14">
        <v>520.32323018306636</v>
      </c>
      <c r="H614" s="24" t="str">
        <f t="shared" si="87"/>
        <v>RJSP</v>
      </c>
      <c r="I614" s="24" t="str">
        <f t="shared" si="86"/>
        <v>RJMG</v>
      </c>
      <c r="J614" s="24" t="str">
        <f t="shared" si="86"/>
        <v>RJES</v>
      </c>
      <c r="K614" s="24" t="str">
        <f t="shared" si="86"/>
        <v>RJSC</v>
      </c>
      <c r="L614" s="24" t="str">
        <f t="shared" si="86"/>
        <v>RJRJ</v>
      </c>
      <c r="M614" s="24" t="str">
        <f t="shared" si="86"/>
        <v>RJPR</v>
      </c>
      <c r="N614" s="24" t="str">
        <f t="shared" si="86"/>
        <v>RJAM</v>
      </c>
      <c r="O614" s="24">
        <f>VLOOKUP(H614, KM!$A:$E, 5, 0)</f>
        <v>429</v>
      </c>
      <c r="P614" s="24">
        <f>VLOOKUP(I614, KM!$A:$E, 5, 0)</f>
        <v>434</v>
      </c>
      <c r="Q614" s="24">
        <f>VLOOKUP(J614, KM!$A:$E, 5, 0)</f>
        <v>521</v>
      </c>
      <c r="R614" s="24">
        <f>VLOOKUP(K614, KM!$A:$E, 5, 0)</f>
        <v>1144</v>
      </c>
      <c r="S614" s="24">
        <f>VLOOKUP(L614, KM!$A:$E, 5, 0)</f>
        <v>0</v>
      </c>
      <c r="T614" s="24">
        <f>VLOOKUP(M614, KM!$A:$E, 5, 0)</f>
        <v>852</v>
      </c>
      <c r="U614" s="24">
        <f>VLOOKUP(N614, KM!$A:$E, 5, 0)</f>
        <v>4374</v>
      </c>
      <c r="V614" s="24">
        <f>VLOOKUP(H614, IMPOSTO!$A:$D, 4, 0)</f>
        <v>0.12</v>
      </c>
      <c r="W614" s="24">
        <f>VLOOKUP(I614, IMPOSTO!$A:$D, 4, 0)</f>
        <v>0.12</v>
      </c>
      <c r="X614" s="24">
        <f>VLOOKUP(J614, IMPOSTO!$A:$D, 4, 0)</f>
        <v>7.0000000000000007E-2</v>
      </c>
      <c r="Y614" s="24">
        <f>VLOOKUP(K614, IMPOSTO!$A:$D, 4, 0)</f>
        <v>0.12</v>
      </c>
      <c r="Z614" s="24">
        <f>VLOOKUP(L614, IMPOSTO!$A:$D, 4, 0)</f>
        <v>0.18</v>
      </c>
      <c r="AA614" s="24">
        <f>VLOOKUP(M614, IMPOSTO!$A:$D, 4, 0)</f>
        <v>0.12</v>
      </c>
      <c r="AB614" s="24">
        <f>VLOOKUP(N614, IMPOSTO!$A:$D, 4, 0)</f>
        <v>7.0000000000000007E-2</v>
      </c>
      <c r="AC614" s="25">
        <f t="shared" si="88"/>
        <v>640.02639793530261</v>
      </c>
      <c r="AD614" s="25">
        <f t="shared" si="89"/>
        <v>640.59457975348448</v>
      </c>
      <c r="AE614" s="25">
        <f t="shared" si="90"/>
        <v>615.50884965921125</v>
      </c>
      <c r="AF614" s="25">
        <f t="shared" si="91"/>
        <v>721.27639793530261</v>
      </c>
      <c r="AG614" s="25">
        <f t="shared" si="92"/>
        <v>634.54052461349556</v>
      </c>
      <c r="AH614" s="25">
        <f t="shared" si="93"/>
        <v>688.0945797534846</v>
      </c>
      <c r="AI614" s="25">
        <f t="shared" si="94"/>
        <v>1029.8099249280283</v>
      </c>
    </row>
    <row r="615" spans="1:35" ht="15.75" customHeight="1">
      <c r="A615" s="12" t="s">
        <v>591</v>
      </c>
      <c r="B615" s="12" t="s">
        <v>592</v>
      </c>
      <c r="C615" s="12" t="s">
        <v>192</v>
      </c>
      <c r="D615" s="12" t="s">
        <v>50</v>
      </c>
      <c r="E615" s="12" t="s">
        <v>27</v>
      </c>
      <c r="F615" s="13">
        <v>85.267894736842123</v>
      </c>
      <c r="G615" s="14">
        <v>626.45951533180778</v>
      </c>
      <c r="H615" s="24" t="str">
        <f t="shared" si="87"/>
        <v>RJSP</v>
      </c>
      <c r="I615" s="24" t="str">
        <f t="shared" si="86"/>
        <v>RJMG</v>
      </c>
      <c r="J615" s="24" t="str">
        <f t="shared" si="86"/>
        <v>RJES</v>
      </c>
      <c r="K615" s="24" t="str">
        <f t="shared" si="86"/>
        <v>RJSC</v>
      </c>
      <c r="L615" s="24" t="str">
        <f t="shared" si="86"/>
        <v>RJRJ</v>
      </c>
      <c r="M615" s="24" t="str">
        <f t="shared" si="86"/>
        <v>RJPR</v>
      </c>
      <c r="N615" s="24" t="str">
        <f t="shared" si="86"/>
        <v>RJAM</v>
      </c>
      <c r="O615" s="24">
        <f>VLOOKUP(H615, KM!$A:$E, 5, 0)</f>
        <v>429</v>
      </c>
      <c r="P615" s="24">
        <f>VLOOKUP(I615, KM!$A:$E, 5, 0)</f>
        <v>434</v>
      </c>
      <c r="Q615" s="24">
        <f>VLOOKUP(J615, KM!$A:$E, 5, 0)</f>
        <v>521</v>
      </c>
      <c r="R615" s="24">
        <f>VLOOKUP(K615, KM!$A:$E, 5, 0)</f>
        <v>1144</v>
      </c>
      <c r="S615" s="24">
        <f>VLOOKUP(L615, KM!$A:$E, 5, 0)</f>
        <v>0</v>
      </c>
      <c r="T615" s="24">
        <f>VLOOKUP(M615, KM!$A:$E, 5, 0)</f>
        <v>852</v>
      </c>
      <c r="U615" s="24">
        <f>VLOOKUP(N615, KM!$A:$E, 5, 0)</f>
        <v>4374</v>
      </c>
      <c r="V615" s="24">
        <f>VLOOKUP(H615, IMPOSTO!$A:$D, 4, 0)</f>
        <v>0.12</v>
      </c>
      <c r="W615" s="24">
        <f>VLOOKUP(I615, IMPOSTO!$A:$D, 4, 0)</f>
        <v>0.12</v>
      </c>
      <c r="X615" s="24">
        <f>VLOOKUP(J615, IMPOSTO!$A:$D, 4, 0)</f>
        <v>7.0000000000000007E-2</v>
      </c>
      <c r="Y615" s="24">
        <f>VLOOKUP(K615, IMPOSTO!$A:$D, 4, 0)</f>
        <v>0.12</v>
      </c>
      <c r="Z615" s="24">
        <f>VLOOKUP(L615, IMPOSTO!$A:$D, 4, 0)</f>
        <v>0.18</v>
      </c>
      <c r="AA615" s="24">
        <f>VLOOKUP(M615, IMPOSTO!$A:$D, 4, 0)</f>
        <v>0.12</v>
      </c>
      <c r="AB615" s="24">
        <f>VLOOKUP(N615, IMPOSTO!$A:$D, 4, 0)</f>
        <v>7.0000000000000007E-2</v>
      </c>
      <c r="AC615" s="25">
        <f t="shared" si="88"/>
        <v>760.63581287705426</v>
      </c>
      <c r="AD615" s="25">
        <f t="shared" si="89"/>
        <v>761.20399469523613</v>
      </c>
      <c r="AE615" s="25">
        <f t="shared" si="90"/>
        <v>729.63388745355678</v>
      </c>
      <c r="AF615" s="25">
        <f t="shared" si="91"/>
        <v>841.88581287705426</v>
      </c>
      <c r="AG615" s="25">
        <f t="shared" si="92"/>
        <v>763.9750186973265</v>
      </c>
      <c r="AH615" s="25">
        <f t="shared" si="93"/>
        <v>808.70399469523613</v>
      </c>
      <c r="AI615" s="25">
        <f t="shared" si="94"/>
        <v>1143.9349627223742</v>
      </c>
    </row>
    <row r="616" spans="1:35" ht="15.75" customHeight="1">
      <c r="A616" s="12" t="s">
        <v>593</v>
      </c>
      <c r="B616" s="12" t="s">
        <v>594</v>
      </c>
      <c r="C616" s="12" t="s">
        <v>192</v>
      </c>
      <c r="D616" s="12" t="s">
        <v>33</v>
      </c>
      <c r="E616" s="12" t="s">
        <v>27</v>
      </c>
      <c r="F616" s="13">
        <v>35.002000000000002</v>
      </c>
      <c r="G616" s="14">
        <v>5547.8843115384625</v>
      </c>
      <c r="H616" s="24" t="str">
        <f t="shared" si="87"/>
        <v>RJSP</v>
      </c>
      <c r="I616" s="24" t="str">
        <f t="shared" si="86"/>
        <v>RJMG</v>
      </c>
      <c r="J616" s="24" t="str">
        <f t="shared" si="86"/>
        <v>RJES</v>
      </c>
      <c r="K616" s="24" t="str">
        <f t="shared" si="86"/>
        <v>RJSC</v>
      </c>
      <c r="L616" s="24" t="str">
        <f t="shared" si="86"/>
        <v>RJRJ</v>
      </c>
      <c r="M616" s="24" t="str">
        <f t="shared" si="86"/>
        <v>RJPR</v>
      </c>
      <c r="N616" s="24" t="str">
        <f t="shared" si="86"/>
        <v>RJAM</v>
      </c>
      <c r="O616" s="24">
        <f>VLOOKUP(H616, KM!$A:$E, 5, 0)</f>
        <v>429</v>
      </c>
      <c r="P616" s="24">
        <f>VLOOKUP(I616, KM!$A:$E, 5, 0)</f>
        <v>434</v>
      </c>
      <c r="Q616" s="24">
        <f>VLOOKUP(J616, KM!$A:$E, 5, 0)</f>
        <v>521</v>
      </c>
      <c r="R616" s="24">
        <f>VLOOKUP(K616, KM!$A:$E, 5, 0)</f>
        <v>1144</v>
      </c>
      <c r="S616" s="24">
        <f>VLOOKUP(L616, KM!$A:$E, 5, 0)</f>
        <v>0</v>
      </c>
      <c r="T616" s="24">
        <f>VLOOKUP(M616, KM!$A:$E, 5, 0)</f>
        <v>852</v>
      </c>
      <c r="U616" s="24">
        <f>VLOOKUP(N616, KM!$A:$E, 5, 0)</f>
        <v>4374</v>
      </c>
      <c r="V616" s="24">
        <f>VLOOKUP(H616, IMPOSTO!$A:$D, 4, 0)</f>
        <v>0.12</v>
      </c>
      <c r="W616" s="24">
        <f>VLOOKUP(I616, IMPOSTO!$A:$D, 4, 0)</f>
        <v>0.12</v>
      </c>
      <c r="X616" s="24">
        <f>VLOOKUP(J616, IMPOSTO!$A:$D, 4, 0)</f>
        <v>7.0000000000000007E-2</v>
      </c>
      <c r="Y616" s="24">
        <f>VLOOKUP(K616, IMPOSTO!$A:$D, 4, 0)</f>
        <v>0.12</v>
      </c>
      <c r="Z616" s="24">
        <f>VLOOKUP(L616, IMPOSTO!$A:$D, 4, 0)</f>
        <v>0.18</v>
      </c>
      <c r="AA616" s="24">
        <f>VLOOKUP(M616, IMPOSTO!$A:$D, 4, 0)</f>
        <v>0.12</v>
      </c>
      <c r="AB616" s="24">
        <f>VLOOKUP(N616, IMPOSTO!$A:$D, 4, 0)</f>
        <v>7.0000000000000007E-2</v>
      </c>
      <c r="AC616" s="25">
        <f t="shared" si="88"/>
        <v>6353.1639903846162</v>
      </c>
      <c r="AD616" s="25">
        <f t="shared" si="89"/>
        <v>6353.7321722027982</v>
      </c>
      <c r="AE616" s="25">
        <f t="shared" si="90"/>
        <v>6021.4885070306054</v>
      </c>
      <c r="AF616" s="25">
        <f t="shared" si="91"/>
        <v>6434.4139903846162</v>
      </c>
      <c r="AG616" s="25">
        <f t="shared" si="92"/>
        <v>6765.7125750469049</v>
      </c>
      <c r="AH616" s="25">
        <f t="shared" si="93"/>
        <v>6401.2321722027982</v>
      </c>
      <c r="AI616" s="25">
        <f t="shared" si="94"/>
        <v>6435.7895822994224</v>
      </c>
    </row>
    <row r="617" spans="1:35" ht="15.75" customHeight="1">
      <c r="A617" s="12" t="s">
        <v>423</v>
      </c>
      <c r="B617" s="12" t="s">
        <v>424</v>
      </c>
      <c r="C617" s="12" t="s">
        <v>192</v>
      </c>
      <c r="D617" s="12" t="s">
        <v>50</v>
      </c>
      <c r="E617" s="12" t="s">
        <v>27</v>
      </c>
      <c r="F617" s="13">
        <v>66.709859210526318</v>
      </c>
      <c r="G617" s="14">
        <v>1371.6915461052633</v>
      </c>
      <c r="H617" s="24" t="str">
        <f t="shared" si="87"/>
        <v>RJSP</v>
      </c>
      <c r="I617" s="24" t="str">
        <f t="shared" si="86"/>
        <v>RJMG</v>
      </c>
      <c r="J617" s="24" t="str">
        <f t="shared" si="86"/>
        <v>RJES</v>
      </c>
      <c r="K617" s="24" t="str">
        <f t="shared" si="86"/>
        <v>RJSC</v>
      </c>
      <c r="L617" s="24" t="str">
        <f t="shared" si="86"/>
        <v>RJRJ</v>
      </c>
      <c r="M617" s="24" t="str">
        <f t="shared" si="86"/>
        <v>RJPR</v>
      </c>
      <c r="N617" s="24" t="str">
        <f t="shared" si="86"/>
        <v>RJAM</v>
      </c>
      <c r="O617" s="24">
        <f>VLOOKUP(H617, KM!$A:$E, 5, 0)</f>
        <v>429</v>
      </c>
      <c r="P617" s="24">
        <f>VLOOKUP(I617, KM!$A:$E, 5, 0)</f>
        <v>434</v>
      </c>
      <c r="Q617" s="24">
        <f>VLOOKUP(J617, KM!$A:$E, 5, 0)</f>
        <v>521</v>
      </c>
      <c r="R617" s="24">
        <f>VLOOKUP(K617, KM!$A:$E, 5, 0)</f>
        <v>1144</v>
      </c>
      <c r="S617" s="24">
        <f>VLOOKUP(L617, KM!$A:$E, 5, 0)</f>
        <v>0</v>
      </c>
      <c r="T617" s="24">
        <f>VLOOKUP(M617, KM!$A:$E, 5, 0)</f>
        <v>852</v>
      </c>
      <c r="U617" s="24">
        <f>VLOOKUP(N617, KM!$A:$E, 5, 0)</f>
        <v>4374</v>
      </c>
      <c r="V617" s="24">
        <f>VLOOKUP(H617, IMPOSTO!$A:$D, 4, 0)</f>
        <v>0.12</v>
      </c>
      <c r="W617" s="24">
        <f>VLOOKUP(I617, IMPOSTO!$A:$D, 4, 0)</f>
        <v>0.12</v>
      </c>
      <c r="X617" s="24">
        <f>VLOOKUP(J617, IMPOSTO!$A:$D, 4, 0)</f>
        <v>7.0000000000000007E-2</v>
      </c>
      <c r="Y617" s="24">
        <f>VLOOKUP(K617, IMPOSTO!$A:$D, 4, 0)</f>
        <v>0.12</v>
      </c>
      <c r="Z617" s="24">
        <f>VLOOKUP(L617, IMPOSTO!$A:$D, 4, 0)</f>
        <v>0.18</v>
      </c>
      <c r="AA617" s="24">
        <f>VLOOKUP(M617, IMPOSTO!$A:$D, 4, 0)</f>
        <v>0.12</v>
      </c>
      <c r="AB617" s="24">
        <f>VLOOKUP(N617, IMPOSTO!$A:$D, 4, 0)</f>
        <v>7.0000000000000007E-2</v>
      </c>
      <c r="AC617" s="25">
        <f t="shared" si="88"/>
        <v>1607.4903933014357</v>
      </c>
      <c r="AD617" s="25">
        <f t="shared" si="89"/>
        <v>1608.0585751196174</v>
      </c>
      <c r="AE617" s="25">
        <f t="shared" si="90"/>
        <v>1530.9586517260896</v>
      </c>
      <c r="AF617" s="25">
        <f t="shared" si="91"/>
        <v>1688.7403933014357</v>
      </c>
      <c r="AG617" s="25">
        <f t="shared" si="92"/>
        <v>1672.7945684210526</v>
      </c>
      <c r="AH617" s="25">
        <f t="shared" si="93"/>
        <v>1655.5585751196174</v>
      </c>
      <c r="AI617" s="25">
        <f t="shared" si="94"/>
        <v>1945.2597269949069</v>
      </c>
    </row>
    <row r="618" spans="1:35" ht="15.75" customHeight="1">
      <c r="A618" s="12" t="s">
        <v>423</v>
      </c>
      <c r="B618" s="12" t="s">
        <v>424</v>
      </c>
      <c r="C618" s="12" t="s">
        <v>192</v>
      </c>
      <c r="D618" s="12" t="s">
        <v>50</v>
      </c>
      <c r="E618" s="12" t="s">
        <v>27</v>
      </c>
      <c r="F618" s="13">
        <v>61.57833157894737</v>
      </c>
      <c r="G618" s="14">
        <v>1292.0730440526318</v>
      </c>
      <c r="H618" s="24" t="str">
        <f t="shared" si="87"/>
        <v>RJSP</v>
      </c>
      <c r="I618" s="24" t="str">
        <f t="shared" si="86"/>
        <v>RJMG</v>
      </c>
      <c r="J618" s="24" t="str">
        <f t="shared" si="86"/>
        <v>RJES</v>
      </c>
      <c r="K618" s="24" t="str">
        <f t="shared" si="86"/>
        <v>RJSC</v>
      </c>
      <c r="L618" s="24" t="str">
        <f t="shared" si="86"/>
        <v>RJRJ</v>
      </c>
      <c r="M618" s="24" t="str">
        <f t="shared" si="86"/>
        <v>RJPR</v>
      </c>
      <c r="N618" s="24" t="str">
        <f t="shared" si="86"/>
        <v>RJAM</v>
      </c>
      <c r="O618" s="24">
        <f>VLOOKUP(H618, KM!$A:$E, 5, 0)</f>
        <v>429</v>
      </c>
      <c r="P618" s="24">
        <f>VLOOKUP(I618, KM!$A:$E, 5, 0)</f>
        <v>434</v>
      </c>
      <c r="Q618" s="24">
        <f>VLOOKUP(J618, KM!$A:$E, 5, 0)</f>
        <v>521</v>
      </c>
      <c r="R618" s="24">
        <f>VLOOKUP(K618, KM!$A:$E, 5, 0)</f>
        <v>1144</v>
      </c>
      <c r="S618" s="24">
        <f>VLOOKUP(L618, KM!$A:$E, 5, 0)</f>
        <v>0</v>
      </c>
      <c r="T618" s="24">
        <f>VLOOKUP(M618, KM!$A:$E, 5, 0)</f>
        <v>852</v>
      </c>
      <c r="U618" s="24">
        <f>VLOOKUP(N618, KM!$A:$E, 5, 0)</f>
        <v>4374</v>
      </c>
      <c r="V618" s="24">
        <f>VLOOKUP(H618, IMPOSTO!$A:$D, 4, 0)</f>
        <v>0.12</v>
      </c>
      <c r="W618" s="24">
        <f>VLOOKUP(I618, IMPOSTO!$A:$D, 4, 0)</f>
        <v>0.12</v>
      </c>
      <c r="X618" s="24">
        <f>VLOOKUP(J618, IMPOSTO!$A:$D, 4, 0)</f>
        <v>7.0000000000000007E-2</v>
      </c>
      <c r="Y618" s="24">
        <f>VLOOKUP(K618, IMPOSTO!$A:$D, 4, 0)</f>
        <v>0.12</v>
      </c>
      <c r="Z618" s="24">
        <f>VLOOKUP(L618, IMPOSTO!$A:$D, 4, 0)</f>
        <v>0.18</v>
      </c>
      <c r="AA618" s="24">
        <f>VLOOKUP(M618, IMPOSTO!$A:$D, 4, 0)</f>
        <v>0.12</v>
      </c>
      <c r="AB618" s="24">
        <f>VLOOKUP(N618, IMPOSTO!$A:$D, 4, 0)</f>
        <v>7.0000000000000007E-2</v>
      </c>
      <c r="AC618" s="25">
        <f t="shared" si="88"/>
        <v>1517.0148227870816</v>
      </c>
      <c r="AD618" s="25">
        <f t="shared" si="89"/>
        <v>1517.5830046052636</v>
      </c>
      <c r="AE618" s="25">
        <f t="shared" si="90"/>
        <v>1445.3473591963782</v>
      </c>
      <c r="AF618" s="25">
        <f t="shared" si="91"/>
        <v>1598.2648227870816</v>
      </c>
      <c r="AG618" s="25">
        <f t="shared" si="92"/>
        <v>1575.6988342105265</v>
      </c>
      <c r="AH618" s="25">
        <f t="shared" si="93"/>
        <v>1565.0830046052633</v>
      </c>
      <c r="AI618" s="25">
        <f t="shared" si="94"/>
        <v>1859.6484344651956</v>
      </c>
    </row>
    <row r="619" spans="1:35" ht="15.75" customHeight="1">
      <c r="A619" s="12" t="s">
        <v>595</v>
      </c>
      <c r="B619" s="12" t="s">
        <v>596</v>
      </c>
      <c r="C619" s="12" t="s">
        <v>205</v>
      </c>
      <c r="D619" s="12" t="s">
        <v>33</v>
      </c>
      <c r="E619" s="12" t="s">
        <v>27</v>
      </c>
      <c r="F619" s="13">
        <v>199</v>
      </c>
      <c r="G619" s="14">
        <v>17766.72</v>
      </c>
      <c r="H619" s="24" t="str">
        <f t="shared" si="87"/>
        <v>RJSP</v>
      </c>
      <c r="I619" s="24" t="str">
        <f t="shared" si="86"/>
        <v>RJMG</v>
      </c>
      <c r="J619" s="24" t="str">
        <f t="shared" si="86"/>
        <v>RJES</v>
      </c>
      <c r="K619" s="24" t="str">
        <f t="shared" si="86"/>
        <v>RJSC</v>
      </c>
      <c r="L619" s="24" t="str">
        <f t="shared" si="86"/>
        <v>RJRJ</v>
      </c>
      <c r="M619" s="24" t="str">
        <f t="shared" si="86"/>
        <v>RJPR</v>
      </c>
      <c r="N619" s="24" t="str">
        <f t="shared" si="86"/>
        <v>RJAM</v>
      </c>
      <c r="O619" s="24">
        <f>VLOOKUP(H619, KM!$A:$E, 5, 0)</f>
        <v>429</v>
      </c>
      <c r="P619" s="24">
        <f>VLOOKUP(I619, KM!$A:$E, 5, 0)</f>
        <v>434</v>
      </c>
      <c r="Q619" s="24">
        <f>VLOOKUP(J619, KM!$A:$E, 5, 0)</f>
        <v>521</v>
      </c>
      <c r="R619" s="24">
        <f>VLOOKUP(K619, KM!$A:$E, 5, 0)</f>
        <v>1144</v>
      </c>
      <c r="S619" s="24">
        <f>VLOOKUP(L619, KM!$A:$E, 5, 0)</f>
        <v>0</v>
      </c>
      <c r="T619" s="24">
        <f>VLOOKUP(M619, KM!$A:$E, 5, 0)</f>
        <v>852</v>
      </c>
      <c r="U619" s="24">
        <f>VLOOKUP(N619, KM!$A:$E, 5, 0)</f>
        <v>4374</v>
      </c>
      <c r="V619" s="24">
        <f>VLOOKUP(H619, IMPOSTO!$A:$D, 4, 0)</f>
        <v>0.12</v>
      </c>
      <c r="W619" s="24">
        <f>VLOOKUP(I619, IMPOSTO!$A:$D, 4, 0)</f>
        <v>0.12</v>
      </c>
      <c r="X619" s="24">
        <f>VLOOKUP(J619, IMPOSTO!$A:$D, 4, 0)</f>
        <v>7.0000000000000007E-2</v>
      </c>
      <c r="Y619" s="24">
        <f>VLOOKUP(K619, IMPOSTO!$A:$D, 4, 0)</f>
        <v>0.12</v>
      </c>
      <c r="Z619" s="24">
        <f>VLOOKUP(L619, IMPOSTO!$A:$D, 4, 0)</f>
        <v>0.18</v>
      </c>
      <c r="AA619" s="24">
        <f>VLOOKUP(M619, IMPOSTO!$A:$D, 4, 0)</f>
        <v>0.12</v>
      </c>
      <c r="AB619" s="24">
        <f>VLOOKUP(N619, IMPOSTO!$A:$D, 4, 0)</f>
        <v>7.0000000000000007E-2</v>
      </c>
      <c r="AC619" s="25">
        <f t="shared" si="88"/>
        <v>20238.204545454548</v>
      </c>
      <c r="AD619" s="25">
        <f t="shared" si="89"/>
        <v>20238.772727272732</v>
      </c>
      <c r="AE619" s="25">
        <f t="shared" si="90"/>
        <v>19160.021505376346</v>
      </c>
      <c r="AF619" s="25">
        <f t="shared" si="91"/>
        <v>20319.454545454548</v>
      </c>
      <c r="AG619" s="25">
        <f t="shared" si="92"/>
        <v>21666.731707317074</v>
      </c>
      <c r="AH619" s="25">
        <f t="shared" si="93"/>
        <v>20286.272727272728</v>
      </c>
      <c r="AI619" s="25">
        <f t="shared" si="94"/>
        <v>19574.322580645166</v>
      </c>
    </row>
    <row r="620" spans="1:35" ht="15.75" customHeight="1">
      <c r="A620" s="12" t="s">
        <v>221</v>
      </c>
      <c r="B620" s="12" t="s">
        <v>222</v>
      </c>
      <c r="C620" s="12" t="s">
        <v>223</v>
      </c>
      <c r="D620" s="12" t="s">
        <v>33</v>
      </c>
      <c r="E620" s="12" t="s">
        <v>27</v>
      </c>
      <c r="F620" s="13">
        <v>372.75382060140754</v>
      </c>
      <c r="G620" s="14">
        <v>8253.3396821937313</v>
      </c>
      <c r="H620" s="24" t="str">
        <f t="shared" si="87"/>
        <v>RJSP</v>
      </c>
      <c r="I620" s="24" t="str">
        <f t="shared" si="86"/>
        <v>RJMG</v>
      </c>
      <c r="J620" s="24" t="str">
        <f t="shared" si="86"/>
        <v>RJES</v>
      </c>
      <c r="K620" s="24" t="str">
        <f t="shared" si="86"/>
        <v>RJSC</v>
      </c>
      <c r="L620" s="24" t="str">
        <f t="shared" si="86"/>
        <v>RJRJ</v>
      </c>
      <c r="M620" s="24" t="str">
        <f t="shared" ref="I620:N683" si="95">$E620 &amp; M$17</f>
        <v>RJPR</v>
      </c>
      <c r="N620" s="24" t="str">
        <f t="shared" si="95"/>
        <v>RJAM</v>
      </c>
      <c r="O620" s="24">
        <f>VLOOKUP(H620, KM!$A:$E, 5, 0)</f>
        <v>429</v>
      </c>
      <c r="P620" s="24">
        <f>VLOOKUP(I620, KM!$A:$E, 5, 0)</f>
        <v>434</v>
      </c>
      <c r="Q620" s="24">
        <f>VLOOKUP(J620, KM!$A:$E, 5, 0)</f>
        <v>521</v>
      </c>
      <c r="R620" s="24">
        <f>VLOOKUP(K620, KM!$A:$E, 5, 0)</f>
        <v>1144</v>
      </c>
      <c r="S620" s="24">
        <f>VLOOKUP(L620, KM!$A:$E, 5, 0)</f>
        <v>0</v>
      </c>
      <c r="T620" s="24">
        <f>VLOOKUP(M620, KM!$A:$E, 5, 0)</f>
        <v>852</v>
      </c>
      <c r="U620" s="24">
        <f>VLOOKUP(N620, KM!$A:$E, 5, 0)</f>
        <v>4374</v>
      </c>
      <c r="V620" s="24">
        <f>VLOOKUP(H620, IMPOSTO!$A:$D, 4, 0)</f>
        <v>0.12</v>
      </c>
      <c r="W620" s="24">
        <f>VLOOKUP(I620, IMPOSTO!$A:$D, 4, 0)</f>
        <v>0.12</v>
      </c>
      <c r="X620" s="24">
        <f>VLOOKUP(J620, IMPOSTO!$A:$D, 4, 0)</f>
        <v>7.0000000000000007E-2</v>
      </c>
      <c r="Y620" s="24">
        <f>VLOOKUP(K620, IMPOSTO!$A:$D, 4, 0)</f>
        <v>0.12</v>
      </c>
      <c r="Z620" s="24">
        <f>VLOOKUP(L620, IMPOSTO!$A:$D, 4, 0)</f>
        <v>0.18</v>
      </c>
      <c r="AA620" s="24">
        <f>VLOOKUP(M620, IMPOSTO!$A:$D, 4, 0)</f>
        <v>0.12</v>
      </c>
      <c r="AB620" s="24">
        <f>VLOOKUP(N620, IMPOSTO!$A:$D, 4, 0)</f>
        <v>7.0000000000000007E-2</v>
      </c>
      <c r="AC620" s="25">
        <f t="shared" si="88"/>
        <v>9427.5450934019664</v>
      </c>
      <c r="AD620" s="25">
        <f t="shared" si="89"/>
        <v>9428.1132752201484</v>
      </c>
      <c r="AE620" s="25">
        <f t="shared" si="90"/>
        <v>8930.5803034341207</v>
      </c>
      <c r="AF620" s="25">
        <f t="shared" si="91"/>
        <v>9508.7950934019664</v>
      </c>
      <c r="AG620" s="25">
        <f t="shared" si="92"/>
        <v>10065.048392919183</v>
      </c>
      <c r="AH620" s="25">
        <f t="shared" si="93"/>
        <v>9475.6132752201502</v>
      </c>
      <c r="AI620" s="25">
        <f t="shared" si="94"/>
        <v>9344.8813787029376</v>
      </c>
    </row>
    <row r="621" spans="1:35" ht="15.75" customHeight="1">
      <c r="A621" s="12" t="s">
        <v>221</v>
      </c>
      <c r="B621" s="12" t="s">
        <v>222</v>
      </c>
      <c r="C621" s="12" t="s">
        <v>223</v>
      </c>
      <c r="D621" s="12" t="s">
        <v>33</v>
      </c>
      <c r="E621" s="12" t="s">
        <v>27</v>
      </c>
      <c r="F621" s="13">
        <v>312.45540844529751</v>
      </c>
      <c r="G621" s="14">
        <v>7102.966575079462</v>
      </c>
      <c r="H621" s="24" t="str">
        <f t="shared" si="87"/>
        <v>RJSP</v>
      </c>
      <c r="I621" s="24" t="str">
        <f t="shared" si="95"/>
        <v>RJMG</v>
      </c>
      <c r="J621" s="24" t="str">
        <f t="shared" si="95"/>
        <v>RJES</v>
      </c>
      <c r="K621" s="24" t="str">
        <f t="shared" si="95"/>
        <v>RJSC</v>
      </c>
      <c r="L621" s="24" t="str">
        <f t="shared" si="95"/>
        <v>RJRJ</v>
      </c>
      <c r="M621" s="24" t="str">
        <f t="shared" si="95"/>
        <v>RJPR</v>
      </c>
      <c r="N621" s="24" t="str">
        <f t="shared" si="95"/>
        <v>RJAM</v>
      </c>
      <c r="O621" s="24">
        <f>VLOOKUP(H621, KM!$A:$E, 5, 0)</f>
        <v>429</v>
      </c>
      <c r="P621" s="24">
        <f>VLOOKUP(I621, KM!$A:$E, 5, 0)</f>
        <v>434</v>
      </c>
      <c r="Q621" s="24">
        <f>VLOOKUP(J621, KM!$A:$E, 5, 0)</f>
        <v>521</v>
      </c>
      <c r="R621" s="24">
        <f>VLOOKUP(K621, KM!$A:$E, 5, 0)</f>
        <v>1144</v>
      </c>
      <c r="S621" s="24">
        <f>VLOOKUP(L621, KM!$A:$E, 5, 0)</f>
        <v>0</v>
      </c>
      <c r="T621" s="24">
        <f>VLOOKUP(M621, KM!$A:$E, 5, 0)</f>
        <v>852</v>
      </c>
      <c r="U621" s="24">
        <f>VLOOKUP(N621, KM!$A:$E, 5, 0)</f>
        <v>4374</v>
      </c>
      <c r="V621" s="24">
        <f>VLOOKUP(H621, IMPOSTO!$A:$D, 4, 0)</f>
        <v>0.12</v>
      </c>
      <c r="W621" s="24">
        <f>VLOOKUP(I621, IMPOSTO!$A:$D, 4, 0)</f>
        <v>0.12</v>
      </c>
      <c r="X621" s="24">
        <f>VLOOKUP(J621, IMPOSTO!$A:$D, 4, 0)</f>
        <v>7.0000000000000007E-2</v>
      </c>
      <c r="Y621" s="24">
        <f>VLOOKUP(K621, IMPOSTO!$A:$D, 4, 0)</f>
        <v>0.12</v>
      </c>
      <c r="Z621" s="24">
        <f>VLOOKUP(L621, IMPOSTO!$A:$D, 4, 0)</f>
        <v>0.18</v>
      </c>
      <c r="AA621" s="24">
        <f>VLOOKUP(M621, IMPOSTO!$A:$D, 4, 0)</f>
        <v>0.12</v>
      </c>
      <c r="AB621" s="24">
        <f>VLOOKUP(N621, IMPOSTO!$A:$D, 4, 0)</f>
        <v>7.0000000000000007E-2</v>
      </c>
      <c r="AC621" s="25">
        <f t="shared" si="88"/>
        <v>8120.3029262266609</v>
      </c>
      <c r="AD621" s="25">
        <f t="shared" si="89"/>
        <v>8120.8711080448429</v>
      </c>
      <c r="AE621" s="25">
        <f t="shared" si="90"/>
        <v>7693.6199732037239</v>
      </c>
      <c r="AF621" s="25">
        <f t="shared" si="91"/>
        <v>8201.5529262266609</v>
      </c>
      <c r="AG621" s="25">
        <f t="shared" si="92"/>
        <v>8662.1543598530025</v>
      </c>
      <c r="AH621" s="25">
        <f t="shared" si="93"/>
        <v>8168.3711080448429</v>
      </c>
      <c r="AI621" s="25">
        <f t="shared" si="94"/>
        <v>8107.92104847254</v>
      </c>
    </row>
    <row r="622" spans="1:35" ht="15.75" customHeight="1">
      <c r="A622" s="12" t="s">
        <v>224</v>
      </c>
      <c r="B622" s="12" t="s">
        <v>225</v>
      </c>
      <c r="C622" s="12" t="s">
        <v>223</v>
      </c>
      <c r="D622" s="12" t="s">
        <v>33</v>
      </c>
      <c r="E622" s="12" t="s">
        <v>27</v>
      </c>
      <c r="F622" s="13">
        <v>499.82396130232553</v>
      </c>
      <c r="G622" s="14">
        <v>11059.647286891162</v>
      </c>
      <c r="H622" s="24" t="str">
        <f t="shared" si="87"/>
        <v>RJSP</v>
      </c>
      <c r="I622" s="24" t="str">
        <f t="shared" si="95"/>
        <v>RJMG</v>
      </c>
      <c r="J622" s="24" t="str">
        <f t="shared" si="95"/>
        <v>RJES</v>
      </c>
      <c r="K622" s="24" t="str">
        <f t="shared" si="95"/>
        <v>RJSC</v>
      </c>
      <c r="L622" s="24" t="str">
        <f t="shared" si="95"/>
        <v>RJRJ</v>
      </c>
      <c r="M622" s="24" t="str">
        <f t="shared" si="95"/>
        <v>RJPR</v>
      </c>
      <c r="N622" s="24" t="str">
        <f t="shared" si="95"/>
        <v>RJAM</v>
      </c>
      <c r="O622" s="24">
        <f>VLOOKUP(H622, KM!$A:$E, 5, 0)</f>
        <v>429</v>
      </c>
      <c r="P622" s="24">
        <f>VLOOKUP(I622, KM!$A:$E, 5, 0)</f>
        <v>434</v>
      </c>
      <c r="Q622" s="24">
        <f>VLOOKUP(J622, KM!$A:$E, 5, 0)</f>
        <v>521</v>
      </c>
      <c r="R622" s="24">
        <f>VLOOKUP(K622, KM!$A:$E, 5, 0)</f>
        <v>1144</v>
      </c>
      <c r="S622" s="24">
        <f>VLOOKUP(L622, KM!$A:$E, 5, 0)</f>
        <v>0</v>
      </c>
      <c r="T622" s="24">
        <f>VLOOKUP(M622, KM!$A:$E, 5, 0)</f>
        <v>852</v>
      </c>
      <c r="U622" s="24">
        <f>VLOOKUP(N622, KM!$A:$E, 5, 0)</f>
        <v>4374</v>
      </c>
      <c r="V622" s="24">
        <f>VLOOKUP(H622, IMPOSTO!$A:$D, 4, 0)</f>
        <v>0.12</v>
      </c>
      <c r="W622" s="24">
        <f>VLOOKUP(I622, IMPOSTO!$A:$D, 4, 0)</f>
        <v>0.12</v>
      </c>
      <c r="X622" s="24">
        <f>VLOOKUP(J622, IMPOSTO!$A:$D, 4, 0)</f>
        <v>7.0000000000000007E-2</v>
      </c>
      <c r="Y622" s="24">
        <f>VLOOKUP(K622, IMPOSTO!$A:$D, 4, 0)</f>
        <v>0.12</v>
      </c>
      <c r="Z622" s="24">
        <f>VLOOKUP(L622, IMPOSTO!$A:$D, 4, 0)</f>
        <v>0.18</v>
      </c>
      <c r="AA622" s="24">
        <f>VLOOKUP(M622, IMPOSTO!$A:$D, 4, 0)</f>
        <v>0.12</v>
      </c>
      <c r="AB622" s="24">
        <f>VLOOKUP(N622, IMPOSTO!$A:$D, 4, 0)</f>
        <v>7.0000000000000007E-2</v>
      </c>
      <c r="AC622" s="25">
        <f t="shared" si="88"/>
        <v>12616.531007830867</v>
      </c>
      <c r="AD622" s="25">
        <f t="shared" si="89"/>
        <v>12617.099189649047</v>
      </c>
      <c r="AE622" s="25">
        <f t="shared" si="90"/>
        <v>11948.115362248564</v>
      </c>
      <c r="AF622" s="25">
        <f t="shared" si="91"/>
        <v>12697.781007830867</v>
      </c>
      <c r="AG622" s="25">
        <f t="shared" si="92"/>
        <v>13487.374740111172</v>
      </c>
      <c r="AH622" s="25">
        <f t="shared" si="93"/>
        <v>12664.599189649049</v>
      </c>
      <c r="AI622" s="25">
        <f t="shared" si="94"/>
        <v>12362.416437517379</v>
      </c>
    </row>
    <row r="623" spans="1:35" ht="15.75" customHeight="1">
      <c r="A623" s="12" t="s">
        <v>465</v>
      </c>
      <c r="B623" s="12" t="s">
        <v>466</v>
      </c>
      <c r="C623" s="12" t="s">
        <v>57</v>
      </c>
      <c r="D623" s="12" t="s">
        <v>33</v>
      </c>
      <c r="E623" s="12" t="s">
        <v>27</v>
      </c>
      <c r="F623" s="13">
        <v>7304.7095973342684</v>
      </c>
      <c r="G623" s="14">
        <v>111995.687052201</v>
      </c>
      <c r="H623" s="24" t="str">
        <f t="shared" si="87"/>
        <v>RJSP</v>
      </c>
      <c r="I623" s="24" t="str">
        <f t="shared" si="95"/>
        <v>RJMG</v>
      </c>
      <c r="J623" s="24" t="str">
        <f t="shared" si="95"/>
        <v>RJES</v>
      </c>
      <c r="K623" s="24" t="str">
        <f t="shared" si="95"/>
        <v>RJSC</v>
      </c>
      <c r="L623" s="24" t="str">
        <f t="shared" si="95"/>
        <v>RJRJ</v>
      </c>
      <c r="M623" s="24" t="str">
        <f t="shared" si="95"/>
        <v>RJPR</v>
      </c>
      <c r="N623" s="24" t="str">
        <f t="shared" si="95"/>
        <v>RJAM</v>
      </c>
      <c r="O623" s="24">
        <f>VLOOKUP(H623, KM!$A:$E, 5, 0)</f>
        <v>429</v>
      </c>
      <c r="P623" s="24">
        <f>VLOOKUP(I623, KM!$A:$E, 5, 0)</f>
        <v>434</v>
      </c>
      <c r="Q623" s="24">
        <f>VLOOKUP(J623, KM!$A:$E, 5, 0)</f>
        <v>521</v>
      </c>
      <c r="R623" s="24">
        <f>VLOOKUP(K623, KM!$A:$E, 5, 0)</f>
        <v>1144</v>
      </c>
      <c r="S623" s="24">
        <f>VLOOKUP(L623, KM!$A:$E, 5, 0)</f>
        <v>0</v>
      </c>
      <c r="T623" s="24">
        <f>VLOOKUP(M623, KM!$A:$E, 5, 0)</f>
        <v>852</v>
      </c>
      <c r="U623" s="24">
        <f>VLOOKUP(N623, KM!$A:$E, 5, 0)</f>
        <v>4374</v>
      </c>
      <c r="V623" s="24">
        <f>VLOOKUP(H623, IMPOSTO!$A:$D, 4, 0)</f>
        <v>0.12</v>
      </c>
      <c r="W623" s="24">
        <f>VLOOKUP(I623, IMPOSTO!$A:$D, 4, 0)</f>
        <v>0.12</v>
      </c>
      <c r="X623" s="24">
        <f>VLOOKUP(J623, IMPOSTO!$A:$D, 4, 0)</f>
        <v>7.0000000000000007E-2</v>
      </c>
      <c r="Y623" s="24">
        <f>VLOOKUP(K623, IMPOSTO!$A:$D, 4, 0)</f>
        <v>0.12</v>
      </c>
      <c r="Z623" s="24">
        <f>VLOOKUP(L623, IMPOSTO!$A:$D, 4, 0)</f>
        <v>0.18</v>
      </c>
      <c r="AA623" s="24">
        <f>VLOOKUP(M623, IMPOSTO!$A:$D, 4, 0)</f>
        <v>0.12</v>
      </c>
      <c r="AB623" s="24">
        <f>VLOOKUP(N623, IMPOSTO!$A:$D, 4, 0)</f>
        <v>7.0000000000000007E-2</v>
      </c>
      <c r="AC623" s="25">
        <f t="shared" si="88"/>
        <v>127316.57619568295</v>
      </c>
      <c r="AD623" s="25">
        <f t="shared" si="89"/>
        <v>127317.14437750113</v>
      </c>
      <c r="AE623" s="25">
        <f t="shared" si="90"/>
        <v>120481.49145397959</v>
      </c>
      <c r="AF623" s="25">
        <f t="shared" si="91"/>
        <v>127397.82619568295</v>
      </c>
      <c r="AG623" s="25">
        <f t="shared" si="92"/>
        <v>136580.10616122073</v>
      </c>
      <c r="AH623" s="25">
        <f t="shared" si="93"/>
        <v>127364.64437750113</v>
      </c>
      <c r="AI623" s="25">
        <f t="shared" si="94"/>
        <v>120895.79252924839</v>
      </c>
    </row>
    <row r="624" spans="1:35" ht="15.75" customHeight="1">
      <c r="A624" s="12" t="s">
        <v>597</v>
      </c>
      <c r="B624" s="12" t="s">
        <v>598</v>
      </c>
      <c r="C624" s="12" t="s">
        <v>135</v>
      </c>
      <c r="D624" s="12" t="s">
        <v>33</v>
      </c>
      <c r="E624" s="12" t="s">
        <v>27</v>
      </c>
      <c r="F624" s="13">
        <v>4383</v>
      </c>
      <c r="G624" s="14">
        <v>98009.274869057204</v>
      </c>
      <c r="H624" s="24" t="str">
        <f t="shared" si="87"/>
        <v>RJSP</v>
      </c>
      <c r="I624" s="24" t="str">
        <f t="shared" si="95"/>
        <v>RJMG</v>
      </c>
      <c r="J624" s="24" t="str">
        <f t="shared" si="95"/>
        <v>RJES</v>
      </c>
      <c r="K624" s="24" t="str">
        <f t="shared" si="95"/>
        <v>RJSC</v>
      </c>
      <c r="L624" s="24" t="str">
        <f t="shared" si="95"/>
        <v>RJRJ</v>
      </c>
      <c r="M624" s="24" t="str">
        <f t="shared" si="95"/>
        <v>RJPR</v>
      </c>
      <c r="N624" s="24" t="str">
        <f t="shared" si="95"/>
        <v>RJAM</v>
      </c>
      <c r="O624" s="24">
        <f>VLOOKUP(H624, KM!$A:$E, 5, 0)</f>
        <v>429</v>
      </c>
      <c r="P624" s="24">
        <f>VLOOKUP(I624, KM!$A:$E, 5, 0)</f>
        <v>434</v>
      </c>
      <c r="Q624" s="24">
        <f>VLOOKUP(J624, KM!$A:$E, 5, 0)</f>
        <v>521</v>
      </c>
      <c r="R624" s="24">
        <f>VLOOKUP(K624, KM!$A:$E, 5, 0)</f>
        <v>1144</v>
      </c>
      <c r="S624" s="24">
        <f>VLOOKUP(L624, KM!$A:$E, 5, 0)</f>
        <v>0</v>
      </c>
      <c r="T624" s="24">
        <f>VLOOKUP(M624, KM!$A:$E, 5, 0)</f>
        <v>852</v>
      </c>
      <c r="U624" s="24">
        <f>VLOOKUP(N624, KM!$A:$E, 5, 0)</f>
        <v>4374</v>
      </c>
      <c r="V624" s="24">
        <f>VLOOKUP(H624, IMPOSTO!$A:$D, 4, 0)</f>
        <v>0.12</v>
      </c>
      <c r="W624" s="24">
        <f>VLOOKUP(I624, IMPOSTO!$A:$D, 4, 0)</f>
        <v>0.12</v>
      </c>
      <c r="X624" s="24">
        <f>VLOOKUP(J624, IMPOSTO!$A:$D, 4, 0)</f>
        <v>7.0000000000000007E-2</v>
      </c>
      <c r="Y624" s="24">
        <f>VLOOKUP(K624, IMPOSTO!$A:$D, 4, 0)</f>
        <v>0.12</v>
      </c>
      <c r="Z624" s="24">
        <f>VLOOKUP(L624, IMPOSTO!$A:$D, 4, 0)</f>
        <v>0.18</v>
      </c>
      <c r="AA624" s="24">
        <f>VLOOKUP(M624, IMPOSTO!$A:$D, 4, 0)</f>
        <v>0.12</v>
      </c>
      <c r="AB624" s="24">
        <f>VLOOKUP(N624, IMPOSTO!$A:$D, 4, 0)</f>
        <v>7.0000000000000007E-2</v>
      </c>
      <c r="AC624" s="25">
        <f t="shared" si="88"/>
        <v>111422.925987565</v>
      </c>
      <c r="AD624" s="25">
        <f t="shared" si="89"/>
        <v>111423.49416938318</v>
      </c>
      <c r="AE624" s="25">
        <f t="shared" si="90"/>
        <v>105442.33856887872</v>
      </c>
      <c r="AF624" s="25">
        <f t="shared" si="91"/>
        <v>111504.175987565</v>
      </c>
      <c r="AG624" s="25">
        <f t="shared" si="92"/>
        <v>119523.50593787464</v>
      </c>
      <c r="AH624" s="25">
        <f t="shared" si="93"/>
        <v>111470.99416938318</v>
      </c>
      <c r="AI624" s="25">
        <f t="shared" si="94"/>
        <v>105856.63964414754</v>
      </c>
    </row>
    <row r="625" spans="1:35" ht="15.75" customHeight="1">
      <c r="A625" s="12" t="s">
        <v>599</v>
      </c>
      <c r="B625" s="12" t="s">
        <v>600</v>
      </c>
      <c r="C625" s="12" t="s">
        <v>232</v>
      </c>
      <c r="D625" s="12" t="s">
        <v>33</v>
      </c>
      <c r="E625" s="12" t="s">
        <v>27</v>
      </c>
      <c r="F625" s="13">
        <v>2</v>
      </c>
      <c r="G625" s="14">
        <v>178.19499999999999</v>
      </c>
      <c r="H625" s="24" t="str">
        <f t="shared" si="87"/>
        <v>RJSP</v>
      </c>
      <c r="I625" s="24" t="str">
        <f t="shared" si="95"/>
        <v>RJMG</v>
      </c>
      <c r="J625" s="24" t="str">
        <f t="shared" si="95"/>
        <v>RJES</v>
      </c>
      <c r="K625" s="24" t="str">
        <f t="shared" si="95"/>
        <v>RJSC</v>
      </c>
      <c r="L625" s="24" t="str">
        <f t="shared" si="95"/>
        <v>RJRJ</v>
      </c>
      <c r="M625" s="24" t="str">
        <f t="shared" si="95"/>
        <v>RJPR</v>
      </c>
      <c r="N625" s="24" t="str">
        <f t="shared" si="95"/>
        <v>RJAM</v>
      </c>
      <c r="O625" s="24">
        <f>VLOOKUP(H625, KM!$A:$E, 5, 0)</f>
        <v>429</v>
      </c>
      <c r="P625" s="24">
        <f>VLOOKUP(I625, KM!$A:$E, 5, 0)</f>
        <v>434</v>
      </c>
      <c r="Q625" s="24">
        <f>VLOOKUP(J625, KM!$A:$E, 5, 0)</f>
        <v>521</v>
      </c>
      <c r="R625" s="24">
        <f>VLOOKUP(K625, KM!$A:$E, 5, 0)</f>
        <v>1144</v>
      </c>
      <c r="S625" s="24">
        <f>VLOOKUP(L625, KM!$A:$E, 5, 0)</f>
        <v>0</v>
      </c>
      <c r="T625" s="24">
        <f>VLOOKUP(M625, KM!$A:$E, 5, 0)</f>
        <v>852</v>
      </c>
      <c r="U625" s="24">
        <f>VLOOKUP(N625, KM!$A:$E, 5, 0)</f>
        <v>4374</v>
      </c>
      <c r="V625" s="24">
        <f>VLOOKUP(H625, IMPOSTO!$A:$D, 4, 0)</f>
        <v>0.12</v>
      </c>
      <c r="W625" s="24">
        <f>VLOOKUP(I625, IMPOSTO!$A:$D, 4, 0)</f>
        <v>0.12</v>
      </c>
      <c r="X625" s="24">
        <f>VLOOKUP(J625, IMPOSTO!$A:$D, 4, 0)</f>
        <v>7.0000000000000007E-2</v>
      </c>
      <c r="Y625" s="24">
        <f>VLOOKUP(K625, IMPOSTO!$A:$D, 4, 0)</f>
        <v>0.12</v>
      </c>
      <c r="Z625" s="24">
        <f>VLOOKUP(L625, IMPOSTO!$A:$D, 4, 0)</f>
        <v>0.18</v>
      </c>
      <c r="AA625" s="24">
        <f>VLOOKUP(M625, IMPOSTO!$A:$D, 4, 0)</f>
        <v>0.12</v>
      </c>
      <c r="AB625" s="24">
        <f>VLOOKUP(N625, IMPOSTO!$A:$D, 4, 0)</f>
        <v>7.0000000000000007E-2</v>
      </c>
      <c r="AC625" s="25">
        <f t="shared" si="88"/>
        <v>251.24431818181819</v>
      </c>
      <c r="AD625" s="25">
        <f t="shared" si="89"/>
        <v>251.8125</v>
      </c>
      <c r="AE625" s="25">
        <f t="shared" si="90"/>
        <v>247.62903225806451</v>
      </c>
      <c r="AF625" s="25">
        <f t="shared" si="91"/>
        <v>332.49431818181819</v>
      </c>
      <c r="AG625" s="25">
        <f t="shared" si="92"/>
        <v>217.31097560975607</v>
      </c>
      <c r="AH625" s="25">
        <f t="shared" si="93"/>
        <v>299.3125</v>
      </c>
      <c r="AI625" s="25">
        <f t="shared" si="94"/>
        <v>661.93010752688178</v>
      </c>
    </row>
    <row r="626" spans="1:35" ht="15.75" customHeight="1">
      <c r="A626" s="12" t="s">
        <v>601</v>
      </c>
      <c r="B626" s="12" t="s">
        <v>602</v>
      </c>
      <c r="C626" s="12" t="s">
        <v>176</v>
      </c>
      <c r="D626" s="12" t="s">
        <v>33</v>
      </c>
      <c r="E626" s="12" t="s">
        <v>27</v>
      </c>
      <c r="F626" s="13">
        <v>5665.0000000000018</v>
      </c>
      <c r="G626" s="14">
        <v>135261.29525352342</v>
      </c>
      <c r="H626" s="24" t="str">
        <f t="shared" si="87"/>
        <v>RJSP</v>
      </c>
      <c r="I626" s="24" t="str">
        <f t="shared" si="95"/>
        <v>RJMG</v>
      </c>
      <c r="J626" s="24" t="str">
        <f t="shared" si="95"/>
        <v>RJES</v>
      </c>
      <c r="K626" s="24" t="str">
        <f t="shared" si="95"/>
        <v>RJSC</v>
      </c>
      <c r="L626" s="24" t="str">
        <f t="shared" si="95"/>
        <v>RJRJ</v>
      </c>
      <c r="M626" s="24" t="str">
        <f t="shared" si="95"/>
        <v>RJPR</v>
      </c>
      <c r="N626" s="24" t="str">
        <f t="shared" si="95"/>
        <v>RJAM</v>
      </c>
      <c r="O626" s="24">
        <f>VLOOKUP(H626, KM!$A:$E, 5, 0)</f>
        <v>429</v>
      </c>
      <c r="P626" s="24">
        <f>VLOOKUP(I626, KM!$A:$E, 5, 0)</f>
        <v>434</v>
      </c>
      <c r="Q626" s="24">
        <f>VLOOKUP(J626, KM!$A:$E, 5, 0)</f>
        <v>521</v>
      </c>
      <c r="R626" s="24">
        <f>VLOOKUP(K626, KM!$A:$E, 5, 0)</f>
        <v>1144</v>
      </c>
      <c r="S626" s="24">
        <f>VLOOKUP(L626, KM!$A:$E, 5, 0)</f>
        <v>0</v>
      </c>
      <c r="T626" s="24">
        <f>VLOOKUP(M626, KM!$A:$E, 5, 0)</f>
        <v>852</v>
      </c>
      <c r="U626" s="24">
        <f>VLOOKUP(N626, KM!$A:$E, 5, 0)</f>
        <v>4374</v>
      </c>
      <c r="V626" s="24">
        <f>VLOOKUP(H626, IMPOSTO!$A:$D, 4, 0)</f>
        <v>0.12</v>
      </c>
      <c r="W626" s="24">
        <f>VLOOKUP(I626, IMPOSTO!$A:$D, 4, 0)</f>
        <v>0.12</v>
      </c>
      <c r="X626" s="24">
        <f>VLOOKUP(J626, IMPOSTO!$A:$D, 4, 0)</f>
        <v>7.0000000000000007E-2</v>
      </c>
      <c r="Y626" s="24">
        <f>VLOOKUP(K626, IMPOSTO!$A:$D, 4, 0)</f>
        <v>0.12</v>
      </c>
      <c r="Z626" s="24">
        <f>VLOOKUP(L626, IMPOSTO!$A:$D, 4, 0)</f>
        <v>0.18</v>
      </c>
      <c r="AA626" s="24">
        <f>VLOOKUP(M626, IMPOSTO!$A:$D, 4, 0)</f>
        <v>0.12</v>
      </c>
      <c r="AB626" s="24">
        <f>VLOOKUP(N626, IMPOSTO!$A:$D, 4, 0)</f>
        <v>7.0000000000000007E-2</v>
      </c>
      <c r="AC626" s="25">
        <f t="shared" si="88"/>
        <v>153754.76733354933</v>
      </c>
      <c r="AD626" s="25">
        <f t="shared" si="89"/>
        <v>153755.33551536751</v>
      </c>
      <c r="AE626" s="25">
        <f t="shared" si="90"/>
        <v>145498.27446615422</v>
      </c>
      <c r="AF626" s="25">
        <f t="shared" si="91"/>
        <v>153836.01733354933</v>
      </c>
      <c r="AG626" s="25">
        <f t="shared" si="92"/>
        <v>164952.7990896627</v>
      </c>
      <c r="AH626" s="25">
        <f t="shared" si="93"/>
        <v>153802.83551536754</v>
      </c>
      <c r="AI626" s="25">
        <f t="shared" si="94"/>
        <v>145912.57554142305</v>
      </c>
    </row>
    <row r="627" spans="1:35" ht="15.75" customHeight="1">
      <c r="A627" s="12" t="s">
        <v>603</v>
      </c>
      <c r="B627" s="12" t="s">
        <v>604</v>
      </c>
      <c r="C627" s="12" t="s">
        <v>232</v>
      </c>
      <c r="D627" s="12" t="s">
        <v>33</v>
      </c>
      <c r="E627" s="12" t="s">
        <v>27</v>
      </c>
      <c r="F627" s="13">
        <v>14</v>
      </c>
      <c r="G627" s="14">
        <v>1179.8500000000001</v>
      </c>
      <c r="H627" s="24" t="str">
        <f t="shared" si="87"/>
        <v>RJSP</v>
      </c>
      <c r="I627" s="24" t="str">
        <f t="shared" si="95"/>
        <v>RJMG</v>
      </c>
      <c r="J627" s="24" t="str">
        <f t="shared" si="95"/>
        <v>RJES</v>
      </c>
      <c r="K627" s="24" t="str">
        <f t="shared" si="95"/>
        <v>RJSC</v>
      </c>
      <c r="L627" s="24" t="str">
        <f t="shared" si="95"/>
        <v>RJRJ</v>
      </c>
      <c r="M627" s="24" t="str">
        <f t="shared" si="95"/>
        <v>RJPR</v>
      </c>
      <c r="N627" s="24" t="str">
        <f t="shared" si="95"/>
        <v>RJAM</v>
      </c>
      <c r="O627" s="24">
        <f>VLOOKUP(H627, KM!$A:$E, 5, 0)</f>
        <v>429</v>
      </c>
      <c r="P627" s="24">
        <f>VLOOKUP(I627, KM!$A:$E, 5, 0)</f>
        <v>434</v>
      </c>
      <c r="Q627" s="24">
        <f>VLOOKUP(J627, KM!$A:$E, 5, 0)</f>
        <v>521</v>
      </c>
      <c r="R627" s="24">
        <f>VLOOKUP(K627, KM!$A:$E, 5, 0)</f>
        <v>1144</v>
      </c>
      <c r="S627" s="24">
        <f>VLOOKUP(L627, KM!$A:$E, 5, 0)</f>
        <v>0</v>
      </c>
      <c r="T627" s="24">
        <f>VLOOKUP(M627, KM!$A:$E, 5, 0)</f>
        <v>852</v>
      </c>
      <c r="U627" s="24">
        <f>VLOOKUP(N627, KM!$A:$E, 5, 0)</f>
        <v>4374</v>
      </c>
      <c r="V627" s="24">
        <f>VLOOKUP(H627, IMPOSTO!$A:$D, 4, 0)</f>
        <v>0.12</v>
      </c>
      <c r="W627" s="24">
        <f>VLOOKUP(I627, IMPOSTO!$A:$D, 4, 0)</f>
        <v>0.12</v>
      </c>
      <c r="X627" s="24">
        <f>VLOOKUP(J627, IMPOSTO!$A:$D, 4, 0)</f>
        <v>7.0000000000000007E-2</v>
      </c>
      <c r="Y627" s="24">
        <f>VLOOKUP(K627, IMPOSTO!$A:$D, 4, 0)</f>
        <v>0.12</v>
      </c>
      <c r="Z627" s="24">
        <f>VLOOKUP(L627, IMPOSTO!$A:$D, 4, 0)</f>
        <v>0.18</v>
      </c>
      <c r="AA627" s="24">
        <f>VLOOKUP(M627, IMPOSTO!$A:$D, 4, 0)</f>
        <v>0.12</v>
      </c>
      <c r="AB627" s="24">
        <f>VLOOKUP(N627, IMPOSTO!$A:$D, 4, 0)</f>
        <v>7.0000000000000007E-2</v>
      </c>
      <c r="AC627" s="25">
        <f t="shared" si="88"/>
        <v>1389.4886363636367</v>
      </c>
      <c r="AD627" s="25">
        <f t="shared" si="89"/>
        <v>1390.0568181818185</v>
      </c>
      <c r="AE627" s="25">
        <f t="shared" si="90"/>
        <v>1324.6774193548388</v>
      </c>
      <c r="AF627" s="25">
        <f t="shared" si="91"/>
        <v>1470.7386363636367</v>
      </c>
      <c r="AG627" s="25">
        <f t="shared" si="92"/>
        <v>1438.8414634146343</v>
      </c>
      <c r="AH627" s="25">
        <f t="shared" si="93"/>
        <v>1437.5568181818185</v>
      </c>
      <c r="AI627" s="25">
        <f t="shared" si="94"/>
        <v>1738.9784946236564</v>
      </c>
    </row>
    <row r="628" spans="1:35" ht="15.75" customHeight="1">
      <c r="A628" s="12" t="s">
        <v>605</v>
      </c>
      <c r="B628" s="12" t="s">
        <v>606</v>
      </c>
      <c r="C628" s="12" t="s">
        <v>192</v>
      </c>
      <c r="D628" s="12" t="s">
        <v>33</v>
      </c>
      <c r="E628" s="12" t="s">
        <v>27</v>
      </c>
      <c r="F628" s="13">
        <v>1.6666666666666665</v>
      </c>
      <c r="G628" s="14">
        <v>16.486666666666665</v>
      </c>
      <c r="H628" s="24" t="str">
        <f t="shared" si="87"/>
        <v>RJSP</v>
      </c>
      <c r="I628" s="24" t="str">
        <f t="shared" si="95"/>
        <v>RJMG</v>
      </c>
      <c r="J628" s="24" t="str">
        <f t="shared" si="95"/>
        <v>RJES</v>
      </c>
      <c r="K628" s="24" t="str">
        <f t="shared" si="95"/>
        <v>RJSC</v>
      </c>
      <c r="L628" s="24" t="str">
        <f t="shared" si="95"/>
        <v>RJRJ</v>
      </c>
      <c r="M628" s="24" t="str">
        <f t="shared" si="95"/>
        <v>RJPR</v>
      </c>
      <c r="N628" s="24" t="str">
        <f t="shared" si="95"/>
        <v>RJAM</v>
      </c>
      <c r="O628" s="24">
        <f>VLOOKUP(H628, KM!$A:$E, 5, 0)</f>
        <v>429</v>
      </c>
      <c r="P628" s="24">
        <f>VLOOKUP(I628, KM!$A:$E, 5, 0)</f>
        <v>434</v>
      </c>
      <c r="Q628" s="24">
        <f>VLOOKUP(J628, KM!$A:$E, 5, 0)</f>
        <v>521</v>
      </c>
      <c r="R628" s="24">
        <f>VLOOKUP(K628, KM!$A:$E, 5, 0)</f>
        <v>1144</v>
      </c>
      <c r="S628" s="24">
        <f>VLOOKUP(L628, KM!$A:$E, 5, 0)</f>
        <v>0</v>
      </c>
      <c r="T628" s="24">
        <f>VLOOKUP(M628, KM!$A:$E, 5, 0)</f>
        <v>852</v>
      </c>
      <c r="U628" s="24">
        <f>VLOOKUP(N628, KM!$A:$E, 5, 0)</f>
        <v>4374</v>
      </c>
      <c r="V628" s="24">
        <f>VLOOKUP(H628, IMPOSTO!$A:$D, 4, 0)</f>
        <v>0.12</v>
      </c>
      <c r="W628" s="24">
        <f>VLOOKUP(I628, IMPOSTO!$A:$D, 4, 0)</f>
        <v>0.12</v>
      </c>
      <c r="X628" s="24">
        <f>VLOOKUP(J628, IMPOSTO!$A:$D, 4, 0)</f>
        <v>7.0000000000000007E-2</v>
      </c>
      <c r="Y628" s="24">
        <f>VLOOKUP(K628, IMPOSTO!$A:$D, 4, 0)</f>
        <v>0.12</v>
      </c>
      <c r="Z628" s="24">
        <f>VLOOKUP(L628, IMPOSTO!$A:$D, 4, 0)</f>
        <v>0.18</v>
      </c>
      <c r="AA628" s="24">
        <f>VLOOKUP(M628, IMPOSTO!$A:$D, 4, 0)</f>
        <v>0.12</v>
      </c>
      <c r="AB628" s="24">
        <f>VLOOKUP(N628, IMPOSTO!$A:$D, 4, 0)</f>
        <v>7.0000000000000007E-2</v>
      </c>
      <c r="AC628" s="25">
        <f t="shared" si="88"/>
        <v>67.484848484848484</v>
      </c>
      <c r="AD628" s="25">
        <f t="shared" si="89"/>
        <v>68.053030303030312</v>
      </c>
      <c r="AE628" s="25">
        <f t="shared" si="90"/>
        <v>73.74910394265234</v>
      </c>
      <c r="AF628" s="25">
        <f t="shared" si="91"/>
        <v>148.73484848484847</v>
      </c>
      <c r="AG628" s="25">
        <f t="shared" si="92"/>
        <v>20.105691056910565</v>
      </c>
      <c r="AH628" s="25">
        <f t="shared" si="93"/>
        <v>115.5530303030303</v>
      </c>
      <c r="AI628" s="25">
        <f t="shared" si="94"/>
        <v>488.05017921146964</v>
      </c>
    </row>
    <row r="629" spans="1:35" ht="15.75" customHeight="1">
      <c r="A629" s="12" t="s">
        <v>233</v>
      </c>
      <c r="B629" s="12" t="s">
        <v>234</v>
      </c>
      <c r="C629" s="12" t="s">
        <v>232</v>
      </c>
      <c r="D629" s="12" t="s">
        <v>33</v>
      </c>
      <c r="E629" s="12" t="s">
        <v>27</v>
      </c>
      <c r="F629" s="13">
        <v>6.9066666666666672</v>
      </c>
      <c r="G629" s="14">
        <v>271.48133333333334</v>
      </c>
      <c r="H629" s="24" t="str">
        <f t="shared" si="87"/>
        <v>RJSP</v>
      </c>
      <c r="I629" s="24" t="str">
        <f t="shared" si="95"/>
        <v>RJMG</v>
      </c>
      <c r="J629" s="24" t="str">
        <f t="shared" si="95"/>
        <v>RJES</v>
      </c>
      <c r="K629" s="24" t="str">
        <f t="shared" si="95"/>
        <v>RJSC</v>
      </c>
      <c r="L629" s="24" t="str">
        <f t="shared" si="95"/>
        <v>RJRJ</v>
      </c>
      <c r="M629" s="24" t="str">
        <f t="shared" si="95"/>
        <v>RJPR</v>
      </c>
      <c r="N629" s="24" t="str">
        <f t="shared" si="95"/>
        <v>RJAM</v>
      </c>
      <c r="O629" s="24">
        <f>VLOOKUP(H629, KM!$A:$E, 5, 0)</f>
        <v>429</v>
      </c>
      <c r="P629" s="24">
        <f>VLOOKUP(I629, KM!$A:$E, 5, 0)</f>
        <v>434</v>
      </c>
      <c r="Q629" s="24">
        <f>VLOOKUP(J629, KM!$A:$E, 5, 0)</f>
        <v>521</v>
      </c>
      <c r="R629" s="24">
        <f>VLOOKUP(K629, KM!$A:$E, 5, 0)</f>
        <v>1144</v>
      </c>
      <c r="S629" s="24">
        <f>VLOOKUP(L629, KM!$A:$E, 5, 0)</f>
        <v>0</v>
      </c>
      <c r="T629" s="24">
        <f>VLOOKUP(M629, KM!$A:$E, 5, 0)</f>
        <v>852</v>
      </c>
      <c r="U629" s="24">
        <f>VLOOKUP(N629, KM!$A:$E, 5, 0)</f>
        <v>4374</v>
      </c>
      <c r="V629" s="24">
        <f>VLOOKUP(H629, IMPOSTO!$A:$D, 4, 0)</f>
        <v>0.12</v>
      </c>
      <c r="W629" s="24">
        <f>VLOOKUP(I629, IMPOSTO!$A:$D, 4, 0)</f>
        <v>0.12</v>
      </c>
      <c r="X629" s="24">
        <f>VLOOKUP(J629, IMPOSTO!$A:$D, 4, 0)</f>
        <v>7.0000000000000007E-2</v>
      </c>
      <c r="Y629" s="24">
        <f>VLOOKUP(K629, IMPOSTO!$A:$D, 4, 0)</f>
        <v>0.12</v>
      </c>
      <c r="Z629" s="24">
        <f>VLOOKUP(L629, IMPOSTO!$A:$D, 4, 0)</f>
        <v>0.18</v>
      </c>
      <c r="AA629" s="24">
        <f>VLOOKUP(M629, IMPOSTO!$A:$D, 4, 0)</f>
        <v>0.12</v>
      </c>
      <c r="AB629" s="24">
        <f>VLOOKUP(N629, IMPOSTO!$A:$D, 4, 0)</f>
        <v>7.0000000000000007E-2</v>
      </c>
      <c r="AC629" s="25">
        <f t="shared" si="88"/>
        <v>357.25151515151521</v>
      </c>
      <c r="AD629" s="25">
        <f t="shared" si="89"/>
        <v>357.81969696969702</v>
      </c>
      <c r="AE629" s="25">
        <f t="shared" si="90"/>
        <v>347.93691756272409</v>
      </c>
      <c r="AF629" s="25">
        <f t="shared" si="91"/>
        <v>438.50151515151521</v>
      </c>
      <c r="AG629" s="25">
        <f t="shared" si="92"/>
        <v>331.07479674796747</v>
      </c>
      <c r="AH629" s="25">
        <f t="shared" si="93"/>
        <v>405.31969696969696</v>
      </c>
      <c r="AI629" s="25">
        <f t="shared" si="94"/>
        <v>762.23799283154131</v>
      </c>
    </row>
    <row r="630" spans="1:35" ht="15.75" customHeight="1">
      <c r="A630" s="12" t="s">
        <v>477</v>
      </c>
      <c r="B630" s="12" t="s">
        <v>478</v>
      </c>
      <c r="C630" s="12" t="s">
        <v>232</v>
      </c>
      <c r="D630" s="12" t="s">
        <v>33</v>
      </c>
      <c r="E630" s="12" t="s">
        <v>27</v>
      </c>
      <c r="F630" s="13">
        <v>9.0047393364928912</v>
      </c>
      <c r="G630" s="14">
        <v>260.47649289099525</v>
      </c>
      <c r="H630" s="24" t="str">
        <f t="shared" si="87"/>
        <v>RJSP</v>
      </c>
      <c r="I630" s="24" t="str">
        <f t="shared" si="95"/>
        <v>RJMG</v>
      </c>
      <c r="J630" s="24" t="str">
        <f t="shared" si="95"/>
        <v>RJES</v>
      </c>
      <c r="K630" s="24" t="str">
        <f t="shared" si="95"/>
        <v>RJSC</v>
      </c>
      <c r="L630" s="24" t="str">
        <f t="shared" si="95"/>
        <v>RJRJ</v>
      </c>
      <c r="M630" s="24" t="str">
        <f t="shared" si="95"/>
        <v>RJPR</v>
      </c>
      <c r="N630" s="24" t="str">
        <f t="shared" si="95"/>
        <v>RJAM</v>
      </c>
      <c r="O630" s="24">
        <f>VLOOKUP(H630, KM!$A:$E, 5, 0)</f>
        <v>429</v>
      </c>
      <c r="P630" s="24">
        <f>VLOOKUP(I630, KM!$A:$E, 5, 0)</f>
        <v>434</v>
      </c>
      <c r="Q630" s="24">
        <f>VLOOKUP(J630, KM!$A:$E, 5, 0)</f>
        <v>521</v>
      </c>
      <c r="R630" s="24">
        <f>VLOOKUP(K630, KM!$A:$E, 5, 0)</f>
        <v>1144</v>
      </c>
      <c r="S630" s="24">
        <f>VLOOKUP(L630, KM!$A:$E, 5, 0)</f>
        <v>0</v>
      </c>
      <c r="T630" s="24">
        <f>VLOOKUP(M630, KM!$A:$E, 5, 0)</f>
        <v>852</v>
      </c>
      <c r="U630" s="24">
        <f>VLOOKUP(N630, KM!$A:$E, 5, 0)</f>
        <v>4374</v>
      </c>
      <c r="V630" s="24">
        <f>VLOOKUP(H630, IMPOSTO!$A:$D, 4, 0)</f>
        <v>0.12</v>
      </c>
      <c r="W630" s="24">
        <f>VLOOKUP(I630, IMPOSTO!$A:$D, 4, 0)</f>
        <v>0.12</v>
      </c>
      <c r="X630" s="24">
        <f>VLOOKUP(J630, IMPOSTO!$A:$D, 4, 0)</f>
        <v>7.0000000000000007E-2</v>
      </c>
      <c r="Y630" s="24">
        <f>VLOOKUP(K630, IMPOSTO!$A:$D, 4, 0)</f>
        <v>0.12</v>
      </c>
      <c r="Z630" s="24">
        <f>VLOOKUP(L630, IMPOSTO!$A:$D, 4, 0)</f>
        <v>0.18</v>
      </c>
      <c r="AA630" s="24">
        <f>VLOOKUP(M630, IMPOSTO!$A:$D, 4, 0)</f>
        <v>0.12</v>
      </c>
      <c r="AB630" s="24">
        <f>VLOOKUP(N630, IMPOSTO!$A:$D, 4, 0)</f>
        <v>7.0000000000000007E-2</v>
      </c>
      <c r="AC630" s="25">
        <f t="shared" si="88"/>
        <v>344.74601464885819</v>
      </c>
      <c r="AD630" s="25">
        <f t="shared" si="89"/>
        <v>345.31419646704001</v>
      </c>
      <c r="AE630" s="25">
        <f t="shared" si="90"/>
        <v>336.10375579676912</v>
      </c>
      <c r="AF630" s="25">
        <f t="shared" si="91"/>
        <v>425.99601464885819</v>
      </c>
      <c r="AG630" s="25">
        <f t="shared" si="92"/>
        <v>317.65425962316493</v>
      </c>
      <c r="AH630" s="25">
        <f t="shared" si="93"/>
        <v>392.81419646704006</v>
      </c>
      <c r="AI630" s="25">
        <f t="shared" si="94"/>
        <v>750.40483106558634</v>
      </c>
    </row>
    <row r="631" spans="1:35" ht="15.75" customHeight="1">
      <c r="A631" s="12" t="s">
        <v>346</v>
      </c>
      <c r="B631" s="12" t="s">
        <v>347</v>
      </c>
      <c r="C631" s="12" t="s">
        <v>259</v>
      </c>
      <c r="D631" s="12" t="s">
        <v>50</v>
      </c>
      <c r="E631" s="12" t="s">
        <v>27</v>
      </c>
      <c r="F631" s="13">
        <v>496.04138995829322</v>
      </c>
      <c r="G631" s="14">
        <v>33694.623337352583</v>
      </c>
      <c r="H631" s="24" t="str">
        <f t="shared" si="87"/>
        <v>RJSP</v>
      </c>
      <c r="I631" s="24" t="str">
        <f t="shared" si="95"/>
        <v>RJMG</v>
      </c>
      <c r="J631" s="24" t="str">
        <f t="shared" si="95"/>
        <v>RJES</v>
      </c>
      <c r="K631" s="24" t="str">
        <f t="shared" si="95"/>
        <v>RJSC</v>
      </c>
      <c r="L631" s="24" t="str">
        <f t="shared" si="95"/>
        <v>RJRJ</v>
      </c>
      <c r="M631" s="24" t="str">
        <f t="shared" si="95"/>
        <v>RJPR</v>
      </c>
      <c r="N631" s="24" t="str">
        <f t="shared" si="95"/>
        <v>RJAM</v>
      </c>
      <c r="O631" s="24">
        <f>VLOOKUP(H631, KM!$A:$E, 5, 0)</f>
        <v>429</v>
      </c>
      <c r="P631" s="24">
        <f>VLOOKUP(I631, KM!$A:$E, 5, 0)</f>
        <v>434</v>
      </c>
      <c r="Q631" s="24">
        <f>VLOOKUP(J631, KM!$A:$E, 5, 0)</f>
        <v>521</v>
      </c>
      <c r="R631" s="24">
        <f>VLOOKUP(K631, KM!$A:$E, 5, 0)</f>
        <v>1144</v>
      </c>
      <c r="S631" s="24">
        <f>VLOOKUP(L631, KM!$A:$E, 5, 0)</f>
        <v>0</v>
      </c>
      <c r="T631" s="24">
        <f>VLOOKUP(M631, KM!$A:$E, 5, 0)</f>
        <v>852</v>
      </c>
      <c r="U631" s="24">
        <f>VLOOKUP(N631, KM!$A:$E, 5, 0)</f>
        <v>4374</v>
      </c>
      <c r="V631" s="24">
        <f>VLOOKUP(H631, IMPOSTO!$A:$D, 4, 0)</f>
        <v>0.12</v>
      </c>
      <c r="W631" s="24">
        <f>VLOOKUP(I631, IMPOSTO!$A:$D, 4, 0)</f>
        <v>0.12</v>
      </c>
      <c r="X631" s="24">
        <f>VLOOKUP(J631, IMPOSTO!$A:$D, 4, 0)</f>
        <v>7.0000000000000007E-2</v>
      </c>
      <c r="Y631" s="24">
        <f>VLOOKUP(K631, IMPOSTO!$A:$D, 4, 0)</f>
        <v>0.12</v>
      </c>
      <c r="Z631" s="24">
        <f>VLOOKUP(L631, IMPOSTO!$A:$D, 4, 0)</f>
        <v>0.18</v>
      </c>
      <c r="AA631" s="24">
        <f>VLOOKUP(M631, IMPOSTO!$A:$D, 4, 0)</f>
        <v>0.12</v>
      </c>
      <c r="AB631" s="24">
        <f>VLOOKUP(N631, IMPOSTO!$A:$D, 4, 0)</f>
        <v>7.0000000000000007E-2</v>
      </c>
      <c r="AC631" s="25">
        <f t="shared" si="88"/>
        <v>38338.094701537026</v>
      </c>
      <c r="AD631" s="25">
        <f t="shared" si="89"/>
        <v>38338.662883355209</v>
      </c>
      <c r="AE631" s="25">
        <f t="shared" si="90"/>
        <v>36286.799287475893</v>
      </c>
      <c r="AF631" s="25">
        <f t="shared" si="91"/>
        <v>38419.344701537026</v>
      </c>
      <c r="AG631" s="25">
        <f t="shared" si="92"/>
        <v>41091.004069942173</v>
      </c>
      <c r="AH631" s="25">
        <f t="shared" si="93"/>
        <v>38386.162883355202</v>
      </c>
      <c r="AI631" s="25">
        <f t="shared" si="94"/>
        <v>36701.100362744713</v>
      </c>
    </row>
    <row r="632" spans="1:35" ht="15.75" customHeight="1">
      <c r="A632" s="12" t="s">
        <v>317</v>
      </c>
      <c r="B632" s="12" t="s">
        <v>318</v>
      </c>
      <c r="C632" s="12" t="s">
        <v>210</v>
      </c>
      <c r="D632" s="12" t="s">
        <v>33</v>
      </c>
      <c r="E632" s="12" t="s">
        <v>27</v>
      </c>
      <c r="F632" s="13">
        <v>0.77358963212278042</v>
      </c>
      <c r="G632" s="14">
        <v>5.6060143857666827</v>
      </c>
      <c r="H632" s="24" t="str">
        <f t="shared" si="87"/>
        <v>RJSP</v>
      </c>
      <c r="I632" s="24" t="str">
        <f t="shared" si="95"/>
        <v>RJMG</v>
      </c>
      <c r="J632" s="24" t="str">
        <f t="shared" si="95"/>
        <v>RJES</v>
      </c>
      <c r="K632" s="24" t="str">
        <f t="shared" si="95"/>
        <v>RJSC</v>
      </c>
      <c r="L632" s="24" t="str">
        <f t="shared" si="95"/>
        <v>RJRJ</v>
      </c>
      <c r="M632" s="24" t="str">
        <f t="shared" si="95"/>
        <v>RJPR</v>
      </c>
      <c r="N632" s="24" t="str">
        <f t="shared" si="95"/>
        <v>RJAM</v>
      </c>
      <c r="O632" s="24">
        <f>VLOOKUP(H632, KM!$A:$E, 5, 0)</f>
        <v>429</v>
      </c>
      <c r="P632" s="24">
        <f>VLOOKUP(I632, KM!$A:$E, 5, 0)</f>
        <v>434</v>
      </c>
      <c r="Q632" s="24">
        <f>VLOOKUP(J632, KM!$A:$E, 5, 0)</f>
        <v>521</v>
      </c>
      <c r="R632" s="24">
        <f>VLOOKUP(K632, KM!$A:$E, 5, 0)</f>
        <v>1144</v>
      </c>
      <c r="S632" s="24">
        <f>VLOOKUP(L632, KM!$A:$E, 5, 0)</f>
        <v>0</v>
      </c>
      <c r="T632" s="24">
        <f>VLOOKUP(M632, KM!$A:$E, 5, 0)</f>
        <v>852</v>
      </c>
      <c r="U632" s="24">
        <f>VLOOKUP(N632, KM!$A:$E, 5, 0)</f>
        <v>4374</v>
      </c>
      <c r="V632" s="24">
        <f>VLOOKUP(H632, IMPOSTO!$A:$D, 4, 0)</f>
        <v>0.12</v>
      </c>
      <c r="W632" s="24">
        <f>VLOOKUP(I632, IMPOSTO!$A:$D, 4, 0)</f>
        <v>0.12</v>
      </c>
      <c r="X632" s="24">
        <f>VLOOKUP(J632, IMPOSTO!$A:$D, 4, 0)</f>
        <v>7.0000000000000007E-2</v>
      </c>
      <c r="Y632" s="24">
        <f>VLOOKUP(K632, IMPOSTO!$A:$D, 4, 0)</f>
        <v>0.12</v>
      </c>
      <c r="Z632" s="24">
        <f>VLOOKUP(L632, IMPOSTO!$A:$D, 4, 0)</f>
        <v>0.18</v>
      </c>
      <c r="AA632" s="24">
        <f>VLOOKUP(M632, IMPOSTO!$A:$D, 4, 0)</f>
        <v>0.12</v>
      </c>
      <c r="AB632" s="24">
        <f>VLOOKUP(N632, IMPOSTO!$A:$D, 4, 0)</f>
        <v>7.0000000000000007E-2</v>
      </c>
      <c r="AC632" s="25">
        <f t="shared" si="88"/>
        <v>55.120470892916693</v>
      </c>
      <c r="AD632" s="25">
        <f t="shared" si="89"/>
        <v>55.688652711098513</v>
      </c>
      <c r="AE632" s="25">
        <f t="shared" si="90"/>
        <v>62.049477834157727</v>
      </c>
      <c r="AF632" s="25">
        <f t="shared" si="91"/>
        <v>136.3704708929167</v>
      </c>
      <c r="AG632" s="25">
        <f t="shared" si="92"/>
        <v>6.8366029094715639</v>
      </c>
      <c r="AH632" s="25">
        <f t="shared" si="93"/>
        <v>103.18865271109851</v>
      </c>
      <c r="AI632" s="25">
        <f t="shared" si="94"/>
        <v>476.35055310297497</v>
      </c>
    </row>
    <row r="633" spans="1:35" ht="15.75" customHeight="1">
      <c r="A633" s="12" t="s">
        <v>483</v>
      </c>
      <c r="B633" s="12" t="s">
        <v>484</v>
      </c>
      <c r="C633" s="12" t="s">
        <v>69</v>
      </c>
      <c r="D633" s="12" t="s">
        <v>33</v>
      </c>
      <c r="E633" s="12" t="s">
        <v>27</v>
      </c>
      <c r="F633" s="13">
        <v>0.10010000000000002</v>
      </c>
      <c r="G633" s="14">
        <v>1.6499000000000004</v>
      </c>
      <c r="H633" s="24" t="str">
        <f t="shared" si="87"/>
        <v>RJSP</v>
      </c>
      <c r="I633" s="24" t="str">
        <f t="shared" si="95"/>
        <v>RJMG</v>
      </c>
      <c r="J633" s="24" t="str">
        <f t="shared" si="95"/>
        <v>RJES</v>
      </c>
      <c r="K633" s="24" t="str">
        <f t="shared" si="95"/>
        <v>RJSC</v>
      </c>
      <c r="L633" s="24" t="str">
        <f t="shared" si="95"/>
        <v>RJRJ</v>
      </c>
      <c r="M633" s="24" t="str">
        <f t="shared" si="95"/>
        <v>RJPR</v>
      </c>
      <c r="N633" s="24" t="str">
        <f t="shared" si="95"/>
        <v>RJAM</v>
      </c>
      <c r="O633" s="24">
        <f>VLOOKUP(H633, KM!$A:$E, 5, 0)</f>
        <v>429</v>
      </c>
      <c r="P633" s="24">
        <f>VLOOKUP(I633, KM!$A:$E, 5, 0)</f>
        <v>434</v>
      </c>
      <c r="Q633" s="24">
        <f>VLOOKUP(J633, KM!$A:$E, 5, 0)</f>
        <v>521</v>
      </c>
      <c r="R633" s="24">
        <f>VLOOKUP(K633, KM!$A:$E, 5, 0)</f>
        <v>1144</v>
      </c>
      <c r="S633" s="24">
        <f>VLOOKUP(L633, KM!$A:$E, 5, 0)</f>
        <v>0</v>
      </c>
      <c r="T633" s="24">
        <f>VLOOKUP(M633, KM!$A:$E, 5, 0)</f>
        <v>852</v>
      </c>
      <c r="U633" s="24">
        <f>VLOOKUP(N633, KM!$A:$E, 5, 0)</f>
        <v>4374</v>
      </c>
      <c r="V633" s="24">
        <f>VLOOKUP(H633, IMPOSTO!$A:$D, 4, 0)</f>
        <v>0.12</v>
      </c>
      <c r="W633" s="24">
        <f>VLOOKUP(I633, IMPOSTO!$A:$D, 4, 0)</f>
        <v>0.12</v>
      </c>
      <c r="X633" s="24">
        <f>VLOOKUP(J633, IMPOSTO!$A:$D, 4, 0)</f>
        <v>7.0000000000000007E-2</v>
      </c>
      <c r="Y633" s="24">
        <f>VLOOKUP(K633, IMPOSTO!$A:$D, 4, 0)</f>
        <v>0.12</v>
      </c>
      <c r="Z633" s="24">
        <f>VLOOKUP(L633, IMPOSTO!$A:$D, 4, 0)</f>
        <v>0.18</v>
      </c>
      <c r="AA633" s="24">
        <f>VLOOKUP(M633, IMPOSTO!$A:$D, 4, 0)</f>
        <v>0.12</v>
      </c>
      <c r="AB633" s="24">
        <f>VLOOKUP(N633, IMPOSTO!$A:$D, 4, 0)</f>
        <v>7.0000000000000007E-2</v>
      </c>
      <c r="AC633" s="25">
        <f t="shared" si="88"/>
        <v>50.624886363636371</v>
      </c>
      <c r="AD633" s="25">
        <f t="shared" si="89"/>
        <v>51.193068181818191</v>
      </c>
      <c r="AE633" s="25">
        <f t="shared" si="90"/>
        <v>57.795591397849471</v>
      </c>
      <c r="AF633" s="25">
        <f t="shared" si="91"/>
        <v>131.87488636363636</v>
      </c>
      <c r="AG633" s="25">
        <f t="shared" si="92"/>
        <v>2.0120731707317074</v>
      </c>
      <c r="AH633" s="25">
        <f t="shared" si="93"/>
        <v>98.693068181818191</v>
      </c>
      <c r="AI633" s="25">
        <f t="shared" si="94"/>
        <v>472.09666666666675</v>
      </c>
    </row>
    <row r="634" spans="1:35" ht="15.75" customHeight="1">
      <c r="A634" s="12" t="s">
        <v>90</v>
      </c>
      <c r="B634" s="12" t="s">
        <v>91</v>
      </c>
      <c r="C634" s="12" t="s">
        <v>63</v>
      </c>
      <c r="D634" s="12" t="s">
        <v>33</v>
      </c>
      <c r="E634" s="12" t="s">
        <v>27</v>
      </c>
      <c r="F634" s="13">
        <v>6.6000000000000003E-2</v>
      </c>
      <c r="G634" s="14">
        <v>0.121077</v>
      </c>
      <c r="H634" s="24" t="str">
        <f t="shared" si="87"/>
        <v>RJSP</v>
      </c>
      <c r="I634" s="24" t="str">
        <f t="shared" si="95"/>
        <v>RJMG</v>
      </c>
      <c r="J634" s="24" t="str">
        <f t="shared" si="95"/>
        <v>RJES</v>
      </c>
      <c r="K634" s="24" t="str">
        <f t="shared" si="95"/>
        <v>RJSC</v>
      </c>
      <c r="L634" s="24" t="str">
        <f t="shared" si="95"/>
        <v>RJRJ</v>
      </c>
      <c r="M634" s="24" t="str">
        <f t="shared" si="95"/>
        <v>RJPR</v>
      </c>
      <c r="N634" s="24" t="str">
        <f t="shared" si="95"/>
        <v>RJAM</v>
      </c>
      <c r="O634" s="24">
        <f>VLOOKUP(H634, KM!$A:$E, 5, 0)</f>
        <v>429</v>
      </c>
      <c r="P634" s="24">
        <f>VLOOKUP(I634, KM!$A:$E, 5, 0)</f>
        <v>434</v>
      </c>
      <c r="Q634" s="24">
        <f>VLOOKUP(J634, KM!$A:$E, 5, 0)</f>
        <v>521</v>
      </c>
      <c r="R634" s="24">
        <f>VLOOKUP(K634, KM!$A:$E, 5, 0)</f>
        <v>1144</v>
      </c>
      <c r="S634" s="24">
        <f>VLOOKUP(L634, KM!$A:$E, 5, 0)</f>
        <v>0</v>
      </c>
      <c r="T634" s="24">
        <f>VLOOKUP(M634, KM!$A:$E, 5, 0)</f>
        <v>852</v>
      </c>
      <c r="U634" s="24">
        <f>VLOOKUP(N634, KM!$A:$E, 5, 0)</f>
        <v>4374</v>
      </c>
      <c r="V634" s="24">
        <f>VLOOKUP(H634, IMPOSTO!$A:$D, 4, 0)</f>
        <v>0.12</v>
      </c>
      <c r="W634" s="24">
        <f>VLOOKUP(I634, IMPOSTO!$A:$D, 4, 0)</f>
        <v>0.12</v>
      </c>
      <c r="X634" s="24">
        <f>VLOOKUP(J634, IMPOSTO!$A:$D, 4, 0)</f>
        <v>7.0000000000000007E-2</v>
      </c>
      <c r="Y634" s="24">
        <f>VLOOKUP(K634, IMPOSTO!$A:$D, 4, 0)</f>
        <v>0.12</v>
      </c>
      <c r="Z634" s="24">
        <f>VLOOKUP(L634, IMPOSTO!$A:$D, 4, 0)</f>
        <v>0.18</v>
      </c>
      <c r="AA634" s="24">
        <f>VLOOKUP(M634, IMPOSTO!$A:$D, 4, 0)</f>
        <v>0.12</v>
      </c>
      <c r="AB634" s="24">
        <f>VLOOKUP(N634, IMPOSTO!$A:$D, 4, 0)</f>
        <v>7.0000000000000007E-2</v>
      </c>
      <c r="AC634" s="25">
        <f t="shared" si="88"/>
        <v>48.887587500000009</v>
      </c>
      <c r="AD634" s="25">
        <f t="shared" si="89"/>
        <v>49.455769318181822</v>
      </c>
      <c r="AE634" s="25">
        <f t="shared" si="90"/>
        <v>56.151695698924733</v>
      </c>
      <c r="AF634" s="25">
        <f t="shared" si="91"/>
        <v>130.1375875</v>
      </c>
      <c r="AG634" s="25">
        <f t="shared" si="92"/>
        <v>0.14765487804878047</v>
      </c>
      <c r="AH634" s="25">
        <f t="shared" si="93"/>
        <v>96.955769318181822</v>
      </c>
      <c r="AI634" s="25">
        <f t="shared" si="94"/>
        <v>470.45277096774203</v>
      </c>
    </row>
    <row r="635" spans="1:35" ht="15.75" customHeight="1">
      <c r="A635" s="12" t="s">
        <v>117</v>
      </c>
      <c r="B635" s="12" t="s">
        <v>118</v>
      </c>
      <c r="C635" s="12" t="s">
        <v>119</v>
      </c>
      <c r="D635" s="12" t="s">
        <v>33</v>
      </c>
      <c r="E635" s="12" t="s">
        <v>27</v>
      </c>
      <c r="F635" s="13">
        <v>1200040.6860000002</v>
      </c>
      <c r="G635" s="14">
        <v>1277912.307698</v>
      </c>
      <c r="H635" s="24" t="str">
        <f t="shared" si="87"/>
        <v>RJSP</v>
      </c>
      <c r="I635" s="24" t="str">
        <f t="shared" si="95"/>
        <v>RJMG</v>
      </c>
      <c r="J635" s="24" t="str">
        <f t="shared" si="95"/>
        <v>RJES</v>
      </c>
      <c r="K635" s="24" t="str">
        <f t="shared" si="95"/>
        <v>RJSC</v>
      </c>
      <c r="L635" s="24" t="str">
        <f t="shared" si="95"/>
        <v>RJRJ</v>
      </c>
      <c r="M635" s="24" t="str">
        <f t="shared" si="95"/>
        <v>RJPR</v>
      </c>
      <c r="N635" s="24" t="str">
        <f t="shared" si="95"/>
        <v>RJAM</v>
      </c>
      <c r="O635" s="24">
        <f>VLOOKUP(H635, KM!$A:$E, 5, 0)</f>
        <v>429</v>
      </c>
      <c r="P635" s="24">
        <f>VLOOKUP(I635, KM!$A:$E, 5, 0)</f>
        <v>434</v>
      </c>
      <c r="Q635" s="24">
        <f>VLOOKUP(J635, KM!$A:$E, 5, 0)</f>
        <v>521</v>
      </c>
      <c r="R635" s="24">
        <f>VLOOKUP(K635, KM!$A:$E, 5, 0)</f>
        <v>1144</v>
      </c>
      <c r="S635" s="24">
        <f>VLOOKUP(L635, KM!$A:$E, 5, 0)</f>
        <v>0</v>
      </c>
      <c r="T635" s="24">
        <f>VLOOKUP(M635, KM!$A:$E, 5, 0)</f>
        <v>852</v>
      </c>
      <c r="U635" s="24">
        <f>VLOOKUP(N635, KM!$A:$E, 5, 0)</f>
        <v>4374</v>
      </c>
      <c r="V635" s="24">
        <f>VLOOKUP(H635, IMPOSTO!$A:$D, 4, 0)</f>
        <v>0.12</v>
      </c>
      <c r="W635" s="24">
        <f>VLOOKUP(I635, IMPOSTO!$A:$D, 4, 0)</f>
        <v>0.12</v>
      </c>
      <c r="X635" s="24">
        <f>VLOOKUP(J635, IMPOSTO!$A:$D, 4, 0)</f>
        <v>7.0000000000000007E-2</v>
      </c>
      <c r="Y635" s="24">
        <f>VLOOKUP(K635, IMPOSTO!$A:$D, 4, 0)</f>
        <v>0.12</v>
      </c>
      <c r="Z635" s="24">
        <f>VLOOKUP(L635, IMPOSTO!$A:$D, 4, 0)</f>
        <v>0.18</v>
      </c>
      <c r="AA635" s="24">
        <f>VLOOKUP(M635, IMPOSTO!$A:$D, 4, 0)</f>
        <v>0.12</v>
      </c>
      <c r="AB635" s="24">
        <f>VLOOKUP(N635, IMPOSTO!$A:$D, 4, 0)</f>
        <v>7.0000000000000007E-2</v>
      </c>
      <c r="AC635" s="25">
        <f t="shared" si="88"/>
        <v>1452221.8269295453</v>
      </c>
      <c r="AD635" s="25">
        <f t="shared" si="89"/>
        <v>1452222.3951113636</v>
      </c>
      <c r="AE635" s="25">
        <f t="shared" si="90"/>
        <v>1374155.2770946238</v>
      </c>
      <c r="AF635" s="25">
        <f t="shared" si="91"/>
        <v>1452303.0769295453</v>
      </c>
      <c r="AG635" s="25">
        <f t="shared" si="92"/>
        <v>1558429.6435341462</v>
      </c>
      <c r="AH635" s="25">
        <f t="shared" si="93"/>
        <v>1452269.8951113636</v>
      </c>
      <c r="AI635" s="25">
        <f t="shared" si="94"/>
        <v>1374569.5781698925</v>
      </c>
    </row>
    <row r="636" spans="1:35" ht="15.75" customHeight="1">
      <c r="A636" s="12" t="s">
        <v>607</v>
      </c>
      <c r="B636" s="12" t="s">
        <v>608</v>
      </c>
      <c r="C636" s="12" t="s">
        <v>609</v>
      </c>
      <c r="D636" s="12" t="s">
        <v>33</v>
      </c>
      <c r="E636" s="12" t="s">
        <v>27</v>
      </c>
      <c r="F636" s="13">
        <v>580.5</v>
      </c>
      <c r="G636" s="14">
        <v>1336.1445000000001</v>
      </c>
      <c r="H636" s="24" t="str">
        <f t="shared" si="87"/>
        <v>RJSP</v>
      </c>
      <c r="I636" s="24" t="str">
        <f t="shared" si="95"/>
        <v>RJMG</v>
      </c>
      <c r="J636" s="24" t="str">
        <f t="shared" si="95"/>
        <v>RJES</v>
      </c>
      <c r="K636" s="24" t="str">
        <f t="shared" si="95"/>
        <v>RJSC</v>
      </c>
      <c r="L636" s="24" t="str">
        <f t="shared" si="95"/>
        <v>RJRJ</v>
      </c>
      <c r="M636" s="24" t="str">
        <f t="shared" si="95"/>
        <v>RJPR</v>
      </c>
      <c r="N636" s="24" t="str">
        <f t="shared" si="95"/>
        <v>RJAM</v>
      </c>
      <c r="O636" s="24">
        <f>VLOOKUP(H636, KM!$A:$E, 5, 0)</f>
        <v>429</v>
      </c>
      <c r="P636" s="24">
        <f>VLOOKUP(I636, KM!$A:$E, 5, 0)</f>
        <v>434</v>
      </c>
      <c r="Q636" s="24">
        <f>VLOOKUP(J636, KM!$A:$E, 5, 0)</f>
        <v>521</v>
      </c>
      <c r="R636" s="24">
        <f>VLOOKUP(K636, KM!$A:$E, 5, 0)</f>
        <v>1144</v>
      </c>
      <c r="S636" s="24">
        <f>VLOOKUP(L636, KM!$A:$E, 5, 0)</f>
        <v>0</v>
      </c>
      <c r="T636" s="24">
        <f>VLOOKUP(M636, KM!$A:$E, 5, 0)</f>
        <v>852</v>
      </c>
      <c r="U636" s="24">
        <f>VLOOKUP(N636, KM!$A:$E, 5, 0)</f>
        <v>4374</v>
      </c>
      <c r="V636" s="24">
        <f>VLOOKUP(H636, IMPOSTO!$A:$D, 4, 0)</f>
        <v>0.12</v>
      </c>
      <c r="W636" s="24">
        <f>VLOOKUP(I636, IMPOSTO!$A:$D, 4, 0)</f>
        <v>0.12</v>
      </c>
      <c r="X636" s="24">
        <f>VLOOKUP(J636, IMPOSTO!$A:$D, 4, 0)</f>
        <v>7.0000000000000007E-2</v>
      </c>
      <c r="Y636" s="24">
        <f>VLOOKUP(K636, IMPOSTO!$A:$D, 4, 0)</f>
        <v>0.12</v>
      </c>
      <c r="Z636" s="24">
        <f>VLOOKUP(L636, IMPOSTO!$A:$D, 4, 0)</f>
        <v>0.18</v>
      </c>
      <c r="AA636" s="24">
        <f>VLOOKUP(M636, IMPOSTO!$A:$D, 4, 0)</f>
        <v>0.12</v>
      </c>
      <c r="AB636" s="24">
        <f>VLOOKUP(N636, IMPOSTO!$A:$D, 4, 0)</f>
        <v>7.0000000000000007E-2</v>
      </c>
      <c r="AC636" s="25">
        <f t="shared" si="88"/>
        <v>1567.0960227272728</v>
      </c>
      <c r="AD636" s="25">
        <f t="shared" si="89"/>
        <v>1567.6642045454548</v>
      </c>
      <c r="AE636" s="25">
        <f t="shared" si="90"/>
        <v>1492.7360215053764</v>
      </c>
      <c r="AF636" s="25">
        <f t="shared" si="91"/>
        <v>1648.3460227272728</v>
      </c>
      <c r="AG636" s="25">
        <f t="shared" si="92"/>
        <v>1629.4445121951219</v>
      </c>
      <c r="AH636" s="25">
        <f t="shared" si="93"/>
        <v>1615.1642045454548</v>
      </c>
      <c r="AI636" s="25">
        <f t="shared" si="94"/>
        <v>1907.037096774194</v>
      </c>
    </row>
    <row r="637" spans="1:35" ht="15.75" customHeight="1">
      <c r="A637" s="12" t="s">
        <v>610</v>
      </c>
      <c r="B637" s="12" t="s">
        <v>611</v>
      </c>
      <c r="C637" s="12" t="s">
        <v>278</v>
      </c>
      <c r="D637" s="12" t="s">
        <v>33</v>
      </c>
      <c r="E637" s="12" t="s">
        <v>27</v>
      </c>
      <c r="F637" s="13">
        <v>795.6</v>
      </c>
      <c r="G637" s="14">
        <v>3080.74</v>
      </c>
      <c r="H637" s="24" t="str">
        <f t="shared" si="87"/>
        <v>RJSP</v>
      </c>
      <c r="I637" s="24" t="str">
        <f t="shared" si="95"/>
        <v>RJMG</v>
      </c>
      <c r="J637" s="24" t="str">
        <f t="shared" si="95"/>
        <v>RJES</v>
      </c>
      <c r="K637" s="24" t="str">
        <f t="shared" si="95"/>
        <v>RJSC</v>
      </c>
      <c r="L637" s="24" t="str">
        <f t="shared" si="95"/>
        <v>RJRJ</v>
      </c>
      <c r="M637" s="24" t="str">
        <f t="shared" si="95"/>
        <v>RJPR</v>
      </c>
      <c r="N637" s="24" t="str">
        <f t="shared" si="95"/>
        <v>RJAM</v>
      </c>
      <c r="O637" s="24">
        <f>VLOOKUP(H637, KM!$A:$E, 5, 0)</f>
        <v>429</v>
      </c>
      <c r="P637" s="24">
        <f>VLOOKUP(I637, KM!$A:$E, 5, 0)</f>
        <v>434</v>
      </c>
      <c r="Q637" s="24">
        <f>VLOOKUP(J637, KM!$A:$E, 5, 0)</f>
        <v>521</v>
      </c>
      <c r="R637" s="24">
        <f>VLOOKUP(K637, KM!$A:$E, 5, 0)</f>
        <v>1144</v>
      </c>
      <c r="S637" s="24">
        <f>VLOOKUP(L637, KM!$A:$E, 5, 0)</f>
        <v>0</v>
      </c>
      <c r="T637" s="24">
        <f>VLOOKUP(M637, KM!$A:$E, 5, 0)</f>
        <v>852</v>
      </c>
      <c r="U637" s="24">
        <f>VLOOKUP(N637, KM!$A:$E, 5, 0)</f>
        <v>4374</v>
      </c>
      <c r="V637" s="24">
        <f>VLOOKUP(H637, IMPOSTO!$A:$D, 4, 0)</f>
        <v>0.12</v>
      </c>
      <c r="W637" s="24">
        <f>VLOOKUP(I637, IMPOSTO!$A:$D, 4, 0)</f>
        <v>0.12</v>
      </c>
      <c r="X637" s="24">
        <f>VLOOKUP(J637, IMPOSTO!$A:$D, 4, 0)</f>
        <v>7.0000000000000007E-2</v>
      </c>
      <c r="Y637" s="24">
        <f>VLOOKUP(K637, IMPOSTO!$A:$D, 4, 0)</f>
        <v>0.12</v>
      </c>
      <c r="Z637" s="24">
        <f>VLOOKUP(L637, IMPOSTO!$A:$D, 4, 0)</f>
        <v>0.18</v>
      </c>
      <c r="AA637" s="24">
        <f>VLOOKUP(M637, IMPOSTO!$A:$D, 4, 0)</f>
        <v>0.12</v>
      </c>
      <c r="AB637" s="24">
        <f>VLOOKUP(N637, IMPOSTO!$A:$D, 4, 0)</f>
        <v>7.0000000000000007E-2</v>
      </c>
      <c r="AC637" s="25">
        <f t="shared" si="88"/>
        <v>3549.590909090909</v>
      </c>
      <c r="AD637" s="25">
        <f t="shared" si="89"/>
        <v>3550.1590909090905</v>
      </c>
      <c r="AE637" s="25">
        <f t="shared" si="90"/>
        <v>3368.6451612903224</v>
      </c>
      <c r="AF637" s="25">
        <f t="shared" si="91"/>
        <v>3630.840909090909</v>
      </c>
      <c r="AG637" s="25">
        <f t="shared" si="92"/>
        <v>3756.9999999999995</v>
      </c>
      <c r="AH637" s="25">
        <f t="shared" si="93"/>
        <v>3597.6590909090905</v>
      </c>
      <c r="AI637" s="25">
        <f t="shared" si="94"/>
        <v>3782.9462365591398</v>
      </c>
    </row>
    <row r="638" spans="1:35" ht="15.75" customHeight="1">
      <c r="A638" s="12" t="s">
        <v>92</v>
      </c>
      <c r="B638" s="12" t="s">
        <v>93</v>
      </c>
      <c r="C638" s="12" t="s">
        <v>86</v>
      </c>
      <c r="D638" s="12" t="s">
        <v>33</v>
      </c>
      <c r="E638" s="12" t="s">
        <v>27</v>
      </c>
      <c r="F638" s="13">
        <v>0.35201318350219507</v>
      </c>
      <c r="G638" s="14">
        <v>11.655681282530404</v>
      </c>
      <c r="H638" s="24" t="str">
        <f t="shared" si="87"/>
        <v>RJSP</v>
      </c>
      <c r="I638" s="24" t="str">
        <f t="shared" si="95"/>
        <v>RJMG</v>
      </c>
      <c r="J638" s="24" t="str">
        <f t="shared" si="95"/>
        <v>RJES</v>
      </c>
      <c r="K638" s="24" t="str">
        <f t="shared" si="95"/>
        <v>RJSC</v>
      </c>
      <c r="L638" s="24" t="str">
        <f t="shared" si="95"/>
        <v>RJRJ</v>
      </c>
      <c r="M638" s="24" t="str">
        <f t="shared" si="95"/>
        <v>RJPR</v>
      </c>
      <c r="N638" s="24" t="str">
        <f t="shared" si="95"/>
        <v>RJAM</v>
      </c>
      <c r="O638" s="24">
        <f>VLOOKUP(H638, KM!$A:$E, 5, 0)</f>
        <v>429</v>
      </c>
      <c r="P638" s="24">
        <f>VLOOKUP(I638, KM!$A:$E, 5, 0)</f>
        <v>434</v>
      </c>
      <c r="Q638" s="24">
        <f>VLOOKUP(J638, KM!$A:$E, 5, 0)</f>
        <v>521</v>
      </c>
      <c r="R638" s="24">
        <f>VLOOKUP(K638, KM!$A:$E, 5, 0)</f>
        <v>1144</v>
      </c>
      <c r="S638" s="24">
        <f>VLOOKUP(L638, KM!$A:$E, 5, 0)</f>
        <v>0</v>
      </c>
      <c r="T638" s="24">
        <f>VLOOKUP(M638, KM!$A:$E, 5, 0)</f>
        <v>852</v>
      </c>
      <c r="U638" s="24">
        <f>VLOOKUP(N638, KM!$A:$E, 5, 0)</f>
        <v>4374</v>
      </c>
      <c r="V638" s="24">
        <f>VLOOKUP(H638, IMPOSTO!$A:$D, 4, 0)</f>
        <v>0.12</v>
      </c>
      <c r="W638" s="24">
        <f>VLOOKUP(I638, IMPOSTO!$A:$D, 4, 0)</f>
        <v>0.12</v>
      </c>
      <c r="X638" s="24">
        <f>VLOOKUP(J638, IMPOSTO!$A:$D, 4, 0)</f>
        <v>7.0000000000000007E-2</v>
      </c>
      <c r="Y638" s="24">
        <f>VLOOKUP(K638, IMPOSTO!$A:$D, 4, 0)</f>
        <v>0.12</v>
      </c>
      <c r="Z638" s="24">
        <f>VLOOKUP(L638, IMPOSTO!$A:$D, 4, 0)</f>
        <v>0.18</v>
      </c>
      <c r="AA638" s="24">
        <f>VLOOKUP(M638, IMPOSTO!$A:$D, 4, 0)</f>
        <v>0.12</v>
      </c>
      <c r="AB638" s="24">
        <f>VLOOKUP(N638, IMPOSTO!$A:$D, 4, 0)</f>
        <v>7.0000000000000007E-2</v>
      </c>
      <c r="AC638" s="25">
        <f t="shared" si="88"/>
        <v>61.995092366511827</v>
      </c>
      <c r="AD638" s="25">
        <f t="shared" si="89"/>
        <v>62.563274184693647</v>
      </c>
      <c r="AE638" s="25">
        <f t="shared" si="90"/>
        <v>68.554496002720867</v>
      </c>
      <c r="AF638" s="25">
        <f t="shared" si="91"/>
        <v>143.24509236651184</v>
      </c>
      <c r="AG638" s="25">
        <f t="shared" si="92"/>
        <v>14.214245466500492</v>
      </c>
      <c r="AH638" s="25">
        <f t="shared" si="93"/>
        <v>110.06327418469365</v>
      </c>
      <c r="AI638" s="25">
        <f t="shared" si="94"/>
        <v>482.85557127153811</v>
      </c>
    </row>
    <row r="639" spans="1:35" ht="15.75" customHeight="1">
      <c r="A639" s="12" t="s">
        <v>92</v>
      </c>
      <c r="B639" s="12" t="s">
        <v>93</v>
      </c>
      <c r="C639" s="12" t="s">
        <v>86</v>
      </c>
      <c r="D639" s="12" t="s">
        <v>33</v>
      </c>
      <c r="E639" s="12" t="s">
        <v>27</v>
      </c>
      <c r="F639" s="13">
        <v>8.4907702553293288E-2</v>
      </c>
      <c r="G639" s="14">
        <v>3.8648924855977196</v>
      </c>
      <c r="H639" s="24" t="str">
        <f t="shared" si="87"/>
        <v>RJSP</v>
      </c>
      <c r="I639" s="24" t="str">
        <f t="shared" si="95"/>
        <v>RJMG</v>
      </c>
      <c r="J639" s="24" t="str">
        <f t="shared" si="95"/>
        <v>RJES</v>
      </c>
      <c r="K639" s="24" t="str">
        <f t="shared" si="95"/>
        <v>RJSC</v>
      </c>
      <c r="L639" s="24" t="str">
        <f t="shared" si="95"/>
        <v>RJRJ</v>
      </c>
      <c r="M639" s="24" t="str">
        <f t="shared" si="95"/>
        <v>RJPR</v>
      </c>
      <c r="N639" s="24" t="str">
        <f t="shared" si="95"/>
        <v>RJAM</v>
      </c>
      <c r="O639" s="24">
        <f>VLOOKUP(H639, KM!$A:$E, 5, 0)</f>
        <v>429</v>
      </c>
      <c r="P639" s="24">
        <f>VLOOKUP(I639, KM!$A:$E, 5, 0)</f>
        <v>434</v>
      </c>
      <c r="Q639" s="24">
        <f>VLOOKUP(J639, KM!$A:$E, 5, 0)</f>
        <v>521</v>
      </c>
      <c r="R639" s="24">
        <f>VLOOKUP(K639, KM!$A:$E, 5, 0)</f>
        <v>1144</v>
      </c>
      <c r="S639" s="24">
        <f>VLOOKUP(L639, KM!$A:$E, 5, 0)</f>
        <v>0</v>
      </c>
      <c r="T639" s="24">
        <f>VLOOKUP(M639, KM!$A:$E, 5, 0)</f>
        <v>852</v>
      </c>
      <c r="U639" s="24">
        <f>VLOOKUP(N639, KM!$A:$E, 5, 0)</f>
        <v>4374</v>
      </c>
      <c r="V639" s="24">
        <f>VLOOKUP(H639, IMPOSTO!$A:$D, 4, 0)</f>
        <v>0.12</v>
      </c>
      <c r="W639" s="24">
        <f>VLOOKUP(I639, IMPOSTO!$A:$D, 4, 0)</f>
        <v>0.12</v>
      </c>
      <c r="X639" s="24">
        <f>VLOOKUP(J639, IMPOSTO!$A:$D, 4, 0)</f>
        <v>7.0000000000000007E-2</v>
      </c>
      <c r="Y639" s="24">
        <f>VLOOKUP(K639, IMPOSTO!$A:$D, 4, 0)</f>
        <v>0.12</v>
      </c>
      <c r="Z639" s="24">
        <f>VLOOKUP(L639, IMPOSTO!$A:$D, 4, 0)</f>
        <v>0.18</v>
      </c>
      <c r="AA639" s="24">
        <f>VLOOKUP(M639, IMPOSTO!$A:$D, 4, 0)</f>
        <v>0.12</v>
      </c>
      <c r="AB639" s="24">
        <f>VLOOKUP(N639, IMPOSTO!$A:$D, 4, 0)</f>
        <v>7.0000000000000007E-2</v>
      </c>
      <c r="AC639" s="25">
        <f t="shared" si="88"/>
        <v>53.141923279088324</v>
      </c>
      <c r="AD639" s="25">
        <f t="shared" si="89"/>
        <v>53.710105097270144</v>
      </c>
      <c r="AE639" s="25">
        <f t="shared" si="90"/>
        <v>60.177303747954547</v>
      </c>
      <c r="AF639" s="25">
        <f t="shared" si="91"/>
        <v>134.39192327908833</v>
      </c>
      <c r="AG639" s="25">
        <f t="shared" si="92"/>
        <v>4.7132835190216085</v>
      </c>
      <c r="AH639" s="25">
        <f t="shared" si="93"/>
        <v>101.21010509727014</v>
      </c>
      <c r="AI639" s="25">
        <f t="shared" si="94"/>
        <v>474.47837901677178</v>
      </c>
    </row>
    <row r="640" spans="1:35" ht="15.75" customHeight="1">
      <c r="A640" s="12" t="s">
        <v>323</v>
      </c>
      <c r="B640" s="12" t="s">
        <v>324</v>
      </c>
      <c r="C640" s="12" t="s">
        <v>81</v>
      </c>
      <c r="D640" s="12" t="s">
        <v>33</v>
      </c>
      <c r="E640" s="12" t="s">
        <v>27</v>
      </c>
      <c r="F640" s="13">
        <v>291.24155100000002</v>
      </c>
      <c r="G640" s="14">
        <v>2601.3760349999998</v>
      </c>
      <c r="H640" s="24" t="str">
        <f t="shared" si="87"/>
        <v>RJSP</v>
      </c>
      <c r="I640" s="24" t="str">
        <f t="shared" si="95"/>
        <v>RJMG</v>
      </c>
      <c r="J640" s="24" t="str">
        <f t="shared" si="95"/>
        <v>RJES</v>
      </c>
      <c r="K640" s="24" t="str">
        <f t="shared" si="95"/>
        <v>RJSC</v>
      </c>
      <c r="L640" s="24" t="str">
        <f t="shared" si="95"/>
        <v>RJRJ</v>
      </c>
      <c r="M640" s="24" t="str">
        <f t="shared" si="95"/>
        <v>RJPR</v>
      </c>
      <c r="N640" s="24" t="str">
        <f t="shared" si="95"/>
        <v>RJAM</v>
      </c>
      <c r="O640" s="24">
        <f>VLOOKUP(H640, KM!$A:$E, 5, 0)</f>
        <v>429</v>
      </c>
      <c r="P640" s="24">
        <f>VLOOKUP(I640, KM!$A:$E, 5, 0)</f>
        <v>434</v>
      </c>
      <c r="Q640" s="24">
        <f>VLOOKUP(J640, KM!$A:$E, 5, 0)</f>
        <v>521</v>
      </c>
      <c r="R640" s="24">
        <f>VLOOKUP(K640, KM!$A:$E, 5, 0)</f>
        <v>1144</v>
      </c>
      <c r="S640" s="24">
        <f>VLOOKUP(L640, KM!$A:$E, 5, 0)</f>
        <v>0</v>
      </c>
      <c r="T640" s="24">
        <f>VLOOKUP(M640, KM!$A:$E, 5, 0)</f>
        <v>852</v>
      </c>
      <c r="U640" s="24">
        <f>VLOOKUP(N640, KM!$A:$E, 5, 0)</f>
        <v>4374</v>
      </c>
      <c r="V640" s="24">
        <f>VLOOKUP(H640, IMPOSTO!$A:$D, 4, 0)</f>
        <v>0.12</v>
      </c>
      <c r="W640" s="24">
        <f>VLOOKUP(I640, IMPOSTO!$A:$D, 4, 0)</f>
        <v>0.12</v>
      </c>
      <c r="X640" s="24">
        <f>VLOOKUP(J640, IMPOSTO!$A:$D, 4, 0)</f>
        <v>7.0000000000000007E-2</v>
      </c>
      <c r="Y640" s="24">
        <f>VLOOKUP(K640, IMPOSTO!$A:$D, 4, 0)</f>
        <v>0.12</v>
      </c>
      <c r="Z640" s="24">
        <f>VLOOKUP(L640, IMPOSTO!$A:$D, 4, 0)</f>
        <v>0.18</v>
      </c>
      <c r="AA640" s="24">
        <f>VLOOKUP(M640, IMPOSTO!$A:$D, 4, 0)</f>
        <v>0.12</v>
      </c>
      <c r="AB640" s="24">
        <f>VLOOKUP(N640, IMPOSTO!$A:$D, 4, 0)</f>
        <v>7.0000000000000007E-2</v>
      </c>
      <c r="AC640" s="25">
        <f t="shared" si="88"/>
        <v>3004.859130681818</v>
      </c>
      <c r="AD640" s="25">
        <f t="shared" si="89"/>
        <v>3005.4273125</v>
      </c>
      <c r="AE640" s="25">
        <f t="shared" si="90"/>
        <v>2853.2000376344085</v>
      </c>
      <c r="AF640" s="25">
        <f t="shared" si="91"/>
        <v>3086.109130681818</v>
      </c>
      <c r="AG640" s="25">
        <f t="shared" si="92"/>
        <v>3172.4097987804871</v>
      </c>
      <c r="AH640" s="25">
        <f t="shared" si="93"/>
        <v>3052.9273124999995</v>
      </c>
      <c r="AI640" s="25">
        <f t="shared" si="94"/>
        <v>3267.5011129032259</v>
      </c>
    </row>
    <row r="641" spans="1:35" ht="15.75" customHeight="1">
      <c r="A641" s="12" t="s">
        <v>94</v>
      </c>
      <c r="B641" s="12" t="s">
        <v>95</v>
      </c>
      <c r="C641" s="12" t="s">
        <v>78</v>
      </c>
      <c r="D641" s="12" t="s">
        <v>33</v>
      </c>
      <c r="E641" s="12" t="s">
        <v>27</v>
      </c>
      <c r="F641" s="13">
        <v>5.0519999999999987</v>
      </c>
      <c r="G641" s="14">
        <v>7.6537919999999984</v>
      </c>
      <c r="H641" s="24" t="str">
        <f t="shared" si="87"/>
        <v>RJSP</v>
      </c>
      <c r="I641" s="24" t="str">
        <f t="shared" si="95"/>
        <v>RJMG</v>
      </c>
      <c r="J641" s="24" t="str">
        <f t="shared" si="95"/>
        <v>RJES</v>
      </c>
      <c r="K641" s="24" t="str">
        <f t="shared" si="95"/>
        <v>RJSC</v>
      </c>
      <c r="L641" s="24" t="str">
        <f t="shared" si="95"/>
        <v>RJRJ</v>
      </c>
      <c r="M641" s="24" t="str">
        <f t="shared" si="95"/>
        <v>RJPR</v>
      </c>
      <c r="N641" s="24" t="str">
        <f t="shared" si="95"/>
        <v>RJAM</v>
      </c>
      <c r="O641" s="24">
        <f>VLOOKUP(H641, KM!$A:$E, 5, 0)</f>
        <v>429</v>
      </c>
      <c r="P641" s="24">
        <f>VLOOKUP(I641, KM!$A:$E, 5, 0)</f>
        <v>434</v>
      </c>
      <c r="Q641" s="24">
        <f>VLOOKUP(J641, KM!$A:$E, 5, 0)</f>
        <v>521</v>
      </c>
      <c r="R641" s="24">
        <f>VLOOKUP(K641, KM!$A:$E, 5, 0)</f>
        <v>1144</v>
      </c>
      <c r="S641" s="24">
        <f>VLOOKUP(L641, KM!$A:$E, 5, 0)</f>
        <v>0</v>
      </c>
      <c r="T641" s="24">
        <f>VLOOKUP(M641, KM!$A:$E, 5, 0)</f>
        <v>852</v>
      </c>
      <c r="U641" s="24">
        <f>VLOOKUP(N641, KM!$A:$E, 5, 0)</f>
        <v>4374</v>
      </c>
      <c r="V641" s="24">
        <f>VLOOKUP(H641, IMPOSTO!$A:$D, 4, 0)</f>
        <v>0.12</v>
      </c>
      <c r="W641" s="24">
        <f>VLOOKUP(I641, IMPOSTO!$A:$D, 4, 0)</f>
        <v>0.12</v>
      </c>
      <c r="X641" s="24">
        <f>VLOOKUP(J641, IMPOSTO!$A:$D, 4, 0)</f>
        <v>7.0000000000000007E-2</v>
      </c>
      <c r="Y641" s="24">
        <f>VLOOKUP(K641, IMPOSTO!$A:$D, 4, 0)</f>
        <v>0.12</v>
      </c>
      <c r="Z641" s="24">
        <f>VLOOKUP(L641, IMPOSTO!$A:$D, 4, 0)</f>
        <v>0.18</v>
      </c>
      <c r="AA641" s="24">
        <f>VLOOKUP(M641, IMPOSTO!$A:$D, 4, 0)</f>
        <v>0.12</v>
      </c>
      <c r="AB641" s="24">
        <f>VLOOKUP(N641, IMPOSTO!$A:$D, 4, 0)</f>
        <v>7.0000000000000007E-2</v>
      </c>
      <c r="AC641" s="25">
        <f t="shared" si="88"/>
        <v>57.447490909090909</v>
      </c>
      <c r="AD641" s="25">
        <f t="shared" si="89"/>
        <v>58.01567272727273</v>
      </c>
      <c r="AE641" s="25">
        <f t="shared" si="90"/>
        <v>64.251389247311835</v>
      </c>
      <c r="AF641" s="25">
        <f t="shared" si="91"/>
        <v>138.6974909090909</v>
      </c>
      <c r="AG641" s="25">
        <f t="shared" si="92"/>
        <v>9.3338926829268267</v>
      </c>
      <c r="AH641" s="25">
        <f t="shared" si="93"/>
        <v>105.51567272727273</v>
      </c>
      <c r="AI641" s="25">
        <f t="shared" si="94"/>
        <v>478.55246451612913</v>
      </c>
    </row>
    <row r="642" spans="1:35" ht="15.75" customHeight="1">
      <c r="A642" s="12" t="s">
        <v>302</v>
      </c>
      <c r="B642" s="12" t="s">
        <v>303</v>
      </c>
      <c r="C642" s="12" t="s">
        <v>181</v>
      </c>
      <c r="D642" s="12" t="s">
        <v>33</v>
      </c>
      <c r="E642" s="12" t="s">
        <v>27</v>
      </c>
      <c r="F642" s="13">
        <v>279.37608517129689</v>
      </c>
      <c r="G642" s="14">
        <v>143.48800079808154</v>
      </c>
      <c r="H642" s="24" t="str">
        <f t="shared" si="87"/>
        <v>RJSP</v>
      </c>
      <c r="I642" s="24" t="str">
        <f t="shared" si="95"/>
        <v>RJMG</v>
      </c>
      <c r="J642" s="24" t="str">
        <f t="shared" si="95"/>
        <v>RJES</v>
      </c>
      <c r="K642" s="24" t="str">
        <f t="shared" si="95"/>
        <v>RJSC</v>
      </c>
      <c r="L642" s="24" t="str">
        <f t="shared" si="95"/>
        <v>RJRJ</v>
      </c>
      <c r="M642" s="24" t="str">
        <f t="shared" si="95"/>
        <v>RJPR</v>
      </c>
      <c r="N642" s="24" t="str">
        <f t="shared" si="95"/>
        <v>RJAM</v>
      </c>
      <c r="O642" s="24">
        <f>VLOOKUP(H642, KM!$A:$E, 5, 0)</f>
        <v>429</v>
      </c>
      <c r="P642" s="24">
        <f>VLOOKUP(I642, KM!$A:$E, 5, 0)</f>
        <v>434</v>
      </c>
      <c r="Q642" s="24">
        <f>VLOOKUP(J642, KM!$A:$E, 5, 0)</f>
        <v>521</v>
      </c>
      <c r="R642" s="24">
        <f>VLOOKUP(K642, KM!$A:$E, 5, 0)</f>
        <v>1144</v>
      </c>
      <c r="S642" s="24">
        <f>VLOOKUP(L642, KM!$A:$E, 5, 0)</f>
        <v>0</v>
      </c>
      <c r="T642" s="24">
        <f>VLOOKUP(M642, KM!$A:$E, 5, 0)</f>
        <v>852</v>
      </c>
      <c r="U642" s="24">
        <f>VLOOKUP(N642, KM!$A:$E, 5, 0)</f>
        <v>4374</v>
      </c>
      <c r="V642" s="24">
        <f>VLOOKUP(H642, IMPOSTO!$A:$D, 4, 0)</f>
        <v>0.12</v>
      </c>
      <c r="W642" s="24">
        <f>VLOOKUP(I642, IMPOSTO!$A:$D, 4, 0)</f>
        <v>0.12</v>
      </c>
      <c r="X642" s="24">
        <f>VLOOKUP(J642, IMPOSTO!$A:$D, 4, 0)</f>
        <v>7.0000000000000007E-2</v>
      </c>
      <c r="Y642" s="24">
        <f>VLOOKUP(K642, IMPOSTO!$A:$D, 4, 0)</f>
        <v>0.12</v>
      </c>
      <c r="Z642" s="24">
        <f>VLOOKUP(L642, IMPOSTO!$A:$D, 4, 0)</f>
        <v>0.18</v>
      </c>
      <c r="AA642" s="24">
        <f>VLOOKUP(M642, IMPOSTO!$A:$D, 4, 0)</f>
        <v>0.12</v>
      </c>
      <c r="AB642" s="24">
        <f>VLOOKUP(N642, IMPOSTO!$A:$D, 4, 0)</f>
        <v>7.0000000000000007E-2</v>
      </c>
      <c r="AC642" s="25">
        <f t="shared" si="88"/>
        <v>211.80454636145632</v>
      </c>
      <c r="AD642" s="25">
        <f t="shared" si="89"/>
        <v>212.37272817963813</v>
      </c>
      <c r="AE642" s="25">
        <f t="shared" si="90"/>
        <v>210.30967827750703</v>
      </c>
      <c r="AF642" s="25">
        <f t="shared" si="91"/>
        <v>293.05454636145629</v>
      </c>
      <c r="AG642" s="25">
        <f t="shared" si="92"/>
        <v>174.9853668269287</v>
      </c>
      <c r="AH642" s="25">
        <f t="shared" si="93"/>
        <v>259.8727281796381</v>
      </c>
      <c r="AI642" s="25">
        <f t="shared" si="94"/>
        <v>624.6107535463243</v>
      </c>
    </row>
    <row r="643" spans="1:35" ht="15.75" customHeight="1">
      <c r="A643" s="12" t="s">
        <v>266</v>
      </c>
      <c r="B643" s="12" t="s">
        <v>267</v>
      </c>
      <c r="C643" s="12" t="s">
        <v>169</v>
      </c>
      <c r="D643" s="12" t="s">
        <v>33</v>
      </c>
      <c r="E643" s="12" t="s">
        <v>27</v>
      </c>
      <c r="F643" s="13">
        <v>8.5058671432058457</v>
      </c>
      <c r="G643" s="14">
        <v>12.707464845030369</v>
      </c>
      <c r="H643" s="24" t="str">
        <f t="shared" si="87"/>
        <v>RJSP</v>
      </c>
      <c r="I643" s="24" t="str">
        <f t="shared" si="95"/>
        <v>RJMG</v>
      </c>
      <c r="J643" s="24" t="str">
        <f t="shared" si="95"/>
        <v>RJES</v>
      </c>
      <c r="K643" s="24" t="str">
        <f t="shared" si="95"/>
        <v>RJSC</v>
      </c>
      <c r="L643" s="24" t="str">
        <f t="shared" si="95"/>
        <v>RJRJ</v>
      </c>
      <c r="M643" s="24" t="str">
        <f t="shared" si="95"/>
        <v>RJPR</v>
      </c>
      <c r="N643" s="24" t="str">
        <f t="shared" si="95"/>
        <v>RJAM</v>
      </c>
      <c r="O643" s="24">
        <f>VLOOKUP(H643, KM!$A:$E, 5, 0)</f>
        <v>429</v>
      </c>
      <c r="P643" s="24">
        <f>VLOOKUP(I643, KM!$A:$E, 5, 0)</f>
        <v>434</v>
      </c>
      <c r="Q643" s="24">
        <f>VLOOKUP(J643, KM!$A:$E, 5, 0)</f>
        <v>521</v>
      </c>
      <c r="R643" s="24">
        <f>VLOOKUP(K643, KM!$A:$E, 5, 0)</f>
        <v>1144</v>
      </c>
      <c r="S643" s="24">
        <f>VLOOKUP(L643, KM!$A:$E, 5, 0)</f>
        <v>0</v>
      </c>
      <c r="T643" s="24">
        <f>VLOOKUP(M643, KM!$A:$E, 5, 0)</f>
        <v>852</v>
      </c>
      <c r="U643" s="24">
        <f>VLOOKUP(N643, KM!$A:$E, 5, 0)</f>
        <v>4374</v>
      </c>
      <c r="V643" s="24">
        <f>VLOOKUP(H643, IMPOSTO!$A:$D, 4, 0)</f>
        <v>0.12</v>
      </c>
      <c r="W643" s="24">
        <f>VLOOKUP(I643, IMPOSTO!$A:$D, 4, 0)</f>
        <v>0.12</v>
      </c>
      <c r="X643" s="24">
        <f>VLOOKUP(J643, IMPOSTO!$A:$D, 4, 0)</f>
        <v>7.0000000000000007E-2</v>
      </c>
      <c r="Y643" s="24">
        <f>VLOOKUP(K643, IMPOSTO!$A:$D, 4, 0)</f>
        <v>0.12</v>
      </c>
      <c r="Z643" s="24">
        <f>VLOOKUP(L643, IMPOSTO!$A:$D, 4, 0)</f>
        <v>0.18</v>
      </c>
      <c r="AA643" s="24">
        <f>VLOOKUP(M643, IMPOSTO!$A:$D, 4, 0)</f>
        <v>0.12</v>
      </c>
      <c r="AB643" s="24">
        <f>VLOOKUP(N643, IMPOSTO!$A:$D, 4, 0)</f>
        <v>7.0000000000000007E-2</v>
      </c>
      <c r="AC643" s="25">
        <f t="shared" si="88"/>
        <v>63.190300960261794</v>
      </c>
      <c r="AD643" s="25">
        <f t="shared" si="89"/>
        <v>63.758482778443614</v>
      </c>
      <c r="AE643" s="25">
        <f t="shared" si="90"/>
        <v>69.685446069925135</v>
      </c>
      <c r="AF643" s="25">
        <f t="shared" si="91"/>
        <v>144.44030096026179</v>
      </c>
      <c r="AG643" s="25">
        <f t="shared" si="92"/>
        <v>15.49690834759801</v>
      </c>
      <c r="AH643" s="25">
        <f t="shared" si="93"/>
        <v>111.25848277844361</v>
      </c>
      <c r="AI643" s="25">
        <f t="shared" si="94"/>
        <v>483.98652133874236</v>
      </c>
    </row>
    <row r="644" spans="1:35" ht="15.75" customHeight="1">
      <c r="A644" s="12" t="s">
        <v>612</v>
      </c>
      <c r="B644" s="12" t="s">
        <v>613</v>
      </c>
      <c r="C644" s="12" t="s">
        <v>169</v>
      </c>
      <c r="D644" s="12" t="s">
        <v>33</v>
      </c>
      <c r="E644" s="12" t="s">
        <v>27</v>
      </c>
      <c r="F644" s="13">
        <v>83.205310508978599</v>
      </c>
      <c r="G644" s="14">
        <v>47.514907312618178</v>
      </c>
      <c r="H644" s="24" t="str">
        <f t="shared" si="87"/>
        <v>RJSP</v>
      </c>
      <c r="I644" s="24" t="str">
        <f t="shared" si="95"/>
        <v>RJMG</v>
      </c>
      <c r="J644" s="24" t="str">
        <f t="shared" si="95"/>
        <v>RJES</v>
      </c>
      <c r="K644" s="24" t="str">
        <f t="shared" si="95"/>
        <v>RJSC</v>
      </c>
      <c r="L644" s="24" t="str">
        <f t="shared" si="95"/>
        <v>RJRJ</v>
      </c>
      <c r="M644" s="24" t="str">
        <f t="shared" si="95"/>
        <v>RJPR</v>
      </c>
      <c r="N644" s="24" t="str">
        <f t="shared" si="95"/>
        <v>RJAM</v>
      </c>
      <c r="O644" s="24">
        <f>VLOOKUP(H644, KM!$A:$E, 5, 0)</f>
        <v>429</v>
      </c>
      <c r="P644" s="24">
        <f>VLOOKUP(I644, KM!$A:$E, 5, 0)</f>
        <v>434</v>
      </c>
      <c r="Q644" s="24">
        <f>VLOOKUP(J644, KM!$A:$E, 5, 0)</f>
        <v>521</v>
      </c>
      <c r="R644" s="24">
        <f>VLOOKUP(K644, KM!$A:$E, 5, 0)</f>
        <v>1144</v>
      </c>
      <c r="S644" s="24">
        <f>VLOOKUP(L644, KM!$A:$E, 5, 0)</f>
        <v>0</v>
      </c>
      <c r="T644" s="24">
        <f>VLOOKUP(M644, KM!$A:$E, 5, 0)</f>
        <v>852</v>
      </c>
      <c r="U644" s="24">
        <f>VLOOKUP(N644, KM!$A:$E, 5, 0)</f>
        <v>4374</v>
      </c>
      <c r="V644" s="24">
        <f>VLOOKUP(H644, IMPOSTO!$A:$D, 4, 0)</f>
        <v>0.12</v>
      </c>
      <c r="W644" s="24">
        <f>VLOOKUP(I644, IMPOSTO!$A:$D, 4, 0)</f>
        <v>0.12</v>
      </c>
      <c r="X644" s="24">
        <f>VLOOKUP(J644, IMPOSTO!$A:$D, 4, 0)</f>
        <v>7.0000000000000007E-2</v>
      </c>
      <c r="Y644" s="24">
        <f>VLOOKUP(K644, IMPOSTO!$A:$D, 4, 0)</f>
        <v>0.12</v>
      </c>
      <c r="Z644" s="24">
        <f>VLOOKUP(L644, IMPOSTO!$A:$D, 4, 0)</f>
        <v>0.18</v>
      </c>
      <c r="AA644" s="24">
        <f>VLOOKUP(M644, IMPOSTO!$A:$D, 4, 0)</f>
        <v>0.12</v>
      </c>
      <c r="AB644" s="24">
        <f>VLOOKUP(N644, IMPOSTO!$A:$D, 4, 0)</f>
        <v>7.0000000000000007E-2</v>
      </c>
      <c r="AC644" s="25">
        <f t="shared" si="88"/>
        <v>102.74421285524794</v>
      </c>
      <c r="AD644" s="25">
        <f t="shared" si="89"/>
        <v>103.31239467342975</v>
      </c>
      <c r="AE644" s="25">
        <f t="shared" si="90"/>
        <v>107.11280356195505</v>
      </c>
      <c r="AF644" s="25">
        <f t="shared" si="91"/>
        <v>183.99421285524795</v>
      </c>
      <c r="AG644" s="25">
        <f t="shared" si="92"/>
        <v>57.945008917827039</v>
      </c>
      <c r="AH644" s="25">
        <f t="shared" si="93"/>
        <v>150.81239467342974</v>
      </c>
      <c r="AI644" s="25">
        <f t="shared" si="94"/>
        <v>521.41387883077232</v>
      </c>
    </row>
    <row r="645" spans="1:35" ht="15.75" customHeight="1">
      <c r="A645" s="12" t="s">
        <v>612</v>
      </c>
      <c r="B645" s="12" t="s">
        <v>613</v>
      </c>
      <c r="C645" s="12" t="s">
        <v>169</v>
      </c>
      <c r="D645" s="12" t="s">
        <v>33</v>
      </c>
      <c r="E645" s="12" t="s">
        <v>27</v>
      </c>
      <c r="F645" s="13">
        <v>33.854018874384614</v>
      </c>
      <c r="G645" s="14">
        <v>19.588308496433413</v>
      </c>
      <c r="H645" s="24" t="str">
        <f t="shared" ref="H645:H708" si="96">$E645 &amp; H$17</f>
        <v>RJSP</v>
      </c>
      <c r="I645" s="24" t="str">
        <f t="shared" si="95"/>
        <v>RJMG</v>
      </c>
      <c r="J645" s="24" t="str">
        <f t="shared" si="95"/>
        <v>RJES</v>
      </c>
      <c r="K645" s="24" t="str">
        <f t="shared" si="95"/>
        <v>RJSC</v>
      </c>
      <c r="L645" s="24" t="str">
        <f t="shared" si="95"/>
        <v>RJRJ</v>
      </c>
      <c r="M645" s="24" t="str">
        <f t="shared" si="95"/>
        <v>RJPR</v>
      </c>
      <c r="N645" s="24" t="str">
        <f t="shared" si="95"/>
        <v>RJAM</v>
      </c>
      <c r="O645" s="24">
        <f>VLOOKUP(H645, KM!$A:$E, 5, 0)</f>
        <v>429</v>
      </c>
      <c r="P645" s="24">
        <f>VLOOKUP(I645, KM!$A:$E, 5, 0)</f>
        <v>434</v>
      </c>
      <c r="Q645" s="24">
        <f>VLOOKUP(J645, KM!$A:$E, 5, 0)</f>
        <v>521</v>
      </c>
      <c r="R645" s="24">
        <f>VLOOKUP(K645, KM!$A:$E, 5, 0)</f>
        <v>1144</v>
      </c>
      <c r="S645" s="24">
        <f>VLOOKUP(L645, KM!$A:$E, 5, 0)</f>
        <v>0</v>
      </c>
      <c r="T645" s="24">
        <f>VLOOKUP(M645, KM!$A:$E, 5, 0)</f>
        <v>852</v>
      </c>
      <c r="U645" s="24">
        <f>VLOOKUP(N645, KM!$A:$E, 5, 0)</f>
        <v>4374</v>
      </c>
      <c r="V645" s="24">
        <f>VLOOKUP(H645, IMPOSTO!$A:$D, 4, 0)</f>
        <v>0.12</v>
      </c>
      <c r="W645" s="24">
        <f>VLOOKUP(I645, IMPOSTO!$A:$D, 4, 0)</f>
        <v>0.12</v>
      </c>
      <c r="X645" s="24">
        <f>VLOOKUP(J645, IMPOSTO!$A:$D, 4, 0)</f>
        <v>7.0000000000000007E-2</v>
      </c>
      <c r="Y645" s="24">
        <f>VLOOKUP(K645, IMPOSTO!$A:$D, 4, 0)</f>
        <v>0.12</v>
      </c>
      <c r="Z645" s="24">
        <f>VLOOKUP(L645, IMPOSTO!$A:$D, 4, 0)</f>
        <v>0.18</v>
      </c>
      <c r="AA645" s="24">
        <f>VLOOKUP(M645, IMPOSTO!$A:$D, 4, 0)</f>
        <v>0.12</v>
      </c>
      <c r="AB645" s="24">
        <f>VLOOKUP(N645, IMPOSTO!$A:$D, 4, 0)</f>
        <v>7.0000000000000007E-2</v>
      </c>
      <c r="AC645" s="25">
        <f t="shared" si="88"/>
        <v>71.009441473219795</v>
      </c>
      <c r="AD645" s="25">
        <f t="shared" si="89"/>
        <v>71.577623291401608</v>
      </c>
      <c r="AE645" s="25">
        <f t="shared" si="90"/>
        <v>77.084202684337015</v>
      </c>
      <c r="AF645" s="25">
        <f t="shared" si="91"/>
        <v>152.25944147321982</v>
      </c>
      <c r="AG645" s="25">
        <f t="shared" si="92"/>
        <v>23.888181093211479</v>
      </c>
      <c r="AH645" s="25">
        <f t="shared" si="93"/>
        <v>119.07762329140161</v>
      </c>
      <c r="AI645" s="25">
        <f t="shared" si="94"/>
        <v>491.38527795315429</v>
      </c>
    </row>
    <row r="646" spans="1:35" ht="15.75" customHeight="1">
      <c r="A646" s="12" t="s">
        <v>268</v>
      </c>
      <c r="B646" s="12" t="s">
        <v>269</v>
      </c>
      <c r="C646" s="12" t="s">
        <v>169</v>
      </c>
      <c r="D646" s="12" t="s">
        <v>33</v>
      </c>
      <c r="E646" s="12" t="s">
        <v>27</v>
      </c>
      <c r="F646" s="13">
        <v>149.61496504202154</v>
      </c>
      <c r="G646" s="14">
        <v>164.57738245609869</v>
      </c>
      <c r="H646" s="24" t="str">
        <f t="shared" si="96"/>
        <v>RJSP</v>
      </c>
      <c r="I646" s="24" t="str">
        <f t="shared" si="95"/>
        <v>RJMG</v>
      </c>
      <c r="J646" s="24" t="str">
        <f t="shared" si="95"/>
        <v>RJES</v>
      </c>
      <c r="K646" s="24" t="str">
        <f t="shared" si="95"/>
        <v>RJSC</v>
      </c>
      <c r="L646" s="24" t="str">
        <f t="shared" si="95"/>
        <v>RJRJ</v>
      </c>
      <c r="M646" s="24" t="str">
        <f t="shared" si="95"/>
        <v>RJPR</v>
      </c>
      <c r="N646" s="24" t="str">
        <f t="shared" si="95"/>
        <v>RJAM</v>
      </c>
      <c r="O646" s="24">
        <f>VLOOKUP(H646, KM!$A:$E, 5, 0)</f>
        <v>429</v>
      </c>
      <c r="P646" s="24">
        <f>VLOOKUP(I646, KM!$A:$E, 5, 0)</f>
        <v>434</v>
      </c>
      <c r="Q646" s="24">
        <f>VLOOKUP(J646, KM!$A:$E, 5, 0)</f>
        <v>521</v>
      </c>
      <c r="R646" s="24">
        <f>VLOOKUP(K646, KM!$A:$E, 5, 0)</f>
        <v>1144</v>
      </c>
      <c r="S646" s="24">
        <f>VLOOKUP(L646, KM!$A:$E, 5, 0)</f>
        <v>0</v>
      </c>
      <c r="T646" s="24">
        <f>VLOOKUP(M646, KM!$A:$E, 5, 0)</f>
        <v>852</v>
      </c>
      <c r="U646" s="24">
        <f>VLOOKUP(N646, KM!$A:$E, 5, 0)</f>
        <v>4374</v>
      </c>
      <c r="V646" s="24">
        <f>VLOOKUP(H646, IMPOSTO!$A:$D, 4, 0)</f>
        <v>0.12</v>
      </c>
      <c r="W646" s="24">
        <f>VLOOKUP(I646, IMPOSTO!$A:$D, 4, 0)</f>
        <v>0.12</v>
      </c>
      <c r="X646" s="24">
        <f>VLOOKUP(J646, IMPOSTO!$A:$D, 4, 0)</f>
        <v>7.0000000000000007E-2</v>
      </c>
      <c r="Y646" s="24">
        <f>VLOOKUP(K646, IMPOSTO!$A:$D, 4, 0)</f>
        <v>0.12</v>
      </c>
      <c r="Z646" s="24">
        <f>VLOOKUP(L646, IMPOSTO!$A:$D, 4, 0)</f>
        <v>0.18</v>
      </c>
      <c r="AA646" s="24">
        <f>VLOOKUP(M646, IMPOSTO!$A:$D, 4, 0)</f>
        <v>0.12</v>
      </c>
      <c r="AB646" s="24">
        <f>VLOOKUP(N646, IMPOSTO!$A:$D, 4, 0)</f>
        <v>7.0000000000000007E-2</v>
      </c>
      <c r="AC646" s="25">
        <f t="shared" si="88"/>
        <v>235.76975279102123</v>
      </c>
      <c r="AD646" s="25">
        <f t="shared" si="89"/>
        <v>236.33793460920307</v>
      </c>
      <c r="AE646" s="25">
        <f t="shared" si="90"/>
        <v>232.98643274849323</v>
      </c>
      <c r="AF646" s="25">
        <f t="shared" si="91"/>
        <v>317.01975279102123</v>
      </c>
      <c r="AG646" s="25">
        <f t="shared" si="92"/>
        <v>200.7041249464618</v>
      </c>
      <c r="AH646" s="25">
        <f t="shared" si="93"/>
        <v>283.83793460920305</v>
      </c>
      <c r="AI646" s="25">
        <f t="shared" si="94"/>
        <v>647.28750801731042</v>
      </c>
    </row>
    <row r="647" spans="1:35" ht="15.75" customHeight="1">
      <c r="A647" s="12" t="s">
        <v>272</v>
      </c>
      <c r="B647" s="12" t="s">
        <v>273</v>
      </c>
      <c r="C647" s="12" t="s">
        <v>181</v>
      </c>
      <c r="D647" s="12" t="s">
        <v>33</v>
      </c>
      <c r="E647" s="12" t="s">
        <v>27</v>
      </c>
      <c r="F647" s="13">
        <v>2.0329407581376522</v>
      </c>
      <c r="G647" s="14">
        <v>1.2311489231281618</v>
      </c>
      <c r="H647" s="24" t="str">
        <f t="shared" si="96"/>
        <v>RJSP</v>
      </c>
      <c r="I647" s="24" t="str">
        <f t="shared" si="95"/>
        <v>RJMG</v>
      </c>
      <c r="J647" s="24" t="str">
        <f t="shared" si="95"/>
        <v>RJES</v>
      </c>
      <c r="K647" s="24" t="str">
        <f t="shared" si="95"/>
        <v>RJSC</v>
      </c>
      <c r="L647" s="24" t="str">
        <f t="shared" si="95"/>
        <v>RJRJ</v>
      </c>
      <c r="M647" s="24" t="str">
        <f t="shared" si="95"/>
        <v>RJPR</v>
      </c>
      <c r="N647" s="24" t="str">
        <f t="shared" si="95"/>
        <v>RJAM</v>
      </c>
      <c r="O647" s="24">
        <f>VLOOKUP(H647, KM!$A:$E, 5, 0)</f>
        <v>429</v>
      </c>
      <c r="P647" s="24">
        <f>VLOOKUP(I647, KM!$A:$E, 5, 0)</f>
        <v>434</v>
      </c>
      <c r="Q647" s="24">
        <f>VLOOKUP(J647, KM!$A:$E, 5, 0)</f>
        <v>521</v>
      </c>
      <c r="R647" s="24">
        <f>VLOOKUP(K647, KM!$A:$E, 5, 0)</f>
        <v>1144</v>
      </c>
      <c r="S647" s="24">
        <f>VLOOKUP(L647, KM!$A:$E, 5, 0)</f>
        <v>0</v>
      </c>
      <c r="T647" s="24">
        <f>VLOOKUP(M647, KM!$A:$E, 5, 0)</f>
        <v>852</v>
      </c>
      <c r="U647" s="24">
        <f>VLOOKUP(N647, KM!$A:$E, 5, 0)</f>
        <v>4374</v>
      </c>
      <c r="V647" s="24">
        <f>VLOOKUP(H647, IMPOSTO!$A:$D, 4, 0)</f>
        <v>0.12</v>
      </c>
      <c r="W647" s="24">
        <f>VLOOKUP(I647, IMPOSTO!$A:$D, 4, 0)</f>
        <v>0.12</v>
      </c>
      <c r="X647" s="24">
        <f>VLOOKUP(J647, IMPOSTO!$A:$D, 4, 0)</f>
        <v>7.0000000000000007E-2</v>
      </c>
      <c r="Y647" s="24">
        <f>VLOOKUP(K647, IMPOSTO!$A:$D, 4, 0)</f>
        <v>0.12</v>
      </c>
      <c r="Z647" s="24">
        <f>VLOOKUP(L647, IMPOSTO!$A:$D, 4, 0)</f>
        <v>0.18</v>
      </c>
      <c r="AA647" s="24">
        <f>VLOOKUP(M647, IMPOSTO!$A:$D, 4, 0)</f>
        <v>0.12</v>
      </c>
      <c r="AB647" s="24">
        <f>VLOOKUP(N647, IMPOSTO!$A:$D, 4, 0)</f>
        <v>7.0000000000000007E-2</v>
      </c>
      <c r="AC647" s="25">
        <f t="shared" si="88"/>
        <v>50.149032867191096</v>
      </c>
      <c r="AD647" s="25">
        <f t="shared" si="89"/>
        <v>50.717214685372916</v>
      </c>
      <c r="AE647" s="25">
        <f t="shared" si="90"/>
        <v>57.345321422718456</v>
      </c>
      <c r="AF647" s="25">
        <f t="shared" si="91"/>
        <v>131.3990328671911</v>
      </c>
      <c r="AG647" s="25">
        <f t="shared" si="92"/>
        <v>1.5014011257660509</v>
      </c>
      <c r="AH647" s="25">
        <f t="shared" si="93"/>
        <v>98.217214685372909</v>
      </c>
      <c r="AI647" s="25">
        <f t="shared" si="94"/>
        <v>471.6463966915357</v>
      </c>
    </row>
    <row r="648" spans="1:35" ht="15.75" customHeight="1">
      <c r="A648" s="12" t="s">
        <v>306</v>
      </c>
      <c r="B648" s="12" t="s">
        <v>307</v>
      </c>
      <c r="C648" s="12" t="s">
        <v>163</v>
      </c>
      <c r="D648" s="12" t="s">
        <v>33</v>
      </c>
      <c r="E648" s="12" t="s">
        <v>27</v>
      </c>
      <c r="F648" s="13">
        <v>103741.63901369355</v>
      </c>
      <c r="G648" s="14">
        <v>4672.1814399201785</v>
      </c>
      <c r="H648" s="24" t="str">
        <f t="shared" si="96"/>
        <v>RJSP</v>
      </c>
      <c r="I648" s="24" t="str">
        <f t="shared" si="95"/>
        <v>RJMG</v>
      </c>
      <c r="J648" s="24" t="str">
        <f t="shared" si="95"/>
        <v>RJES</v>
      </c>
      <c r="K648" s="24" t="str">
        <f t="shared" si="95"/>
        <v>RJSC</v>
      </c>
      <c r="L648" s="24" t="str">
        <f t="shared" si="95"/>
        <v>RJRJ</v>
      </c>
      <c r="M648" s="24" t="str">
        <f t="shared" si="95"/>
        <v>RJPR</v>
      </c>
      <c r="N648" s="24" t="str">
        <f t="shared" si="95"/>
        <v>RJAM</v>
      </c>
      <c r="O648" s="24">
        <f>VLOOKUP(H648, KM!$A:$E, 5, 0)</f>
        <v>429</v>
      </c>
      <c r="P648" s="24">
        <f>VLOOKUP(I648, KM!$A:$E, 5, 0)</f>
        <v>434</v>
      </c>
      <c r="Q648" s="24">
        <f>VLOOKUP(J648, KM!$A:$E, 5, 0)</f>
        <v>521</v>
      </c>
      <c r="R648" s="24">
        <f>VLOOKUP(K648, KM!$A:$E, 5, 0)</f>
        <v>1144</v>
      </c>
      <c r="S648" s="24">
        <f>VLOOKUP(L648, KM!$A:$E, 5, 0)</f>
        <v>0</v>
      </c>
      <c r="T648" s="24">
        <f>VLOOKUP(M648, KM!$A:$E, 5, 0)</f>
        <v>852</v>
      </c>
      <c r="U648" s="24">
        <f>VLOOKUP(N648, KM!$A:$E, 5, 0)</f>
        <v>4374</v>
      </c>
      <c r="V648" s="24">
        <f>VLOOKUP(H648, IMPOSTO!$A:$D, 4, 0)</f>
        <v>0.12</v>
      </c>
      <c r="W648" s="24">
        <f>VLOOKUP(I648, IMPOSTO!$A:$D, 4, 0)</f>
        <v>0.12</v>
      </c>
      <c r="X648" s="24">
        <f>VLOOKUP(J648, IMPOSTO!$A:$D, 4, 0)</f>
        <v>7.0000000000000007E-2</v>
      </c>
      <c r="Y648" s="24">
        <f>VLOOKUP(K648, IMPOSTO!$A:$D, 4, 0)</f>
        <v>0.12</v>
      </c>
      <c r="Z648" s="24">
        <f>VLOOKUP(L648, IMPOSTO!$A:$D, 4, 0)</f>
        <v>0.18</v>
      </c>
      <c r="AA648" s="24">
        <f>VLOOKUP(M648, IMPOSTO!$A:$D, 4, 0)</f>
        <v>0.12</v>
      </c>
      <c r="AB648" s="24">
        <f>VLOOKUP(N648, IMPOSTO!$A:$D, 4, 0)</f>
        <v>7.0000000000000007E-2</v>
      </c>
      <c r="AC648" s="25">
        <f t="shared" si="88"/>
        <v>5358.0470908183843</v>
      </c>
      <c r="AD648" s="25">
        <f t="shared" si="89"/>
        <v>5358.6152726365663</v>
      </c>
      <c r="AE648" s="25">
        <f t="shared" si="90"/>
        <v>5079.8725160432032</v>
      </c>
      <c r="AF648" s="25">
        <f t="shared" si="91"/>
        <v>5439.2970908183843</v>
      </c>
      <c r="AG648" s="25">
        <f t="shared" si="92"/>
        <v>5697.7822438050953</v>
      </c>
      <c r="AH648" s="25">
        <f t="shared" si="93"/>
        <v>5406.1152726365663</v>
      </c>
      <c r="AI648" s="25">
        <f t="shared" si="94"/>
        <v>5494.1735913120201</v>
      </c>
    </row>
    <row r="649" spans="1:35" ht="15.75" customHeight="1">
      <c r="A649" s="12" t="s">
        <v>177</v>
      </c>
      <c r="B649" s="12" t="s">
        <v>178</v>
      </c>
      <c r="C649" s="12" t="s">
        <v>128</v>
      </c>
      <c r="D649" s="12" t="s">
        <v>33</v>
      </c>
      <c r="E649" s="12" t="s">
        <v>27</v>
      </c>
      <c r="F649" s="13">
        <v>1.47E-2</v>
      </c>
      <c r="G649" s="14">
        <v>0.84145199999999998</v>
      </c>
      <c r="H649" s="24" t="str">
        <f t="shared" si="96"/>
        <v>RJSP</v>
      </c>
      <c r="I649" s="24" t="str">
        <f t="shared" si="95"/>
        <v>RJMG</v>
      </c>
      <c r="J649" s="24" t="str">
        <f t="shared" si="95"/>
        <v>RJES</v>
      </c>
      <c r="K649" s="24" t="str">
        <f t="shared" si="95"/>
        <v>RJSC</v>
      </c>
      <c r="L649" s="24" t="str">
        <f t="shared" si="95"/>
        <v>RJRJ</v>
      </c>
      <c r="M649" s="24" t="str">
        <f t="shared" si="95"/>
        <v>RJPR</v>
      </c>
      <c r="N649" s="24" t="str">
        <f t="shared" si="95"/>
        <v>RJAM</v>
      </c>
      <c r="O649" s="24">
        <f>VLOOKUP(H649, KM!$A:$E, 5, 0)</f>
        <v>429</v>
      </c>
      <c r="P649" s="24">
        <f>VLOOKUP(I649, KM!$A:$E, 5, 0)</f>
        <v>434</v>
      </c>
      <c r="Q649" s="24">
        <f>VLOOKUP(J649, KM!$A:$E, 5, 0)</f>
        <v>521</v>
      </c>
      <c r="R649" s="24">
        <f>VLOOKUP(K649, KM!$A:$E, 5, 0)</f>
        <v>1144</v>
      </c>
      <c r="S649" s="24">
        <f>VLOOKUP(L649, KM!$A:$E, 5, 0)</f>
        <v>0</v>
      </c>
      <c r="T649" s="24">
        <f>VLOOKUP(M649, KM!$A:$E, 5, 0)</f>
        <v>852</v>
      </c>
      <c r="U649" s="24">
        <f>VLOOKUP(N649, KM!$A:$E, 5, 0)</f>
        <v>4374</v>
      </c>
      <c r="V649" s="24">
        <f>VLOOKUP(H649, IMPOSTO!$A:$D, 4, 0)</f>
        <v>0.12</v>
      </c>
      <c r="W649" s="24">
        <f>VLOOKUP(I649, IMPOSTO!$A:$D, 4, 0)</f>
        <v>0.12</v>
      </c>
      <c r="X649" s="24">
        <f>VLOOKUP(J649, IMPOSTO!$A:$D, 4, 0)</f>
        <v>7.0000000000000007E-2</v>
      </c>
      <c r="Y649" s="24">
        <f>VLOOKUP(K649, IMPOSTO!$A:$D, 4, 0)</f>
        <v>0.12</v>
      </c>
      <c r="Z649" s="24">
        <f>VLOOKUP(L649, IMPOSTO!$A:$D, 4, 0)</f>
        <v>0.18</v>
      </c>
      <c r="AA649" s="24">
        <f>VLOOKUP(M649, IMPOSTO!$A:$D, 4, 0)</f>
        <v>0.12</v>
      </c>
      <c r="AB649" s="24">
        <f>VLOOKUP(N649, IMPOSTO!$A:$D, 4, 0)</f>
        <v>7.0000000000000007E-2</v>
      </c>
      <c r="AC649" s="25">
        <f t="shared" si="88"/>
        <v>49.706195454545458</v>
      </c>
      <c r="AD649" s="25">
        <f t="shared" si="89"/>
        <v>50.274377272727278</v>
      </c>
      <c r="AE649" s="25">
        <f t="shared" si="90"/>
        <v>56.926292473118281</v>
      </c>
      <c r="AF649" s="25">
        <f t="shared" si="91"/>
        <v>130.95619545454545</v>
      </c>
      <c r="AG649" s="25">
        <f t="shared" si="92"/>
        <v>1.0261609756097561</v>
      </c>
      <c r="AH649" s="25">
        <f t="shared" si="93"/>
        <v>97.774377272727278</v>
      </c>
      <c r="AI649" s="25">
        <f t="shared" si="94"/>
        <v>471.22736774193555</v>
      </c>
    </row>
    <row r="650" spans="1:35" ht="15.75" customHeight="1">
      <c r="A650" s="12" t="s">
        <v>351</v>
      </c>
      <c r="B650" s="12" t="s">
        <v>352</v>
      </c>
      <c r="C650" s="12" t="s">
        <v>283</v>
      </c>
      <c r="D650" s="12" t="s">
        <v>33</v>
      </c>
      <c r="E650" s="12" t="s">
        <v>27</v>
      </c>
      <c r="F650" s="13">
        <v>1.1999999999999999E-3</v>
      </c>
      <c r="G650" s="14">
        <v>2.5835999999999998E-2</v>
      </c>
      <c r="H650" s="24" t="str">
        <f t="shared" si="96"/>
        <v>RJSP</v>
      </c>
      <c r="I650" s="24" t="str">
        <f t="shared" si="95"/>
        <v>RJMG</v>
      </c>
      <c r="J650" s="24" t="str">
        <f t="shared" si="95"/>
        <v>RJES</v>
      </c>
      <c r="K650" s="24" t="str">
        <f t="shared" si="95"/>
        <v>RJSC</v>
      </c>
      <c r="L650" s="24" t="str">
        <f t="shared" si="95"/>
        <v>RJRJ</v>
      </c>
      <c r="M650" s="24" t="str">
        <f t="shared" si="95"/>
        <v>RJPR</v>
      </c>
      <c r="N650" s="24" t="str">
        <f t="shared" si="95"/>
        <v>RJAM</v>
      </c>
      <c r="O650" s="24">
        <f>VLOOKUP(H650, KM!$A:$E, 5, 0)</f>
        <v>429</v>
      </c>
      <c r="P650" s="24">
        <f>VLOOKUP(I650, KM!$A:$E, 5, 0)</f>
        <v>434</v>
      </c>
      <c r="Q650" s="24">
        <f>VLOOKUP(J650, KM!$A:$E, 5, 0)</f>
        <v>521</v>
      </c>
      <c r="R650" s="24">
        <f>VLOOKUP(K650, KM!$A:$E, 5, 0)</f>
        <v>1144</v>
      </c>
      <c r="S650" s="24">
        <f>VLOOKUP(L650, KM!$A:$E, 5, 0)</f>
        <v>0</v>
      </c>
      <c r="T650" s="24">
        <f>VLOOKUP(M650, KM!$A:$E, 5, 0)</f>
        <v>852</v>
      </c>
      <c r="U650" s="24">
        <f>VLOOKUP(N650, KM!$A:$E, 5, 0)</f>
        <v>4374</v>
      </c>
      <c r="V650" s="24">
        <f>VLOOKUP(H650, IMPOSTO!$A:$D, 4, 0)</f>
        <v>0.12</v>
      </c>
      <c r="W650" s="24">
        <f>VLOOKUP(I650, IMPOSTO!$A:$D, 4, 0)</f>
        <v>0.12</v>
      </c>
      <c r="X650" s="24">
        <f>VLOOKUP(J650, IMPOSTO!$A:$D, 4, 0)</f>
        <v>7.0000000000000007E-2</v>
      </c>
      <c r="Y650" s="24">
        <f>VLOOKUP(K650, IMPOSTO!$A:$D, 4, 0)</f>
        <v>0.12</v>
      </c>
      <c r="Z650" s="24">
        <f>VLOOKUP(L650, IMPOSTO!$A:$D, 4, 0)</f>
        <v>0.18</v>
      </c>
      <c r="AA650" s="24">
        <f>VLOOKUP(M650, IMPOSTO!$A:$D, 4, 0)</f>
        <v>0.12</v>
      </c>
      <c r="AB650" s="24">
        <f>VLOOKUP(N650, IMPOSTO!$A:$D, 4, 0)</f>
        <v>7.0000000000000007E-2</v>
      </c>
      <c r="AC650" s="25">
        <f t="shared" si="88"/>
        <v>48.779359090909097</v>
      </c>
      <c r="AD650" s="25">
        <f t="shared" si="89"/>
        <v>49.347540909090917</v>
      </c>
      <c r="AE650" s="25">
        <f t="shared" si="90"/>
        <v>56.049286021505381</v>
      </c>
      <c r="AF650" s="25">
        <f t="shared" si="91"/>
        <v>130.02935909090908</v>
      </c>
      <c r="AG650" s="25">
        <f t="shared" si="92"/>
        <v>3.1507317073170726E-2</v>
      </c>
      <c r="AH650" s="25">
        <f t="shared" si="93"/>
        <v>96.84754090909091</v>
      </c>
      <c r="AI650" s="25">
        <f t="shared" si="94"/>
        <v>470.35036129032267</v>
      </c>
    </row>
    <row r="651" spans="1:35" ht="15.75" customHeight="1">
      <c r="A651" s="12" t="s">
        <v>58</v>
      </c>
      <c r="B651" s="12" t="s">
        <v>59</v>
      </c>
      <c r="C651" s="12" t="s">
        <v>60</v>
      </c>
      <c r="D651" s="12" t="s">
        <v>50</v>
      </c>
      <c r="E651" s="12" t="s">
        <v>27</v>
      </c>
      <c r="F651" s="13">
        <v>8.9999999999999998E-4</v>
      </c>
      <c r="G651" s="14">
        <v>3.4532999999999994E-2</v>
      </c>
      <c r="H651" s="24" t="str">
        <f t="shared" si="96"/>
        <v>RJSP</v>
      </c>
      <c r="I651" s="24" t="str">
        <f t="shared" si="95"/>
        <v>RJMG</v>
      </c>
      <c r="J651" s="24" t="str">
        <f t="shared" si="95"/>
        <v>RJES</v>
      </c>
      <c r="K651" s="24" t="str">
        <f t="shared" si="95"/>
        <v>RJSC</v>
      </c>
      <c r="L651" s="24" t="str">
        <f t="shared" si="95"/>
        <v>RJRJ</v>
      </c>
      <c r="M651" s="24" t="str">
        <f t="shared" si="95"/>
        <v>RJPR</v>
      </c>
      <c r="N651" s="24" t="str">
        <f t="shared" si="95"/>
        <v>RJAM</v>
      </c>
      <c r="O651" s="24">
        <f>VLOOKUP(H651, KM!$A:$E, 5, 0)</f>
        <v>429</v>
      </c>
      <c r="P651" s="24">
        <f>VLOOKUP(I651, KM!$A:$E, 5, 0)</f>
        <v>434</v>
      </c>
      <c r="Q651" s="24">
        <f>VLOOKUP(J651, KM!$A:$E, 5, 0)</f>
        <v>521</v>
      </c>
      <c r="R651" s="24">
        <f>VLOOKUP(K651, KM!$A:$E, 5, 0)</f>
        <v>1144</v>
      </c>
      <c r="S651" s="24">
        <f>VLOOKUP(L651, KM!$A:$E, 5, 0)</f>
        <v>0</v>
      </c>
      <c r="T651" s="24">
        <f>VLOOKUP(M651, KM!$A:$E, 5, 0)</f>
        <v>852</v>
      </c>
      <c r="U651" s="24">
        <f>VLOOKUP(N651, KM!$A:$E, 5, 0)</f>
        <v>4374</v>
      </c>
      <c r="V651" s="24">
        <f>VLOOKUP(H651, IMPOSTO!$A:$D, 4, 0)</f>
        <v>0.12</v>
      </c>
      <c r="W651" s="24">
        <f>VLOOKUP(I651, IMPOSTO!$A:$D, 4, 0)</f>
        <v>0.12</v>
      </c>
      <c r="X651" s="24">
        <f>VLOOKUP(J651, IMPOSTO!$A:$D, 4, 0)</f>
        <v>7.0000000000000007E-2</v>
      </c>
      <c r="Y651" s="24">
        <f>VLOOKUP(K651, IMPOSTO!$A:$D, 4, 0)</f>
        <v>0.12</v>
      </c>
      <c r="Z651" s="24">
        <f>VLOOKUP(L651, IMPOSTO!$A:$D, 4, 0)</f>
        <v>0.18</v>
      </c>
      <c r="AA651" s="24">
        <f>VLOOKUP(M651, IMPOSTO!$A:$D, 4, 0)</f>
        <v>0.12</v>
      </c>
      <c r="AB651" s="24">
        <f>VLOOKUP(N651, IMPOSTO!$A:$D, 4, 0)</f>
        <v>7.0000000000000007E-2</v>
      </c>
      <c r="AC651" s="25">
        <f t="shared" si="88"/>
        <v>48.789242045454557</v>
      </c>
      <c r="AD651" s="25">
        <f t="shared" si="89"/>
        <v>49.35742386363637</v>
      </c>
      <c r="AE651" s="25">
        <f t="shared" si="90"/>
        <v>56.058637634408612</v>
      </c>
      <c r="AF651" s="25">
        <f t="shared" si="91"/>
        <v>130.03924204545456</v>
      </c>
      <c r="AG651" s="25">
        <f t="shared" si="92"/>
        <v>4.2113414634146334E-2</v>
      </c>
      <c r="AH651" s="25">
        <f t="shared" si="93"/>
        <v>96.857423863636356</v>
      </c>
      <c r="AI651" s="25">
        <f t="shared" si="94"/>
        <v>470.3597129032259</v>
      </c>
    </row>
    <row r="652" spans="1:35" ht="15.75" customHeight="1">
      <c r="A652" s="12" t="s">
        <v>208</v>
      </c>
      <c r="B652" s="12" t="s">
        <v>209</v>
      </c>
      <c r="C652" s="12" t="s">
        <v>210</v>
      </c>
      <c r="D652" s="12" t="s">
        <v>33</v>
      </c>
      <c r="E652" s="12" t="s">
        <v>27</v>
      </c>
      <c r="F652" s="13">
        <v>1.44E-2</v>
      </c>
      <c r="G652" s="14">
        <v>0.41404799999999992</v>
      </c>
      <c r="H652" s="24" t="str">
        <f t="shared" si="96"/>
        <v>RJSP</v>
      </c>
      <c r="I652" s="24" t="str">
        <f t="shared" si="95"/>
        <v>RJMG</v>
      </c>
      <c r="J652" s="24" t="str">
        <f t="shared" si="95"/>
        <v>RJES</v>
      </c>
      <c r="K652" s="24" t="str">
        <f t="shared" si="95"/>
        <v>RJSC</v>
      </c>
      <c r="L652" s="24" t="str">
        <f t="shared" si="95"/>
        <v>RJRJ</v>
      </c>
      <c r="M652" s="24" t="str">
        <f t="shared" si="95"/>
        <v>RJPR</v>
      </c>
      <c r="N652" s="24" t="str">
        <f t="shared" si="95"/>
        <v>RJAM</v>
      </c>
      <c r="O652" s="24">
        <f>VLOOKUP(H652, KM!$A:$E, 5, 0)</f>
        <v>429</v>
      </c>
      <c r="P652" s="24">
        <f>VLOOKUP(I652, KM!$A:$E, 5, 0)</f>
        <v>434</v>
      </c>
      <c r="Q652" s="24">
        <f>VLOOKUP(J652, KM!$A:$E, 5, 0)</f>
        <v>521</v>
      </c>
      <c r="R652" s="24">
        <f>VLOOKUP(K652, KM!$A:$E, 5, 0)</f>
        <v>1144</v>
      </c>
      <c r="S652" s="24">
        <f>VLOOKUP(L652, KM!$A:$E, 5, 0)</f>
        <v>0</v>
      </c>
      <c r="T652" s="24">
        <f>VLOOKUP(M652, KM!$A:$E, 5, 0)</f>
        <v>852</v>
      </c>
      <c r="U652" s="24">
        <f>VLOOKUP(N652, KM!$A:$E, 5, 0)</f>
        <v>4374</v>
      </c>
      <c r="V652" s="24">
        <f>VLOOKUP(H652, IMPOSTO!$A:$D, 4, 0)</f>
        <v>0.12</v>
      </c>
      <c r="W652" s="24">
        <f>VLOOKUP(I652, IMPOSTO!$A:$D, 4, 0)</f>
        <v>0.12</v>
      </c>
      <c r="X652" s="24">
        <f>VLOOKUP(J652, IMPOSTO!$A:$D, 4, 0)</f>
        <v>7.0000000000000007E-2</v>
      </c>
      <c r="Y652" s="24">
        <f>VLOOKUP(K652, IMPOSTO!$A:$D, 4, 0)</f>
        <v>0.12</v>
      </c>
      <c r="Z652" s="24">
        <f>VLOOKUP(L652, IMPOSTO!$A:$D, 4, 0)</f>
        <v>0.18</v>
      </c>
      <c r="AA652" s="24">
        <f>VLOOKUP(M652, IMPOSTO!$A:$D, 4, 0)</f>
        <v>0.12</v>
      </c>
      <c r="AB652" s="24">
        <f>VLOOKUP(N652, IMPOSTO!$A:$D, 4, 0)</f>
        <v>7.0000000000000007E-2</v>
      </c>
      <c r="AC652" s="25">
        <f t="shared" si="88"/>
        <v>49.220509090909097</v>
      </c>
      <c r="AD652" s="25">
        <f t="shared" si="89"/>
        <v>49.788690909090917</v>
      </c>
      <c r="AE652" s="25">
        <f t="shared" si="90"/>
        <v>56.466718279569896</v>
      </c>
      <c r="AF652" s="25">
        <f t="shared" si="91"/>
        <v>130.47050909090908</v>
      </c>
      <c r="AG652" s="25">
        <f t="shared" si="92"/>
        <v>0.50493658536585351</v>
      </c>
      <c r="AH652" s="25">
        <f t="shared" si="93"/>
        <v>97.288690909090903</v>
      </c>
      <c r="AI652" s="25">
        <f t="shared" si="94"/>
        <v>470.76779354838715</v>
      </c>
    </row>
    <row r="653" spans="1:35" ht="15.75" customHeight="1">
      <c r="A653" s="12" t="s">
        <v>506</v>
      </c>
      <c r="B653" s="12" t="s">
        <v>507</v>
      </c>
      <c r="C653" s="12" t="s">
        <v>66</v>
      </c>
      <c r="D653" s="12" t="s">
        <v>50</v>
      </c>
      <c r="E653" s="12" t="s">
        <v>27</v>
      </c>
      <c r="F653" s="13">
        <v>0.41239999999999999</v>
      </c>
      <c r="G653" s="14">
        <v>7.1386439999999993</v>
      </c>
      <c r="H653" s="24" t="str">
        <f t="shared" si="96"/>
        <v>RJSP</v>
      </c>
      <c r="I653" s="24" t="str">
        <f t="shared" si="95"/>
        <v>RJMG</v>
      </c>
      <c r="J653" s="24" t="str">
        <f t="shared" si="95"/>
        <v>RJES</v>
      </c>
      <c r="K653" s="24" t="str">
        <f t="shared" si="95"/>
        <v>RJSC</v>
      </c>
      <c r="L653" s="24" t="str">
        <f t="shared" si="95"/>
        <v>RJRJ</v>
      </c>
      <c r="M653" s="24" t="str">
        <f t="shared" si="95"/>
        <v>RJPR</v>
      </c>
      <c r="N653" s="24" t="str">
        <f t="shared" si="95"/>
        <v>RJAM</v>
      </c>
      <c r="O653" s="24">
        <f>VLOOKUP(H653, KM!$A:$E, 5, 0)</f>
        <v>429</v>
      </c>
      <c r="P653" s="24">
        <f>VLOOKUP(I653, KM!$A:$E, 5, 0)</f>
        <v>434</v>
      </c>
      <c r="Q653" s="24">
        <f>VLOOKUP(J653, KM!$A:$E, 5, 0)</f>
        <v>521</v>
      </c>
      <c r="R653" s="24">
        <f>VLOOKUP(K653, KM!$A:$E, 5, 0)</f>
        <v>1144</v>
      </c>
      <c r="S653" s="24">
        <f>VLOOKUP(L653, KM!$A:$E, 5, 0)</f>
        <v>0</v>
      </c>
      <c r="T653" s="24">
        <f>VLOOKUP(M653, KM!$A:$E, 5, 0)</f>
        <v>852</v>
      </c>
      <c r="U653" s="24">
        <f>VLOOKUP(N653, KM!$A:$E, 5, 0)</f>
        <v>4374</v>
      </c>
      <c r="V653" s="24">
        <f>VLOOKUP(H653, IMPOSTO!$A:$D, 4, 0)</f>
        <v>0.12</v>
      </c>
      <c r="W653" s="24">
        <f>VLOOKUP(I653, IMPOSTO!$A:$D, 4, 0)</f>
        <v>0.12</v>
      </c>
      <c r="X653" s="24">
        <f>VLOOKUP(J653, IMPOSTO!$A:$D, 4, 0)</f>
        <v>7.0000000000000007E-2</v>
      </c>
      <c r="Y653" s="24">
        <f>VLOOKUP(K653, IMPOSTO!$A:$D, 4, 0)</f>
        <v>0.12</v>
      </c>
      <c r="Z653" s="24">
        <f>VLOOKUP(L653, IMPOSTO!$A:$D, 4, 0)</f>
        <v>0.18</v>
      </c>
      <c r="AA653" s="24">
        <f>VLOOKUP(M653, IMPOSTO!$A:$D, 4, 0)</f>
        <v>0.12</v>
      </c>
      <c r="AB653" s="24">
        <f>VLOOKUP(N653, IMPOSTO!$A:$D, 4, 0)</f>
        <v>7.0000000000000007E-2</v>
      </c>
      <c r="AC653" s="25">
        <f t="shared" si="88"/>
        <v>56.862095454545461</v>
      </c>
      <c r="AD653" s="25">
        <f t="shared" si="89"/>
        <v>57.430277272727281</v>
      </c>
      <c r="AE653" s="25">
        <f t="shared" si="90"/>
        <v>63.697466666666671</v>
      </c>
      <c r="AF653" s="25">
        <f t="shared" si="91"/>
        <v>138.11209545454545</v>
      </c>
      <c r="AG653" s="25">
        <f t="shared" si="92"/>
        <v>8.7056634146341452</v>
      </c>
      <c r="AH653" s="25">
        <f t="shared" si="93"/>
        <v>104.93027727272728</v>
      </c>
      <c r="AI653" s="25">
        <f t="shared" si="94"/>
        <v>477.99854193548396</v>
      </c>
    </row>
    <row r="654" spans="1:35" ht="15.75" customHeight="1">
      <c r="A654" s="12" t="s">
        <v>126</v>
      </c>
      <c r="B654" s="12" t="s">
        <v>127</v>
      </c>
      <c r="C654" s="12" t="s">
        <v>128</v>
      </c>
      <c r="D654" s="12" t="s">
        <v>33</v>
      </c>
      <c r="E654" s="12" t="s">
        <v>27</v>
      </c>
      <c r="F654" s="13">
        <v>2.9999999999999997E-4</v>
      </c>
      <c r="G654" s="14">
        <v>4.5149999999999996E-2</v>
      </c>
      <c r="H654" s="24" t="str">
        <f t="shared" si="96"/>
        <v>RJSP</v>
      </c>
      <c r="I654" s="24" t="str">
        <f t="shared" si="95"/>
        <v>RJMG</v>
      </c>
      <c r="J654" s="24" t="str">
        <f t="shared" si="95"/>
        <v>RJES</v>
      </c>
      <c r="K654" s="24" t="str">
        <f t="shared" si="95"/>
        <v>RJSC</v>
      </c>
      <c r="L654" s="24" t="str">
        <f t="shared" si="95"/>
        <v>RJRJ</v>
      </c>
      <c r="M654" s="24" t="str">
        <f t="shared" si="95"/>
        <v>RJPR</v>
      </c>
      <c r="N654" s="24" t="str">
        <f t="shared" si="95"/>
        <v>RJAM</v>
      </c>
      <c r="O654" s="24">
        <f>VLOOKUP(H654, KM!$A:$E, 5, 0)</f>
        <v>429</v>
      </c>
      <c r="P654" s="24">
        <f>VLOOKUP(I654, KM!$A:$E, 5, 0)</f>
        <v>434</v>
      </c>
      <c r="Q654" s="24">
        <f>VLOOKUP(J654, KM!$A:$E, 5, 0)</f>
        <v>521</v>
      </c>
      <c r="R654" s="24">
        <f>VLOOKUP(K654, KM!$A:$E, 5, 0)</f>
        <v>1144</v>
      </c>
      <c r="S654" s="24">
        <f>VLOOKUP(L654, KM!$A:$E, 5, 0)</f>
        <v>0</v>
      </c>
      <c r="T654" s="24">
        <f>VLOOKUP(M654, KM!$A:$E, 5, 0)</f>
        <v>852</v>
      </c>
      <c r="U654" s="24">
        <f>VLOOKUP(N654, KM!$A:$E, 5, 0)</f>
        <v>4374</v>
      </c>
      <c r="V654" s="24">
        <f>VLOOKUP(H654, IMPOSTO!$A:$D, 4, 0)</f>
        <v>0.12</v>
      </c>
      <c r="W654" s="24">
        <f>VLOOKUP(I654, IMPOSTO!$A:$D, 4, 0)</f>
        <v>0.12</v>
      </c>
      <c r="X654" s="24">
        <f>VLOOKUP(J654, IMPOSTO!$A:$D, 4, 0)</f>
        <v>7.0000000000000007E-2</v>
      </c>
      <c r="Y654" s="24">
        <f>VLOOKUP(K654, IMPOSTO!$A:$D, 4, 0)</f>
        <v>0.12</v>
      </c>
      <c r="Z654" s="24">
        <f>VLOOKUP(L654, IMPOSTO!$A:$D, 4, 0)</f>
        <v>0.18</v>
      </c>
      <c r="AA654" s="24">
        <f>VLOOKUP(M654, IMPOSTO!$A:$D, 4, 0)</f>
        <v>0.12</v>
      </c>
      <c r="AB654" s="24">
        <f>VLOOKUP(N654, IMPOSTO!$A:$D, 4, 0)</f>
        <v>7.0000000000000007E-2</v>
      </c>
      <c r="AC654" s="25">
        <f t="shared" si="88"/>
        <v>48.801306818181821</v>
      </c>
      <c r="AD654" s="25">
        <f t="shared" si="89"/>
        <v>49.369488636363641</v>
      </c>
      <c r="AE654" s="25">
        <f t="shared" si="90"/>
        <v>56.070053763440868</v>
      </c>
      <c r="AF654" s="25">
        <f t="shared" si="91"/>
        <v>130.05130681818184</v>
      </c>
      <c r="AG654" s="25">
        <f t="shared" si="92"/>
        <v>5.5060975609756091E-2</v>
      </c>
      <c r="AH654" s="25">
        <f t="shared" si="93"/>
        <v>96.869488636363641</v>
      </c>
      <c r="AI654" s="25">
        <f t="shared" si="94"/>
        <v>470.37112903225812</v>
      </c>
    </row>
    <row r="655" spans="1:35" ht="15.75" customHeight="1">
      <c r="A655" s="12" t="s">
        <v>338</v>
      </c>
      <c r="B655" s="12" t="s">
        <v>339</v>
      </c>
      <c r="C655" s="12" t="s">
        <v>86</v>
      </c>
      <c r="D655" s="12" t="s">
        <v>33</v>
      </c>
      <c r="E655" s="12" t="s">
        <v>27</v>
      </c>
      <c r="F655" s="13">
        <v>0.20699999999999996</v>
      </c>
      <c r="G655" s="14">
        <v>4.2861359999999999</v>
      </c>
      <c r="H655" s="24" t="str">
        <f t="shared" si="96"/>
        <v>RJSP</v>
      </c>
      <c r="I655" s="24" t="str">
        <f t="shared" si="95"/>
        <v>RJMG</v>
      </c>
      <c r="J655" s="24" t="str">
        <f t="shared" si="95"/>
        <v>RJES</v>
      </c>
      <c r="K655" s="24" t="str">
        <f t="shared" si="95"/>
        <v>RJSC</v>
      </c>
      <c r="L655" s="24" t="str">
        <f t="shared" si="95"/>
        <v>RJRJ</v>
      </c>
      <c r="M655" s="24" t="str">
        <f t="shared" si="95"/>
        <v>RJPR</v>
      </c>
      <c r="N655" s="24" t="str">
        <f t="shared" si="95"/>
        <v>RJAM</v>
      </c>
      <c r="O655" s="24">
        <f>VLOOKUP(H655, KM!$A:$E, 5, 0)</f>
        <v>429</v>
      </c>
      <c r="P655" s="24">
        <f>VLOOKUP(I655, KM!$A:$E, 5, 0)</f>
        <v>434</v>
      </c>
      <c r="Q655" s="24">
        <f>VLOOKUP(J655, KM!$A:$E, 5, 0)</f>
        <v>521</v>
      </c>
      <c r="R655" s="24">
        <f>VLOOKUP(K655, KM!$A:$E, 5, 0)</f>
        <v>1144</v>
      </c>
      <c r="S655" s="24">
        <f>VLOOKUP(L655, KM!$A:$E, 5, 0)</f>
        <v>0</v>
      </c>
      <c r="T655" s="24">
        <f>VLOOKUP(M655, KM!$A:$E, 5, 0)</f>
        <v>852</v>
      </c>
      <c r="U655" s="24">
        <f>VLOOKUP(N655, KM!$A:$E, 5, 0)</f>
        <v>4374</v>
      </c>
      <c r="V655" s="24">
        <f>VLOOKUP(H655, IMPOSTO!$A:$D, 4, 0)</f>
        <v>0.12</v>
      </c>
      <c r="W655" s="24">
        <f>VLOOKUP(I655, IMPOSTO!$A:$D, 4, 0)</f>
        <v>0.12</v>
      </c>
      <c r="X655" s="24">
        <f>VLOOKUP(J655, IMPOSTO!$A:$D, 4, 0)</f>
        <v>7.0000000000000007E-2</v>
      </c>
      <c r="Y655" s="24">
        <f>VLOOKUP(K655, IMPOSTO!$A:$D, 4, 0)</f>
        <v>0.12</v>
      </c>
      <c r="Z655" s="24">
        <f>VLOOKUP(L655, IMPOSTO!$A:$D, 4, 0)</f>
        <v>0.18</v>
      </c>
      <c r="AA655" s="24">
        <f>VLOOKUP(M655, IMPOSTO!$A:$D, 4, 0)</f>
        <v>0.12</v>
      </c>
      <c r="AB655" s="24">
        <f>VLOOKUP(N655, IMPOSTO!$A:$D, 4, 0)</f>
        <v>7.0000000000000007E-2</v>
      </c>
      <c r="AC655" s="25">
        <f t="shared" si="88"/>
        <v>53.620609090909099</v>
      </c>
      <c r="AD655" s="25">
        <f t="shared" si="89"/>
        <v>54.188790909090912</v>
      </c>
      <c r="AE655" s="25">
        <f t="shared" si="90"/>
        <v>60.630253763440862</v>
      </c>
      <c r="AF655" s="25">
        <f t="shared" si="91"/>
        <v>134.87060909090908</v>
      </c>
      <c r="AG655" s="25">
        <f t="shared" si="92"/>
        <v>5.2269951219512194</v>
      </c>
      <c r="AH655" s="25">
        <f t="shared" si="93"/>
        <v>101.68879090909091</v>
      </c>
      <c r="AI655" s="25">
        <f t="shared" si="94"/>
        <v>474.93132903225813</v>
      </c>
    </row>
    <row r="656" spans="1:35" ht="15.75" customHeight="1">
      <c r="A656" s="12" t="s">
        <v>510</v>
      </c>
      <c r="B656" s="12" t="s">
        <v>511</v>
      </c>
      <c r="C656" s="12" t="s">
        <v>299</v>
      </c>
      <c r="D656" s="12" t="s">
        <v>33</v>
      </c>
      <c r="E656" s="12" t="s">
        <v>27</v>
      </c>
      <c r="F656" s="13">
        <v>0.32230000000000003</v>
      </c>
      <c r="G656" s="14">
        <v>25.453142</v>
      </c>
      <c r="H656" s="24" t="str">
        <f t="shared" si="96"/>
        <v>RJSP</v>
      </c>
      <c r="I656" s="24" t="str">
        <f t="shared" si="95"/>
        <v>RJMG</v>
      </c>
      <c r="J656" s="24" t="str">
        <f t="shared" si="95"/>
        <v>RJES</v>
      </c>
      <c r="K656" s="24" t="str">
        <f t="shared" si="95"/>
        <v>RJSC</v>
      </c>
      <c r="L656" s="24" t="str">
        <f t="shared" si="95"/>
        <v>RJRJ</v>
      </c>
      <c r="M656" s="24" t="str">
        <f t="shared" si="95"/>
        <v>RJPR</v>
      </c>
      <c r="N656" s="24" t="str">
        <f t="shared" si="95"/>
        <v>RJAM</v>
      </c>
      <c r="O656" s="24">
        <f>VLOOKUP(H656, KM!$A:$E, 5, 0)</f>
        <v>429</v>
      </c>
      <c r="P656" s="24">
        <f>VLOOKUP(I656, KM!$A:$E, 5, 0)</f>
        <v>434</v>
      </c>
      <c r="Q656" s="24">
        <f>VLOOKUP(J656, KM!$A:$E, 5, 0)</f>
        <v>521</v>
      </c>
      <c r="R656" s="24">
        <f>VLOOKUP(K656, KM!$A:$E, 5, 0)</f>
        <v>1144</v>
      </c>
      <c r="S656" s="24">
        <f>VLOOKUP(L656, KM!$A:$E, 5, 0)</f>
        <v>0</v>
      </c>
      <c r="T656" s="24">
        <f>VLOOKUP(M656, KM!$A:$E, 5, 0)</f>
        <v>852</v>
      </c>
      <c r="U656" s="24">
        <f>VLOOKUP(N656, KM!$A:$E, 5, 0)</f>
        <v>4374</v>
      </c>
      <c r="V656" s="24">
        <f>VLOOKUP(H656, IMPOSTO!$A:$D, 4, 0)</f>
        <v>0.12</v>
      </c>
      <c r="W656" s="24">
        <f>VLOOKUP(I656, IMPOSTO!$A:$D, 4, 0)</f>
        <v>0.12</v>
      </c>
      <c r="X656" s="24">
        <f>VLOOKUP(J656, IMPOSTO!$A:$D, 4, 0)</f>
        <v>7.0000000000000007E-2</v>
      </c>
      <c r="Y656" s="24">
        <f>VLOOKUP(K656, IMPOSTO!$A:$D, 4, 0)</f>
        <v>0.12</v>
      </c>
      <c r="Z656" s="24">
        <f>VLOOKUP(L656, IMPOSTO!$A:$D, 4, 0)</f>
        <v>0.18</v>
      </c>
      <c r="AA656" s="24">
        <f>VLOOKUP(M656, IMPOSTO!$A:$D, 4, 0)</f>
        <v>0.12</v>
      </c>
      <c r="AB656" s="24">
        <f>VLOOKUP(N656, IMPOSTO!$A:$D, 4, 0)</f>
        <v>7.0000000000000007E-2</v>
      </c>
      <c r="AC656" s="25">
        <f t="shared" si="88"/>
        <v>77.674025</v>
      </c>
      <c r="AD656" s="25">
        <f t="shared" si="89"/>
        <v>78.242206818181828</v>
      </c>
      <c r="AE656" s="25">
        <f t="shared" si="90"/>
        <v>83.390475268817212</v>
      </c>
      <c r="AF656" s="25">
        <f t="shared" si="91"/>
        <v>158.924025</v>
      </c>
      <c r="AG656" s="25">
        <f t="shared" si="92"/>
        <v>31.04041707317073</v>
      </c>
      <c r="AH656" s="25">
        <f t="shared" si="93"/>
        <v>125.74220681818183</v>
      </c>
      <c r="AI656" s="25">
        <f t="shared" si="94"/>
        <v>497.6915505376345</v>
      </c>
    </row>
    <row r="657" spans="1:35" ht="15.75" customHeight="1">
      <c r="A657" s="12" t="s">
        <v>355</v>
      </c>
      <c r="B657" s="12" t="s">
        <v>356</v>
      </c>
      <c r="C657" s="12" t="s">
        <v>283</v>
      </c>
      <c r="D657" s="12" t="s">
        <v>33</v>
      </c>
      <c r="E657" s="12" t="s">
        <v>27</v>
      </c>
      <c r="F657" s="13">
        <v>0.40799999999999997</v>
      </c>
      <c r="G657" s="14">
        <v>10.167971999999999</v>
      </c>
      <c r="H657" s="24" t="str">
        <f t="shared" si="96"/>
        <v>RJSP</v>
      </c>
      <c r="I657" s="24" t="str">
        <f t="shared" si="95"/>
        <v>RJMG</v>
      </c>
      <c r="J657" s="24" t="str">
        <f t="shared" si="95"/>
        <v>RJES</v>
      </c>
      <c r="K657" s="24" t="str">
        <f t="shared" si="95"/>
        <v>RJSC</v>
      </c>
      <c r="L657" s="24" t="str">
        <f t="shared" si="95"/>
        <v>RJRJ</v>
      </c>
      <c r="M657" s="24" t="str">
        <f t="shared" si="95"/>
        <v>RJPR</v>
      </c>
      <c r="N657" s="24" t="str">
        <f t="shared" si="95"/>
        <v>RJAM</v>
      </c>
      <c r="O657" s="24">
        <f>VLOOKUP(H657, KM!$A:$E, 5, 0)</f>
        <v>429</v>
      </c>
      <c r="P657" s="24">
        <f>VLOOKUP(I657, KM!$A:$E, 5, 0)</f>
        <v>434</v>
      </c>
      <c r="Q657" s="24">
        <f>VLOOKUP(J657, KM!$A:$E, 5, 0)</f>
        <v>521</v>
      </c>
      <c r="R657" s="24">
        <f>VLOOKUP(K657, KM!$A:$E, 5, 0)</f>
        <v>1144</v>
      </c>
      <c r="S657" s="24">
        <f>VLOOKUP(L657, KM!$A:$E, 5, 0)</f>
        <v>0</v>
      </c>
      <c r="T657" s="24">
        <f>VLOOKUP(M657, KM!$A:$E, 5, 0)</f>
        <v>852</v>
      </c>
      <c r="U657" s="24">
        <f>VLOOKUP(N657, KM!$A:$E, 5, 0)</f>
        <v>4374</v>
      </c>
      <c r="V657" s="24">
        <f>VLOOKUP(H657, IMPOSTO!$A:$D, 4, 0)</f>
        <v>0.12</v>
      </c>
      <c r="W657" s="24">
        <f>VLOOKUP(I657, IMPOSTO!$A:$D, 4, 0)</f>
        <v>0.12</v>
      </c>
      <c r="X657" s="24">
        <f>VLOOKUP(J657, IMPOSTO!$A:$D, 4, 0)</f>
        <v>7.0000000000000007E-2</v>
      </c>
      <c r="Y657" s="24">
        <f>VLOOKUP(K657, IMPOSTO!$A:$D, 4, 0)</f>
        <v>0.12</v>
      </c>
      <c r="Z657" s="24">
        <f>VLOOKUP(L657, IMPOSTO!$A:$D, 4, 0)</f>
        <v>0.18</v>
      </c>
      <c r="AA657" s="24">
        <f>VLOOKUP(M657, IMPOSTO!$A:$D, 4, 0)</f>
        <v>0.12</v>
      </c>
      <c r="AB657" s="24">
        <f>VLOOKUP(N657, IMPOSTO!$A:$D, 4, 0)</f>
        <v>7.0000000000000007E-2</v>
      </c>
      <c r="AC657" s="25">
        <f t="shared" si="88"/>
        <v>60.304513636363644</v>
      </c>
      <c r="AD657" s="25">
        <f t="shared" si="89"/>
        <v>60.872695454545457</v>
      </c>
      <c r="AE657" s="25">
        <f t="shared" si="90"/>
        <v>66.954808602150536</v>
      </c>
      <c r="AF657" s="25">
        <f t="shared" si="91"/>
        <v>141.55451363636362</v>
      </c>
      <c r="AG657" s="25">
        <f t="shared" si="92"/>
        <v>12.399965853658534</v>
      </c>
      <c r="AH657" s="25">
        <f t="shared" si="93"/>
        <v>108.37269545454546</v>
      </c>
      <c r="AI657" s="25">
        <f t="shared" si="94"/>
        <v>481.25588387096781</v>
      </c>
    </row>
    <row r="658" spans="1:35" ht="15.75" customHeight="1">
      <c r="A658" s="12" t="s">
        <v>614</v>
      </c>
      <c r="B658" s="12" t="s">
        <v>615</v>
      </c>
      <c r="C658" s="12" t="s">
        <v>333</v>
      </c>
      <c r="D658" s="12" t="s">
        <v>33</v>
      </c>
      <c r="E658" s="12" t="s">
        <v>27</v>
      </c>
      <c r="F658" s="13">
        <v>5.1599999999999993E-2</v>
      </c>
      <c r="G658" s="14">
        <v>1.101648</v>
      </c>
      <c r="H658" s="24" t="str">
        <f t="shared" si="96"/>
        <v>RJSP</v>
      </c>
      <c r="I658" s="24" t="str">
        <f t="shared" si="95"/>
        <v>RJMG</v>
      </c>
      <c r="J658" s="24" t="str">
        <f t="shared" si="95"/>
        <v>RJES</v>
      </c>
      <c r="K658" s="24" t="str">
        <f t="shared" si="95"/>
        <v>RJSC</v>
      </c>
      <c r="L658" s="24" t="str">
        <f t="shared" si="95"/>
        <v>RJRJ</v>
      </c>
      <c r="M658" s="24" t="str">
        <f t="shared" si="95"/>
        <v>RJPR</v>
      </c>
      <c r="N658" s="24" t="str">
        <f t="shared" si="95"/>
        <v>RJAM</v>
      </c>
      <c r="O658" s="24">
        <f>VLOOKUP(H658, KM!$A:$E, 5, 0)</f>
        <v>429</v>
      </c>
      <c r="P658" s="24">
        <f>VLOOKUP(I658, KM!$A:$E, 5, 0)</f>
        <v>434</v>
      </c>
      <c r="Q658" s="24">
        <f>VLOOKUP(J658, KM!$A:$E, 5, 0)</f>
        <v>521</v>
      </c>
      <c r="R658" s="24">
        <f>VLOOKUP(K658, KM!$A:$E, 5, 0)</f>
        <v>1144</v>
      </c>
      <c r="S658" s="24">
        <f>VLOOKUP(L658, KM!$A:$E, 5, 0)</f>
        <v>0</v>
      </c>
      <c r="T658" s="24">
        <f>VLOOKUP(M658, KM!$A:$E, 5, 0)</f>
        <v>852</v>
      </c>
      <c r="U658" s="24">
        <f>VLOOKUP(N658, KM!$A:$E, 5, 0)</f>
        <v>4374</v>
      </c>
      <c r="V658" s="24">
        <f>VLOOKUP(H658, IMPOSTO!$A:$D, 4, 0)</f>
        <v>0.12</v>
      </c>
      <c r="W658" s="24">
        <f>VLOOKUP(I658, IMPOSTO!$A:$D, 4, 0)</f>
        <v>0.12</v>
      </c>
      <c r="X658" s="24">
        <f>VLOOKUP(J658, IMPOSTO!$A:$D, 4, 0)</f>
        <v>7.0000000000000007E-2</v>
      </c>
      <c r="Y658" s="24">
        <f>VLOOKUP(K658, IMPOSTO!$A:$D, 4, 0)</f>
        <v>0.12</v>
      </c>
      <c r="Z658" s="24">
        <f>VLOOKUP(L658, IMPOSTO!$A:$D, 4, 0)</f>
        <v>0.18</v>
      </c>
      <c r="AA658" s="24">
        <f>VLOOKUP(M658, IMPOSTO!$A:$D, 4, 0)</f>
        <v>0.12</v>
      </c>
      <c r="AB658" s="24">
        <f>VLOOKUP(N658, IMPOSTO!$A:$D, 4, 0)</f>
        <v>7.0000000000000007E-2</v>
      </c>
      <c r="AC658" s="25">
        <f t="shared" si="88"/>
        <v>50.001872727272733</v>
      </c>
      <c r="AD658" s="25">
        <f t="shared" si="89"/>
        <v>50.570054545454546</v>
      </c>
      <c r="AE658" s="25">
        <f t="shared" si="90"/>
        <v>57.206073118279569</v>
      </c>
      <c r="AF658" s="25">
        <f t="shared" si="91"/>
        <v>131.25187272727274</v>
      </c>
      <c r="AG658" s="25">
        <f t="shared" si="92"/>
        <v>1.3434731707317071</v>
      </c>
      <c r="AH658" s="25">
        <f t="shared" si="93"/>
        <v>98.070054545454539</v>
      </c>
      <c r="AI658" s="25">
        <f t="shared" si="94"/>
        <v>471.50714838709683</v>
      </c>
    </row>
    <row r="659" spans="1:35" ht="15.75" customHeight="1">
      <c r="A659" s="12" t="s">
        <v>251</v>
      </c>
      <c r="B659" s="12" t="s">
        <v>252</v>
      </c>
      <c r="C659" s="12" t="s">
        <v>122</v>
      </c>
      <c r="D659" s="12" t="s">
        <v>33</v>
      </c>
      <c r="E659" s="12" t="s">
        <v>27</v>
      </c>
      <c r="F659" s="13">
        <v>0</v>
      </c>
      <c r="G659" s="14">
        <v>0</v>
      </c>
      <c r="H659" s="24" t="str">
        <f t="shared" si="96"/>
        <v>RJSP</v>
      </c>
      <c r="I659" s="24" t="str">
        <f t="shared" si="95"/>
        <v>RJMG</v>
      </c>
      <c r="J659" s="24" t="str">
        <f t="shared" si="95"/>
        <v>RJES</v>
      </c>
      <c r="K659" s="24" t="str">
        <f t="shared" si="95"/>
        <v>RJSC</v>
      </c>
      <c r="L659" s="24" t="str">
        <f t="shared" si="95"/>
        <v>RJRJ</v>
      </c>
      <c r="M659" s="24" t="str">
        <f t="shared" si="95"/>
        <v>RJPR</v>
      </c>
      <c r="N659" s="24" t="str">
        <f t="shared" si="95"/>
        <v>RJAM</v>
      </c>
      <c r="O659" s="24">
        <f>VLOOKUP(H659, KM!$A:$E, 5, 0)</f>
        <v>429</v>
      </c>
      <c r="P659" s="24">
        <f>VLOOKUP(I659, KM!$A:$E, 5, 0)</f>
        <v>434</v>
      </c>
      <c r="Q659" s="24">
        <f>VLOOKUP(J659, KM!$A:$E, 5, 0)</f>
        <v>521</v>
      </c>
      <c r="R659" s="24">
        <f>VLOOKUP(K659, KM!$A:$E, 5, 0)</f>
        <v>1144</v>
      </c>
      <c r="S659" s="24">
        <f>VLOOKUP(L659, KM!$A:$E, 5, 0)</f>
        <v>0</v>
      </c>
      <c r="T659" s="24">
        <f>VLOOKUP(M659, KM!$A:$E, 5, 0)</f>
        <v>852</v>
      </c>
      <c r="U659" s="24">
        <f>VLOOKUP(N659, KM!$A:$E, 5, 0)</f>
        <v>4374</v>
      </c>
      <c r="V659" s="24">
        <f>VLOOKUP(H659, IMPOSTO!$A:$D, 4, 0)</f>
        <v>0.12</v>
      </c>
      <c r="W659" s="24">
        <f>VLOOKUP(I659, IMPOSTO!$A:$D, 4, 0)</f>
        <v>0.12</v>
      </c>
      <c r="X659" s="24">
        <f>VLOOKUP(J659, IMPOSTO!$A:$D, 4, 0)</f>
        <v>7.0000000000000007E-2</v>
      </c>
      <c r="Y659" s="24">
        <f>VLOOKUP(K659, IMPOSTO!$A:$D, 4, 0)</f>
        <v>0.12</v>
      </c>
      <c r="Z659" s="24">
        <f>VLOOKUP(L659, IMPOSTO!$A:$D, 4, 0)</f>
        <v>0.18</v>
      </c>
      <c r="AA659" s="24">
        <f>VLOOKUP(M659, IMPOSTO!$A:$D, 4, 0)</f>
        <v>0.12</v>
      </c>
      <c r="AB659" s="24">
        <f>VLOOKUP(N659, IMPOSTO!$A:$D, 4, 0)</f>
        <v>7.0000000000000007E-2</v>
      </c>
      <c r="AC659" s="25">
        <f t="shared" ref="AC659:AC722" si="97">($G659 + O659 * $AE$5) / (1 - V659)</f>
        <v>48.750000000000007</v>
      </c>
      <c r="AD659" s="25">
        <f t="shared" ref="AD659:AD722" si="98">($G659 + P659 * $AE$5) / (1 - W659)</f>
        <v>49.318181818181827</v>
      </c>
      <c r="AE659" s="25">
        <f t="shared" ref="AE659:AE722" si="99">($G659 + Q659 * $AE$5) / (1 - X659)</f>
        <v>56.021505376344088</v>
      </c>
      <c r="AF659" s="25">
        <f t="shared" ref="AF659:AF722" si="100">($G659 + R659 * $AE$5) / (1 - Y659)</f>
        <v>130</v>
      </c>
      <c r="AG659" s="25">
        <f t="shared" ref="AG659:AG722" si="101">($G659 + S659 * $AE$5) / (1 - Z659)</f>
        <v>0</v>
      </c>
      <c r="AH659" s="25">
        <f t="shared" ref="AH659:AH722" si="102">($G659 + T659 * $AE$5) / (1 - AA659)</f>
        <v>96.818181818181827</v>
      </c>
      <c r="AI659" s="25">
        <f t="shared" ref="AI659:AI722" si="103">($G659 + U659 * $AE$5) / (1 - AB659)</f>
        <v>470.32258064516134</v>
      </c>
    </row>
    <row r="660" spans="1:35" ht="15.75" customHeight="1">
      <c r="A660" s="12" t="s">
        <v>317</v>
      </c>
      <c r="B660" s="12" t="s">
        <v>318</v>
      </c>
      <c r="C660" s="12" t="s">
        <v>210</v>
      </c>
      <c r="D660" s="12" t="s">
        <v>33</v>
      </c>
      <c r="E660" s="12" t="s">
        <v>27</v>
      </c>
      <c r="F660" s="13">
        <v>0</v>
      </c>
      <c r="G660" s="14">
        <v>0</v>
      </c>
      <c r="H660" s="24" t="str">
        <f t="shared" si="96"/>
        <v>RJSP</v>
      </c>
      <c r="I660" s="24" t="str">
        <f t="shared" si="95"/>
        <v>RJMG</v>
      </c>
      <c r="J660" s="24" t="str">
        <f t="shared" si="95"/>
        <v>RJES</v>
      </c>
      <c r="K660" s="24" t="str">
        <f t="shared" si="95"/>
        <v>RJSC</v>
      </c>
      <c r="L660" s="24" t="str">
        <f t="shared" si="95"/>
        <v>RJRJ</v>
      </c>
      <c r="M660" s="24" t="str">
        <f t="shared" si="95"/>
        <v>RJPR</v>
      </c>
      <c r="N660" s="24" t="str">
        <f t="shared" si="95"/>
        <v>RJAM</v>
      </c>
      <c r="O660" s="24">
        <f>VLOOKUP(H660, KM!$A:$E, 5, 0)</f>
        <v>429</v>
      </c>
      <c r="P660" s="24">
        <f>VLOOKUP(I660, KM!$A:$E, 5, 0)</f>
        <v>434</v>
      </c>
      <c r="Q660" s="24">
        <f>VLOOKUP(J660, KM!$A:$E, 5, 0)</f>
        <v>521</v>
      </c>
      <c r="R660" s="24">
        <f>VLOOKUP(K660, KM!$A:$E, 5, 0)</f>
        <v>1144</v>
      </c>
      <c r="S660" s="24">
        <f>VLOOKUP(L660, KM!$A:$E, 5, 0)</f>
        <v>0</v>
      </c>
      <c r="T660" s="24">
        <f>VLOOKUP(M660, KM!$A:$E, 5, 0)</f>
        <v>852</v>
      </c>
      <c r="U660" s="24">
        <f>VLOOKUP(N660, KM!$A:$E, 5, 0)</f>
        <v>4374</v>
      </c>
      <c r="V660" s="24">
        <f>VLOOKUP(H660, IMPOSTO!$A:$D, 4, 0)</f>
        <v>0.12</v>
      </c>
      <c r="W660" s="24">
        <f>VLOOKUP(I660, IMPOSTO!$A:$D, 4, 0)</f>
        <v>0.12</v>
      </c>
      <c r="X660" s="24">
        <f>VLOOKUP(J660, IMPOSTO!$A:$D, 4, 0)</f>
        <v>7.0000000000000007E-2</v>
      </c>
      <c r="Y660" s="24">
        <f>VLOOKUP(K660, IMPOSTO!$A:$D, 4, 0)</f>
        <v>0.12</v>
      </c>
      <c r="Z660" s="24">
        <f>VLOOKUP(L660, IMPOSTO!$A:$D, 4, 0)</f>
        <v>0.18</v>
      </c>
      <c r="AA660" s="24">
        <f>VLOOKUP(M660, IMPOSTO!$A:$D, 4, 0)</f>
        <v>0.12</v>
      </c>
      <c r="AB660" s="24">
        <f>VLOOKUP(N660, IMPOSTO!$A:$D, 4, 0)</f>
        <v>7.0000000000000007E-2</v>
      </c>
      <c r="AC660" s="25">
        <f t="shared" si="97"/>
        <v>48.750000000000007</v>
      </c>
      <c r="AD660" s="25">
        <f t="shared" si="98"/>
        <v>49.318181818181827</v>
      </c>
      <c r="AE660" s="25">
        <f t="shared" si="99"/>
        <v>56.021505376344088</v>
      </c>
      <c r="AF660" s="25">
        <f t="shared" si="100"/>
        <v>130</v>
      </c>
      <c r="AG660" s="25">
        <f t="shared" si="101"/>
        <v>0</v>
      </c>
      <c r="AH660" s="25">
        <f t="shared" si="102"/>
        <v>96.818181818181827</v>
      </c>
      <c r="AI660" s="25">
        <f t="shared" si="103"/>
        <v>470.32258064516134</v>
      </c>
    </row>
    <row r="661" spans="1:35" ht="15.75" customHeight="1">
      <c r="A661" s="12" t="s">
        <v>266</v>
      </c>
      <c r="B661" s="12" t="s">
        <v>267</v>
      </c>
      <c r="C661" s="12" t="s">
        <v>169</v>
      </c>
      <c r="D661" s="12" t="s">
        <v>33</v>
      </c>
      <c r="E661" s="12" t="s">
        <v>27</v>
      </c>
      <c r="F661" s="13">
        <v>0</v>
      </c>
      <c r="G661" s="14">
        <v>0</v>
      </c>
      <c r="H661" s="24" t="str">
        <f t="shared" si="96"/>
        <v>RJSP</v>
      </c>
      <c r="I661" s="24" t="str">
        <f t="shared" si="95"/>
        <v>RJMG</v>
      </c>
      <c r="J661" s="24" t="str">
        <f t="shared" si="95"/>
        <v>RJES</v>
      </c>
      <c r="K661" s="24" t="str">
        <f t="shared" si="95"/>
        <v>RJSC</v>
      </c>
      <c r="L661" s="24" t="str">
        <f t="shared" si="95"/>
        <v>RJRJ</v>
      </c>
      <c r="M661" s="24" t="str">
        <f t="shared" si="95"/>
        <v>RJPR</v>
      </c>
      <c r="N661" s="24" t="str">
        <f t="shared" si="95"/>
        <v>RJAM</v>
      </c>
      <c r="O661" s="24">
        <f>VLOOKUP(H661, KM!$A:$E, 5, 0)</f>
        <v>429</v>
      </c>
      <c r="P661" s="24">
        <f>VLOOKUP(I661, KM!$A:$E, 5, 0)</f>
        <v>434</v>
      </c>
      <c r="Q661" s="24">
        <f>VLOOKUP(J661, KM!$A:$E, 5, 0)</f>
        <v>521</v>
      </c>
      <c r="R661" s="24">
        <f>VLOOKUP(K661, KM!$A:$E, 5, 0)</f>
        <v>1144</v>
      </c>
      <c r="S661" s="24">
        <f>VLOOKUP(L661, KM!$A:$E, 5, 0)</f>
        <v>0</v>
      </c>
      <c r="T661" s="24">
        <f>VLOOKUP(M661, KM!$A:$E, 5, 0)</f>
        <v>852</v>
      </c>
      <c r="U661" s="24">
        <f>VLOOKUP(N661, KM!$A:$E, 5, 0)</f>
        <v>4374</v>
      </c>
      <c r="V661" s="24">
        <f>VLOOKUP(H661, IMPOSTO!$A:$D, 4, 0)</f>
        <v>0.12</v>
      </c>
      <c r="W661" s="24">
        <f>VLOOKUP(I661, IMPOSTO!$A:$D, 4, 0)</f>
        <v>0.12</v>
      </c>
      <c r="X661" s="24">
        <f>VLOOKUP(J661, IMPOSTO!$A:$D, 4, 0)</f>
        <v>7.0000000000000007E-2</v>
      </c>
      <c r="Y661" s="24">
        <f>VLOOKUP(K661, IMPOSTO!$A:$D, 4, 0)</f>
        <v>0.12</v>
      </c>
      <c r="Z661" s="24">
        <f>VLOOKUP(L661, IMPOSTO!$A:$D, 4, 0)</f>
        <v>0.18</v>
      </c>
      <c r="AA661" s="24">
        <f>VLOOKUP(M661, IMPOSTO!$A:$D, 4, 0)</f>
        <v>0.12</v>
      </c>
      <c r="AB661" s="24">
        <f>VLOOKUP(N661, IMPOSTO!$A:$D, 4, 0)</f>
        <v>7.0000000000000007E-2</v>
      </c>
      <c r="AC661" s="25">
        <f t="shared" si="97"/>
        <v>48.750000000000007</v>
      </c>
      <c r="AD661" s="25">
        <f t="shared" si="98"/>
        <v>49.318181818181827</v>
      </c>
      <c r="AE661" s="25">
        <f t="shared" si="99"/>
        <v>56.021505376344088</v>
      </c>
      <c r="AF661" s="25">
        <f t="shared" si="100"/>
        <v>130</v>
      </c>
      <c r="AG661" s="25">
        <f t="shared" si="101"/>
        <v>0</v>
      </c>
      <c r="AH661" s="25">
        <f t="shared" si="102"/>
        <v>96.818181818181827</v>
      </c>
      <c r="AI661" s="25">
        <f t="shared" si="103"/>
        <v>470.32258064516134</v>
      </c>
    </row>
    <row r="662" spans="1:35" ht="15.75" customHeight="1">
      <c r="A662" s="12" t="s">
        <v>268</v>
      </c>
      <c r="B662" s="12" t="s">
        <v>269</v>
      </c>
      <c r="C662" s="12" t="s">
        <v>169</v>
      </c>
      <c r="D662" s="12" t="s">
        <v>33</v>
      </c>
      <c r="E662" s="12" t="s">
        <v>27</v>
      </c>
      <c r="F662" s="13">
        <v>0</v>
      </c>
      <c r="G662" s="14">
        <v>0</v>
      </c>
      <c r="H662" s="24" t="str">
        <f t="shared" si="96"/>
        <v>RJSP</v>
      </c>
      <c r="I662" s="24" t="str">
        <f t="shared" si="95"/>
        <v>RJMG</v>
      </c>
      <c r="J662" s="24" t="str">
        <f t="shared" si="95"/>
        <v>RJES</v>
      </c>
      <c r="K662" s="24" t="str">
        <f t="shared" si="95"/>
        <v>RJSC</v>
      </c>
      <c r="L662" s="24" t="str">
        <f t="shared" si="95"/>
        <v>RJRJ</v>
      </c>
      <c r="M662" s="24" t="str">
        <f t="shared" si="95"/>
        <v>RJPR</v>
      </c>
      <c r="N662" s="24" t="str">
        <f t="shared" si="95"/>
        <v>RJAM</v>
      </c>
      <c r="O662" s="24">
        <f>VLOOKUP(H662, KM!$A:$E, 5, 0)</f>
        <v>429</v>
      </c>
      <c r="P662" s="24">
        <f>VLOOKUP(I662, KM!$A:$E, 5, 0)</f>
        <v>434</v>
      </c>
      <c r="Q662" s="24">
        <f>VLOOKUP(J662, KM!$A:$E, 5, 0)</f>
        <v>521</v>
      </c>
      <c r="R662" s="24">
        <f>VLOOKUP(K662, KM!$A:$E, 5, 0)</f>
        <v>1144</v>
      </c>
      <c r="S662" s="24">
        <f>VLOOKUP(L662, KM!$A:$E, 5, 0)</f>
        <v>0</v>
      </c>
      <c r="T662" s="24">
        <f>VLOOKUP(M662, KM!$A:$E, 5, 0)</f>
        <v>852</v>
      </c>
      <c r="U662" s="24">
        <f>VLOOKUP(N662, KM!$A:$E, 5, 0)</f>
        <v>4374</v>
      </c>
      <c r="V662" s="24">
        <f>VLOOKUP(H662, IMPOSTO!$A:$D, 4, 0)</f>
        <v>0.12</v>
      </c>
      <c r="W662" s="24">
        <f>VLOOKUP(I662, IMPOSTO!$A:$D, 4, 0)</f>
        <v>0.12</v>
      </c>
      <c r="X662" s="24">
        <f>VLOOKUP(J662, IMPOSTO!$A:$D, 4, 0)</f>
        <v>7.0000000000000007E-2</v>
      </c>
      <c r="Y662" s="24">
        <f>VLOOKUP(K662, IMPOSTO!$A:$D, 4, 0)</f>
        <v>0.12</v>
      </c>
      <c r="Z662" s="24">
        <f>VLOOKUP(L662, IMPOSTO!$A:$D, 4, 0)</f>
        <v>0.18</v>
      </c>
      <c r="AA662" s="24">
        <f>VLOOKUP(M662, IMPOSTO!$A:$D, 4, 0)</f>
        <v>0.12</v>
      </c>
      <c r="AB662" s="24">
        <f>VLOOKUP(N662, IMPOSTO!$A:$D, 4, 0)</f>
        <v>7.0000000000000007E-2</v>
      </c>
      <c r="AC662" s="25">
        <f t="shared" si="97"/>
        <v>48.750000000000007</v>
      </c>
      <c r="AD662" s="25">
        <f t="shared" si="98"/>
        <v>49.318181818181827</v>
      </c>
      <c r="AE662" s="25">
        <f t="shared" si="99"/>
        <v>56.021505376344088</v>
      </c>
      <c r="AF662" s="25">
        <f t="shared" si="100"/>
        <v>130</v>
      </c>
      <c r="AG662" s="25">
        <f t="shared" si="101"/>
        <v>0</v>
      </c>
      <c r="AH662" s="25">
        <f t="shared" si="102"/>
        <v>96.818181818181827</v>
      </c>
      <c r="AI662" s="25">
        <f t="shared" si="103"/>
        <v>470.32258064516134</v>
      </c>
    </row>
    <row r="663" spans="1:35" ht="15.75" customHeight="1">
      <c r="A663" s="12" t="s">
        <v>268</v>
      </c>
      <c r="B663" s="12" t="s">
        <v>269</v>
      </c>
      <c r="C663" s="12" t="s">
        <v>169</v>
      </c>
      <c r="D663" s="12" t="s">
        <v>33</v>
      </c>
      <c r="E663" s="12" t="s">
        <v>27</v>
      </c>
      <c r="F663" s="13">
        <v>0</v>
      </c>
      <c r="G663" s="14">
        <v>0</v>
      </c>
      <c r="H663" s="24" t="str">
        <f t="shared" si="96"/>
        <v>RJSP</v>
      </c>
      <c r="I663" s="24" t="str">
        <f t="shared" si="95"/>
        <v>RJMG</v>
      </c>
      <c r="J663" s="24" t="str">
        <f t="shared" ref="I663:N726" si="104">$E663 &amp; J$17</f>
        <v>RJES</v>
      </c>
      <c r="K663" s="24" t="str">
        <f t="shared" si="104"/>
        <v>RJSC</v>
      </c>
      <c r="L663" s="24" t="str">
        <f t="shared" si="104"/>
        <v>RJRJ</v>
      </c>
      <c r="M663" s="24" t="str">
        <f t="shared" si="104"/>
        <v>RJPR</v>
      </c>
      <c r="N663" s="24" t="str">
        <f t="shared" si="104"/>
        <v>RJAM</v>
      </c>
      <c r="O663" s="24">
        <f>VLOOKUP(H663, KM!$A:$E, 5, 0)</f>
        <v>429</v>
      </c>
      <c r="P663" s="24">
        <f>VLOOKUP(I663, KM!$A:$E, 5, 0)</f>
        <v>434</v>
      </c>
      <c r="Q663" s="24">
        <f>VLOOKUP(J663, KM!$A:$E, 5, 0)</f>
        <v>521</v>
      </c>
      <c r="R663" s="24">
        <f>VLOOKUP(K663, KM!$A:$E, 5, 0)</f>
        <v>1144</v>
      </c>
      <c r="S663" s="24">
        <f>VLOOKUP(L663, KM!$A:$E, 5, 0)</f>
        <v>0</v>
      </c>
      <c r="T663" s="24">
        <f>VLOOKUP(M663, KM!$A:$E, 5, 0)</f>
        <v>852</v>
      </c>
      <c r="U663" s="24">
        <f>VLOOKUP(N663, KM!$A:$E, 5, 0)</f>
        <v>4374</v>
      </c>
      <c r="V663" s="24">
        <f>VLOOKUP(H663, IMPOSTO!$A:$D, 4, 0)</f>
        <v>0.12</v>
      </c>
      <c r="W663" s="24">
        <f>VLOOKUP(I663, IMPOSTO!$A:$D, 4, 0)</f>
        <v>0.12</v>
      </c>
      <c r="X663" s="24">
        <f>VLOOKUP(J663, IMPOSTO!$A:$D, 4, 0)</f>
        <v>7.0000000000000007E-2</v>
      </c>
      <c r="Y663" s="24">
        <f>VLOOKUP(K663, IMPOSTO!$A:$D, 4, 0)</f>
        <v>0.12</v>
      </c>
      <c r="Z663" s="24">
        <f>VLOOKUP(L663, IMPOSTO!$A:$D, 4, 0)</f>
        <v>0.18</v>
      </c>
      <c r="AA663" s="24">
        <f>VLOOKUP(M663, IMPOSTO!$A:$D, 4, 0)</f>
        <v>0.12</v>
      </c>
      <c r="AB663" s="24">
        <f>VLOOKUP(N663, IMPOSTO!$A:$D, 4, 0)</f>
        <v>7.0000000000000007E-2</v>
      </c>
      <c r="AC663" s="25">
        <f t="shared" si="97"/>
        <v>48.750000000000007</v>
      </c>
      <c r="AD663" s="25">
        <f t="shared" si="98"/>
        <v>49.318181818181827</v>
      </c>
      <c r="AE663" s="25">
        <f t="shared" si="99"/>
        <v>56.021505376344088</v>
      </c>
      <c r="AF663" s="25">
        <f t="shared" si="100"/>
        <v>130</v>
      </c>
      <c r="AG663" s="25">
        <f t="shared" si="101"/>
        <v>0</v>
      </c>
      <c r="AH663" s="25">
        <f t="shared" si="102"/>
        <v>96.818181818181827</v>
      </c>
      <c r="AI663" s="25">
        <f t="shared" si="103"/>
        <v>470.32258064516134</v>
      </c>
    </row>
    <row r="664" spans="1:35" ht="15.75" customHeight="1">
      <c r="A664" s="12" t="s">
        <v>304</v>
      </c>
      <c r="B664" s="12" t="s">
        <v>305</v>
      </c>
      <c r="C664" s="12" t="s">
        <v>169</v>
      </c>
      <c r="D664" s="12" t="s">
        <v>33</v>
      </c>
      <c r="E664" s="12" t="s">
        <v>27</v>
      </c>
      <c r="F664" s="13">
        <v>190.33865820227959</v>
      </c>
      <c r="G664" s="14">
        <v>60.737065832347447</v>
      </c>
      <c r="H664" s="24" t="str">
        <f t="shared" si="96"/>
        <v>RJSP</v>
      </c>
      <c r="I664" s="24" t="str">
        <f t="shared" si="104"/>
        <v>RJMG</v>
      </c>
      <c r="J664" s="24" t="str">
        <f t="shared" si="104"/>
        <v>RJES</v>
      </c>
      <c r="K664" s="24" t="str">
        <f t="shared" si="104"/>
        <v>RJSC</v>
      </c>
      <c r="L664" s="24" t="str">
        <f t="shared" si="104"/>
        <v>RJRJ</v>
      </c>
      <c r="M664" s="24" t="str">
        <f t="shared" si="104"/>
        <v>RJPR</v>
      </c>
      <c r="N664" s="24" t="str">
        <f t="shared" si="104"/>
        <v>RJAM</v>
      </c>
      <c r="O664" s="24">
        <f>VLOOKUP(H664, KM!$A:$E, 5, 0)</f>
        <v>429</v>
      </c>
      <c r="P664" s="24">
        <f>VLOOKUP(I664, KM!$A:$E, 5, 0)</f>
        <v>434</v>
      </c>
      <c r="Q664" s="24">
        <f>VLOOKUP(J664, KM!$A:$E, 5, 0)</f>
        <v>521</v>
      </c>
      <c r="R664" s="24">
        <f>VLOOKUP(K664, KM!$A:$E, 5, 0)</f>
        <v>1144</v>
      </c>
      <c r="S664" s="24">
        <f>VLOOKUP(L664, KM!$A:$E, 5, 0)</f>
        <v>0</v>
      </c>
      <c r="T664" s="24">
        <f>VLOOKUP(M664, KM!$A:$E, 5, 0)</f>
        <v>852</v>
      </c>
      <c r="U664" s="24">
        <f>VLOOKUP(N664, KM!$A:$E, 5, 0)</f>
        <v>4374</v>
      </c>
      <c r="V664" s="24">
        <f>VLOOKUP(H664, IMPOSTO!$A:$D, 4, 0)</f>
        <v>0.12</v>
      </c>
      <c r="W664" s="24">
        <f>VLOOKUP(I664, IMPOSTO!$A:$D, 4, 0)</f>
        <v>0.12</v>
      </c>
      <c r="X664" s="24">
        <f>VLOOKUP(J664, IMPOSTO!$A:$D, 4, 0)</f>
        <v>7.0000000000000007E-2</v>
      </c>
      <c r="Y664" s="24">
        <f>VLOOKUP(K664, IMPOSTO!$A:$D, 4, 0)</f>
        <v>0.12</v>
      </c>
      <c r="Z664" s="24">
        <f>VLOOKUP(L664, IMPOSTO!$A:$D, 4, 0)</f>
        <v>0.18</v>
      </c>
      <c r="AA664" s="24">
        <f>VLOOKUP(M664, IMPOSTO!$A:$D, 4, 0)</f>
        <v>0.12</v>
      </c>
      <c r="AB664" s="24">
        <f>VLOOKUP(N664, IMPOSTO!$A:$D, 4, 0)</f>
        <v>7.0000000000000007E-2</v>
      </c>
      <c r="AC664" s="25">
        <f t="shared" si="97"/>
        <v>117.76939299130392</v>
      </c>
      <c r="AD664" s="25">
        <f t="shared" si="98"/>
        <v>118.33757480948573</v>
      </c>
      <c r="AE664" s="25">
        <f t="shared" si="99"/>
        <v>121.3301783143521</v>
      </c>
      <c r="AF664" s="25">
        <f t="shared" si="100"/>
        <v>199.0193929913039</v>
      </c>
      <c r="AG664" s="25">
        <f t="shared" si="101"/>
        <v>74.069592478472487</v>
      </c>
      <c r="AH664" s="25">
        <f t="shared" si="102"/>
        <v>165.83757480948574</v>
      </c>
      <c r="AI664" s="25">
        <f t="shared" si="103"/>
        <v>535.63125358316938</v>
      </c>
    </row>
    <row r="665" spans="1:35" ht="15.75" customHeight="1">
      <c r="A665" s="12" t="s">
        <v>306</v>
      </c>
      <c r="B665" s="12" t="s">
        <v>307</v>
      </c>
      <c r="C665" s="12" t="s">
        <v>163</v>
      </c>
      <c r="D665" s="12" t="s">
        <v>33</v>
      </c>
      <c r="E665" s="12" t="s">
        <v>27</v>
      </c>
      <c r="F665" s="13">
        <v>147168.37162407691</v>
      </c>
      <c r="G665" s="14">
        <v>6627.9783217472304</v>
      </c>
      <c r="H665" s="24" t="str">
        <f t="shared" si="96"/>
        <v>RJSP</v>
      </c>
      <c r="I665" s="24" t="str">
        <f t="shared" si="104"/>
        <v>RJMG</v>
      </c>
      <c r="J665" s="24" t="str">
        <f t="shared" si="104"/>
        <v>RJES</v>
      </c>
      <c r="K665" s="24" t="str">
        <f t="shared" si="104"/>
        <v>RJSC</v>
      </c>
      <c r="L665" s="24" t="str">
        <f t="shared" si="104"/>
        <v>RJRJ</v>
      </c>
      <c r="M665" s="24" t="str">
        <f t="shared" si="104"/>
        <v>RJPR</v>
      </c>
      <c r="N665" s="24" t="str">
        <f t="shared" si="104"/>
        <v>RJAM</v>
      </c>
      <c r="O665" s="24">
        <f>VLOOKUP(H665, KM!$A:$E, 5, 0)</f>
        <v>429</v>
      </c>
      <c r="P665" s="24">
        <f>VLOOKUP(I665, KM!$A:$E, 5, 0)</f>
        <v>434</v>
      </c>
      <c r="Q665" s="24">
        <f>VLOOKUP(J665, KM!$A:$E, 5, 0)</f>
        <v>521</v>
      </c>
      <c r="R665" s="24">
        <f>VLOOKUP(K665, KM!$A:$E, 5, 0)</f>
        <v>1144</v>
      </c>
      <c r="S665" s="24">
        <f>VLOOKUP(L665, KM!$A:$E, 5, 0)</f>
        <v>0</v>
      </c>
      <c r="T665" s="24">
        <f>VLOOKUP(M665, KM!$A:$E, 5, 0)</f>
        <v>852</v>
      </c>
      <c r="U665" s="24">
        <f>VLOOKUP(N665, KM!$A:$E, 5, 0)</f>
        <v>4374</v>
      </c>
      <c r="V665" s="24">
        <f>VLOOKUP(H665, IMPOSTO!$A:$D, 4, 0)</f>
        <v>0.12</v>
      </c>
      <c r="W665" s="24">
        <f>VLOOKUP(I665, IMPOSTO!$A:$D, 4, 0)</f>
        <v>0.12</v>
      </c>
      <c r="X665" s="24">
        <f>VLOOKUP(J665, IMPOSTO!$A:$D, 4, 0)</f>
        <v>7.0000000000000007E-2</v>
      </c>
      <c r="Y665" s="24">
        <f>VLOOKUP(K665, IMPOSTO!$A:$D, 4, 0)</f>
        <v>0.12</v>
      </c>
      <c r="Z665" s="24">
        <f>VLOOKUP(L665, IMPOSTO!$A:$D, 4, 0)</f>
        <v>0.18</v>
      </c>
      <c r="AA665" s="24">
        <f>VLOOKUP(M665, IMPOSTO!$A:$D, 4, 0)</f>
        <v>0.12</v>
      </c>
      <c r="AB665" s="24">
        <f>VLOOKUP(N665, IMPOSTO!$A:$D, 4, 0)</f>
        <v>7.0000000000000007E-2</v>
      </c>
      <c r="AC665" s="25">
        <f t="shared" si="97"/>
        <v>7580.5435474400338</v>
      </c>
      <c r="AD665" s="25">
        <f t="shared" si="98"/>
        <v>7581.1117292582157</v>
      </c>
      <c r="AE665" s="25">
        <f t="shared" si="99"/>
        <v>7182.8799158572383</v>
      </c>
      <c r="AF665" s="25">
        <f t="shared" si="100"/>
        <v>7661.7935474400338</v>
      </c>
      <c r="AG665" s="25">
        <f t="shared" si="101"/>
        <v>8082.9003923746704</v>
      </c>
      <c r="AH665" s="25">
        <f t="shared" si="102"/>
        <v>7628.6117292582157</v>
      </c>
      <c r="AI665" s="25">
        <f t="shared" si="103"/>
        <v>7597.1809911260543</v>
      </c>
    </row>
    <row r="666" spans="1:35" ht="15.75" customHeight="1">
      <c r="A666" s="12" t="s">
        <v>502</v>
      </c>
      <c r="B666" s="12" t="s">
        <v>503</v>
      </c>
      <c r="C666" s="12" t="s">
        <v>140</v>
      </c>
      <c r="D666" s="12" t="s">
        <v>33</v>
      </c>
      <c r="E666" s="12" t="s">
        <v>27</v>
      </c>
      <c r="F666" s="13">
        <v>0.184</v>
      </c>
      <c r="G666" s="14">
        <v>7.6120799999999997</v>
      </c>
      <c r="H666" s="24" t="str">
        <f t="shared" si="96"/>
        <v>RJSP</v>
      </c>
      <c r="I666" s="24" t="str">
        <f t="shared" si="104"/>
        <v>RJMG</v>
      </c>
      <c r="J666" s="24" t="str">
        <f t="shared" si="104"/>
        <v>RJES</v>
      </c>
      <c r="K666" s="24" t="str">
        <f t="shared" si="104"/>
        <v>RJSC</v>
      </c>
      <c r="L666" s="24" t="str">
        <f t="shared" si="104"/>
        <v>RJRJ</v>
      </c>
      <c r="M666" s="24" t="str">
        <f t="shared" si="104"/>
        <v>RJPR</v>
      </c>
      <c r="N666" s="24" t="str">
        <f t="shared" si="104"/>
        <v>RJAM</v>
      </c>
      <c r="O666" s="24">
        <f>VLOOKUP(H666, KM!$A:$E, 5, 0)</f>
        <v>429</v>
      </c>
      <c r="P666" s="24">
        <f>VLOOKUP(I666, KM!$A:$E, 5, 0)</f>
        <v>434</v>
      </c>
      <c r="Q666" s="24">
        <f>VLOOKUP(J666, KM!$A:$E, 5, 0)</f>
        <v>521</v>
      </c>
      <c r="R666" s="24">
        <f>VLOOKUP(K666, KM!$A:$E, 5, 0)</f>
        <v>1144</v>
      </c>
      <c r="S666" s="24">
        <f>VLOOKUP(L666, KM!$A:$E, 5, 0)</f>
        <v>0</v>
      </c>
      <c r="T666" s="24">
        <f>VLOOKUP(M666, KM!$A:$E, 5, 0)</f>
        <v>852</v>
      </c>
      <c r="U666" s="24">
        <f>VLOOKUP(N666, KM!$A:$E, 5, 0)</f>
        <v>4374</v>
      </c>
      <c r="V666" s="24">
        <f>VLOOKUP(H666, IMPOSTO!$A:$D, 4, 0)</f>
        <v>0.12</v>
      </c>
      <c r="W666" s="24">
        <f>VLOOKUP(I666, IMPOSTO!$A:$D, 4, 0)</f>
        <v>0.12</v>
      </c>
      <c r="X666" s="24">
        <f>VLOOKUP(J666, IMPOSTO!$A:$D, 4, 0)</f>
        <v>7.0000000000000007E-2</v>
      </c>
      <c r="Y666" s="24">
        <f>VLOOKUP(K666, IMPOSTO!$A:$D, 4, 0)</f>
        <v>0.12</v>
      </c>
      <c r="Z666" s="24">
        <f>VLOOKUP(L666, IMPOSTO!$A:$D, 4, 0)</f>
        <v>0.18</v>
      </c>
      <c r="AA666" s="24">
        <f>VLOOKUP(M666, IMPOSTO!$A:$D, 4, 0)</f>
        <v>0.12</v>
      </c>
      <c r="AB666" s="24">
        <f>VLOOKUP(N666, IMPOSTO!$A:$D, 4, 0)</f>
        <v>7.0000000000000007E-2</v>
      </c>
      <c r="AC666" s="25">
        <f t="shared" si="97"/>
        <v>57.400090909090913</v>
      </c>
      <c r="AD666" s="25">
        <f t="shared" si="98"/>
        <v>57.968272727272733</v>
      </c>
      <c r="AE666" s="25">
        <f t="shared" si="99"/>
        <v>64.206537634408605</v>
      </c>
      <c r="AF666" s="25">
        <f t="shared" si="100"/>
        <v>138.65009090909092</v>
      </c>
      <c r="AG666" s="25">
        <f t="shared" si="101"/>
        <v>9.2830243902439022</v>
      </c>
      <c r="AH666" s="25">
        <f t="shared" si="102"/>
        <v>105.46827272727273</v>
      </c>
      <c r="AI666" s="25">
        <f t="shared" si="103"/>
        <v>478.50761290322589</v>
      </c>
    </row>
    <row r="667" spans="1:35" ht="15.75" customHeight="1">
      <c r="A667" s="12" t="s">
        <v>508</v>
      </c>
      <c r="B667" s="12" t="s">
        <v>509</v>
      </c>
      <c r="C667" s="12" t="s">
        <v>140</v>
      </c>
      <c r="D667" s="12" t="s">
        <v>33</v>
      </c>
      <c r="E667" s="12" t="s">
        <v>27</v>
      </c>
      <c r="F667" s="13">
        <v>0.2155</v>
      </c>
      <c r="G667" s="14">
        <v>13.307124999999999</v>
      </c>
      <c r="H667" s="24" t="str">
        <f t="shared" si="96"/>
        <v>RJSP</v>
      </c>
      <c r="I667" s="24" t="str">
        <f t="shared" si="104"/>
        <v>RJMG</v>
      </c>
      <c r="J667" s="24" t="str">
        <f t="shared" si="104"/>
        <v>RJES</v>
      </c>
      <c r="K667" s="24" t="str">
        <f t="shared" si="104"/>
        <v>RJSC</v>
      </c>
      <c r="L667" s="24" t="str">
        <f t="shared" si="104"/>
        <v>RJRJ</v>
      </c>
      <c r="M667" s="24" t="str">
        <f t="shared" si="104"/>
        <v>RJPR</v>
      </c>
      <c r="N667" s="24" t="str">
        <f t="shared" si="104"/>
        <v>RJAM</v>
      </c>
      <c r="O667" s="24">
        <f>VLOOKUP(H667, KM!$A:$E, 5, 0)</f>
        <v>429</v>
      </c>
      <c r="P667" s="24">
        <f>VLOOKUP(I667, KM!$A:$E, 5, 0)</f>
        <v>434</v>
      </c>
      <c r="Q667" s="24">
        <f>VLOOKUP(J667, KM!$A:$E, 5, 0)</f>
        <v>521</v>
      </c>
      <c r="R667" s="24">
        <f>VLOOKUP(K667, KM!$A:$E, 5, 0)</f>
        <v>1144</v>
      </c>
      <c r="S667" s="24">
        <f>VLOOKUP(L667, KM!$A:$E, 5, 0)</f>
        <v>0</v>
      </c>
      <c r="T667" s="24">
        <f>VLOOKUP(M667, KM!$A:$E, 5, 0)</f>
        <v>852</v>
      </c>
      <c r="U667" s="24">
        <f>VLOOKUP(N667, KM!$A:$E, 5, 0)</f>
        <v>4374</v>
      </c>
      <c r="V667" s="24">
        <f>VLOOKUP(H667, IMPOSTO!$A:$D, 4, 0)</f>
        <v>0.12</v>
      </c>
      <c r="W667" s="24">
        <f>VLOOKUP(I667, IMPOSTO!$A:$D, 4, 0)</f>
        <v>0.12</v>
      </c>
      <c r="X667" s="24">
        <f>VLOOKUP(J667, IMPOSTO!$A:$D, 4, 0)</f>
        <v>7.0000000000000007E-2</v>
      </c>
      <c r="Y667" s="24">
        <f>VLOOKUP(K667, IMPOSTO!$A:$D, 4, 0)</f>
        <v>0.12</v>
      </c>
      <c r="Z667" s="24">
        <f>VLOOKUP(L667, IMPOSTO!$A:$D, 4, 0)</f>
        <v>0.18</v>
      </c>
      <c r="AA667" s="24">
        <f>VLOOKUP(M667, IMPOSTO!$A:$D, 4, 0)</f>
        <v>0.12</v>
      </c>
      <c r="AB667" s="24">
        <f>VLOOKUP(N667, IMPOSTO!$A:$D, 4, 0)</f>
        <v>7.0000000000000007E-2</v>
      </c>
      <c r="AC667" s="25">
        <f t="shared" si="97"/>
        <v>63.871732954545458</v>
      </c>
      <c r="AD667" s="25">
        <f t="shared" si="98"/>
        <v>64.439914772727278</v>
      </c>
      <c r="AE667" s="25">
        <f t="shared" si="99"/>
        <v>70.330241935483883</v>
      </c>
      <c r="AF667" s="25">
        <f t="shared" si="100"/>
        <v>145.12173295454545</v>
      </c>
      <c r="AG667" s="25">
        <f t="shared" si="101"/>
        <v>16.228201219512194</v>
      </c>
      <c r="AH667" s="25">
        <f t="shared" si="102"/>
        <v>111.93991477272728</v>
      </c>
      <c r="AI667" s="25">
        <f t="shared" si="103"/>
        <v>484.63131720430113</v>
      </c>
    </row>
    <row r="668" spans="1:35" ht="15.75" customHeight="1">
      <c r="A668" s="12" t="s">
        <v>440</v>
      </c>
      <c r="B668" s="12" t="s">
        <v>441</v>
      </c>
      <c r="C668" s="12" t="s">
        <v>442</v>
      </c>
      <c r="D668" s="12" t="s">
        <v>33</v>
      </c>
      <c r="E668" s="12" t="s">
        <v>27</v>
      </c>
      <c r="F668" s="13">
        <v>1</v>
      </c>
      <c r="G668" s="14">
        <v>10.860000000000001</v>
      </c>
      <c r="H668" s="24" t="str">
        <f t="shared" si="96"/>
        <v>RJSP</v>
      </c>
      <c r="I668" s="24" t="str">
        <f t="shared" si="104"/>
        <v>RJMG</v>
      </c>
      <c r="J668" s="24" t="str">
        <f t="shared" si="104"/>
        <v>RJES</v>
      </c>
      <c r="K668" s="24" t="str">
        <f t="shared" si="104"/>
        <v>RJSC</v>
      </c>
      <c r="L668" s="24" t="str">
        <f t="shared" si="104"/>
        <v>RJRJ</v>
      </c>
      <c r="M668" s="24" t="str">
        <f t="shared" si="104"/>
        <v>RJPR</v>
      </c>
      <c r="N668" s="24" t="str">
        <f t="shared" si="104"/>
        <v>RJAM</v>
      </c>
      <c r="O668" s="24">
        <f>VLOOKUP(H668, KM!$A:$E, 5, 0)</f>
        <v>429</v>
      </c>
      <c r="P668" s="24">
        <f>VLOOKUP(I668, KM!$A:$E, 5, 0)</f>
        <v>434</v>
      </c>
      <c r="Q668" s="24">
        <f>VLOOKUP(J668, KM!$A:$E, 5, 0)</f>
        <v>521</v>
      </c>
      <c r="R668" s="24">
        <f>VLOOKUP(K668, KM!$A:$E, 5, 0)</f>
        <v>1144</v>
      </c>
      <c r="S668" s="24">
        <f>VLOOKUP(L668, KM!$A:$E, 5, 0)</f>
        <v>0</v>
      </c>
      <c r="T668" s="24">
        <f>VLOOKUP(M668, KM!$A:$E, 5, 0)</f>
        <v>852</v>
      </c>
      <c r="U668" s="24">
        <f>VLOOKUP(N668, KM!$A:$E, 5, 0)</f>
        <v>4374</v>
      </c>
      <c r="V668" s="24">
        <f>VLOOKUP(H668, IMPOSTO!$A:$D, 4, 0)</f>
        <v>0.12</v>
      </c>
      <c r="W668" s="24">
        <f>VLOOKUP(I668, IMPOSTO!$A:$D, 4, 0)</f>
        <v>0.12</v>
      </c>
      <c r="X668" s="24">
        <f>VLOOKUP(J668, IMPOSTO!$A:$D, 4, 0)</f>
        <v>7.0000000000000007E-2</v>
      </c>
      <c r="Y668" s="24">
        <f>VLOOKUP(K668, IMPOSTO!$A:$D, 4, 0)</f>
        <v>0.12</v>
      </c>
      <c r="Z668" s="24">
        <f>VLOOKUP(L668, IMPOSTO!$A:$D, 4, 0)</f>
        <v>0.18</v>
      </c>
      <c r="AA668" s="24">
        <f>VLOOKUP(M668, IMPOSTO!$A:$D, 4, 0)</f>
        <v>0.12</v>
      </c>
      <c r="AB668" s="24">
        <f>VLOOKUP(N668, IMPOSTO!$A:$D, 4, 0)</f>
        <v>7.0000000000000007E-2</v>
      </c>
      <c r="AC668" s="25">
        <f t="shared" si="97"/>
        <v>61.090909090909093</v>
      </c>
      <c r="AD668" s="25">
        <f t="shared" si="98"/>
        <v>61.659090909090914</v>
      </c>
      <c r="AE668" s="25">
        <f t="shared" si="99"/>
        <v>67.6989247311828</v>
      </c>
      <c r="AF668" s="25">
        <f t="shared" si="100"/>
        <v>142.34090909090909</v>
      </c>
      <c r="AG668" s="25">
        <f t="shared" si="101"/>
        <v>13.24390243902439</v>
      </c>
      <c r="AH668" s="25">
        <f t="shared" si="102"/>
        <v>109.15909090909091</v>
      </c>
      <c r="AI668" s="25">
        <f t="shared" si="103"/>
        <v>482.00000000000006</v>
      </c>
    </row>
    <row r="669" spans="1:35" ht="15.75" customHeight="1">
      <c r="A669" s="12" t="s">
        <v>616</v>
      </c>
      <c r="B669" s="12" t="s">
        <v>617</v>
      </c>
      <c r="C669" s="12" t="s">
        <v>135</v>
      </c>
      <c r="D669" s="12" t="s">
        <v>33</v>
      </c>
      <c r="E669" s="12" t="s">
        <v>27</v>
      </c>
      <c r="F669" s="13">
        <v>1E-4</v>
      </c>
      <c r="G669" s="14">
        <v>1.9650000000000002E-3</v>
      </c>
      <c r="H669" s="24" t="str">
        <f t="shared" si="96"/>
        <v>RJSP</v>
      </c>
      <c r="I669" s="24" t="str">
        <f t="shared" si="104"/>
        <v>RJMG</v>
      </c>
      <c r="J669" s="24" t="str">
        <f t="shared" si="104"/>
        <v>RJES</v>
      </c>
      <c r="K669" s="24" t="str">
        <f t="shared" si="104"/>
        <v>RJSC</v>
      </c>
      <c r="L669" s="24" t="str">
        <f t="shared" si="104"/>
        <v>RJRJ</v>
      </c>
      <c r="M669" s="24" t="str">
        <f t="shared" si="104"/>
        <v>RJPR</v>
      </c>
      <c r="N669" s="24" t="str">
        <f t="shared" si="104"/>
        <v>RJAM</v>
      </c>
      <c r="O669" s="24">
        <f>VLOOKUP(H669, KM!$A:$E, 5, 0)</f>
        <v>429</v>
      </c>
      <c r="P669" s="24">
        <f>VLOOKUP(I669, KM!$A:$E, 5, 0)</f>
        <v>434</v>
      </c>
      <c r="Q669" s="24">
        <f>VLOOKUP(J669, KM!$A:$E, 5, 0)</f>
        <v>521</v>
      </c>
      <c r="R669" s="24">
        <f>VLOOKUP(K669, KM!$A:$E, 5, 0)</f>
        <v>1144</v>
      </c>
      <c r="S669" s="24">
        <f>VLOOKUP(L669, KM!$A:$E, 5, 0)</f>
        <v>0</v>
      </c>
      <c r="T669" s="24">
        <f>VLOOKUP(M669, KM!$A:$E, 5, 0)</f>
        <v>852</v>
      </c>
      <c r="U669" s="24">
        <f>VLOOKUP(N669, KM!$A:$E, 5, 0)</f>
        <v>4374</v>
      </c>
      <c r="V669" s="24">
        <f>VLOOKUP(H669, IMPOSTO!$A:$D, 4, 0)</f>
        <v>0.12</v>
      </c>
      <c r="W669" s="24">
        <f>VLOOKUP(I669, IMPOSTO!$A:$D, 4, 0)</f>
        <v>0.12</v>
      </c>
      <c r="X669" s="24">
        <f>VLOOKUP(J669, IMPOSTO!$A:$D, 4, 0)</f>
        <v>7.0000000000000007E-2</v>
      </c>
      <c r="Y669" s="24">
        <f>VLOOKUP(K669, IMPOSTO!$A:$D, 4, 0)</f>
        <v>0.12</v>
      </c>
      <c r="Z669" s="24">
        <f>VLOOKUP(L669, IMPOSTO!$A:$D, 4, 0)</f>
        <v>0.18</v>
      </c>
      <c r="AA669" s="24">
        <f>VLOOKUP(M669, IMPOSTO!$A:$D, 4, 0)</f>
        <v>0.12</v>
      </c>
      <c r="AB669" s="24">
        <f>VLOOKUP(N669, IMPOSTO!$A:$D, 4, 0)</f>
        <v>7.0000000000000007E-2</v>
      </c>
      <c r="AC669" s="25">
        <f t="shared" si="97"/>
        <v>48.752232954545462</v>
      </c>
      <c r="AD669" s="25">
        <f t="shared" si="98"/>
        <v>49.320414772727275</v>
      </c>
      <c r="AE669" s="25">
        <f t="shared" si="99"/>
        <v>56.023618279569895</v>
      </c>
      <c r="AF669" s="25">
        <f t="shared" si="100"/>
        <v>130.00223295454546</v>
      </c>
      <c r="AG669" s="25">
        <f t="shared" si="101"/>
        <v>2.3963414634146341E-3</v>
      </c>
      <c r="AH669" s="25">
        <f t="shared" si="102"/>
        <v>96.820414772727275</v>
      </c>
      <c r="AI669" s="25">
        <f t="shared" si="103"/>
        <v>470.32469354838713</v>
      </c>
    </row>
    <row r="670" spans="1:35" ht="15.75" customHeight="1">
      <c r="A670" s="12" t="s">
        <v>251</v>
      </c>
      <c r="B670" s="12" t="s">
        <v>252</v>
      </c>
      <c r="C670" s="12" t="s">
        <v>122</v>
      </c>
      <c r="D670" s="12" t="s">
        <v>33</v>
      </c>
      <c r="E670" s="12" t="s">
        <v>27</v>
      </c>
      <c r="F670" s="13">
        <v>3649.708824403639</v>
      </c>
      <c r="G670" s="14">
        <v>27345.438136322242</v>
      </c>
      <c r="H670" s="24" t="str">
        <f t="shared" si="96"/>
        <v>RJSP</v>
      </c>
      <c r="I670" s="24" t="str">
        <f t="shared" si="104"/>
        <v>RJMG</v>
      </c>
      <c r="J670" s="24" t="str">
        <f t="shared" si="104"/>
        <v>RJES</v>
      </c>
      <c r="K670" s="24" t="str">
        <f t="shared" si="104"/>
        <v>RJSC</v>
      </c>
      <c r="L670" s="24" t="str">
        <f t="shared" si="104"/>
        <v>RJRJ</v>
      </c>
      <c r="M670" s="24" t="str">
        <f t="shared" si="104"/>
        <v>RJPR</v>
      </c>
      <c r="N670" s="24" t="str">
        <f t="shared" si="104"/>
        <v>RJAM</v>
      </c>
      <c r="O670" s="24">
        <f>VLOOKUP(H670, KM!$A:$E, 5, 0)</f>
        <v>429</v>
      </c>
      <c r="P670" s="24">
        <f>VLOOKUP(I670, KM!$A:$E, 5, 0)</f>
        <v>434</v>
      </c>
      <c r="Q670" s="24">
        <f>VLOOKUP(J670, KM!$A:$E, 5, 0)</f>
        <v>521</v>
      </c>
      <c r="R670" s="24">
        <f>VLOOKUP(K670, KM!$A:$E, 5, 0)</f>
        <v>1144</v>
      </c>
      <c r="S670" s="24">
        <f>VLOOKUP(L670, KM!$A:$E, 5, 0)</f>
        <v>0</v>
      </c>
      <c r="T670" s="24">
        <f>VLOOKUP(M670, KM!$A:$E, 5, 0)</f>
        <v>852</v>
      </c>
      <c r="U670" s="24">
        <f>VLOOKUP(N670, KM!$A:$E, 5, 0)</f>
        <v>4374</v>
      </c>
      <c r="V670" s="24">
        <f>VLOOKUP(H670, IMPOSTO!$A:$D, 4, 0)</f>
        <v>0.12</v>
      </c>
      <c r="W670" s="24">
        <f>VLOOKUP(I670, IMPOSTO!$A:$D, 4, 0)</f>
        <v>0.12</v>
      </c>
      <c r="X670" s="24">
        <f>VLOOKUP(J670, IMPOSTO!$A:$D, 4, 0)</f>
        <v>7.0000000000000007E-2</v>
      </c>
      <c r="Y670" s="24">
        <f>VLOOKUP(K670, IMPOSTO!$A:$D, 4, 0)</f>
        <v>0.12</v>
      </c>
      <c r="Z670" s="24">
        <f>VLOOKUP(L670, IMPOSTO!$A:$D, 4, 0)</f>
        <v>0.18</v>
      </c>
      <c r="AA670" s="24">
        <f>VLOOKUP(M670, IMPOSTO!$A:$D, 4, 0)</f>
        <v>0.12</v>
      </c>
      <c r="AB670" s="24">
        <f>VLOOKUP(N670, IMPOSTO!$A:$D, 4, 0)</f>
        <v>7.0000000000000007E-2</v>
      </c>
      <c r="AC670" s="25">
        <f t="shared" si="97"/>
        <v>31123.111518548005</v>
      </c>
      <c r="AD670" s="25">
        <f t="shared" si="98"/>
        <v>31123.679700366185</v>
      </c>
      <c r="AE670" s="25">
        <f t="shared" si="99"/>
        <v>29459.718426152947</v>
      </c>
      <c r="AF670" s="25">
        <f t="shared" si="100"/>
        <v>31204.361518548005</v>
      </c>
      <c r="AG670" s="25">
        <f t="shared" si="101"/>
        <v>33348.095288197852</v>
      </c>
      <c r="AH670" s="25">
        <f t="shared" si="102"/>
        <v>31171.179700366185</v>
      </c>
      <c r="AI670" s="25">
        <f t="shared" si="103"/>
        <v>29874.019501421768</v>
      </c>
    </row>
    <row r="671" spans="1:35" ht="15.75" customHeight="1">
      <c r="A671" s="12" t="s">
        <v>87</v>
      </c>
      <c r="B671" s="12" t="s">
        <v>88</v>
      </c>
      <c r="C671" s="12" t="s">
        <v>89</v>
      </c>
      <c r="D671" s="12" t="s">
        <v>33</v>
      </c>
      <c r="E671" s="12" t="s">
        <v>27</v>
      </c>
      <c r="F671" s="13">
        <v>12986.355856117165</v>
      </c>
      <c r="G671" s="14">
        <v>95548.968405075764</v>
      </c>
      <c r="H671" s="24" t="str">
        <f t="shared" si="96"/>
        <v>RJSP</v>
      </c>
      <c r="I671" s="24" t="str">
        <f t="shared" si="104"/>
        <v>RJMG</v>
      </c>
      <c r="J671" s="24" t="str">
        <f t="shared" si="104"/>
        <v>RJES</v>
      </c>
      <c r="K671" s="24" t="str">
        <f t="shared" si="104"/>
        <v>RJSC</v>
      </c>
      <c r="L671" s="24" t="str">
        <f t="shared" si="104"/>
        <v>RJRJ</v>
      </c>
      <c r="M671" s="24" t="str">
        <f t="shared" si="104"/>
        <v>RJPR</v>
      </c>
      <c r="N671" s="24" t="str">
        <f t="shared" si="104"/>
        <v>RJAM</v>
      </c>
      <c r="O671" s="24">
        <f>VLOOKUP(H671, KM!$A:$E, 5, 0)</f>
        <v>429</v>
      </c>
      <c r="P671" s="24">
        <f>VLOOKUP(I671, KM!$A:$E, 5, 0)</f>
        <v>434</v>
      </c>
      <c r="Q671" s="24">
        <f>VLOOKUP(J671, KM!$A:$E, 5, 0)</f>
        <v>521</v>
      </c>
      <c r="R671" s="24">
        <f>VLOOKUP(K671, KM!$A:$E, 5, 0)</f>
        <v>1144</v>
      </c>
      <c r="S671" s="24">
        <f>VLOOKUP(L671, KM!$A:$E, 5, 0)</f>
        <v>0</v>
      </c>
      <c r="T671" s="24">
        <f>VLOOKUP(M671, KM!$A:$E, 5, 0)</f>
        <v>852</v>
      </c>
      <c r="U671" s="24">
        <f>VLOOKUP(N671, KM!$A:$E, 5, 0)</f>
        <v>4374</v>
      </c>
      <c r="V671" s="24">
        <f>VLOOKUP(H671, IMPOSTO!$A:$D, 4, 0)</f>
        <v>0.12</v>
      </c>
      <c r="W671" s="24">
        <f>VLOOKUP(I671, IMPOSTO!$A:$D, 4, 0)</f>
        <v>0.12</v>
      </c>
      <c r="X671" s="24">
        <f>VLOOKUP(J671, IMPOSTO!$A:$D, 4, 0)</f>
        <v>7.0000000000000007E-2</v>
      </c>
      <c r="Y671" s="24">
        <f>VLOOKUP(K671, IMPOSTO!$A:$D, 4, 0)</f>
        <v>0.12</v>
      </c>
      <c r="Z671" s="24">
        <f>VLOOKUP(L671, IMPOSTO!$A:$D, 4, 0)</f>
        <v>0.18</v>
      </c>
      <c r="AA671" s="24">
        <f>VLOOKUP(M671, IMPOSTO!$A:$D, 4, 0)</f>
        <v>0.12</v>
      </c>
      <c r="AB671" s="24">
        <f>VLOOKUP(N671, IMPOSTO!$A:$D, 4, 0)</f>
        <v>7.0000000000000007E-2</v>
      </c>
      <c r="AC671" s="25">
        <f t="shared" si="97"/>
        <v>108627.12318758608</v>
      </c>
      <c r="AD671" s="25">
        <f t="shared" si="98"/>
        <v>108627.69136940427</v>
      </c>
      <c r="AE671" s="25">
        <f t="shared" si="99"/>
        <v>102796.8477473933</v>
      </c>
      <c r="AF671" s="25">
        <f t="shared" si="100"/>
        <v>108708.37318758608</v>
      </c>
      <c r="AG671" s="25">
        <f t="shared" si="101"/>
        <v>116523.13220131189</v>
      </c>
      <c r="AH671" s="25">
        <f t="shared" si="102"/>
        <v>108675.19136940427</v>
      </c>
      <c r="AI671" s="25">
        <f t="shared" si="103"/>
        <v>103211.14882266211</v>
      </c>
    </row>
    <row r="672" spans="1:35" ht="15.75" customHeight="1">
      <c r="A672" s="12" t="s">
        <v>483</v>
      </c>
      <c r="B672" s="12" t="s">
        <v>484</v>
      </c>
      <c r="C672" s="12" t="s">
        <v>69</v>
      </c>
      <c r="D672" s="12" t="s">
        <v>33</v>
      </c>
      <c r="E672" s="12" t="s">
        <v>27</v>
      </c>
      <c r="F672" s="13">
        <v>245.4877001252442</v>
      </c>
      <c r="G672" s="14">
        <v>5720.9856424044756</v>
      </c>
      <c r="H672" s="24" t="str">
        <f t="shared" si="96"/>
        <v>RJSP</v>
      </c>
      <c r="I672" s="24" t="str">
        <f t="shared" si="104"/>
        <v>RJMG</v>
      </c>
      <c r="J672" s="24" t="str">
        <f t="shared" si="104"/>
        <v>RJES</v>
      </c>
      <c r="K672" s="24" t="str">
        <f t="shared" si="104"/>
        <v>RJSC</v>
      </c>
      <c r="L672" s="24" t="str">
        <f t="shared" si="104"/>
        <v>RJRJ</v>
      </c>
      <c r="M672" s="24" t="str">
        <f t="shared" si="104"/>
        <v>RJPR</v>
      </c>
      <c r="N672" s="24" t="str">
        <f t="shared" si="104"/>
        <v>RJAM</v>
      </c>
      <c r="O672" s="24">
        <f>VLOOKUP(H672, KM!$A:$E, 5, 0)</f>
        <v>429</v>
      </c>
      <c r="P672" s="24">
        <f>VLOOKUP(I672, KM!$A:$E, 5, 0)</f>
        <v>434</v>
      </c>
      <c r="Q672" s="24">
        <f>VLOOKUP(J672, KM!$A:$E, 5, 0)</f>
        <v>521</v>
      </c>
      <c r="R672" s="24">
        <f>VLOOKUP(K672, KM!$A:$E, 5, 0)</f>
        <v>1144</v>
      </c>
      <c r="S672" s="24">
        <f>VLOOKUP(L672, KM!$A:$E, 5, 0)</f>
        <v>0</v>
      </c>
      <c r="T672" s="24">
        <f>VLOOKUP(M672, KM!$A:$E, 5, 0)</f>
        <v>852</v>
      </c>
      <c r="U672" s="24">
        <f>VLOOKUP(N672, KM!$A:$E, 5, 0)</f>
        <v>4374</v>
      </c>
      <c r="V672" s="24">
        <f>VLOOKUP(H672, IMPOSTO!$A:$D, 4, 0)</f>
        <v>0.12</v>
      </c>
      <c r="W672" s="24">
        <f>VLOOKUP(I672, IMPOSTO!$A:$D, 4, 0)</f>
        <v>0.12</v>
      </c>
      <c r="X672" s="24">
        <f>VLOOKUP(J672, IMPOSTO!$A:$D, 4, 0)</f>
        <v>7.0000000000000007E-2</v>
      </c>
      <c r="Y672" s="24">
        <f>VLOOKUP(K672, IMPOSTO!$A:$D, 4, 0)</f>
        <v>0.12</v>
      </c>
      <c r="Z672" s="24">
        <f>VLOOKUP(L672, IMPOSTO!$A:$D, 4, 0)</f>
        <v>0.18</v>
      </c>
      <c r="AA672" s="24">
        <f>VLOOKUP(M672, IMPOSTO!$A:$D, 4, 0)</f>
        <v>0.12</v>
      </c>
      <c r="AB672" s="24">
        <f>VLOOKUP(N672, IMPOSTO!$A:$D, 4, 0)</f>
        <v>7.0000000000000007E-2</v>
      </c>
      <c r="AC672" s="25">
        <f t="shared" si="97"/>
        <v>6549.8700481869037</v>
      </c>
      <c r="AD672" s="25">
        <f t="shared" si="98"/>
        <v>6550.4382300050856</v>
      </c>
      <c r="AE672" s="25">
        <f t="shared" si="99"/>
        <v>6207.618970327394</v>
      </c>
      <c r="AF672" s="25">
        <f t="shared" si="100"/>
        <v>6631.1200481869037</v>
      </c>
      <c r="AG672" s="25">
        <f t="shared" si="101"/>
        <v>6976.811759029848</v>
      </c>
      <c r="AH672" s="25">
        <f t="shared" si="102"/>
        <v>6597.9382300050856</v>
      </c>
      <c r="AI672" s="25">
        <f t="shared" si="103"/>
        <v>6621.92004559621</v>
      </c>
    </row>
    <row r="673" spans="1:35" ht="15.75" customHeight="1">
      <c r="A673" s="12" t="s">
        <v>74</v>
      </c>
      <c r="B673" s="12" t="s">
        <v>75</v>
      </c>
      <c r="C673" s="12" t="s">
        <v>57</v>
      </c>
      <c r="D673" s="12" t="s">
        <v>33</v>
      </c>
      <c r="E673" s="12" t="s">
        <v>27</v>
      </c>
      <c r="F673" s="13">
        <v>36583.563346080176</v>
      </c>
      <c r="G673" s="14">
        <v>185802.63109454984</v>
      </c>
      <c r="H673" s="24" t="str">
        <f t="shared" si="96"/>
        <v>RJSP</v>
      </c>
      <c r="I673" s="24" t="str">
        <f t="shared" si="104"/>
        <v>RJMG</v>
      </c>
      <c r="J673" s="24" t="str">
        <f t="shared" si="104"/>
        <v>RJES</v>
      </c>
      <c r="K673" s="24" t="str">
        <f t="shared" si="104"/>
        <v>RJSC</v>
      </c>
      <c r="L673" s="24" t="str">
        <f t="shared" si="104"/>
        <v>RJRJ</v>
      </c>
      <c r="M673" s="24" t="str">
        <f t="shared" si="104"/>
        <v>RJPR</v>
      </c>
      <c r="N673" s="24" t="str">
        <f t="shared" si="104"/>
        <v>RJAM</v>
      </c>
      <c r="O673" s="24">
        <f>VLOOKUP(H673, KM!$A:$E, 5, 0)</f>
        <v>429</v>
      </c>
      <c r="P673" s="24">
        <f>VLOOKUP(I673, KM!$A:$E, 5, 0)</f>
        <v>434</v>
      </c>
      <c r="Q673" s="24">
        <f>VLOOKUP(J673, KM!$A:$E, 5, 0)</f>
        <v>521</v>
      </c>
      <c r="R673" s="24">
        <f>VLOOKUP(K673, KM!$A:$E, 5, 0)</f>
        <v>1144</v>
      </c>
      <c r="S673" s="24">
        <f>VLOOKUP(L673, KM!$A:$E, 5, 0)</f>
        <v>0</v>
      </c>
      <c r="T673" s="24">
        <f>VLOOKUP(M673, KM!$A:$E, 5, 0)</f>
        <v>852</v>
      </c>
      <c r="U673" s="24">
        <f>VLOOKUP(N673, KM!$A:$E, 5, 0)</f>
        <v>4374</v>
      </c>
      <c r="V673" s="24">
        <f>VLOOKUP(H673, IMPOSTO!$A:$D, 4, 0)</f>
        <v>0.12</v>
      </c>
      <c r="W673" s="24">
        <f>VLOOKUP(I673, IMPOSTO!$A:$D, 4, 0)</f>
        <v>0.12</v>
      </c>
      <c r="X673" s="24">
        <f>VLOOKUP(J673, IMPOSTO!$A:$D, 4, 0)</f>
        <v>7.0000000000000007E-2</v>
      </c>
      <c r="Y673" s="24">
        <f>VLOOKUP(K673, IMPOSTO!$A:$D, 4, 0)</f>
        <v>0.12</v>
      </c>
      <c r="Z673" s="24">
        <f>VLOOKUP(L673, IMPOSTO!$A:$D, 4, 0)</f>
        <v>0.18</v>
      </c>
      <c r="AA673" s="24">
        <f>VLOOKUP(M673, IMPOSTO!$A:$D, 4, 0)</f>
        <v>0.12</v>
      </c>
      <c r="AB673" s="24">
        <f>VLOOKUP(N673, IMPOSTO!$A:$D, 4, 0)</f>
        <v>7.0000000000000007E-2</v>
      </c>
      <c r="AC673" s="25">
        <f t="shared" si="97"/>
        <v>211188.10351653391</v>
      </c>
      <c r="AD673" s="25">
        <f t="shared" si="98"/>
        <v>211188.67169835209</v>
      </c>
      <c r="AE673" s="25">
        <f t="shared" si="99"/>
        <v>199843.79687586008</v>
      </c>
      <c r="AF673" s="25">
        <f t="shared" si="100"/>
        <v>211269.35351653391</v>
      </c>
      <c r="AG673" s="25">
        <f t="shared" si="101"/>
        <v>226588.57450554857</v>
      </c>
      <c r="AH673" s="25">
        <f t="shared" si="102"/>
        <v>211236.17169835212</v>
      </c>
      <c r="AI673" s="25">
        <f t="shared" si="103"/>
        <v>200258.09795112888</v>
      </c>
    </row>
    <row r="674" spans="1:35" ht="15.75" customHeight="1">
      <c r="A674" s="12" t="s">
        <v>607</v>
      </c>
      <c r="B674" s="12" t="s">
        <v>608</v>
      </c>
      <c r="C674" s="12" t="s">
        <v>609</v>
      </c>
      <c r="D674" s="12" t="s">
        <v>33</v>
      </c>
      <c r="E674" s="12" t="s">
        <v>27</v>
      </c>
      <c r="F674" s="13">
        <v>192919.5</v>
      </c>
      <c r="G674" s="14">
        <v>444045.35550000001</v>
      </c>
      <c r="H674" s="24" t="str">
        <f t="shared" si="96"/>
        <v>RJSP</v>
      </c>
      <c r="I674" s="24" t="str">
        <f t="shared" si="104"/>
        <v>RJMG</v>
      </c>
      <c r="J674" s="24" t="str">
        <f t="shared" si="104"/>
        <v>RJES</v>
      </c>
      <c r="K674" s="24" t="str">
        <f t="shared" si="104"/>
        <v>RJSC</v>
      </c>
      <c r="L674" s="24" t="str">
        <f t="shared" si="104"/>
        <v>RJRJ</v>
      </c>
      <c r="M674" s="24" t="str">
        <f t="shared" si="104"/>
        <v>RJPR</v>
      </c>
      <c r="N674" s="24" t="str">
        <f t="shared" si="104"/>
        <v>RJAM</v>
      </c>
      <c r="O674" s="24">
        <f>VLOOKUP(H674, KM!$A:$E, 5, 0)</f>
        <v>429</v>
      </c>
      <c r="P674" s="24">
        <f>VLOOKUP(I674, KM!$A:$E, 5, 0)</f>
        <v>434</v>
      </c>
      <c r="Q674" s="24">
        <f>VLOOKUP(J674, KM!$A:$E, 5, 0)</f>
        <v>521</v>
      </c>
      <c r="R674" s="24">
        <f>VLOOKUP(K674, KM!$A:$E, 5, 0)</f>
        <v>1144</v>
      </c>
      <c r="S674" s="24">
        <f>VLOOKUP(L674, KM!$A:$E, 5, 0)</f>
        <v>0</v>
      </c>
      <c r="T674" s="24">
        <f>VLOOKUP(M674, KM!$A:$E, 5, 0)</f>
        <v>852</v>
      </c>
      <c r="U674" s="24">
        <f>VLOOKUP(N674, KM!$A:$E, 5, 0)</f>
        <v>4374</v>
      </c>
      <c r="V674" s="24">
        <f>VLOOKUP(H674, IMPOSTO!$A:$D, 4, 0)</f>
        <v>0.12</v>
      </c>
      <c r="W674" s="24">
        <f>VLOOKUP(I674, IMPOSTO!$A:$D, 4, 0)</f>
        <v>0.12</v>
      </c>
      <c r="X674" s="24">
        <f>VLOOKUP(J674, IMPOSTO!$A:$D, 4, 0)</f>
        <v>7.0000000000000007E-2</v>
      </c>
      <c r="Y674" s="24">
        <f>VLOOKUP(K674, IMPOSTO!$A:$D, 4, 0)</f>
        <v>0.12</v>
      </c>
      <c r="Z674" s="24">
        <f>VLOOKUP(L674, IMPOSTO!$A:$D, 4, 0)</f>
        <v>0.18</v>
      </c>
      <c r="AA674" s="24">
        <f>VLOOKUP(M674, IMPOSTO!$A:$D, 4, 0)</f>
        <v>0.12</v>
      </c>
      <c r="AB674" s="24">
        <f>VLOOKUP(N674, IMPOSTO!$A:$D, 4, 0)</f>
        <v>7.0000000000000007E-2</v>
      </c>
      <c r="AC674" s="25">
        <f t="shared" si="97"/>
        <v>504645.74488636368</v>
      </c>
      <c r="AD674" s="25">
        <f t="shared" si="98"/>
        <v>504646.31306818186</v>
      </c>
      <c r="AE674" s="25">
        <f t="shared" si="99"/>
        <v>477524.14569892472</v>
      </c>
      <c r="AF674" s="25">
        <f t="shared" si="100"/>
        <v>504726.99488636368</v>
      </c>
      <c r="AG674" s="25">
        <f t="shared" si="101"/>
        <v>541518.72621951217</v>
      </c>
      <c r="AH674" s="25">
        <f t="shared" si="102"/>
        <v>504693.81306818186</v>
      </c>
      <c r="AI674" s="25">
        <f t="shared" si="103"/>
        <v>477938.44677419361</v>
      </c>
    </row>
    <row r="675" spans="1:35" ht="15.75" customHeight="1">
      <c r="A675" s="12" t="s">
        <v>257</v>
      </c>
      <c r="B675" s="12" t="s">
        <v>258</v>
      </c>
      <c r="C675" s="12" t="s">
        <v>259</v>
      </c>
      <c r="D675" s="12" t="s">
        <v>33</v>
      </c>
      <c r="E675" s="12" t="s">
        <v>27</v>
      </c>
      <c r="F675" s="13">
        <v>7538.88</v>
      </c>
      <c r="G675" s="14">
        <v>24902.192825999999</v>
      </c>
      <c r="H675" s="24" t="str">
        <f t="shared" si="96"/>
        <v>RJSP</v>
      </c>
      <c r="I675" s="24" t="str">
        <f t="shared" si="104"/>
        <v>RJMG</v>
      </c>
      <c r="J675" s="24" t="str">
        <f t="shared" si="104"/>
        <v>RJES</v>
      </c>
      <c r="K675" s="24" t="str">
        <f t="shared" si="104"/>
        <v>RJSC</v>
      </c>
      <c r="L675" s="24" t="str">
        <f t="shared" si="104"/>
        <v>RJRJ</v>
      </c>
      <c r="M675" s="24" t="str">
        <f t="shared" si="104"/>
        <v>RJPR</v>
      </c>
      <c r="N675" s="24" t="str">
        <f t="shared" si="104"/>
        <v>RJAM</v>
      </c>
      <c r="O675" s="24">
        <f>VLOOKUP(H675, KM!$A:$E, 5, 0)</f>
        <v>429</v>
      </c>
      <c r="P675" s="24">
        <f>VLOOKUP(I675, KM!$A:$E, 5, 0)</f>
        <v>434</v>
      </c>
      <c r="Q675" s="24">
        <f>VLOOKUP(J675, KM!$A:$E, 5, 0)</f>
        <v>521</v>
      </c>
      <c r="R675" s="24">
        <f>VLOOKUP(K675, KM!$A:$E, 5, 0)</f>
        <v>1144</v>
      </c>
      <c r="S675" s="24">
        <f>VLOOKUP(L675, KM!$A:$E, 5, 0)</f>
        <v>0</v>
      </c>
      <c r="T675" s="24">
        <f>VLOOKUP(M675, KM!$A:$E, 5, 0)</f>
        <v>852</v>
      </c>
      <c r="U675" s="24">
        <f>VLOOKUP(N675, KM!$A:$E, 5, 0)</f>
        <v>4374</v>
      </c>
      <c r="V675" s="24">
        <f>VLOOKUP(H675, IMPOSTO!$A:$D, 4, 0)</f>
        <v>0.12</v>
      </c>
      <c r="W675" s="24">
        <f>VLOOKUP(I675, IMPOSTO!$A:$D, 4, 0)</f>
        <v>0.12</v>
      </c>
      <c r="X675" s="24">
        <f>VLOOKUP(J675, IMPOSTO!$A:$D, 4, 0)</f>
        <v>7.0000000000000007E-2</v>
      </c>
      <c r="Y675" s="24">
        <f>VLOOKUP(K675, IMPOSTO!$A:$D, 4, 0)</f>
        <v>0.12</v>
      </c>
      <c r="Z675" s="24">
        <f>VLOOKUP(L675, IMPOSTO!$A:$D, 4, 0)</f>
        <v>0.18</v>
      </c>
      <c r="AA675" s="24">
        <f>VLOOKUP(M675, IMPOSTO!$A:$D, 4, 0)</f>
        <v>0.12</v>
      </c>
      <c r="AB675" s="24">
        <f>VLOOKUP(N675, IMPOSTO!$A:$D, 4, 0)</f>
        <v>7.0000000000000007E-2</v>
      </c>
      <c r="AC675" s="25">
        <f t="shared" si="97"/>
        <v>28346.696393181817</v>
      </c>
      <c r="AD675" s="25">
        <f t="shared" si="98"/>
        <v>28347.264575000001</v>
      </c>
      <c r="AE675" s="25">
        <f t="shared" si="99"/>
        <v>26832.572931182793</v>
      </c>
      <c r="AF675" s="25">
        <f t="shared" si="100"/>
        <v>28427.946393181817</v>
      </c>
      <c r="AG675" s="25">
        <f t="shared" si="101"/>
        <v>30368.527836585363</v>
      </c>
      <c r="AH675" s="25">
        <f t="shared" si="102"/>
        <v>28394.764574999997</v>
      </c>
      <c r="AI675" s="25">
        <f t="shared" si="103"/>
        <v>27246.874006451613</v>
      </c>
    </row>
    <row r="676" spans="1:35" ht="15.75" customHeight="1">
      <c r="A676" s="12" t="s">
        <v>618</v>
      </c>
      <c r="B676" s="12" t="s">
        <v>619</v>
      </c>
      <c r="C676" s="12" t="s">
        <v>232</v>
      </c>
      <c r="D676" s="12" t="s">
        <v>33</v>
      </c>
      <c r="E676" s="12" t="s">
        <v>27</v>
      </c>
      <c r="F676" s="13">
        <v>27.249696908637087</v>
      </c>
      <c r="G676" s="14">
        <v>1206.4084905198756</v>
      </c>
      <c r="H676" s="24" t="str">
        <f t="shared" si="96"/>
        <v>RJSP</v>
      </c>
      <c r="I676" s="24" t="str">
        <f t="shared" si="104"/>
        <v>RJMG</v>
      </c>
      <c r="J676" s="24" t="str">
        <f t="shared" si="104"/>
        <v>RJES</v>
      </c>
      <c r="K676" s="24" t="str">
        <f t="shared" si="104"/>
        <v>RJSC</v>
      </c>
      <c r="L676" s="24" t="str">
        <f t="shared" si="104"/>
        <v>RJRJ</v>
      </c>
      <c r="M676" s="24" t="str">
        <f t="shared" si="104"/>
        <v>RJPR</v>
      </c>
      <c r="N676" s="24" t="str">
        <f t="shared" si="104"/>
        <v>RJAM</v>
      </c>
      <c r="O676" s="24">
        <f>VLOOKUP(H676, KM!$A:$E, 5, 0)</f>
        <v>429</v>
      </c>
      <c r="P676" s="24">
        <f>VLOOKUP(I676, KM!$A:$E, 5, 0)</f>
        <v>434</v>
      </c>
      <c r="Q676" s="24">
        <f>VLOOKUP(J676, KM!$A:$E, 5, 0)</f>
        <v>521</v>
      </c>
      <c r="R676" s="24">
        <f>VLOOKUP(K676, KM!$A:$E, 5, 0)</f>
        <v>1144</v>
      </c>
      <c r="S676" s="24">
        <f>VLOOKUP(L676, KM!$A:$E, 5, 0)</f>
        <v>0</v>
      </c>
      <c r="T676" s="24">
        <f>VLOOKUP(M676, KM!$A:$E, 5, 0)</f>
        <v>852</v>
      </c>
      <c r="U676" s="24">
        <f>VLOOKUP(N676, KM!$A:$E, 5, 0)</f>
        <v>4374</v>
      </c>
      <c r="V676" s="24">
        <f>VLOOKUP(H676, IMPOSTO!$A:$D, 4, 0)</f>
        <v>0.12</v>
      </c>
      <c r="W676" s="24">
        <f>VLOOKUP(I676, IMPOSTO!$A:$D, 4, 0)</f>
        <v>0.12</v>
      </c>
      <c r="X676" s="24">
        <f>VLOOKUP(J676, IMPOSTO!$A:$D, 4, 0)</f>
        <v>7.0000000000000007E-2</v>
      </c>
      <c r="Y676" s="24">
        <f>VLOOKUP(K676, IMPOSTO!$A:$D, 4, 0)</f>
        <v>0.12</v>
      </c>
      <c r="Z676" s="24">
        <f>VLOOKUP(L676, IMPOSTO!$A:$D, 4, 0)</f>
        <v>0.18</v>
      </c>
      <c r="AA676" s="24">
        <f>VLOOKUP(M676, IMPOSTO!$A:$D, 4, 0)</f>
        <v>0.12</v>
      </c>
      <c r="AB676" s="24">
        <f>VLOOKUP(N676, IMPOSTO!$A:$D, 4, 0)</f>
        <v>7.0000000000000007E-2</v>
      </c>
      <c r="AC676" s="25">
        <f t="shared" si="97"/>
        <v>1419.6687392271315</v>
      </c>
      <c r="AD676" s="25">
        <f t="shared" si="98"/>
        <v>1420.2369210453132</v>
      </c>
      <c r="AE676" s="25">
        <f t="shared" si="99"/>
        <v>1353.2349360428771</v>
      </c>
      <c r="AF676" s="25">
        <f t="shared" si="100"/>
        <v>1500.9187392271315</v>
      </c>
      <c r="AG676" s="25">
        <f t="shared" si="101"/>
        <v>1471.229866487653</v>
      </c>
      <c r="AH676" s="25">
        <f t="shared" si="102"/>
        <v>1467.7369210453132</v>
      </c>
      <c r="AI676" s="25">
        <f t="shared" si="103"/>
        <v>1767.5360113116944</v>
      </c>
    </row>
    <row r="677" spans="1:35" ht="15.75" customHeight="1">
      <c r="A677" s="12" t="s">
        <v>300</v>
      </c>
      <c r="B677" s="12" t="s">
        <v>301</v>
      </c>
      <c r="C677" s="12" t="s">
        <v>232</v>
      </c>
      <c r="D677" s="12" t="s">
        <v>33</v>
      </c>
      <c r="E677" s="12" t="s">
        <v>27</v>
      </c>
      <c r="F677" s="13">
        <v>959.63551931104973</v>
      </c>
      <c r="G677" s="14">
        <v>4984.6389502857319</v>
      </c>
      <c r="H677" s="24" t="str">
        <f t="shared" si="96"/>
        <v>RJSP</v>
      </c>
      <c r="I677" s="24" t="str">
        <f t="shared" si="104"/>
        <v>RJMG</v>
      </c>
      <c r="J677" s="24" t="str">
        <f t="shared" si="104"/>
        <v>RJES</v>
      </c>
      <c r="K677" s="24" t="str">
        <f t="shared" si="104"/>
        <v>RJSC</v>
      </c>
      <c r="L677" s="24" t="str">
        <f t="shared" si="104"/>
        <v>RJRJ</v>
      </c>
      <c r="M677" s="24" t="str">
        <f t="shared" si="104"/>
        <v>RJPR</v>
      </c>
      <c r="N677" s="24" t="str">
        <f t="shared" si="104"/>
        <v>RJAM</v>
      </c>
      <c r="O677" s="24">
        <f>VLOOKUP(H677, KM!$A:$E, 5, 0)</f>
        <v>429</v>
      </c>
      <c r="P677" s="24">
        <f>VLOOKUP(I677, KM!$A:$E, 5, 0)</f>
        <v>434</v>
      </c>
      <c r="Q677" s="24">
        <f>VLOOKUP(J677, KM!$A:$E, 5, 0)</f>
        <v>521</v>
      </c>
      <c r="R677" s="24">
        <f>VLOOKUP(K677, KM!$A:$E, 5, 0)</f>
        <v>1144</v>
      </c>
      <c r="S677" s="24">
        <f>VLOOKUP(L677, KM!$A:$E, 5, 0)</f>
        <v>0</v>
      </c>
      <c r="T677" s="24">
        <f>VLOOKUP(M677, KM!$A:$E, 5, 0)</f>
        <v>852</v>
      </c>
      <c r="U677" s="24">
        <f>VLOOKUP(N677, KM!$A:$E, 5, 0)</f>
        <v>4374</v>
      </c>
      <c r="V677" s="24">
        <f>VLOOKUP(H677, IMPOSTO!$A:$D, 4, 0)</f>
        <v>0.12</v>
      </c>
      <c r="W677" s="24">
        <f>VLOOKUP(I677, IMPOSTO!$A:$D, 4, 0)</f>
        <v>0.12</v>
      </c>
      <c r="X677" s="24">
        <f>VLOOKUP(J677, IMPOSTO!$A:$D, 4, 0)</f>
        <v>7.0000000000000007E-2</v>
      </c>
      <c r="Y677" s="24">
        <f>VLOOKUP(K677, IMPOSTO!$A:$D, 4, 0)</f>
        <v>0.12</v>
      </c>
      <c r="Z677" s="24">
        <f>VLOOKUP(L677, IMPOSTO!$A:$D, 4, 0)</f>
        <v>0.18</v>
      </c>
      <c r="AA677" s="24">
        <f>VLOOKUP(M677, IMPOSTO!$A:$D, 4, 0)</f>
        <v>0.12</v>
      </c>
      <c r="AB677" s="24">
        <f>VLOOKUP(N677, IMPOSTO!$A:$D, 4, 0)</f>
        <v>7.0000000000000007E-2</v>
      </c>
      <c r="AC677" s="25">
        <f t="shared" si="97"/>
        <v>5713.112443506513</v>
      </c>
      <c r="AD677" s="25">
        <f t="shared" si="98"/>
        <v>5713.680625324695</v>
      </c>
      <c r="AE677" s="25">
        <f t="shared" si="99"/>
        <v>5415.8483336405725</v>
      </c>
      <c r="AF677" s="25">
        <f t="shared" si="100"/>
        <v>5794.362443506513</v>
      </c>
      <c r="AG677" s="25">
        <f t="shared" si="101"/>
        <v>6078.8279881533308</v>
      </c>
      <c r="AH677" s="25">
        <f t="shared" si="102"/>
        <v>5761.180625324695</v>
      </c>
      <c r="AI677" s="25">
        <f t="shared" si="103"/>
        <v>5830.1494089093894</v>
      </c>
    </row>
    <row r="678" spans="1:35" ht="15.75" customHeight="1">
      <c r="A678" s="12" t="s">
        <v>263</v>
      </c>
      <c r="B678" s="12" t="s">
        <v>264</v>
      </c>
      <c r="C678" s="12" t="s">
        <v>265</v>
      </c>
      <c r="D678" s="12" t="s">
        <v>50</v>
      </c>
      <c r="E678" s="12" t="s">
        <v>27</v>
      </c>
      <c r="F678" s="13">
        <v>0.92598135217393374</v>
      </c>
      <c r="G678" s="14">
        <v>16.806561541956899</v>
      </c>
      <c r="H678" s="24" t="str">
        <f t="shared" si="96"/>
        <v>RJSP</v>
      </c>
      <c r="I678" s="24" t="str">
        <f t="shared" si="104"/>
        <v>RJMG</v>
      </c>
      <c r="J678" s="24" t="str">
        <f t="shared" si="104"/>
        <v>RJES</v>
      </c>
      <c r="K678" s="24" t="str">
        <f t="shared" si="104"/>
        <v>RJSC</v>
      </c>
      <c r="L678" s="24" t="str">
        <f t="shared" si="104"/>
        <v>RJRJ</v>
      </c>
      <c r="M678" s="24" t="str">
        <f t="shared" si="104"/>
        <v>RJPR</v>
      </c>
      <c r="N678" s="24" t="str">
        <f t="shared" si="104"/>
        <v>RJAM</v>
      </c>
      <c r="O678" s="24">
        <f>VLOOKUP(H678, KM!$A:$E, 5, 0)</f>
        <v>429</v>
      </c>
      <c r="P678" s="24">
        <f>VLOOKUP(I678, KM!$A:$E, 5, 0)</f>
        <v>434</v>
      </c>
      <c r="Q678" s="24">
        <f>VLOOKUP(J678, KM!$A:$E, 5, 0)</f>
        <v>521</v>
      </c>
      <c r="R678" s="24">
        <f>VLOOKUP(K678, KM!$A:$E, 5, 0)</f>
        <v>1144</v>
      </c>
      <c r="S678" s="24">
        <f>VLOOKUP(L678, KM!$A:$E, 5, 0)</f>
        <v>0</v>
      </c>
      <c r="T678" s="24">
        <f>VLOOKUP(M678, KM!$A:$E, 5, 0)</f>
        <v>852</v>
      </c>
      <c r="U678" s="24">
        <f>VLOOKUP(N678, KM!$A:$E, 5, 0)</f>
        <v>4374</v>
      </c>
      <c r="V678" s="24">
        <f>VLOOKUP(H678, IMPOSTO!$A:$D, 4, 0)</f>
        <v>0.12</v>
      </c>
      <c r="W678" s="24">
        <f>VLOOKUP(I678, IMPOSTO!$A:$D, 4, 0)</f>
        <v>0.12</v>
      </c>
      <c r="X678" s="24">
        <f>VLOOKUP(J678, IMPOSTO!$A:$D, 4, 0)</f>
        <v>7.0000000000000007E-2</v>
      </c>
      <c r="Y678" s="24">
        <f>VLOOKUP(K678, IMPOSTO!$A:$D, 4, 0)</f>
        <v>0.12</v>
      </c>
      <c r="Z678" s="24">
        <f>VLOOKUP(L678, IMPOSTO!$A:$D, 4, 0)</f>
        <v>0.18</v>
      </c>
      <c r="AA678" s="24">
        <f>VLOOKUP(M678, IMPOSTO!$A:$D, 4, 0)</f>
        <v>0.12</v>
      </c>
      <c r="AB678" s="24">
        <f>VLOOKUP(N678, IMPOSTO!$A:$D, 4, 0)</f>
        <v>7.0000000000000007E-2</v>
      </c>
      <c r="AC678" s="25">
        <f t="shared" si="97"/>
        <v>67.848365388587382</v>
      </c>
      <c r="AD678" s="25">
        <f t="shared" si="98"/>
        <v>68.416547206769209</v>
      </c>
      <c r="AE678" s="25">
        <f t="shared" si="99"/>
        <v>74.09307692683538</v>
      </c>
      <c r="AF678" s="25">
        <f t="shared" si="100"/>
        <v>149.09836538858741</v>
      </c>
      <c r="AG678" s="25">
        <f t="shared" si="101"/>
        <v>20.495806758484022</v>
      </c>
      <c r="AH678" s="25">
        <f t="shared" si="102"/>
        <v>115.91654720676921</v>
      </c>
      <c r="AI678" s="25">
        <f t="shared" si="103"/>
        <v>488.39415219565268</v>
      </c>
    </row>
    <row r="679" spans="1:35" ht="15.75" customHeight="1">
      <c r="A679" s="12" t="s">
        <v>612</v>
      </c>
      <c r="B679" s="12" t="s">
        <v>613</v>
      </c>
      <c r="C679" s="12" t="s">
        <v>169</v>
      </c>
      <c r="D679" s="12" t="s">
        <v>33</v>
      </c>
      <c r="E679" s="12" t="s">
        <v>27</v>
      </c>
      <c r="F679" s="13">
        <v>9413.0658111780394</v>
      </c>
      <c r="G679" s="14">
        <v>5237.1366610319592</v>
      </c>
      <c r="H679" s="24" t="str">
        <f t="shared" si="96"/>
        <v>RJSP</v>
      </c>
      <c r="I679" s="24" t="str">
        <f t="shared" si="104"/>
        <v>RJMG</v>
      </c>
      <c r="J679" s="24" t="str">
        <f t="shared" si="104"/>
        <v>RJES</v>
      </c>
      <c r="K679" s="24" t="str">
        <f t="shared" si="104"/>
        <v>RJSC</v>
      </c>
      <c r="L679" s="24" t="str">
        <f t="shared" si="104"/>
        <v>RJRJ</v>
      </c>
      <c r="M679" s="24" t="str">
        <f t="shared" si="104"/>
        <v>RJPR</v>
      </c>
      <c r="N679" s="24" t="str">
        <f t="shared" si="104"/>
        <v>RJAM</v>
      </c>
      <c r="O679" s="24">
        <f>VLOOKUP(H679, KM!$A:$E, 5, 0)</f>
        <v>429</v>
      </c>
      <c r="P679" s="24">
        <f>VLOOKUP(I679, KM!$A:$E, 5, 0)</f>
        <v>434</v>
      </c>
      <c r="Q679" s="24">
        <f>VLOOKUP(J679, KM!$A:$E, 5, 0)</f>
        <v>521</v>
      </c>
      <c r="R679" s="24">
        <f>VLOOKUP(K679, KM!$A:$E, 5, 0)</f>
        <v>1144</v>
      </c>
      <c r="S679" s="24">
        <f>VLOOKUP(L679, KM!$A:$E, 5, 0)</f>
        <v>0</v>
      </c>
      <c r="T679" s="24">
        <f>VLOOKUP(M679, KM!$A:$E, 5, 0)</f>
        <v>852</v>
      </c>
      <c r="U679" s="24">
        <f>VLOOKUP(N679, KM!$A:$E, 5, 0)</f>
        <v>4374</v>
      </c>
      <c r="V679" s="24">
        <f>VLOOKUP(H679, IMPOSTO!$A:$D, 4, 0)</f>
        <v>0.12</v>
      </c>
      <c r="W679" s="24">
        <f>VLOOKUP(I679, IMPOSTO!$A:$D, 4, 0)</f>
        <v>0.12</v>
      </c>
      <c r="X679" s="24">
        <f>VLOOKUP(J679, IMPOSTO!$A:$D, 4, 0)</f>
        <v>7.0000000000000007E-2</v>
      </c>
      <c r="Y679" s="24">
        <f>VLOOKUP(K679, IMPOSTO!$A:$D, 4, 0)</f>
        <v>0.12</v>
      </c>
      <c r="Z679" s="24">
        <f>VLOOKUP(L679, IMPOSTO!$A:$D, 4, 0)</f>
        <v>0.18</v>
      </c>
      <c r="AA679" s="24">
        <f>VLOOKUP(M679, IMPOSTO!$A:$D, 4, 0)</f>
        <v>0.12</v>
      </c>
      <c r="AB679" s="24">
        <f>VLOOKUP(N679, IMPOSTO!$A:$D, 4, 0)</f>
        <v>7.0000000000000007E-2</v>
      </c>
      <c r="AC679" s="25">
        <f t="shared" si="97"/>
        <v>6000.0416602635896</v>
      </c>
      <c r="AD679" s="25">
        <f t="shared" si="98"/>
        <v>6000.6098420817716</v>
      </c>
      <c r="AE679" s="25">
        <f t="shared" si="99"/>
        <v>5687.3512484214625</v>
      </c>
      <c r="AF679" s="25">
        <f t="shared" si="100"/>
        <v>6081.2916602635896</v>
      </c>
      <c r="AG679" s="25">
        <f t="shared" si="101"/>
        <v>6386.7520256487305</v>
      </c>
      <c r="AH679" s="25">
        <f t="shared" si="102"/>
        <v>6048.1098420817716</v>
      </c>
      <c r="AI679" s="25">
        <f t="shared" si="103"/>
        <v>6101.6523236902785</v>
      </c>
    </row>
    <row r="680" spans="1:35" ht="15.75" customHeight="1">
      <c r="A680" s="12" t="s">
        <v>268</v>
      </c>
      <c r="B680" s="12" t="s">
        <v>269</v>
      </c>
      <c r="C680" s="12" t="s">
        <v>169</v>
      </c>
      <c r="D680" s="12" t="s">
        <v>33</v>
      </c>
      <c r="E680" s="12" t="s">
        <v>27</v>
      </c>
      <c r="F680" s="13">
        <v>4115.1155824774069</v>
      </c>
      <c r="G680" s="14">
        <v>4244.7059841082273</v>
      </c>
      <c r="H680" s="24" t="str">
        <f t="shared" si="96"/>
        <v>RJSP</v>
      </c>
      <c r="I680" s="24" t="str">
        <f t="shared" si="104"/>
        <v>RJMG</v>
      </c>
      <c r="J680" s="24" t="str">
        <f t="shared" si="104"/>
        <v>RJES</v>
      </c>
      <c r="K680" s="24" t="str">
        <f t="shared" si="104"/>
        <v>RJSC</v>
      </c>
      <c r="L680" s="24" t="str">
        <f t="shared" si="104"/>
        <v>RJRJ</v>
      </c>
      <c r="M680" s="24" t="str">
        <f t="shared" si="104"/>
        <v>RJPR</v>
      </c>
      <c r="N680" s="24" t="str">
        <f t="shared" si="104"/>
        <v>RJAM</v>
      </c>
      <c r="O680" s="24">
        <f>VLOOKUP(H680, KM!$A:$E, 5, 0)</f>
        <v>429</v>
      </c>
      <c r="P680" s="24">
        <f>VLOOKUP(I680, KM!$A:$E, 5, 0)</f>
        <v>434</v>
      </c>
      <c r="Q680" s="24">
        <f>VLOOKUP(J680, KM!$A:$E, 5, 0)</f>
        <v>521</v>
      </c>
      <c r="R680" s="24">
        <f>VLOOKUP(K680, KM!$A:$E, 5, 0)</f>
        <v>1144</v>
      </c>
      <c r="S680" s="24">
        <f>VLOOKUP(L680, KM!$A:$E, 5, 0)</f>
        <v>0</v>
      </c>
      <c r="T680" s="24">
        <f>VLOOKUP(M680, KM!$A:$E, 5, 0)</f>
        <v>852</v>
      </c>
      <c r="U680" s="24">
        <f>VLOOKUP(N680, KM!$A:$E, 5, 0)</f>
        <v>4374</v>
      </c>
      <c r="V680" s="24">
        <f>VLOOKUP(H680, IMPOSTO!$A:$D, 4, 0)</f>
        <v>0.12</v>
      </c>
      <c r="W680" s="24">
        <f>VLOOKUP(I680, IMPOSTO!$A:$D, 4, 0)</f>
        <v>0.12</v>
      </c>
      <c r="X680" s="24">
        <f>VLOOKUP(J680, IMPOSTO!$A:$D, 4, 0)</f>
        <v>7.0000000000000007E-2</v>
      </c>
      <c r="Y680" s="24">
        <f>VLOOKUP(K680, IMPOSTO!$A:$D, 4, 0)</f>
        <v>0.12</v>
      </c>
      <c r="Z680" s="24">
        <f>VLOOKUP(L680, IMPOSTO!$A:$D, 4, 0)</f>
        <v>0.18</v>
      </c>
      <c r="AA680" s="24">
        <f>VLOOKUP(M680, IMPOSTO!$A:$D, 4, 0)</f>
        <v>0.12</v>
      </c>
      <c r="AB680" s="24">
        <f>VLOOKUP(N680, IMPOSTO!$A:$D, 4, 0)</f>
        <v>7.0000000000000007E-2</v>
      </c>
      <c r="AC680" s="25">
        <f t="shared" si="97"/>
        <v>4872.2795273957126</v>
      </c>
      <c r="AD680" s="25">
        <f t="shared" si="98"/>
        <v>4872.8477092138946</v>
      </c>
      <c r="AE680" s="25">
        <f t="shared" si="99"/>
        <v>4620.2214882884173</v>
      </c>
      <c r="AF680" s="25">
        <f t="shared" si="100"/>
        <v>4953.5295273957126</v>
      </c>
      <c r="AG680" s="25">
        <f t="shared" si="101"/>
        <v>5176.4707123271064</v>
      </c>
      <c r="AH680" s="25">
        <f t="shared" si="102"/>
        <v>4920.3477092138946</v>
      </c>
      <c r="AI680" s="25">
        <f t="shared" si="103"/>
        <v>5034.5225635572333</v>
      </c>
    </row>
    <row r="681" spans="1:35" ht="15.75" customHeight="1">
      <c r="A681" s="12" t="s">
        <v>304</v>
      </c>
      <c r="B681" s="12" t="s">
        <v>305</v>
      </c>
      <c r="C681" s="12" t="s">
        <v>169</v>
      </c>
      <c r="D681" s="12" t="s">
        <v>33</v>
      </c>
      <c r="E681" s="12" t="s">
        <v>27</v>
      </c>
      <c r="F681" s="13">
        <v>2.1822998124368782</v>
      </c>
      <c r="G681" s="14">
        <v>0.71639447092771602</v>
      </c>
      <c r="H681" s="24" t="str">
        <f t="shared" si="96"/>
        <v>RJSP</v>
      </c>
      <c r="I681" s="24" t="str">
        <f t="shared" si="104"/>
        <v>RJMG</v>
      </c>
      <c r="J681" s="24" t="str">
        <f t="shared" si="104"/>
        <v>RJES</v>
      </c>
      <c r="K681" s="24" t="str">
        <f t="shared" si="104"/>
        <v>RJSC</v>
      </c>
      <c r="L681" s="24" t="str">
        <f t="shared" si="104"/>
        <v>RJRJ</v>
      </c>
      <c r="M681" s="24" t="str">
        <f t="shared" si="104"/>
        <v>RJPR</v>
      </c>
      <c r="N681" s="24" t="str">
        <f t="shared" si="104"/>
        <v>RJAM</v>
      </c>
      <c r="O681" s="24">
        <f>VLOOKUP(H681, KM!$A:$E, 5, 0)</f>
        <v>429</v>
      </c>
      <c r="P681" s="24">
        <f>VLOOKUP(I681, KM!$A:$E, 5, 0)</f>
        <v>434</v>
      </c>
      <c r="Q681" s="24">
        <f>VLOOKUP(J681, KM!$A:$E, 5, 0)</f>
        <v>521</v>
      </c>
      <c r="R681" s="24">
        <f>VLOOKUP(K681, KM!$A:$E, 5, 0)</f>
        <v>1144</v>
      </c>
      <c r="S681" s="24">
        <f>VLOOKUP(L681, KM!$A:$E, 5, 0)</f>
        <v>0</v>
      </c>
      <c r="T681" s="24">
        <f>VLOOKUP(M681, KM!$A:$E, 5, 0)</f>
        <v>852</v>
      </c>
      <c r="U681" s="24">
        <f>VLOOKUP(N681, KM!$A:$E, 5, 0)</f>
        <v>4374</v>
      </c>
      <c r="V681" s="24">
        <f>VLOOKUP(H681, IMPOSTO!$A:$D, 4, 0)</f>
        <v>0.12</v>
      </c>
      <c r="W681" s="24">
        <f>VLOOKUP(I681, IMPOSTO!$A:$D, 4, 0)</f>
        <v>0.12</v>
      </c>
      <c r="X681" s="24">
        <f>VLOOKUP(J681, IMPOSTO!$A:$D, 4, 0)</f>
        <v>7.0000000000000007E-2</v>
      </c>
      <c r="Y681" s="24">
        <f>VLOOKUP(K681, IMPOSTO!$A:$D, 4, 0)</f>
        <v>0.12</v>
      </c>
      <c r="Z681" s="24">
        <f>VLOOKUP(L681, IMPOSTO!$A:$D, 4, 0)</f>
        <v>0.18</v>
      </c>
      <c r="AA681" s="24">
        <f>VLOOKUP(M681, IMPOSTO!$A:$D, 4, 0)</f>
        <v>0.12</v>
      </c>
      <c r="AB681" s="24">
        <f>VLOOKUP(N681, IMPOSTO!$A:$D, 4, 0)</f>
        <v>7.0000000000000007E-2</v>
      </c>
      <c r="AC681" s="25">
        <f t="shared" si="97"/>
        <v>49.564084626054232</v>
      </c>
      <c r="AD681" s="25">
        <f t="shared" si="98"/>
        <v>50.132266444236052</v>
      </c>
      <c r="AE681" s="25">
        <f t="shared" si="99"/>
        <v>56.791822011750241</v>
      </c>
      <c r="AF681" s="25">
        <f t="shared" si="100"/>
        <v>130.81408462605421</v>
      </c>
      <c r="AG681" s="25">
        <f t="shared" si="101"/>
        <v>0.87365179381428781</v>
      </c>
      <c r="AH681" s="25">
        <f t="shared" si="102"/>
        <v>97.632266444236038</v>
      </c>
      <c r="AI681" s="25">
        <f t="shared" si="103"/>
        <v>471.09289728056746</v>
      </c>
    </row>
    <row r="682" spans="1:35" ht="15.75" customHeight="1">
      <c r="A682" s="12" t="s">
        <v>42</v>
      </c>
      <c r="B682" s="12" t="s">
        <v>43</v>
      </c>
      <c r="C682" s="12" t="s">
        <v>32</v>
      </c>
      <c r="D682" s="12" t="s">
        <v>33</v>
      </c>
      <c r="E682" s="12" t="s">
        <v>27</v>
      </c>
      <c r="F682" s="13">
        <v>1.7421</v>
      </c>
      <c r="G682" s="14">
        <v>101.082449</v>
      </c>
      <c r="H682" s="24" t="str">
        <f t="shared" si="96"/>
        <v>RJSP</v>
      </c>
      <c r="I682" s="24" t="str">
        <f t="shared" si="104"/>
        <v>RJMG</v>
      </c>
      <c r="J682" s="24" t="str">
        <f t="shared" si="104"/>
        <v>RJES</v>
      </c>
      <c r="K682" s="24" t="str">
        <f t="shared" si="104"/>
        <v>RJSC</v>
      </c>
      <c r="L682" s="24" t="str">
        <f t="shared" si="104"/>
        <v>RJRJ</v>
      </c>
      <c r="M682" s="24" t="str">
        <f t="shared" si="104"/>
        <v>RJPR</v>
      </c>
      <c r="N682" s="24" t="str">
        <f t="shared" si="104"/>
        <v>RJAM</v>
      </c>
      <c r="O682" s="24">
        <f>VLOOKUP(H682, KM!$A:$E, 5, 0)</f>
        <v>429</v>
      </c>
      <c r="P682" s="24">
        <f>VLOOKUP(I682, KM!$A:$E, 5, 0)</f>
        <v>434</v>
      </c>
      <c r="Q682" s="24">
        <f>VLOOKUP(J682, KM!$A:$E, 5, 0)</f>
        <v>521</v>
      </c>
      <c r="R682" s="24">
        <f>VLOOKUP(K682, KM!$A:$E, 5, 0)</f>
        <v>1144</v>
      </c>
      <c r="S682" s="24">
        <f>VLOOKUP(L682, KM!$A:$E, 5, 0)</f>
        <v>0</v>
      </c>
      <c r="T682" s="24">
        <f>VLOOKUP(M682, KM!$A:$E, 5, 0)</f>
        <v>852</v>
      </c>
      <c r="U682" s="24">
        <f>VLOOKUP(N682, KM!$A:$E, 5, 0)</f>
        <v>4374</v>
      </c>
      <c r="V682" s="24">
        <f>VLOOKUP(H682, IMPOSTO!$A:$D, 4, 0)</f>
        <v>0.12</v>
      </c>
      <c r="W682" s="24">
        <f>VLOOKUP(I682, IMPOSTO!$A:$D, 4, 0)</f>
        <v>0.12</v>
      </c>
      <c r="X682" s="24">
        <f>VLOOKUP(J682, IMPOSTO!$A:$D, 4, 0)</f>
        <v>7.0000000000000007E-2</v>
      </c>
      <c r="Y682" s="24">
        <f>VLOOKUP(K682, IMPOSTO!$A:$D, 4, 0)</f>
        <v>0.12</v>
      </c>
      <c r="Z682" s="24">
        <f>VLOOKUP(L682, IMPOSTO!$A:$D, 4, 0)</f>
        <v>0.18</v>
      </c>
      <c r="AA682" s="24">
        <f>VLOOKUP(M682, IMPOSTO!$A:$D, 4, 0)</f>
        <v>0.12</v>
      </c>
      <c r="AB682" s="24">
        <f>VLOOKUP(N682, IMPOSTO!$A:$D, 4, 0)</f>
        <v>7.0000000000000007E-2</v>
      </c>
      <c r="AC682" s="25">
        <f t="shared" si="97"/>
        <v>163.61641931818181</v>
      </c>
      <c r="AD682" s="25">
        <f t="shared" si="98"/>
        <v>164.18460113636363</v>
      </c>
      <c r="AE682" s="25">
        <f t="shared" si="99"/>
        <v>164.71231075268818</v>
      </c>
      <c r="AF682" s="25">
        <f t="shared" si="100"/>
        <v>244.86641931818181</v>
      </c>
      <c r="AG682" s="25">
        <f t="shared" si="101"/>
        <v>123.27127926829267</v>
      </c>
      <c r="AH682" s="25">
        <f t="shared" si="102"/>
        <v>211.68460113636363</v>
      </c>
      <c r="AI682" s="25">
        <f t="shared" si="103"/>
        <v>579.01338602150554</v>
      </c>
    </row>
    <row r="683" spans="1:35" ht="15.75" customHeight="1">
      <c r="A683" s="12" t="s">
        <v>177</v>
      </c>
      <c r="B683" s="12" t="s">
        <v>178</v>
      </c>
      <c r="C683" s="12" t="s">
        <v>128</v>
      </c>
      <c r="D683" s="12" t="s">
        <v>33</v>
      </c>
      <c r="E683" s="12" t="s">
        <v>27</v>
      </c>
      <c r="F683" s="13">
        <v>48.985300000000002</v>
      </c>
      <c r="G683" s="14">
        <v>2803.998548</v>
      </c>
      <c r="H683" s="24" t="str">
        <f t="shared" si="96"/>
        <v>RJSP</v>
      </c>
      <c r="I683" s="24" t="str">
        <f t="shared" si="104"/>
        <v>RJMG</v>
      </c>
      <c r="J683" s="24" t="str">
        <f t="shared" si="104"/>
        <v>RJES</v>
      </c>
      <c r="K683" s="24" t="str">
        <f t="shared" si="104"/>
        <v>RJSC</v>
      </c>
      <c r="L683" s="24" t="str">
        <f t="shared" si="104"/>
        <v>RJRJ</v>
      </c>
      <c r="M683" s="24" t="str">
        <f t="shared" si="104"/>
        <v>RJPR</v>
      </c>
      <c r="N683" s="24" t="str">
        <f t="shared" si="104"/>
        <v>RJAM</v>
      </c>
      <c r="O683" s="24">
        <f>VLOOKUP(H683, KM!$A:$E, 5, 0)</f>
        <v>429</v>
      </c>
      <c r="P683" s="24">
        <f>VLOOKUP(I683, KM!$A:$E, 5, 0)</f>
        <v>434</v>
      </c>
      <c r="Q683" s="24">
        <f>VLOOKUP(J683, KM!$A:$E, 5, 0)</f>
        <v>521</v>
      </c>
      <c r="R683" s="24">
        <f>VLOOKUP(K683, KM!$A:$E, 5, 0)</f>
        <v>1144</v>
      </c>
      <c r="S683" s="24">
        <f>VLOOKUP(L683, KM!$A:$E, 5, 0)</f>
        <v>0</v>
      </c>
      <c r="T683" s="24">
        <f>VLOOKUP(M683, KM!$A:$E, 5, 0)</f>
        <v>852</v>
      </c>
      <c r="U683" s="24">
        <f>VLOOKUP(N683, KM!$A:$E, 5, 0)</f>
        <v>4374</v>
      </c>
      <c r="V683" s="24">
        <f>VLOOKUP(H683, IMPOSTO!$A:$D, 4, 0)</f>
        <v>0.12</v>
      </c>
      <c r="W683" s="24">
        <f>VLOOKUP(I683, IMPOSTO!$A:$D, 4, 0)</f>
        <v>0.12</v>
      </c>
      <c r="X683" s="24">
        <f>VLOOKUP(J683, IMPOSTO!$A:$D, 4, 0)</f>
        <v>7.0000000000000007E-2</v>
      </c>
      <c r="Y683" s="24">
        <f>VLOOKUP(K683, IMPOSTO!$A:$D, 4, 0)</f>
        <v>0.12</v>
      </c>
      <c r="Z683" s="24">
        <f>VLOOKUP(L683, IMPOSTO!$A:$D, 4, 0)</f>
        <v>0.18</v>
      </c>
      <c r="AA683" s="24">
        <f>VLOOKUP(M683, IMPOSTO!$A:$D, 4, 0)</f>
        <v>0.12</v>
      </c>
      <c r="AB683" s="24">
        <f>VLOOKUP(N683, IMPOSTO!$A:$D, 4, 0)</f>
        <v>7.0000000000000007E-2</v>
      </c>
      <c r="AC683" s="25">
        <f t="shared" si="97"/>
        <v>3235.1119863636363</v>
      </c>
      <c r="AD683" s="25">
        <f t="shared" si="98"/>
        <v>3235.6801681818183</v>
      </c>
      <c r="AE683" s="25">
        <f t="shared" si="99"/>
        <v>3071.0737075268817</v>
      </c>
      <c r="AF683" s="25">
        <f t="shared" si="100"/>
        <v>3316.3619863636363</v>
      </c>
      <c r="AG683" s="25">
        <f t="shared" si="101"/>
        <v>3419.5104243902438</v>
      </c>
      <c r="AH683" s="25">
        <f t="shared" si="102"/>
        <v>3283.1801681818179</v>
      </c>
      <c r="AI683" s="25">
        <f t="shared" si="103"/>
        <v>3485.3747827956995</v>
      </c>
    </row>
    <row r="684" spans="1:35" ht="15.75" customHeight="1">
      <c r="A684" s="12" t="s">
        <v>274</v>
      </c>
      <c r="B684" s="12" t="s">
        <v>275</v>
      </c>
      <c r="C684" s="12" t="s">
        <v>192</v>
      </c>
      <c r="D684" s="12" t="s">
        <v>50</v>
      </c>
      <c r="E684" s="12" t="s">
        <v>27</v>
      </c>
      <c r="F684" s="13">
        <v>1.423</v>
      </c>
      <c r="G684" s="14">
        <v>73.028360000000006</v>
      </c>
      <c r="H684" s="24" t="str">
        <f t="shared" si="96"/>
        <v>RJSP</v>
      </c>
      <c r="I684" s="24" t="str">
        <f t="shared" si="104"/>
        <v>RJMG</v>
      </c>
      <c r="J684" s="24" t="str">
        <f t="shared" si="104"/>
        <v>RJES</v>
      </c>
      <c r="K684" s="24" t="str">
        <f t="shared" si="104"/>
        <v>RJSC</v>
      </c>
      <c r="L684" s="24" t="str">
        <f t="shared" si="104"/>
        <v>RJRJ</v>
      </c>
      <c r="M684" s="24" t="str">
        <f t="shared" si="104"/>
        <v>RJPR</v>
      </c>
      <c r="N684" s="24" t="str">
        <f t="shared" si="104"/>
        <v>RJAM</v>
      </c>
      <c r="O684" s="24">
        <f>VLOOKUP(H684, KM!$A:$E, 5, 0)</f>
        <v>429</v>
      </c>
      <c r="P684" s="24">
        <f>VLOOKUP(I684, KM!$A:$E, 5, 0)</f>
        <v>434</v>
      </c>
      <c r="Q684" s="24">
        <f>VLOOKUP(J684, KM!$A:$E, 5, 0)</f>
        <v>521</v>
      </c>
      <c r="R684" s="24">
        <f>VLOOKUP(K684, KM!$A:$E, 5, 0)</f>
        <v>1144</v>
      </c>
      <c r="S684" s="24">
        <f>VLOOKUP(L684, KM!$A:$E, 5, 0)</f>
        <v>0</v>
      </c>
      <c r="T684" s="24">
        <f>VLOOKUP(M684, KM!$A:$E, 5, 0)</f>
        <v>852</v>
      </c>
      <c r="U684" s="24">
        <f>VLOOKUP(N684, KM!$A:$E, 5, 0)</f>
        <v>4374</v>
      </c>
      <c r="V684" s="24">
        <f>VLOOKUP(H684, IMPOSTO!$A:$D, 4, 0)</f>
        <v>0.12</v>
      </c>
      <c r="W684" s="24">
        <f>VLOOKUP(I684, IMPOSTO!$A:$D, 4, 0)</f>
        <v>0.12</v>
      </c>
      <c r="X684" s="24">
        <f>VLOOKUP(J684, IMPOSTO!$A:$D, 4, 0)</f>
        <v>7.0000000000000007E-2</v>
      </c>
      <c r="Y684" s="24">
        <f>VLOOKUP(K684, IMPOSTO!$A:$D, 4, 0)</f>
        <v>0.12</v>
      </c>
      <c r="Z684" s="24">
        <f>VLOOKUP(L684, IMPOSTO!$A:$D, 4, 0)</f>
        <v>0.18</v>
      </c>
      <c r="AA684" s="24">
        <f>VLOOKUP(M684, IMPOSTO!$A:$D, 4, 0)</f>
        <v>0.12</v>
      </c>
      <c r="AB684" s="24">
        <f>VLOOKUP(N684, IMPOSTO!$A:$D, 4, 0)</f>
        <v>7.0000000000000007E-2</v>
      </c>
      <c r="AC684" s="25">
        <f t="shared" si="97"/>
        <v>131.73677272727275</v>
      </c>
      <c r="AD684" s="25">
        <f t="shared" si="98"/>
        <v>132.30495454545456</v>
      </c>
      <c r="AE684" s="25">
        <f t="shared" si="99"/>
        <v>134.546623655914</v>
      </c>
      <c r="AF684" s="25">
        <f t="shared" si="100"/>
        <v>212.98677272727272</v>
      </c>
      <c r="AG684" s="25">
        <f t="shared" si="101"/>
        <v>89.058975609756104</v>
      </c>
      <c r="AH684" s="25">
        <f t="shared" si="102"/>
        <v>179.80495454545456</v>
      </c>
      <c r="AI684" s="25">
        <f t="shared" si="103"/>
        <v>548.84769892473128</v>
      </c>
    </row>
    <row r="685" spans="1:35" ht="15.75" customHeight="1">
      <c r="A685" s="12" t="s">
        <v>357</v>
      </c>
      <c r="B685" s="12" t="s">
        <v>358</v>
      </c>
      <c r="C685" s="12" t="s">
        <v>278</v>
      </c>
      <c r="D685" s="12" t="s">
        <v>33</v>
      </c>
      <c r="E685" s="12" t="s">
        <v>27</v>
      </c>
      <c r="F685" s="13">
        <v>247.85120000000001</v>
      </c>
      <c r="G685" s="14">
        <v>12675.270271999998</v>
      </c>
      <c r="H685" s="24" t="str">
        <f t="shared" si="96"/>
        <v>RJSP</v>
      </c>
      <c r="I685" s="24" t="str">
        <f t="shared" si="104"/>
        <v>RJMG</v>
      </c>
      <c r="J685" s="24" t="str">
        <f t="shared" si="104"/>
        <v>RJES</v>
      </c>
      <c r="K685" s="24" t="str">
        <f t="shared" si="104"/>
        <v>RJSC</v>
      </c>
      <c r="L685" s="24" t="str">
        <f t="shared" si="104"/>
        <v>RJRJ</v>
      </c>
      <c r="M685" s="24" t="str">
        <f t="shared" si="104"/>
        <v>RJPR</v>
      </c>
      <c r="N685" s="24" t="str">
        <f t="shared" si="104"/>
        <v>RJAM</v>
      </c>
      <c r="O685" s="24">
        <f>VLOOKUP(H685, KM!$A:$E, 5, 0)</f>
        <v>429</v>
      </c>
      <c r="P685" s="24">
        <f>VLOOKUP(I685, KM!$A:$E, 5, 0)</f>
        <v>434</v>
      </c>
      <c r="Q685" s="24">
        <f>VLOOKUP(J685, KM!$A:$E, 5, 0)</f>
        <v>521</v>
      </c>
      <c r="R685" s="24">
        <f>VLOOKUP(K685, KM!$A:$E, 5, 0)</f>
        <v>1144</v>
      </c>
      <c r="S685" s="24">
        <f>VLOOKUP(L685, KM!$A:$E, 5, 0)</f>
        <v>0</v>
      </c>
      <c r="T685" s="24">
        <f>VLOOKUP(M685, KM!$A:$E, 5, 0)</f>
        <v>852</v>
      </c>
      <c r="U685" s="24">
        <f>VLOOKUP(N685, KM!$A:$E, 5, 0)</f>
        <v>4374</v>
      </c>
      <c r="V685" s="24">
        <f>VLOOKUP(H685, IMPOSTO!$A:$D, 4, 0)</f>
        <v>0.12</v>
      </c>
      <c r="W685" s="24">
        <f>VLOOKUP(I685, IMPOSTO!$A:$D, 4, 0)</f>
        <v>0.12</v>
      </c>
      <c r="X685" s="24">
        <f>VLOOKUP(J685, IMPOSTO!$A:$D, 4, 0)</f>
        <v>7.0000000000000007E-2</v>
      </c>
      <c r="Y685" s="24">
        <f>VLOOKUP(K685, IMPOSTO!$A:$D, 4, 0)</f>
        <v>0.12</v>
      </c>
      <c r="Z685" s="24">
        <f>VLOOKUP(L685, IMPOSTO!$A:$D, 4, 0)</f>
        <v>0.18</v>
      </c>
      <c r="AA685" s="24">
        <f>VLOOKUP(M685, IMPOSTO!$A:$D, 4, 0)</f>
        <v>0.12</v>
      </c>
      <c r="AB685" s="24">
        <f>VLOOKUP(N685, IMPOSTO!$A:$D, 4, 0)</f>
        <v>7.0000000000000007E-2</v>
      </c>
      <c r="AC685" s="25">
        <f t="shared" si="97"/>
        <v>14452.466218181815</v>
      </c>
      <c r="AD685" s="25">
        <f t="shared" si="98"/>
        <v>14453.034399999997</v>
      </c>
      <c r="AE685" s="25">
        <f t="shared" si="99"/>
        <v>13685.344378494623</v>
      </c>
      <c r="AF685" s="25">
        <f t="shared" si="100"/>
        <v>14533.716218181815</v>
      </c>
      <c r="AG685" s="25">
        <f t="shared" si="101"/>
        <v>15457.646673170728</v>
      </c>
      <c r="AH685" s="25">
        <f t="shared" si="102"/>
        <v>14500.534399999999</v>
      </c>
      <c r="AI685" s="25">
        <f t="shared" si="103"/>
        <v>14099.64545376344</v>
      </c>
    </row>
    <row r="686" spans="1:35" ht="15.75" customHeight="1">
      <c r="A686" s="12" t="s">
        <v>276</v>
      </c>
      <c r="B686" s="12" t="s">
        <v>277</v>
      </c>
      <c r="C686" s="12" t="s">
        <v>278</v>
      </c>
      <c r="D686" s="12" t="s">
        <v>33</v>
      </c>
      <c r="E686" s="12" t="s">
        <v>27</v>
      </c>
      <c r="F686" s="13">
        <v>406.71510000000001</v>
      </c>
      <c r="G686" s="14">
        <v>9305.4516209999983</v>
      </c>
      <c r="H686" s="24" t="str">
        <f t="shared" si="96"/>
        <v>RJSP</v>
      </c>
      <c r="I686" s="24" t="str">
        <f t="shared" si="104"/>
        <v>RJMG</v>
      </c>
      <c r="J686" s="24" t="str">
        <f t="shared" si="104"/>
        <v>RJES</v>
      </c>
      <c r="K686" s="24" t="str">
        <f t="shared" si="104"/>
        <v>RJSC</v>
      </c>
      <c r="L686" s="24" t="str">
        <f t="shared" si="104"/>
        <v>RJRJ</v>
      </c>
      <c r="M686" s="24" t="str">
        <f t="shared" si="104"/>
        <v>RJPR</v>
      </c>
      <c r="N686" s="24" t="str">
        <f t="shared" si="104"/>
        <v>RJAM</v>
      </c>
      <c r="O686" s="24">
        <f>VLOOKUP(H686, KM!$A:$E, 5, 0)</f>
        <v>429</v>
      </c>
      <c r="P686" s="24">
        <f>VLOOKUP(I686, KM!$A:$E, 5, 0)</f>
        <v>434</v>
      </c>
      <c r="Q686" s="24">
        <f>VLOOKUP(J686, KM!$A:$E, 5, 0)</f>
        <v>521</v>
      </c>
      <c r="R686" s="24">
        <f>VLOOKUP(K686, KM!$A:$E, 5, 0)</f>
        <v>1144</v>
      </c>
      <c r="S686" s="24">
        <f>VLOOKUP(L686, KM!$A:$E, 5, 0)</f>
        <v>0</v>
      </c>
      <c r="T686" s="24">
        <f>VLOOKUP(M686, KM!$A:$E, 5, 0)</f>
        <v>852</v>
      </c>
      <c r="U686" s="24">
        <f>VLOOKUP(N686, KM!$A:$E, 5, 0)</f>
        <v>4374</v>
      </c>
      <c r="V686" s="24">
        <f>VLOOKUP(H686, IMPOSTO!$A:$D, 4, 0)</f>
        <v>0.12</v>
      </c>
      <c r="W686" s="24">
        <f>VLOOKUP(I686, IMPOSTO!$A:$D, 4, 0)</f>
        <v>0.12</v>
      </c>
      <c r="X686" s="24">
        <f>VLOOKUP(J686, IMPOSTO!$A:$D, 4, 0)</f>
        <v>7.0000000000000007E-2</v>
      </c>
      <c r="Y686" s="24">
        <f>VLOOKUP(K686, IMPOSTO!$A:$D, 4, 0)</f>
        <v>0.12</v>
      </c>
      <c r="Z686" s="24">
        <f>VLOOKUP(L686, IMPOSTO!$A:$D, 4, 0)</f>
        <v>0.18</v>
      </c>
      <c r="AA686" s="24">
        <f>VLOOKUP(M686, IMPOSTO!$A:$D, 4, 0)</f>
        <v>0.12</v>
      </c>
      <c r="AB686" s="24">
        <f>VLOOKUP(N686, IMPOSTO!$A:$D, 4, 0)</f>
        <v>7.0000000000000007E-2</v>
      </c>
      <c r="AC686" s="25">
        <f t="shared" si="97"/>
        <v>10623.126842045453</v>
      </c>
      <c r="AD686" s="25">
        <f t="shared" si="98"/>
        <v>10623.695023863635</v>
      </c>
      <c r="AE686" s="25">
        <f t="shared" si="99"/>
        <v>10061.883463440859</v>
      </c>
      <c r="AF686" s="25">
        <f t="shared" si="100"/>
        <v>10704.376842045453</v>
      </c>
      <c r="AG686" s="25">
        <f t="shared" si="101"/>
        <v>11348.111732926827</v>
      </c>
      <c r="AH686" s="25">
        <f t="shared" si="102"/>
        <v>10671.195023863635</v>
      </c>
      <c r="AI686" s="25">
        <f t="shared" si="103"/>
        <v>10476.184538709676</v>
      </c>
    </row>
    <row r="687" spans="1:35" ht="15.75" customHeight="1">
      <c r="A687" s="12" t="s">
        <v>279</v>
      </c>
      <c r="B687" s="12" t="s">
        <v>280</v>
      </c>
      <c r="C687" s="12" t="s">
        <v>278</v>
      </c>
      <c r="D687" s="12" t="s">
        <v>33</v>
      </c>
      <c r="E687" s="12" t="s">
        <v>27</v>
      </c>
      <c r="F687" s="13">
        <v>39.975999999999999</v>
      </c>
      <c r="G687" s="14">
        <v>1914.2507599999999</v>
      </c>
      <c r="H687" s="24" t="str">
        <f t="shared" si="96"/>
        <v>RJSP</v>
      </c>
      <c r="I687" s="24" t="str">
        <f t="shared" si="104"/>
        <v>RJMG</v>
      </c>
      <c r="J687" s="24" t="str">
        <f t="shared" si="104"/>
        <v>RJES</v>
      </c>
      <c r="K687" s="24" t="str">
        <f t="shared" si="104"/>
        <v>RJSC</v>
      </c>
      <c r="L687" s="24" t="str">
        <f t="shared" si="104"/>
        <v>RJRJ</v>
      </c>
      <c r="M687" s="24" t="str">
        <f t="shared" si="104"/>
        <v>RJPR</v>
      </c>
      <c r="N687" s="24" t="str">
        <f t="shared" si="104"/>
        <v>RJAM</v>
      </c>
      <c r="O687" s="24">
        <f>VLOOKUP(H687, KM!$A:$E, 5, 0)</f>
        <v>429</v>
      </c>
      <c r="P687" s="24">
        <f>VLOOKUP(I687, KM!$A:$E, 5, 0)</f>
        <v>434</v>
      </c>
      <c r="Q687" s="24">
        <f>VLOOKUP(J687, KM!$A:$E, 5, 0)</f>
        <v>521</v>
      </c>
      <c r="R687" s="24">
        <f>VLOOKUP(K687, KM!$A:$E, 5, 0)</f>
        <v>1144</v>
      </c>
      <c r="S687" s="24">
        <f>VLOOKUP(L687, KM!$A:$E, 5, 0)</f>
        <v>0</v>
      </c>
      <c r="T687" s="24">
        <f>VLOOKUP(M687, KM!$A:$E, 5, 0)</f>
        <v>852</v>
      </c>
      <c r="U687" s="24">
        <f>VLOOKUP(N687, KM!$A:$E, 5, 0)</f>
        <v>4374</v>
      </c>
      <c r="V687" s="24">
        <f>VLOOKUP(H687, IMPOSTO!$A:$D, 4, 0)</f>
        <v>0.12</v>
      </c>
      <c r="W687" s="24">
        <f>VLOOKUP(I687, IMPOSTO!$A:$D, 4, 0)</f>
        <v>0.12</v>
      </c>
      <c r="X687" s="24">
        <f>VLOOKUP(J687, IMPOSTO!$A:$D, 4, 0)</f>
        <v>7.0000000000000007E-2</v>
      </c>
      <c r="Y687" s="24">
        <f>VLOOKUP(K687, IMPOSTO!$A:$D, 4, 0)</f>
        <v>0.12</v>
      </c>
      <c r="Z687" s="24">
        <f>VLOOKUP(L687, IMPOSTO!$A:$D, 4, 0)</f>
        <v>0.18</v>
      </c>
      <c r="AA687" s="24">
        <f>VLOOKUP(M687, IMPOSTO!$A:$D, 4, 0)</f>
        <v>0.12</v>
      </c>
      <c r="AB687" s="24">
        <f>VLOOKUP(N687, IMPOSTO!$A:$D, 4, 0)</f>
        <v>7.0000000000000007E-2</v>
      </c>
      <c r="AC687" s="25">
        <f t="shared" si="97"/>
        <v>2224.0349545454546</v>
      </c>
      <c r="AD687" s="25">
        <f t="shared" si="98"/>
        <v>2224.6031363636362</v>
      </c>
      <c r="AE687" s="25">
        <f t="shared" si="99"/>
        <v>2114.3556559139784</v>
      </c>
      <c r="AF687" s="25">
        <f t="shared" si="100"/>
        <v>2305.2849545454546</v>
      </c>
      <c r="AG687" s="25">
        <f t="shared" si="101"/>
        <v>2334.452146341463</v>
      </c>
      <c r="AH687" s="25">
        <f t="shared" si="102"/>
        <v>2272.1031363636362</v>
      </c>
      <c r="AI687" s="25">
        <f t="shared" si="103"/>
        <v>2528.6567311827957</v>
      </c>
    </row>
    <row r="688" spans="1:35" ht="15.75" customHeight="1">
      <c r="A688" s="12" t="s">
        <v>351</v>
      </c>
      <c r="B688" s="12" t="s">
        <v>352</v>
      </c>
      <c r="C688" s="12" t="s">
        <v>283</v>
      </c>
      <c r="D688" s="12" t="s">
        <v>33</v>
      </c>
      <c r="E688" s="12" t="s">
        <v>27</v>
      </c>
      <c r="F688" s="13">
        <v>0.99880000000000002</v>
      </c>
      <c r="G688" s="14">
        <v>21.504164000000003</v>
      </c>
      <c r="H688" s="24" t="str">
        <f t="shared" si="96"/>
        <v>RJSP</v>
      </c>
      <c r="I688" s="24" t="str">
        <f t="shared" si="104"/>
        <v>RJMG</v>
      </c>
      <c r="J688" s="24" t="str">
        <f t="shared" si="104"/>
        <v>RJES</v>
      </c>
      <c r="K688" s="24" t="str">
        <f t="shared" si="104"/>
        <v>RJSC</v>
      </c>
      <c r="L688" s="24" t="str">
        <f t="shared" si="104"/>
        <v>RJRJ</v>
      </c>
      <c r="M688" s="24" t="str">
        <f t="shared" si="104"/>
        <v>RJPR</v>
      </c>
      <c r="N688" s="24" t="str">
        <f t="shared" si="104"/>
        <v>RJAM</v>
      </c>
      <c r="O688" s="24">
        <f>VLOOKUP(H688, KM!$A:$E, 5, 0)</f>
        <v>429</v>
      </c>
      <c r="P688" s="24">
        <f>VLOOKUP(I688, KM!$A:$E, 5, 0)</f>
        <v>434</v>
      </c>
      <c r="Q688" s="24">
        <f>VLOOKUP(J688, KM!$A:$E, 5, 0)</f>
        <v>521</v>
      </c>
      <c r="R688" s="24">
        <f>VLOOKUP(K688, KM!$A:$E, 5, 0)</f>
        <v>1144</v>
      </c>
      <c r="S688" s="24">
        <f>VLOOKUP(L688, KM!$A:$E, 5, 0)</f>
        <v>0</v>
      </c>
      <c r="T688" s="24">
        <f>VLOOKUP(M688, KM!$A:$E, 5, 0)</f>
        <v>852</v>
      </c>
      <c r="U688" s="24">
        <f>VLOOKUP(N688, KM!$A:$E, 5, 0)</f>
        <v>4374</v>
      </c>
      <c r="V688" s="24">
        <f>VLOOKUP(H688, IMPOSTO!$A:$D, 4, 0)</f>
        <v>0.12</v>
      </c>
      <c r="W688" s="24">
        <f>VLOOKUP(I688, IMPOSTO!$A:$D, 4, 0)</f>
        <v>0.12</v>
      </c>
      <c r="X688" s="24">
        <f>VLOOKUP(J688, IMPOSTO!$A:$D, 4, 0)</f>
        <v>7.0000000000000007E-2</v>
      </c>
      <c r="Y688" s="24">
        <f>VLOOKUP(K688, IMPOSTO!$A:$D, 4, 0)</f>
        <v>0.12</v>
      </c>
      <c r="Z688" s="24">
        <f>VLOOKUP(L688, IMPOSTO!$A:$D, 4, 0)</f>
        <v>0.18</v>
      </c>
      <c r="AA688" s="24">
        <f>VLOOKUP(M688, IMPOSTO!$A:$D, 4, 0)</f>
        <v>0.12</v>
      </c>
      <c r="AB688" s="24">
        <f>VLOOKUP(N688, IMPOSTO!$A:$D, 4, 0)</f>
        <v>7.0000000000000007E-2</v>
      </c>
      <c r="AC688" s="25">
        <f t="shared" si="97"/>
        <v>73.186550000000011</v>
      </c>
      <c r="AD688" s="25">
        <f t="shared" si="98"/>
        <v>73.754731818181824</v>
      </c>
      <c r="AE688" s="25">
        <f t="shared" si="99"/>
        <v>79.144262365591402</v>
      </c>
      <c r="AF688" s="25">
        <f t="shared" si="100"/>
        <v>154.43655000000001</v>
      </c>
      <c r="AG688" s="25">
        <f t="shared" si="101"/>
        <v>26.224590243902441</v>
      </c>
      <c r="AH688" s="25">
        <f t="shared" si="102"/>
        <v>121.25473181818182</v>
      </c>
      <c r="AI688" s="25">
        <f t="shared" si="103"/>
        <v>493.4453376344087</v>
      </c>
    </row>
    <row r="689" spans="1:35" ht="15.75" customHeight="1">
      <c r="A689" s="12" t="s">
        <v>620</v>
      </c>
      <c r="B689" s="12" t="s">
        <v>621</v>
      </c>
      <c r="C689" s="12" t="s">
        <v>265</v>
      </c>
      <c r="D689" s="12" t="s">
        <v>50</v>
      </c>
      <c r="E689" s="12" t="s">
        <v>27</v>
      </c>
      <c r="F689" s="13">
        <v>1.9992000000000001</v>
      </c>
      <c r="G689" s="14">
        <v>71.221500000000006</v>
      </c>
      <c r="H689" s="24" t="str">
        <f t="shared" si="96"/>
        <v>RJSP</v>
      </c>
      <c r="I689" s="24" t="str">
        <f t="shared" si="104"/>
        <v>RJMG</v>
      </c>
      <c r="J689" s="24" t="str">
        <f t="shared" si="104"/>
        <v>RJES</v>
      </c>
      <c r="K689" s="24" t="str">
        <f t="shared" si="104"/>
        <v>RJSC</v>
      </c>
      <c r="L689" s="24" t="str">
        <f t="shared" si="104"/>
        <v>RJRJ</v>
      </c>
      <c r="M689" s="24" t="str">
        <f t="shared" si="104"/>
        <v>RJPR</v>
      </c>
      <c r="N689" s="24" t="str">
        <f t="shared" si="104"/>
        <v>RJAM</v>
      </c>
      <c r="O689" s="24">
        <f>VLOOKUP(H689, KM!$A:$E, 5, 0)</f>
        <v>429</v>
      </c>
      <c r="P689" s="24">
        <f>VLOOKUP(I689, KM!$A:$E, 5, 0)</f>
        <v>434</v>
      </c>
      <c r="Q689" s="24">
        <f>VLOOKUP(J689, KM!$A:$E, 5, 0)</f>
        <v>521</v>
      </c>
      <c r="R689" s="24">
        <f>VLOOKUP(K689, KM!$A:$E, 5, 0)</f>
        <v>1144</v>
      </c>
      <c r="S689" s="24">
        <f>VLOOKUP(L689, KM!$A:$E, 5, 0)</f>
        <v>0</v>
      </c>
      <c r="T689" s="24">
        <f>VLOOKUP(M689, KM!$A:$E, 5, 0)</f>
        <v>852</v>
      </c>
      <c r="U689" s="24">
        <f>VLOOKUP(N689, KM!$A:$E, 5, 0)</f>
        <v>4374</v>
      </c>
      <c r="V689" s="24">
        <f>VLOOKUP(H689, IMPOSTO!$A:$D, 4, 0)</f>
        <v>0.12</v>
      </c>
      <c r="W689" s="24">
        <f>VLOOKUP(I689, IMPOSTO!$A:$D, 4, 0)</f>
        <v>0.12</v>
      </c>
      <c r="X689" s="24">
        <f>VLOOKUP(J689, IMPOSTO!$A:$D, 4, 0)</f>
        <v>7.0000000000000007E-2</v>
      </c>
      <c r="Y689" s="24">
        <f>VLOOKUP(K689, IMPOSTO!$A:$D, 4, 0)</f>
        <v>0.12</v>
      </c>
      <c r="Z689" s="24">
        <f>VLOOKUP(L689, IMPOSTO!$A:$D, 4, 0)</f>
        <v>0.18</v>
      </c>
      <c r="AA689" s="24">
        <f>VLOOKUP(M689, IMPOSTO!$A:$D, 4, 0)</f>
        <v>0.12</v>
      </c>
      <c r="AB689" s="24">
        <f>VLOOKUP(N689, IMPOSTO!$A:$D, 4, 0)</f>
        <v>7.0000000000000007E-2</v>
      </c>
      <c r="AC689" s="25">
        <f t="shared" si="97"/>
        <v>129.68352272727273</v>
      </c>
      <c r="AD689" s="25">
        <f t="shared" si="98"/>
        <v>130.25170454545454</v>
      </c>
      <c r="AE689" s="25">
        <f t="shared" si="99"/>
        <v>132.60376344086023</v>
      </c>
      <c r="AF689" s="25">
        <f t="shared" si="100"/>
        <v>210.93352272727276</v>
      </c>
      <c r="AG689" s="25">
        <f t="shared" si="101"/>
        <v>86.855487804878052</v>
      </c>
      <c r="AH689" s="25">
        <f t="shared" si="102"/>
        <v>177.75170454545454</v>
      </c>
      <c r="AI689" s="25">
        <f t="shared" si="103"/>
        <v>546.90483870967751</v>
      </c>
    </row>
    <row r="690" spans="1:35" ht="15.75" customHeight="1">
      <c r="A690" s="12" t="s">
        <v>365</v>
      </c>
      <c r="B690" s="12" t="s">
        <v>366</v>
      </c>
      <c r="C690" s="12" t="s">
        <v>262</v>
      </c>
      <c r="D690" s="12" t="s">
        <v>33</v>
      </c>
      <c r="E690" s="12" t="s">
        <v>27</v>
      </c>
      <c r="F690" s="13">
        <v>1</v>
      </c>
      <c r="G690" s="14">
        <v>82.210000000000008</v>
      </c>
      <c r="H690" s="24" t="str">
        <f t="shared" si="96"/>
        <v>RJSP</v>
      </c>
      <c r="I690" s="24" t="str">
        <f t="shared" si="104"/>
        <v>RJMG</v>
      </c>
      <c r="J690" s="24" t="str">
        <f t="shared" si="104"/>
        <v>RJES</v>
      </c>
      <c r="K690" s="24" t="str">
        <f t="shared" si="104"/>
        <v>RJSC</v>
      </c>
      <c r="L690" s="24" t="str">
        <f t="shared" si="104"/>
        <v>RJRJ</v>
      </c>
      <c r="M690" s="24" t="str">
        <f t="shared" si="104"/>
        <v>RJPR</v>
      </c>
      <c r="N690" s="24" t="str">
        <f t="shared" si="104"/>
        <v>RJAM</v>
      </c>
      <c r="O690" s="24">
        <f>VLOOKUP(H690, KM!$A:$E, 5, 0)</f>
        <v>429</v>
      </c>
      <c r="P690" s="24">
        <f>VLOOKUP(I690, KM!$A:$E, 5, 0)</f>
        <v>434</v>
      </c>
      <c r="Q690" s="24">
        <f>VLOOKUP(J690, KM!$A:$E, 5, 0)</f>
        <v>521</v>
      </c>
      <c r="R690" s="24">
        <f>VLOOKUP(K690, KM!$A:$E, 5, 0)</f>
        <v>1144</v>
      </c>
      <c r="S690" s="24">
        <f>VLOOKUP(L690, KM!$A:$E, 5, 0)</f>
        <v>0</v>
      </c>
      <c r="T690" s="24">
        <f>VLOOKUP(M690, KM!$A:$E, 5, 0)</f>
        <v>852</v>
      </c>
      <c r="U690" s="24">
        <f>VLOOKUP(N690, KM!$A:$E, 5, 0)</f>
        <v>4374</v>
      </c>
      <c r="V690" s="24">
        <f>VLOOKUP(H690, IMPOSTO!$A:$D, 4, 0)</f>
        <v>0.12</v>
      </c>
      <c r="W690" s="24">
        <f>VLOOKUP(I690, IMPOSTO!$A:$D, 4, 0)</f>
        <v>0.12</v>
      </c>
      <c r="X690" s="24">
        <f>VLOOKUP(J690, IMPOSTO!$A:$D, 4, 0)</f>
        <v>7.0000000000000007E-2</v>
      </c>
      <c r="Y690" s="24">
        <f>VLOOKUP(K690, IMPOSTO!$A:$D, 4, 0)</f>
        <v>0.12</v>
      </c>
      <c r="Z690" s="24">
        <f>VLOOKUP(L690, IMPOSTO!$A:$D, 4, 0)</f>
        <v>0.18</v>
      </c>
      <c r="AA690" s="24">
        <f>VLOOKUP(M690, IMPOSTO!$A:$D, 4, 0)</f>
        <v>0.12</v>
      </c>
      <c r="AB690" s="24">
        <f>VLOOKUP(N690, IMPOSTO!$A:$D, 4, 0)</f>
        <v>7.0000000000000007E-2</v>
      </c>
      <c r="AC690" s="25">
        <f t="shared" si="97"/>
        <v>142.17045454545456</v>
      </c>
      <c r="AD690" s="25">
        <f t="shared" si="98"/>
        <v>142.73863636363637</v>
      </c>
      <c r="AE690" s="25">
        <f t="shared" si="99"/>
        <v>144.41935483870969</v>
      </c>
      <c r="AF690" s="25">
        <f t="shared" si="100"/>
        <v>223.42045454545456</v>
      </c>
      <c r="AG690" s="25">
        <f t="shared" si="101"/>
        <v>100.25609756097562</v>
      </c>
      <c r="AH690" s="25">
        <f t="shared" si="102"/>
        <v>190.2386363636364</v>
      </c>
      <c r="AI690" s="25">
        <f t="shared" si="103"/>
        <v>558.72043010752691</v>
      </c>
    </row>
    <row r="691" spans="1:35" ht="15.75" customHeight="1">
      <c r="A691" s="12" t="s">
        <v>622</v>
      </c>
      <c r="B691" s="12" t="s">
        <v>623</v>
      </c>
      <c r="C691" s="12" t="s">
        <v>259</v>
      </c>
      <c r="D691" s="12" t="s">
        <v>50</v>
      </c>
      <c r="E691" s="12" t="s">
        <v>27</v>
      </c>
      <c r="F691" s="13">
        <v>0.99970000000000003</v>
      </c>
      <c r="G691" s="14">
        <v>37.118861000000003</v>
      </c>
      <c r="H691" s="24" t="str">
        <f t="shared" si="96"/>
        <v>RJSP</v>
      </c>
      <c r="I691" s="24" t="str">
        <f t="shared" si="104"/>
        <v>RJMG</v>
      </c>
      <c r="J691" s="24" t="str">
        <f t="shared" si="104"/>
        <v>RJES</v>
      </c>
      <c r="K691" s="24" t="str">
        <f t="shared" si="104"/>
        <v>RJSC</v>
      </c>
      <c r="L691" s="24" t="str">
        <f t="shared" si="104"/>
        <v>RJRJ</v>
      </c>
      <c r="M691" s="24" t="str">
        <f t="shared" si="104"/>
        <v>RJPR</v>
      </c>
      <c r="N691" s="24" t="str">
        <f t="shared" si="104"/>
        <v>RJAM</v>
      </c>
      <c r="O691" s="24">
        <f>VLOOKUP(H691, KM!$A:$E, 5, 0)</f>
        <v>429</v>
      </c>
      <c r="P691" s="24">
        <f>VLOOKUP(I691, KM!$A:$E, 5, 0)</f>
        <v>434</v>
      </c>
      <c r="Q691" s="24">
        <f>VLOOKUP(J691, KM!$A:$E, 5, 0)</f>
        <v>521</v>
      </c>
      <c r="R691" s="24">
        <f>VLOOKUP(K691, KM!$A:$E, 5, 0)</f>
        <v>1144</v>
      </c>
      <c r="S691" s="24">
        <f>VLOOKUP(L691, KM!$A:$E, 5, 0)</f>
        <v>0</v>
      </c>
      <c r="T691" s="24">
        <f>VLOOKUP(M691, KM!$A:$E, 5, 0)</f>
        <v>852</v>
      </c>
      <c r="U691" s="24">
        <f>VLOOKUP(N691, KM!$A:$E, 5, 0)</f>
        <v>4374</v>
      </c>
      <c r="V691" s="24">
        <f>VLOOKUP(H691, IMPOSTO!$A:$D, 4, 0)</f>
        <v>0.12</v>
      </c>
      <c r="W691" s="24">
        <f>VLOOKUP(I691, IMPOSTO!$A:$D, 4, 0)</f>
        <v>0.12</v>
      </c>
      <c r="X691" s="24">
        <f>VLOOKUP(J691, IMPOSTO!$A:$D, 4, 0)</f>
        <v>7.0000000000000007E-2</v>
      </c>
      <c r="Y691" s="24">
        <f>VLOOKUP(K691, IMPOSTO!$A:$D, 4, 0)</f>
        <v>0.12</v>
      </c>
      <c r="Z691" s="24">
        <f>VLOOKUP(L691, IMPOSTO!$A:$D, 4, 0)</f>
        <v>0.18</v>
      </c>
      <c r="AA691" s="24">
        <f>VLOOKUP(M691, IMPOSTO!$A:$D, 4, 0)</f>
        <v>0.12</v>
      </c>
      <c r="AB691" s="24">
        <f>VLOOKUP(N691, IMPOSTO!$A:$D, 4, 0)</f>
        <v>7.0000000000000007E-2</v>
      </c>
      <c r="AC691" s="25">
        <f t="shared" si="97"/>
        <v>90.930523863636381</v>
      </c>
      <c r="AD691" s="25">
        <f t="shared" si="98"/>
        <v>91.498705681818194</v>
      </c>
      <c r="AE691" s="25">
        <f t="shared" si="99"/>
        <v>95.934259139784956</v>
      </c>
      <c r="AF691" s="25">
        <f t="shared" si="100"/>
        <v>172.18052386363638</v>
      </c>
      <c r="AG691" s="25">
        <f t="shared" si="101"/>
        <v>45.266903658536584</v>
      </c>
      <c r="AH691" s="25">
        <f t="shared" si="102"/>
        <v>138.99870568181817</v>
      </c>
      <c r="AI691" s="25">
        <f t="shared" si="103"/>
        <v>510.23533440860223</v>
      </c>
    </row>
    <row r="692" spans="1:35" ht="15.75" customHeight="1">
      <c r="A692" s="12" t="s">
        <v>35</v>
      </c>
      <c r="B692" s="12" t="s">
        <v>36</v>
      </c>
      <c r="C692" s="12" t="s">
        <v>32</v>
      </c>
      <c r="D692" s="12" t="s">
        <v>33</v>
      </c>
      <c r="E692" s="12" t="s">
        <v>27</v>
      </c>
      <c r="F692" s="13">
        <v>1</v>
      </c>
      <c r="G692" s="14">
        <v>28.439999999999998</v>
      </c>
      <c r="H692" s="24" t="str">
        <f t="shared" si="96"/>
        <v>RJSP</v>
      </c>
      <c r="I692" s="24" t="str">
        <f t="shared" si="104"/>
        <v>RJMG</v>
      </c>
      <c r="J692" s="24" t="str">
        <f t="shared" si="104"/>
        <v>RJES</v>
      </c>
      <c r="K692" s="24" t="str">
        <f t="shared" si="104"/>
        <v>RJSC</v>
      </c>
      <c r="L692" s="24" t="str">
        <f t="shared" si="104"/>
        <v>RJRJ</v>
      </c>
      <c r="M692" s="24" t="str">
        <f t="shared" si="104"/>
        <v>RJPR</v>
      </c>
      <c r="N692" s="24" t="str">
        <f t="shared" si="104"/>
        <v>RJAM</v>
      </c>
      <c r="O692" s="24">
        <f>VLOOKUP(H692, KM!$A:$E, 5, 0)</f>
        <v>429</v>
      </c>
      <c r="P692" s="24">
        <f>VLOOKUP(I692, KM!$A:$E, 5, 0)</f>
        <v>434</v>
      </c>
      <c r="Q692" s="24">
        <f>VLOOKUP(J692, KM!$A:$E, 5, 0)</f>
        <v>521</v>
      </c>
      <c r="R692" s="24">
        <f>VLOOKUP(K692, KM!$A:$E, 5, 0)</f>
        <v>1144</v>
      </c>
      <c r="S692" s="24">
        <f>VLOOKUP(L692, KM!$A:$E, 5, 0)</f>
        <v>0</v>
      </c>
      <c r="T692" s="24">
        <f>VLOOKUP(M692, KM!$A:$E, 5, 0)</f>
        <v>852</v>
      </c>
      <c r="U692" s="24">
        <f>VLOOKUP(N692, KM!$A:$E, 5, 0)</f>
        <v>4374</v>
      </c>
      <c r="V692" s="24">
        <f>VLOOKUP(H692, IMPOSTO!$A:$D, 4, 0)</f>
        <v>0.12</v>
      </c>
      <c r="W692" s="24">
        <f>VLOOKUP(I692, IMPOSTO!$A:$D, 4, 0)</f>
        <v>0.12</v>
      </c>
      <c r="X692" s="24">
        <f>VLOOKUP(J692, IMPOSTO!$A:$D, 4, 0)</f>
        <v>7.0000000000000007E-2</v>
      </c>
      <c r="Y692" s="24">
        <f>VLOOKUP(K692, IMPOSTO!$A:$D, 4, 0)</f>
        <v>0.12</v>
      </c>
      <c r="Z692" s="24">
        <f>VLOOKUP(L692, IMPOSTO!$A:$D, 4, 0)</f>
        <v>0.18</v>
      </c>
      <c r="AA692" s="24">
        <f>VLOOKUP(M692, IMPOSTO!$A:$D, 4, 0)</f>
        <v>0.12</v>
      </c>
      <c r="AB692" s="24">
        <f>VLOOKUP(N692, IMPOSTO!$A:$D, 4, 0)</f>
        <v>7.0000000000000007E-2</v>
      </c>
      <c r="AC692" s="25">
        <f t="shared" si="97"/>
        <v>81.068181818181827</v>
      </c>
      <c r="AD692" s="25">
        <f t="shared" si="98"/>
        <v>81.63636363636364</v>
      </c>
      <c r="AE692" s="25">
        <f t="shared" si="99"/>
        <v>86.602150537634401</v>
      </c>
      <c r="AF692" s="25">
        <f t="shared" si="100"/>
        <v>162.31818181818181</v>
      </c>
      <c r="AG692" s="25">
        <f t="shared" si="101"/>
        <v>34.68292682926829</v>
      </c>
      <c r="AH692" s="25">
        <f t="shared" si="102"/>
        <v>129.13636363636363</v>
      </c>
      <c r="AI692" s="25">
        <f t="shared" si="103"/>
        <v>500.9032258064517</v>
      </c>
    </row>
    <row r="693" spans="1:35" ht="15.75" customHeight="1">
      <c r="A693" s="12" t="s">
        <v>355</v>
      </c>
      <c r="B693" s="12" t="s">
        <v>356</v>
      </c>
      <c r="C693" s="12" t="s">
        <v>283</v>
      </c>
      <c r="D693" s="12" t="s">
        <v>33</v>
      </c>
      <c r="E693" s="12" t="s">
        <v>27</v>
      </c>
      <c r="F693" s="13">
        <v>59.591999999999999</v>
      </c>
      <c r="G693" s="14">
        <v>1485.122028</v>
      </c>
      <c r="H693" s="24" t="str">
        <f t="shared" si="96"/>
        <v>RJSP</v>
      </c>
      <c r="I693" s="24" t="str">
        <f t="shared" si="104"/>
        <v>RJMG</v>
      </c>
      <c r="J693" s="24" t="str">
        <f t="shared" si="104"/>
        <v>RJES</v>
      </c>
      <c r="K693" s="24" t="str">
        <f t="shared" si="104"/>
        <v>RJSC</v>
      </c>
      <c r="L693" s="24" t="str">
        <f t="shared" si="104"/>
        <v>RJRJ</v>
      </c>
      <c r="M693" s="24" t="str">
        <f t="shared" si="104"/>
        <v>RJPR</v>
      </c>
      <c r="N693" s="24" t="str">
        <f t="shared" si="104"/>
        <v>RJAM</v>
      </c>
      <c r="O693" s="24">
        <f>VLOOKUP(H693, KM!$A:$E, 5, 0)</f>
        <v>429</v>
      </c>
      <c r="P693" s="24">
        <f>VLOOKUP(I693, KM!$A:$E, 5, 0)</f>
        <v>434</v>
      </c>
      <c r="Q693" s="24">
        <f>VLOOKUP(J693, KM!$A:$E, 5, 0)</f>
        <v>521</v>
      </c>
      <c r="R693" s="24">
        <f>VLOOKUP(K693, KM!$A:$E, 5, 0)</f>
        <v>1144</v>
      </c>
      <c r="S693" s="24">
        <f>VLOOKUP(L693, KM!$A:$E, 5, 0)</f>
        <v>0</v>
      </c>
      <c r="T693" s="24">
        <f>VLOOKUP(M693, KM!$A:$E, 5, 0)</f>
        <v>852</v>
      </c>
      <c r="U693" s="24">
        <f>VLOOKUP(N693, KM!$A:$E, 5, 0)</f>
        <v>4374</v>
      </c>
      <c r="V693" s="24">
        <f>VLOOKUP(H693, IMPOSTO!$A:$D, 4, 0)</f>
        <v>0.12</v>
      </c>
      <c r="W693" s="24">
        <f>VLOOKUP(I693, IMPOSTO!$A:$D, 4, 0)</f>
        <v>0.12</v>
      </c>
      <c r="X693" s="24">
        <f>VLOOKUP(J693, IMPOSTO!$A:$D, 4, 0)</f>
        <v>7.0000000000000007E-2</v>
      </c>
      <c r="Y693" s="24">
        <f>VLOOKUP(K693, IMPOSTO!$A:$D, 4, 0)</f>
        <v>0.12</v>
      </c>
      <c r="Z693" s="24">
        <f>VLOOKUP(L693, IMPOSTO!$A:$D, 4, 0)</f>
        <v>0.18</v>
      </c>
      <c r="AA693" s="24">
        <f>VLOOKUP(M693, IMPOSTO!$A:$D, 4, 0)</f>
        <v>0.12</v>
      </c>
      <c r="AB693" s="24">
        <f>VLOOKUP(N693, IMPOSTO!$A:$D, 4, 0)</f>
        <v>7.0000000000000007E-2</v>
      </c>
      <c r="AC693" s="25">
        <f t="shared" si="97"/>
        <v>1736.3886681818183</v>
      </c>
      <c r="AD693" s="25">
        <f t="shared" si="98"/>
        <v>1736.95685</v>
      </c>
      <c r="AE693" s="25">
        <f t="shared" si="99"/>
        <v>1652.9269118279569</v>
      </c>
      <c r="AF693" s="25">
        <f t="shared" si="100"/>
        <v>1817.6386681818183</v>
      </c>
      <c r="AG693" s="25">
        <f t="shared" si="101"/>
        <v>1811.1244243902438</v>
      </c>
      <c r="AH693" s="25">
        <f t="shared" si="102"/>
        <v>1784.45685</v>
      </c>
      <c r="AI693" s="25">
        <f t="shared" si="103"/>
        <v>2067.2279870967745</v>
      </c>
    </row>
    <row r="694" spans="1:35" ht="15.75" customHeight="1">
      <c r="A694" s="12" t="s">
        <v>369</v>
      </c>
      <c r="B694" s="12" t="s">
        <v>370</v>
      </c>
      <c r="C694" s="12" t="s">
        <v>299</v>
      </c>
      <c r="D694" s="12" t="s">
        <v>33</v>
      </c>
      <c r="E694" s="12" t="s">
        <v>27</v>
      </c>
      <c r="F694" s="13">
        <v>3</v>
      </c>
      <c r="G694" s="14">
        <v>149.82</v>
      </c>
      <c r="H694" s="24" t="str">
        <f t="shared" si="96"/>
        <v>RJSP</v>
      </c>
      <c r="I694" s="24" t="str">
        <f t="shared" si="104"/>
        <v>RJMG</v>
      </c>
      <c r="J694" s="24" t="str">
        <f t="shared" si="104"/>
        <v>RJES</v>
      </c>
      <c r="K694" s="24" t="str">
        <f t="shared" si="104"/>
        <v>RJSC</v>
      </c>
      <c r="L694" s="24" t="str">
        <f t="shared" si="104"/>
        <v>RJRJ</v>
      </c>
      <c r="M694" s="24" t="str">
        <f t="shared" si="104"/>
        <v>RJPR</v>
      </c>
      <c r="N694" s="24" t="str">
        <f t="shared" si="104"/>
        <v>RJAM</v>
      </c>
      <c r="O694" s="24">
        <f>VLOOKUP(H694, KM!$A:$E, 5, 0)</f>
        <v>429</v>
      </c>
      <c r="P694" s="24">
        <f>VLOOKUP(I694, KM!$A:$E, 5, 0)</f>
        <v>434</v>
      </c>
      <c r="Q694" s="24">
        <f>VLOOKUP(J694, KM!$A:$E, 5, 0)</f>
        <v>521</v>
      </c>
      <c r="R694" s="24">
        <f>VLOOKUP(K694, KM!$A:$E, 5, 0)</f>
        <v>1144</v>
      </c>
      <c r="S694" s="24">
        <f>VLOOKUP(L694, KM!$A:$E, 5, 0)</f>
        <v>0</v>
      </c>
      <c r="T694" s="24">
        <f>VLOOKUP(M694, KM!$A:$E, 5, 0)</f>
        <v>852</v>
      </c>
      <c r="U694" s="24">
        <f>VLOOKUP(N694, KM!$A:$E, 5, 0)</f>
        <v>4374</v>
      </c>
      <c r="V694" s="24">
        <f>VLOOKUP(H694, IMPOSTO!$A:$D, 4, 0)</f>
        <v>0.12</v>
      </c>
      <c r="W694" s="24">
        <f>VLOOKUP(I694, IMPOSTO!$A:$D, 4, 0)</f>
        <v>0.12</v>
      </c>
      <c r="X694" s="24">
        <f>VLOOKUP(J694, IMPOSTO!$A:$D, 4, 0)</f>
        <v>7.0000000000000007E-2</v>
      </c>
      <c r="Y694" s="24">
        <f>VLOOKUP(K694, IMPOSTO!$A:$D, 4, 0)</f>
        <v>0.12</v>
      </c>
      <c r="Z694" s="24">
        <f>VLOOKUP(L694, IMPOSTO!$A:$D, 4, 0)</f>
        <v>0.18</v>
      </c>
      <c r="AA694" s="24">
        <f>VLOOKUP(M694, IMPOSTO!$A:$D, 4, 0)</f>
        <v>0.12</v>
      </c>
      <c r="AB694" s="24">
        <f>VLOOKUP(N694, IMPOSTO!$A:$D, 4, 0)</f>
        <v>7.0000000000000007E-2</v>
      </c>
      <c r="AC694" s="25">
        <f t="shared" si="97"/>
        <v>219</v>
      </c>
      <c r="AD694" s="25">
        <f t="shared" si="98"/>
        <v>219.56818181818181</v>
      </c>
      <c r="AE694" s="25">
        <f t="shared" si="99"/>
        <v>217.11827956989248</v>
      </c>
      <c r="AF694" s="25">
        <f t="shared" si="100"/>
        <v>300.25000000000006</v>
      </c>
      <c r="AG694" s="25">
        <f t="shared" si="101"/>
        <v>182.70731707317071</v>
      </c>
      <c r="AH694" s="25">
        <f t="shared" si="102"/>
        <v>267.06818181818181</v>
      </c>
      <c r="AI694" s="25">
        <f t="shared" si="103"/>
        <v>631.41935483870975</v>
      </c>
    </row>
    <row r="695" spans="1:35" ht="15.75" customHeight="1">
      <c r="A695" s="12" t="s">
        <v>373</v>
      </c>
      <c r="B695" s="12" t="s">
        <v>374</v>
      </c>
      <c r="C695" s="12" t="s">
        <v>333</v>
      </c>
      <c r="D695" s="12" t="s">
        <v>33</v>
      </c>
      <c r="E695" s="12" t="s">
        <v>27</v>
      </c>
      <c r="F695" s="13">
        <v>1</v>
      </c>
      <c r="G695" s="14">
        <v>25.840000000000003</v>
      </c>
      <c r="H695" s="24" t="str">
        <f t="shared" si="96"/>
        <v>RJSP</v>
      </c>
      <c r="I695" s="24" t="str">
        <f t="shared" si="104"/>
        <v>RJMG</v>
      </c>
      <c r="J695" s="24" t="str">
        <f t="shared" si="104"/>
        <v>RJES</v>
      </c>
      <c r="K695" s="24" t="str">
        <f t="shared" si="104"/>
        <v>RJSC</v>
      </c>
      <c r="L695" s="24" t="str">
        <f t="shared" si="104"/>
        <v>RJRJ</v>
      </c>
      <c r="M695" s="24" t="str">
        <f t="shared" si="104"/>
        <v>RJPR</v>
      </c>
      <c r="N695" s="24" t="str">
        <f t="shared" si="104"/>
        <v>RJAM</v>
      </c>
      <c r="O695" s="24">
        <f>VLOOKUP(H695, KM!$A:$E, 5, 0)</f>
        <v>429</v>
      </c>
      <c r="P695" s="24">
        <f>VLOOKUP(I695, KM!$A:$E, 5, 0)</f>
        <v>434</v>
      </c>
      <c r="Q695" s="24">
        <f>VLOOKUP(J695, KM!$A:$E, 5, 0)</f>
        <v>521</v>
      </c>
      <c r="R695" s="24">
        <f>VLOOKUP(K695, KM!$A:$E, 5, 0)</f>
        <v>1144</v>
      </c>
      <c r="S695" s="24">
        <f>VLOOKUP(L695, KM!$A:$E, 5, 0)</f>
        <v>0</v>
      </c>
      <c r="T695" s="24">
        <f>VLOOKUP(M695, KM!$A:$E, 5, 0)</f>
        <v>852</v>
      </c>
      <c r="U695" s="24">
        <f>VLOOKUP(N695, KM!$A:$E, 5, 0)</f>
        <v>4374</v>
      </c>
      <c r="V695" s="24">
        <f>VLOOKUP(H695, IMPOSTO!$A:$D, 4, 0)</f>
        <v>0.12</v>
      </c>
      <c r="W695" s="24">
        <f>VLOOKUP(I695, IMPOSTO!$A:$D, 4, 0)</f>
        <v>0.12</v>
      </c>
      <c r="X695" s="24">
        <f>VLOOKUP(J695, IMPOSTO!$A:$D, 4, 0)</f>
        <v>7.0000000000000007E-2</v>
      </c>
      <c r="Y695" s="24">
        <f>VLOOKUP(K695, IMPOSTO!$A:$D, 4, 0)</f>
        <v>0.12</v>
      </c>
      <c r="Z695" s="24">
        <f>VLOOKUP(L695, IMPOSTO!$A:$D, 4, 0)</f>
        <v>0.18</v>
      </c>
      <c r="AA695" s="24">
        <f>VLOOKUP(M695, IMPOSTO!$A:$D, 4, 0)</f>
        <v>0.12</v>
      </c>
      <c r="AB695" s="24">
        <f>VLOOKUP(N695, IMPOSTO!$A:$D, 4, 0)</f>
        <v>7.0000000000000007E-2</v>
      </c>
      <c r="AC695" s="25">
        <f t="shared" si="97"/>
        <v>78.113636363636374</v>
      </c>
      <c r="AD695" s="25">
        <f t="shared" si="98"/>
        <v>78.681818181818187</v>
      </c>
      <c r="AE695" s="25">
        <f t="shared" si="99"/>
        <v>83.806451612903231</v>
      </c>
      <c r="AF695" s="25">
        <f t="shared" si="100"/>
        <v>159.36363636363637</v>
      </c>
      <c r="AG695" s="25">
        <f t="shared" si="101"/>
        <v>31.512195121951223</v>
      </c>
      <c r="AH695" s="25">
        <f t="shared" si="102"/>
        <v>126.18181818181819</v>
      </c>
      <c r="AI695" s="25">
        <f t="shared" si="103"/>
        <v>498.10752688172045</v>
      </c>
    </row>
    <row r="696" spans="1:35" ht="15.75" customHeight="1">
      <c r="A696" s="12" t="s">
        <v>344</v>
      </c>
      <c r="B696" s="12" t="s">
        <v>345</v>
      </c>
      <c r="C696" s="12" t="s">
        <v>259</v>
      </c>
      <c r="D696" s="12" t="s">
        <v>50</v>
      </c>
      <c r="E696" s="12" t="s">
        <v>27</v>
      </c>
      <c r="F696" s="13">
        <v>0.99919999999999998</v>
      </c>
      <c r="G696" s="14">
        <v>29.716208000000002</v>
      </c>
      <c r="H696" s="24" t="str">
        <f t="shared" si="96"/>
        <v>RJSP</v>
      </c>
      <c r="I696" s="24" t="str">
        <f t="shared" si="104"/>
        <v>RJMG</v>
      </c>
      <c r="J696" s="24" t="str">
        <f t="shared" si="104"/>
        <v>RJES</v>
      </c>
      <c r="K696" s="24" t="str">
        <f t="shared" si="104"/>
        <v>RJSC</v>
      </c>
      <c r="L696" s="24" t="str">
        <f t="shared" si="104"/>
        <v>RJRJ</v>
      </c>
      <c r="M696" s="24" t="str">
        <f t="shared" si="104"/>
        <v>RJPR</v>
      </c>
      <c r="N696" s="24" t="str">
        <f t="shared" si="104"/>
        <v>RJAM</v>
      </c>
      <c r="O696" s="24">
        <f>VLOOKUP(H696, KM!$A:$E, 5, 0)</f>
        <v>429</v>
      </c>
      <c r="P696" s="24">
        <f>VLOOKUP(I696, KM!$A:$E, 5, 0)</f>
        <v>434</v>
      </c>
      <c r="Q696" s="24">
        <f>VLOOKUP(J696, KM!$A:$E, 5, 0)</f>
        <v>521</v>
      </c>
      <c r="R696" s="24">
        <f>VLOOKUP(K696, KM!$A:$E, 5, 0)</f>
        <v>1144</v>
      </c>
      <c r="S696" s="24">
        <f>VLOOKUP(L696, KM!$A:$E, 5, 0)</f>
        <v>0</v>
      </c>
      <c r="T696" s="24">
        <f>VLOOKUP(M696, KM!$A:$E, 5, 0)</f>
        <v>852</v>
      </c>
      <c r="U696" s="24">
        <f>VLOOKUP(N696, KM!$A:$E, 5, 0)</f>
        <v>4374</v>
      </c>
      <c r="V696" s="24">
        <f>VLOOKUP(H696, IMPOSTO!$A:$D, 4, 0)</f>
        <v>0.12</v>
      </c>
      <c r="W696" s="24">
        <f>VLOOKUP(I696, IMPOSTO!$A:$D, 4, 0)</f>
        <v>0.12</v>
      </c>
      <c r="X696" s="24">
        <f>VLOOKUP(J696, IMPOSTO!$A:$D, 4, 0)</f>
        <v>7.0000000000000007E-2</v>
      </c>
      <c r="Y696" s="24">
        <f>VLOOKUP(K696, IMPOSTO!$A:$D, 4, 0)</f>
        <v>0.12</v>
      </c>
      <c r="Z696" s="24">
        <f>VLOOKUP(L696, IMPOSTO!$A:$D, 4, 0)</f>
        <v>0.18</v>
      </c>
      <c r="AA696" s="24">
        <f>VLOOKUP(M696, IMPOSTO!$A:$D, 4, 0)</f>
        <v>0.12</v>
      </c>
      <c r="AB696" s="24">
        <f>VLOOKUP(N696, IMPOSTO!$A:$D, 4, 0)</f>
        <v>7.0000000000000007E-2</v>
      </c>
      <c r="AC696" s="25">
        <f t="shared" si="97"/>
        <v>82.518418181818177</v>
      </c>
      <c r="AD696" s="25">
        <f t="shared" si="98"/>
        <v>83.086600000000004</v>
      </c>
      <c r="AE696" s="25">
        <f t="shared" si="99"/>
        <v>87.974417204301091</v>
      </c>
      <c r="AF696" s="25">
        <f t="shared" si="100"/>
        <v>163.76841818181819</v>
      </c>
      <c r="AG696" s="25">
        <f t="shared" si="101"/>
        <v>36.239278048780484</v>
      </c>
      <c r="AH696" s="25">
        <f t="shared" si="102"/>
        <v>130.5866</v>
      </c>
      <c r="AI696" s="25">
        <f t="shared" si="103"/>
        <v>502.27549247311833</v>
      </c>
    </row>
    <row r="697" spans="1:35" ht="15.75" customHeight="1">
      <c r="A697" s="12" t="s">
        <v>624</v>
      </c>
      <c r="B697" s="12" t="s">
        <v>625</v>
      </c>
      <c r="C697" s="12" t="s">
        <v>259</v>
      </c>
      <c r="D697" s="12" t="s">
        <v>33</v>
      </c>
      <c r="E697" s="12" t="s">
        <v>27</v>
      </c>
      <c r="F697" s="13">
        <v>15345</v>
      </c>
      <c r="G697" s="14">
        <v>38047.9</v>
      </c>
      <c r="H697" s="24" t="str">
        <f t="shared" si="96"/>
        <v>RJSP</v>
      </c>
      <c r="I697" s="24" t="str">
        <f t="shared" si="104"/>
        <v>RJMG</v>
      </c>
      <c r="J697" s="24" t="str">
        <f t="shared" si="104"/>
        <v>RJES</v>
      </c>
      <c r="K697" s="24" t="str">
        <f t="shared" si="104"/>
        <v>RJSC</v>
      </c>
      <c r="L697" s="24" t="str">
        <f t="shared" si="104"/>
        <v>RJRJ</v>
      </c>
      <c r="M697" s="24" t="str">
        <f t="shared" si="104"/>
        <v>RJPR</v>
      </c>
      <c r="N697" s="24" t="str">
        <f t="shared" si="104"/>
        <v>RJAM</v>
      </c>
      <c r="O697" s="24">
        <f>VLOOKUP(H697, KM!$A:$E, 5, 0)</f>
        <v>429</v>
      </c>
      <c r="P697" s="24">
        <f>VLOOKUP(I697, KM!$A:$E, 5, 0)</f>
        <v>434</v>
      </c>
      <c r="Q697" s="24">
        <f>VLOOKUP(J697, KM!$A:$E, 5, 0)</f>
        <v>521</v>
      </c>
      <c r="R697" s="24">
        <f>VLOOKUP(K697, KM!$A:$E, 5, 0)</f>
        <v>1144</v>
      </c>
      <c r="S697" s="24">
        <f>VLOOKUP(L697, KM!$A:$E, 5, 0)</f>
        <v>0</v>
      </c>
      <c r="T697" s="24">
        <f>VLOOKUP(M697, KM!$A:$E, 5, 0)</f>
        <v>852</v>
      </c>
      <c r="U697" s="24">
        <f>VLOOKUP(N697, KM!$A:$E, 5, 0)</f>
        <v>4374</v>
      </c>
      <c r="V697" s="24">
        <f>VLOOKUP(H697, IMPOSTO!$A:$D, 4, 0)</f>
        <v>0.12</v>
      </c>
      <c r="W697" s="24">
        <f>VLOOKUP(I697, IMPOSTO!$A:$D, 4, 0)</f>
        <v>0.12</v>
      </c>
      <c r="X697" s="24">
        <f>VLOOKUP(J697, IMPOSTO!$A:$D, 4, 0)</f>
        <v>7.0000000000000007E-2</v>
      </c>
      <c r="Y697" s="24">
        <f>VLOOKUP(K697, IMPOSTO!$A:$D, 4, 0)</f>
        <v>0.12</v>
      </c>
      <c r="Z697" s="24">
        <f>VLOOKUP(L697, IMPOSTO!$A:$D, 4, 0)</f>
        <v>0.18</v>
      </c>
      <c r="AA697" s="24">
        <f>VLOOKUP(M697, IMPOSTO!$A:$D, 4, 0)</f>
        <v>0.12</v>
      </c>
      <c r="AB697" s="24">
        <f>VLOOKUP(N697, IMPOSTO!$A:$D, 4, 0)</f>
        <v>7.0000000000000007E-2</v>
      </c>
      <c r="AC697" s="25">
        <f t="shared" si="97"/>
        <v>43285</v>
      </c>
      <c r="AD697" s="25">
        <f t="shared" si="98"/>
        <v>43285.568181818184</v>
      </c>
      <c r="AE697" s="25">
        <f t="shared" si="99"/>
        <v>40967.741935483871</v>
      </c>
      <c r="AF697" s="25">
        <f t="shared" si="100"/>
        <v>43366.25</v>
      </c>
      <c r="AG697" s="25">
        <f t="shared" si="101"/>
        <v>46399.878048780483</v>
      </c>
      <c r="AH697" s="25">
        <f t="shared" si="102"/>
        <v>43333.068181818177</v>
      </c>
      <c r="AI697" s="25">
        <f t="shared" si="103"/>
        <v>41382.043010752692</v>
      </c>
    </row>
    <row r="698" spans="1:35" ht="15.75" customHeight="1">
      <c r="A698" s="12" t="s">
        <v>359</v>
      </c>
      <c r="B698" s="12" t="s">
        <v>360</v>
      </c>
      <c r="C698" s="12" t="s">
        <v>283</v>
      </c>
      <c r="D698" s="12" t="s">
        <v>33</v>
      </c>
      <c r="E698" s="12" t="s">
        <v>27</v>
      </c>
      <c r="F698" s="13">
        <v>12.468999999999998</v>
      </c>
      <c r="G698" s="14">
        <v>302.50846999999999</v>
      </c>
      <c r="H698" s="24" t="str">
        <f t="shared" si="96"/>
        <v>RJSP</v>
      </c>
      <c r="I698" s="24" t="str">
        <f t="shared" si="104"/>
        <v>RJMG</v>
      </c>
      <c r="J698" s="24" t="str">
        <f t="shared" si="104"/>
        <v>RJES</v>
      </c>
      <c r="K698" s="24" t="str">
        <f t="shared" si="104"/>
        <v>RJSC</v>
      </c>
      <c r="L698" s="24" t="str">
        <f t="shared" si="104"/>
        <v>RJRJ</v>
      </c>
      <c r="M698" s="24" t="str">
        <f t="shared" si="104"/>
        <v>RJPR</v>
      </c>
      <c r="N698" s="24" t="str">
        <f t="shared" si="104"/>
        <v>RJAM</v>
      </c>
      <c r="O698" s="24">
        <f>VLOOKUP(H698, KM!$A:$E, 5, 0)</f>
        <v>429</v>
      </c>
      <c r="P698" s="24">
        <f>VLOOKUP(I698, KM!$A:$E, 5, 0)</f>
        <v>434</v>
      </c>
      <c r="Q698" s="24">
        <f>VLOOKUP(J698, KM!$A:$E, 5, 0)</f>
        <v>521</v>
      </c>
      <c r="R698" s="24">
        <f>VLOOKUP(K698, KM!$A:$E, 5, 0)</f>
        <v>1144</v>
      </c>
      <c r="S698" s="24">
        <f>VLOOKUP(L698, KM!$A:$E, 5, 0)</f>
        <v>0</v>
      </c>
      <c r="T698" s="24">
        <f>VLOOKUP(M698, KM!$A:$E, 5, 0)</f>
        <v>852</v>
      </c>
      <c r="U698" s="24">
        <f>VLOOKUP(N698, KM!$A:$E, 5, 0)</f>
        <v>4374</v>
      </c>
      <c r="V698" s="24">
        <f>VLOOKUP(H698, IMPOSTO!$A:$D, 4, 0)</f>
        <v>0.12</v>
      </c>
      <c r="W698" s="24">
        <f>VLOOKUP(I698, IMPOSTO!$A:$D, 4, 0)</f>
        <v>0.12</v>
      </c>
      <c r="X698" s="24">
        <f>VLOOKUP(J698, IMPOSTO!$A:$D, 4, 0)</f>
        <v>7.0000000000000007E-2</v>
      </c>
      <c r="Y698" s="24">
        <f>VLOOKUP(K698, IMPOSTO!$A:$D, 4, 0)</f>
        <v>0.12</v>
      </c>
      <c r="Z698" s="24">
        <f>VLOOKUP(L698, IMPOSTO!$A:$D, 4, 0)</f>
        <v>0.18</v>
      </c>
      <c r="AA698" s="24">
        <f>VLOOKUP(M698, IMPOSTO!$A:$D, 4, 0)</f>
        <v>0.12</v>
      </c>
      <c r="AB698" s="24">
        <f>VLOOKUP(N698, IMPOSTO!$A:$D, 4, 0)</f>
        <v>7.0000000000000007E-2</v>
      </c>
      <c r="AC698" s="25">
        <f t="shared" si="97"/>
        <v>392.50962499999997</v>
      </c>
      <c r="AD698" s="25">
        <f t="shared" si="98"/>
        <v>393.07780681818178</v>
      </c>
      <c r="AE698" s="25">
        <f t="shared" si="99"/>
        <v>381.29943010752692</v>
      </c>
      <c r="AF698" s="25">
        <f t="shared" si="100"/>
        <v>473.75962499999997</v>
      </c>
      <c r="AG698" s="25">
        <f t="shared" si="101"/>
        <v>368.91276829268287</v>
      </c>
      <c r="AH698" s="25">
        <f t="shared" si="102"/>
        <v>440.57780681818178</v>
      </c>
      <c r="AI698" s="25">
        <f t="shared" si="103"/>
        <v>795.60050537634424</v>
      </c>
    </row>
    <row r="699" spans="1:35" ht="15.75" customHeight="1">
      <c r="A699" s="12" t="s">
        <v>361</v>
      </c>
      <c r="B699" s="12" t="s">
        <v>362</v>
      </c>
      <c r="C699" s="12" t="s">
        <v>262</v>
      </c>
      <c r="D699" s="12" t="s">
        <v>33</v>
      </c>
      <c r="E699" s="12" t="s">
        <v>27</v>
      </c>
      <c r="F699" s="13">
        <v>29.225699999999986</v>
      </c>
      <c r="G699" s="14">
        <v>826.05308800000068</v>
      </c>
      <c r="H699" s="24" t="str">
        <f t="shared" si="96"/>
        <v>RJSP</v>
      </c>
      <c r="I699" s="24" t="str">
        <f t="shared" si="104"/>
        <v>RJMG</v>
      </c>
      <c r="J699" s="24" t="str">
        <f t="shared" si="104"/>
        <v>RJES</v>
      </c>
      <c r="K699" s="24" t="str">
        <f t="shared" si="104"/>
        <v>RJSC</v>
      </c>
      <c r="L699" s="24" t="str">
        <f t="shared" si="104"/>
        <v>RJRJ</v>
      </c>
      <c r="M699" s="24" t="str">
        <f t="shared" si="104"/>
        <v>RJPR</v>
      </c>
      <c r="N699" s="24" t="str">
        <f t="shared" si="104"/>
        <v>RJAM</v>
      </c>
      <c r="O699" s="24">
        <f>VLOOKUP(H699, KM!$A:$E, 5, 0)</f>
        <v>429</v>
      </c>
      <c r="P699" s="24">
        <f>VLOOKUP(I699, KM!$A:$E, 5, 0)</f>
        <v>434</v>
      </c>
      <c r="Q699" s="24">
        <f>VLOOKUP(J699, KM!$A:$E, 5, 0)</f>
        <v>521</v>
      </c>
      <c r="R699" s="24">
        <f>VLOOKUP(K699, KM!$A:$E, 5, 0)</f>
        <v>1144</v>
      </c>
      <c r="S699" s="24">
        <f>VLOOKUP(L699, KM!$A:$E, 5, 0)</f>
        <v>0</v>
      </c>
      <c r="T699" s="24">
        <f>VLOOKUP(M699, KM!$A:$E, 5, 0)</f>
        <v>852</v>
      </c>
      <c r="U699" s="24">
        <f>VLOOKUP(N699, KM!$A:$E, 5, 0)</f>
        <v>4374</v>
      </c>
      <c r="V699" s="24">
        <f>VLOOKUP(H699, IMPOSTO!$A:$D, 4, 0)</f>
        <v>0.12</v>
      </c>
      <c r="W699" s="24">
        <f>VLOOKUP(I699, IMPOSTO!$A:$D, 4, 0)</f>
        <v>0.12</v>
      </c>
      <c r="X699" s="24">
        <f>VLOOKUP(J699, IMPOSTO!$A:$D, 4, 0)</f>
        <v>7.0000000000000007E-2</v>
      </c>
      <c r="Y699" s="24">
        <f>VLOOKUP(K699, IMPOSTO!$A:$D, 4, 0)</f>
        <v>0.12</v>
      </c>
      <c r="Z699" s="24">
        <f>VLOOKUP(L699, IMPOSTO!$A:$D, 4, 0)</f>
        <v>0.18</v>
      </c>
      <c r="AA699" s="24">
        <f>VLOOKUP(M699, IMPOSTO!$A:$D, 4, 0)</f>
        <v>0.12</v>
      </c>
      <c r="AB699" s="24">
        <f>VLOOKUP(N699, IMPOSTO!$A:$D, 4, 0)</f>
        <v>7.0000000000000007E-2</v>
      </c>
      <c r="AC699" s="25">
        <f t="shared" si="97"/>
        <v>987.44669090909167</v>
      </c>
      <c r="AD699" s="25">
        <f t="shared" si="98"/>
        <v>988.01487272727343</v>
      </c>
      <c r="AE699" s="25">
        <f t="shared" si="99"/>
        <v>944.25063225806537</v>
      </c>
      <c r="AF699" s="25">
        <f t="shared" si="100"/>
        <v>1068.6966909090916</v>
      </c>
      <c r="AG699" s="25">
        <f t="shared" si="101"/>
        <v>1007.3818146341471</v>
      </c>
      <c r="AH699" s="25">
        <f t="shared" si="102"/>
        <v>1035.5148727272735</v>
      </c>
      <c r="AI699" s="25">
        <f t="shared" si="103"/>
        <v>1358.5517075268824</v>
      </c>
    </row>
    <row r="700" spans="1:35" ht="15.75" customHeight="1">
      <c r="A700" s="12" t="s">
        <v>526</v>
      </c>
      <c r="B700" s="12" t="s">
        <v>626</v>
      </c>
      <c r="C700" s="12" t="s">
        <v>333</v>
      </c>
      <c r="D700" s="12" t="s">
        <v>33</v>
      </c>
      <c r="E700" s="12" t="s">
        <v>27</v>
      </c>
      <c r="F700" s="13">
        <v>37</v>
      </c>
      <c r="G700" s="14">
        <v>404.31000000000006</v>
      </c>
      <c r="H700" s="24" t="str">
        <f t="shared" si="96"/>
        <v>RJSP</v>
      </c>
      <c r="I700" s="24" t="str">
        <f t="shared" si="104"/>
        <v>RJMG</v>
      </c>
      <c r="J700" s="24" t="str">
        <f t="shared" si="104"/>
        <v>RJES</v>
      </c>
      <c r="K700" s="24" t="str">
        <f t="shared" si="104"/>
        <v>RJSC</v>
      </c>
      <c r="L700" s="24" t="str">
        <f t="shared" si="104"/>
        <v>RJRJ</v>
      </c>
      <c r="M700" s="24" t="str">
        <f t="shared" si="104"/>
        <v>RJPR</v>
      </c>
      <c r="N700" s="24" t="str">
        <f t="shared" si="104"/>
        <v>RJAM</v>
      </c>
      <c r="O700" s="24">
        <f>VLOOKUP(H700, KM!$A:$E, 5, 0)</f>
        <v>429</v>
      </c>
      <c r="P700" s="24">
        <f>VLOOKUP(I700, KM!$A:$E, 5, 0)</f>
        <v>434</v>
      </c>
      <c r="Q700" s="24">
        <f>VLOOKUP(J700, KM!$A:$E, 5, 0)</f>
        <v>521</v>
      </c>
      <c r="R700" s="24">
        <f>VLOOKUP(K700, KM!$A:$E, 5, 0)</f>
        <v>1144</v>
      </c>
      <c r="S700" s="24">
        <f>VLOOKUP(L700, KM!$A:$E, 5, 0)</f>
        <v>0</v>
      </c>
      <c r="T700" s="24">
        <f>VLOOKUP(M700, KM!$A:$E, 5, 0)</f>
        <v>852</v>
      </c>
      <c r="U700" s="24">
        <f>VLOOKUP(N700, KM!$A:$E, 5, 0)</f>
        <v>4374</v>
      </c>
      <c r="V700" s="24">
        <f>VLOOKUP(H700, IMPOSTO!$A:$D, 4, 0)</f>
        <v>0.12</v>
      </c>
      <c r="W700" s="24">
        <f>VLOOKUP(I700, IMPOSTO!$A:$D, 4, 0)</f>
        <v>0.12</v>
      </c>
      <c r="X700" s="24">
        <f>VLOOKUP(J700, IMPOSTO!$A:$D, 4, 0)</f>
        <v>7.0000000000000007E-2</v>
      </c>
      <c r="Y700" s="24">
        <f>VLOOKUP(K700, IMPOSTO!$A:$D, 4, 0)</f>
        <v>0.12</v>
      </c>
      <c r="Z700" s="24">
        <f>VLOOKUP(L700, IMPOSTO!$A:$D, 4, 0)</f>
        <v>0.18</v>
      </c>
      <c r="AA700" s="24">
        <f>VLOOKUP(M700, IMPOSTO!$A:$D, 4, 0)</f>
        <v>0.12</v>
      </c>
      <c r="AB700" s="24">
        <f>VLOOKUP(N700, IMPOSTO!$A:$D, 4, 0)</f>
        <v>7.0000000000000007E-2</v>
      </c>
      <c r="AC700" s="25">
        <f t="shared" si="97"/>
        <v>508.19318181818187</v>
      </c>
      <c r="AD700" s="25">
        <f t="shared" si="98"/>
        <v>508.76136363636368</v>
      </c>
      <c r="AE700" s="25">
        <f t="shared" si="99"/>
        <v>490.76344086021516</v>
      </c>
      <c r="AF700" s="25">
        <f t="shared" si="100"/>
        <v>589.44318181818187</v>
      </c>
      <c r="AG700" s="25">
        <f t="shared" si="101"/>
        <v>493.06097560975616</v>
      </c>
      <c r="AH700" s="25">
        <f t="shared" si="102"/>
        <v>556.26136363636374</v>
      </c>
      <c r="AI700" s="25">
        <f t="shared" si="103"/>
        <v>905.06451612903231</v>
      </c>
    </row>
    <row r="701" spans="1:35" ht="15.75" customHeight="1">
      <c r="A701" s="12" t="s">
        <v>286</v>
      </c>
      <c r="B701" s="12" t="s">
        <v>627</v>
      </c>
      <c r="C701" s="12" t="s">
        <v>283</v>
      </c>
      <c r="D701" s="12" t="s">
        <v>33</v>
      </c>
      <c r="E701" s="12" t="s">
        <v>27</v>
      </c>
      <c r="F701" s="13">
        <v>2.0615999999999999</v>
      </c>
      <c r="G701" s="14">
        <v>65.472143999999986</v>
      </c>
      <c r="H701" s="24" t="str">
        <f t="shared" si="96"/>
        <v>RJSP</v>
      </c>
      <c r="I701" s="24" t="str">
        <f t="shared" si="104"/>
        <v>RJMG</v>
      </c>
      <c r="J701" s="24" t="str">
        <f t="shared" si="104"/>
        <v>RJES</v>
      </c>
      <c r="K701" s="24" t="str">
        <f t="shared" si="104"/>
        <v>RJSC</v>
      </c>
      <c r="L701" s="24" t="str">
        <f t="shared" si="104"/>
        <v>RJRJ</v>
      </c>
      <c r="M701" s="24" t="str">
        <f t="shared" si="104"/>
        <v>RJPR</v>
      </c>
      <c r="N701" s="24" t="str">
        <f t="shared" si="104"/>
        <v>RJAM</v>
      </c>
      <c r="O701" s="24">
        <f>VLOOKUP(H701, KM!$A:$E, 5, 0)</f>
        <v>429</v>
      </c>
      <c r="P701" s="24">
        <f>VLOOKUP(I701, KM!$A:$E, 5, 0)</f>
        <v>434</v>
      </c>
      <c r="Q701" s="24">
        <f>VLOOKUP(J701, KM!$A:$E, 5, 0)</f>
        <v>521</v>
      </c>
      <c r="R701" s="24">
        <f>VLOOKUP(K701, KM!$A:$E, 5, 0)</f>
        <v>1144</v>
      </c>
      <c r="S701" s="24">
        <f>VLOOKUP(L701, KM!$A:$E, 5, 0)</f>
        <v>0</v>
      </c>
      <c r="T701" s="24">
        <f>VLOOKUP(M701, KM!$A:$E, 5, 0)</f>
        <v>852</v>
      </c>
      <c r="U701" s="24">
        <f>VLOOKUP(N701, KM!$A:$E, 5, 0)</f>
        <v>4374</v>
      </c>
      <c r="V701" s="24">
        <f>VLOOKUP(H701, IMPOSTO!$A:$D, 4, 0)</f>
        <v>0.12</v>
      </c>
      <c r="W701" s="24">
        <f>VLOOKUP(I701, IMPOSTO!$A:$D, 4, 0)</f>
        <v>0.12</v>
      </c>
      <c r="X701" s="24">
        <f>VLOOKUP(J701, IMPOSTO!$A:$D, 4, 0)</f>
        <v>7.0000000000000007E-2</v>
      </c>
      <c r="Y701" s="24">
        <f>VLOOKUP(K701, IMPOSTO!$A:$D, 4, 0)</f>
        <v>0.12</v>
      </c>
      <c r="Z701" s="24">
        <f>VLOOKUP(L701, IMPOSTO!$A:$D, 4, 0)</f>
        <v>0.18</v>
      </c>
      <c r="AA701" s="24">
        <f>VLOOKUP(M701, IMPOSTO!$A:$D, 4, 0)</f>
        <v>0.12</v>
      </c>
      <c r="AB701" s="24">
        <f>VLOOKUP(N701, IMPOSTO!$A:$D, 4, 0)</f>
        <v>7.0000000000000007E-2</v>
      </c>
      <c r="AC701" s="25">
        <f t="shared" si="97"/>
        <v>123.15016363636363</v>
      </c>
      <c r="AD701" s="25">
        <f t="shared" si="98"/>
        <v>123.71834545454544</v>
      </c>
      <c r="AE701" s="25">
        <f t="shared" si="99"/>
        <v>126.42166021505375</v>
      </c>
      <c r="AF701" s="25">
        <f t="shared" si="100"/>
        <v>204.40016363636363</v>
      </c>
      <c r="AG701" s="25">
        <f t="shared" si="101"/>
        <v>79.84407804878046</v>
      </c>
      <c r="AH701" s="25">
        <f t="shared" si="102"/>
        <v>171.21834545454547</v>
      </c>
      <c r="AI701" s="25">
        <f t="shared" si="103"/>
        <v>540.72273548387102</v>
      </c>
    </row>
    <row r="702" spans="1:35" ht="15.75" customHeight="1">
      <c r="A702" s="12" t="s">
        <v>628</v>
      </c>
      <c r="B702" s="12" t="s">
        <v>629</v>
      </c>
      <c r="C702" s="12" t="s">
        <v>283</v>
      </c>
      <c r="D702" s="12" t="s">
        <v>33</v>
      </c>
      <c r="E702" s="12" t="s">
        <v>27</v>
      </c>
      <c r="F702" s="13">
        <v>2088</v>
      </c>
      <c r="G702" s="14">
        <v>66183.42</v>
      </c>
      <c r="H702" s="24" t="str">
        <f t="shared" si="96"/>
        <v>RJSP</v>
      </c>
      <c r="I702" s="24" t="str">
        <f t="shared" si="104"/>
        <v>RJMG</v>
      </c>
      <c r="J702" s="24" t="str">
        <f t="shared" si="104"/>
        <v>RJES</v>
      </c>
      <c r="K702" s="24" t="str">
        <f t="shared" si="104"/>
        <v>RJSC</v>
      </c>
      <c r="L702" s="24" t="str">
        <f t="shared" si="104"/>
        <v>RJRJ</v>
      </c>
      <c r="M702" s="24" t="str">
        <f t="shared" si="104"/>
        <v>RJPR</v>
      </c>
      <c r="N702" s="24" t="str">
        <f t="shared" si="104"/>
        <v>RJAM</v>
      </c>
      <c r="O702" s="24">
        <f>VLOOKUP(H702, KM!$A:$E, 5, 0)</f>
        <v>429</v>
      </c>
      <c r="P702" s="24">
        <f>VLOOKUP(I702, KM!$A:$E, 5, 0)</f>
        <v>434</v>
      </c>
      <c r="Q702" s="24">
        <f>VLOOKUP(J702, KM!$A:$E, 5, 0)</f>
        <v>521</v>
      </c>
      <c r="R702" s="24">
        <f>VLOOKUP(K702, KM!$A:$E, 5, 0)</f>
        <v>1144</v>
      </c>
      <c r="S702" s="24">
        <f>VLOOKUP(L702, KM!$A:$E, 5, 0)</f>
        <v>0</v>
      </c>
      <c r="T702" s="24">
        <f>VLOOKUP(M702, KM!$A:$E, 5, 0)</f>
        <v>852</v>
      </c>
      <c r="U702" s="24">
        <f>VLOOKUP(N702, KM!$A:$E, 5, 0)</f>
        <v>4374</v>
      </c>
      <c r="V702" s="24">
        <f>VLOOKUP(H702, IMPOSTO!$A:$D, 4, 0)</f>
        <v>0.12</v>
      </c>
      <c r="W702" s="24">
        <f>VLOOKUP(I702, IMPOSTO!$A:$D, 4, 0)</f>
        <v>0.12</v>
      </c>
      <c r="X702" s="24">
        <f>VLOOKUP(J702, IMPOSTO!$A:$D, 4, 0)</f>
        <v>7.0000000000000007E-2</v>
      </c>
      <c r="Y702" s="24">
        <f>VLOOKUP(K702, IMPOSTO!$A:$D, 4, 0)</f>
        <v>0.12</v>
      </c>
      <c r="Z702" s="24">
        <f>VLOOKUP(L702, IMPOSTO!$A:$D, 4, 0)</f>
        <v>0.18</v>
      </c>
      <c r="AA702" s="24">
        <f>VLOOKUP(M702, IMPOSTO!$A:$D, 4, 0)</f>
        <v>0.12</v>
      </c>
      <c r="AB702" s="24">
        <f>VLOOKUP(N702, IMPOSTO!$A:$D, 4, 0)</f>
        <v>7.0000000000000007E-2</v>
      </c>
      <c r="AC702" s="25">
        <f t="shared" si="97"/>
        <v>75257.181818181809</v>
      </c>
      <c r="AD702" s="25">
        <f t="shared" si="98"/>
        <v>75257.749999999985</v>
      </c>
      <c r="AE702" s="25">
        <f t="shared" si="99"/>
        <v>71220.989247311838</v>
      </c>
      <c r="AF702" s="25">
        <f t="shared" si="100"/>
        <v>75338.431818181809</v>
      </c>
      <c r="AG702" s="25">
        <f t="shared" si="101"/>
        <v>80711.487804878037</v>
      </c>
      <c r="AH702" s="25">
        <f t="shared" si="102"/>
        <v>75305.25</v>
      </c>
      <c r="AI702" s="25">
        <f t="shared" si="103"/>
        <v>71635.290322580637</v>
      </c>
    </row>
    <row r="703" spans="1:35" ht="15.75" customHeight="1">
      <c r="A703" s="12" t="s">
        <v>510</v>
      </c>
      <c r="B703" s="12" t="s">
        <v>511</v>
      </c>
      <c r="C703" s="12" t="s">
        <v>299</v>
      </c>
      <c r="D703" s="12" t="s">
        <v>33</v>
      </c>
      <c r="E703" s="12" t="s">
        <v>27</v>
      </c>
      <c r="F703" s="13">
        <v>14.506799999999993</v>
      </c>
      <c r="G703" s="14">
        <v>1310.3403830000002</v>
      </c>
      <c r="H703" s="24" t="str">
        <f t="shared" si="96"/>
        <v>RJSP</v>
      </c>
      <c r="I703" s="24" t="str">
        <f t="shared" si="104"/>
        <v>RJMG</v>
      </c>
      <c r="J703" s="24" t="str">
        <f t="shared" si="104"/>
        <v>RJES</v>
      </c>
      <c r="K703" s="24" t="str">
        <f t="shared" si="104"/>
        <v>RJSC</v>
      </c>
      <c r="L703" s="24" t="str">
        <f t="shared" si="104"/>
        <v>RJRJ</v>
      </c>
      <c r="M703" s="24" t="str">
        <f t="shared" si="104"/>
        <v>RJPR</v>
      </c>
      <c r="N703" s="24" t="str">
        <f t="shared" si="104"/>
        <v>RJAM</v>
      </c>
      <c r="O703" s="24">
        <f>VLOOKUP(H703, KM!$A:$E, 5, 0)</f>
        <v>429</v>
      </c>
      <c r="P703" s="24">
        <f>VLOOKUP(I703, KM!$A:$E, 5, 0)</f>
        <v>434</v>
      </c>
      <c r="Q703" s="24">
        <f>VLOOKUP(J703, KM!$A:$E, 5, 0)</f>
        <v>521</v>
      </c>
      <c r="R703" s="24">
        <f>VLOOKUP(K703, KM!$A:$E, 5, 0)</f>
        <v>1144</v>
      </c>
      <c r="S703" s="24">
        <f>VLOOKUP(L703, KM!$A:$E, 5, 0)</f>
        <v>0</v>
      </c>
      <c r="T703" s="24">
        <f>VLOOKUP(M703, KM!$A:$E, 5, 0)</f>
        <v>852</v>
      </c>
      <c r="U703" s="24">
        <f>VLOOKUP(N703, KM!$A:$E, 5, 0)</f>
        <v>4374</v>
      </c>
      <c r="V703" s="24">
        <f>VLOOKUP(H703, IMPOSTO!$A:$D, 4, 0)</f>
        <v>0.12</v>
      </c>
      <c r="W703" s="24">
        <f>VLOOKUP(I703, IMPOSTO!$A:$D, 4, 0)</f>
        <v>0.12</v>
      </c>
      <c r="X703" s="24">
        <f>VLOOKUP(J703, IMPOSTO!$A:$D, 4, 0)</f>
        <v>7.0000000000000007E-2</v>
      </c>
      <c r="Y703" s="24">
        <f>VLOOKUP(K703, IMPOSTO!$A:$D, 4, 0)</f>
        <v>0.12</v>
      </c>
      <c r="Z703" s="24">
        <f>VLOOKUP(L703, IMPOSTO!$A:$D, 4, 0)</f>
        <v>0.18</v>
      </c>
      <c r="AA703" s="24">
        <f>VLOOKUP(M703, IMPOSTO!$A:$D, 4, 0)</f>
        <v>0.12</v>
      </c>
      <c r="AB703" s="24">
        <f>VLOOKUP(N703, IMPOSTO!$A:$D, 4, 0)</f>
        <v>7.0000000000000007E-2</v>
      </c>
      <c r="AC703" s="25">
        <f t="shared" si="97"/>
        <v>1537.7731625000004</v>
      </c>
      <c r="AD703" s="25">
        <f t="shared" si="98"/>
        <v>1538.3413443181821</v>
      </c>
      <c r="AE703" s="25">
        <f t="shared" si="99"/>
        <v>1464.9896591397851</v>
      </c>
      <c r="AF703" s="25">
        <f t="shared" si="100"/>
        <v>1619.0231625000004</v>
      </c>
      <c r="AG703" s="25">
        <f t="shared" si="101"/>
        <v>1597.9760768292683</v>
      </c>
      <c r="AH703" s="25">
        <f t="shared" si="102"/>
        <v>1585.8413443181821</v>
      </c>
      <c r="AI703" s="25">
        <f t="shared" si="103"/>
        <v>1879.2907344086027</v>
      </c>
    </row>
    <row r="704" spans="1:35" ht="15.75" customHeight="1">
      <c r="A704" s="12" t="s">
        <v>288</v>
      </c>
      <c r="B704" s="12" t="s">
        <v>289</v>
      </c>
      <c r="C704" s="12" t="s">
        <v>283</v>
      </c>
      <c r="D704" s="12" t="s">
        <v>33</v>
      </c>
      <c r="E704" s="12" t="s">
        <v>27</v>
      </c>
      <c r="F704" s="13">
        <v>154.76239999999996</v>
      </c>
      <c r="G704" s="14">
        <v>6165.1810039999982</v>
      </c>
      <c r="H704" s="24" t="str">
        <f t="shared" si="96"/>
        <v>RJSP</v>
      </c>
      <c r="I704" s="24" t="str">
        <f t="shared" si="104"/>
        <v>RJMG</v>
      </c>
      <c r="J704" s="24" t="str">
        <f t="shared" si="104"/>
        <v>RJES</v>
      </c>
      <c r="K704" s="24" t="str">
        <f t="shared" si="104"/>
        <v>RJSC</v>
      </c>
      <c r="L704" s="24" t="str">
        <f t="shared" si="104"/>
        <v>RJRJ</v>
      </c>
      <c r="M704" s="24" t="str">
        <f t="shared" si="104"/>
        <v>RJPR</v>
      </c>
      <c r="N704" s="24" t="str">
        <f t="shared" si="104"/>
        <v>RJAM</v>
      </c>
      <c r="O704" s="24">
        <f>VLOOKUP(H704, KM!$A:$E, 5, 0)</f>
        <v>429</v>
      </c>
      <c r="P704" s="24">
        <f>VLOOKUP(I704, KM!$A:$E, 5, 0)</f>
        <v>434</v>
      </c>
      <c r="Q704" s="24">
        <f>VLOOKUP(J704, KM!$A:$E, 5, 0)</f>
        <v>521</v>
      </c>
      <c r="R704" s="24">
        <f>VLOOKUP(K704, KM!$A:$E, 5, 0)</f>
        <v>1144</v>
      </c>
      <c r="S704" s="24">
        <f>VLOOKUP(L704, KM!$A:$E, 5, 0)</f>
        <v>0</v>
      </c>
      <c r="T704" s="24">
        <f>VLOOKUP(M704, KM!$A:$E, 5, 0)</f>
        <v>852</v>
      </c>
      <c r="U704" s="24">
        <f>VLOOKUP(N704, KM!$A:$E, 5, 0)</f>
        <v>4374</v>
      </c>
      <c r="V704" s="24">
        <f>VLOOKUP(H704, IMPOSTO!$A:$D, 4, 0)</f>
        <v>0.12</v>
      </c>
      <c r="W704" s="24">
        <f>VLOOKUP(I704, IMPOSTO!$A:$D, 4, 0)</f>
        <v>0.12</v>
      </c>
      <c r="X704" s="24">
        <f>VLOOKUP(J704, IMPOSTO!$A:$D, 4, 0)</f>
        <v>7.0000000000000007E-2</v>
      </c>
      <c r="Y704" s="24">
        <f>VLOOKUP(K704, IMPOSTO!$A:$D, 4, 0)</f>
        <v>0.12</v>
      </c>
      <c r="Z704" s="24">
        <f>VLOOKUP(L704, IMPOSTO!$A:$D, 4, 0)</f>
        <v>0.18</v>
      </c>
      <c r="AA704" s="24">
        <f>VLOOKUP(M704, IMPOSTO!$A:$D, 4, 0)</f>
        <v>0.12</v>
      </c>
      <c r="AB704" s="24">
        <f>VLOOKUP(N704, IMPOSTO!$A:$D, 4, 0)</f>
        <v>7.0000000000000007E-2</v>
      </c>
      <c r="AC704" s="25">
        <f t="shared" si="97"/>
        <v>7054.6375045454524</v>
      </c>
      <c r="AD704" s="25">
        <f t="shared" si="98"/>
        <v>7055.2056863636335</v>
      </c>
      <c r="AE704" s="25">
        <f t="shared" si="99"/>
        <v>6685.2483913978485</v>
      </c>
      <c r="AF704" s="25">
        <f t="shared" si="100"/>
        <v>7135.8875045454524</v>
      </c>
      <c r="AG704" s="25">
        <f t="shared" si="101"/>
        <v>7518.5134195121927</v>
      </c>
      <c r="AH704" s="25">
        <f t="shared" si="102"/>
        <v>7102.7056863636344</v>
      </c>
      <c r="AI704" s="25">
        <f t="shared" si="103"/>
        <v>7099.5494666666646</v>
      </c>
    </row>
    <row r="705" spans="1:35" ht="15.75" customHeight="1">
      <c r="A705" s="12" t="s">
        <v>290</v>
      </c>
      <c r="B705" s="12" t="s">
        <v>291</v>
      </c>
      <c r="C705" s="12" t="s">
        <v>283</v>
      </c>
      <c r="D705" s="12" t="s">
        <v>33</v>
      </c>
      <c r="E705" s="12" t="s">
        <v>27</v>
      </c>
      <c r="F705" s="13">
        <v>6.4961000000000011</v>
      </c>
      <c r="G705" s="14">
        <v>277.41840100000007</v>
      </c>
      <c r="H705" s="24" t="str">
        <f t="shared" si="96"/>
        <v>RJSP</v>
      </c>
      <c r="I705" s="24" t="str">
        <f t="shared" si="104"/>
        <v>RJMG</v>
      </c>
      <c r="J705" s="24" t="str">
        <f t="shared" si="104"/>
        <v>RJES</v>
      </c>
      <c r="K705" s="24" t="str">
        <f t="shared" si="104"/>
        <v>RJSC</v>
      </c>
      <c r="L705" s="24" t="str">
        <f t="shared" si="104"/>
        <v>RJRJ</v>
      </c>
      <c r="M705" s="24" t="str">
        <f t="shared" ref="I705:N768" si="105">$E705 &amp; M$17</f>
        <v>RJPR</v>
      </c>
      <c r="N705" s="24" t="str">
        <f t="shared" si="105"/>
        <v>RJAM</v>
      </c>
      <c r="O705" s="24">
        <f>VLOOKUP(H705, KM!$A:$E, 5, 0)</f>
        <v>429</v>
      </c>
      <c r="P705" s="24">
        <f>VLOOKUP(I705, KM!$A:$E, 5, 0)</f>
        <v>434</v>
      </c>
      <c r="Q705" s="24">
        <f>VLOOKUP(J705, KM!$A:$E, 5, 0)</f>
        <v>521</v>
      </c>
      <c r="R705" s="24">
        <f>VLOOKUP(K705, KM!$A:$E, 5, 0)</f>
        <v>1144</v>
      </c>
      <c r="S705" s="24">
        <f>VLOOKUP(L705, KM!$A:$E, 5, 0)</f>
        <v>0</v>
      </c>
      <c r="T705" s="24">
        <f>VLOOKUP(M705, KM!$A:$E, 5, 0)</f>
        <v>852</v>
      </c>
      <c r="U705" s="24">
        <f>VLOOKUP(N705, KM!$A:$E, 5, 0)</f>
        <v>4374</v>
      </c>
      <c r="V705" s="24">
        <f>VLOOKUP(H705, IMPOSTO!$A:$D, 4, 0)</f>
        <v>0.12</v>
      </c>
      <c r="W705" s="24">
        <f>VLOOKUP(I705, IMPOSTO!$A:$D, 4, 0)</f>
        <v>0.12</v>
      </c>
      <c r="X705" s="24">
        <f>VLOOKUP(J705, IMPOSTO!$A:$D, 4, 0)</f>
        <v>7.0000000000000007E-2</v>
      </c>
      <c r="Y705" s="24">
        <f>VLOOKUP(K705, IMPOSTO!$A:$D, 4, 0)</f>
        <v>0.12</v>
      </c>
      <c r="Z705" s="24">
        <f>VLOOKUP(L705, IMPOSTO!$A:$D, 4, 0)</f>
        <v>0.18</v>
      </c>
      <c r="AA705" s="24">
        <f>VLOOKUP(M705, IMPOSTO!$A:$D, 4, 0)</f>
        <v>0.12</v>
      </c>
      <c r="AB705" s="24">
        <f>VLOOKUP(N705, IMPOSTO!$A:$D, 4, 0)</f>
        <v>7.0000000000000007E-2</v>
      </c>
      <c r="AC705" s="25">
        <f t="shared" si="97"/>
        <v>363.9981829545456</v>
      </c>
      <c r="AD705" s="25">
        <f t="shared" si="98"/>
        <v>364.56636477272741</v>
      </c>
      <c r="AE705" s="25">
        <f t="shared" si="99"/>
        <v>354.32086129032268</v>
      </c>
      <c r="AF705" s="25">
        <f t="shared" si="100"/>
        <v>445.2481829545456</v>
      </c>
      <c r="AG705" s="25">
        <f t="shared" si="101"/>
        <v>338.31512317073179</v>
      </c>
      <c r="AH705" s="25">
        <f t="shared" si="102"/>
        <v>412.06636477272735</v>
      </c>
      <c r="AI705" s="25">
        <f t="shared" si="103"/>
        <v>768.62193655913995</v>
      </c>
    </row>
    <row r="706" spans="1:35" ht="15.75" customHeight="1">
      <c r="A706" s="12" t="s">
        <v>361</v>
      </c>
      <c r="B706" s="12" t="s">
        <v>362</v>
      </c>
      <c r="C706" s="12" t="s">
        <v>262</v>
      </c>
      <c r="D706" s="12" t="s">
        <v>33</v>
      </c>
      <c r="E706" s="12" t="s">
        <v>27</v>
      </c>
      <c r="F706" s="13">
        <v>0</v>
      </c>
      <c r="G706" s="14">
        <v>0</v>
      </c>
      <c r="H706" s="24" t="str">
        <f t="shared" si="96"/>
        <v>RJSP</v>
      </c>
      <c r="I706" s="24" t="str">
        <f t="shared" si="105"/>
        <v>RJMG</v>
      </c>
      <c r="J706" s="24" t="str">
        <f t="shared" si="105"/>
        <v>RJES</v>
      </c>
      <c r="K706" s="24" t="str">
        <f t="shared" si="105"/>
        <v>RJSC</v>
      </c>
      <c r="L706" s="24" t="str">
        <f t="shared" si="105"/>
        <v>RJRJ</v>
      </c>
      <c r="M706" s="24" t="str">
        <f t="shared" si="105"/>
        <v>RJPR</v>
      </c>
      <c r="N706" s="24" t="str">
        <f t="shared" si="105"/>
        <v>RJAM</v>
      </c>
      <c r="O706" s="24">
        <f>VLOOKUP(H706, KM!$A:$E, 5, 0)</f>
        <v>429</v>
      </c>
      <c r="P706" s="24">
        <f>VLOOKUP(I706, KM!$A:$E, 5, 0)</f>
        <v>434</v>
      </c>
      <c r="Q706" s="24">
        <f>VLOOKUP(J706, KM!$A:$E, 5, 0)</f>
        <v>521</v>
      </c>
      <c r="R706" s="24">
        <f>VLOOKUP(K706, KM!$A:$E, 5, 0)</f>
        <v>1144</v>
      </c>
      <c r="S706" s="24">
        <f>VLOOKUP(L706, KM!$A:$E, 5, 0)</f>
        <v>0</v>
      </c>
      <c r="T706" s="24">
        <f>VLOOKUP(M706, KM!$A:$E, 5, 0)</f>
        <v>852</v>
      </c>
      <c r="U706" s="24">
        <f>VLOOKUP(N706, KM!$A:$E, 5, 0)</f>
        <v>4374</v>
      </c>
      <c r="V706" s="24">
        <f>VLOOKUP(H706, IMPOSTO!$A:$D, 4, 0)</f>
        <v>0.12</v>
      </c>
      <c r="W706" s="24">
        <f>VLOOKUP(I706, IMPOSTO!$A:$D, 4, 0)</f>
        <v>0.12</v>
      </c>
      <c r="X706" s="24">
        <f>VLOOKUP(J706, IMPOSTO!$A:$D, 4, 0)</f>
        <v>7.0000000000000007E-2</v>
      </c>
      <c r="Y706" s="24">
        <f>VLOOKUP(K706, IMPOSTO!$A:$D, 4, 0)</f>
        <v>0.12</v>
      </c>
      <c r="Z706" s="24">
        <f>VLOOKUP(L706, IMPOSTO!$A:$D, 4, 0)</f>
        <v>0.18</v>
      </c>
      <c r="AA706" s="24">
        <f>VLOOKUP(M706, IMPOSTO!$A:$D, 4, 0)</f>
        <v>0.12</v>
      </c>
      <c r="AB706" s="24">
        <f>VLOOKUP(N706, IMPOSTO!$A:$D, 4, 0)</f>
        <v>7.0000000000000007E-2</v>
      </c>
      <c r="AC706" s="25">
        <f t="shared" si="97"/>
        <v>48.750000000000007</v>
      </c>
      <c r="AD706" s="25">
        <f t="shared" si="98"/>
        <v>49.318181818181827</v>
      </c>
      <c r="AE706" s="25">
        <f t="shared" si="99"/>
        <v>56.021505376344088</v>
      </c>
      <c r="AF706" s="25">
        <f t="shared" si="100"/>
        <v>130</v>
      </c>
      <c r="AG706" s="25">
        <f t="shared" si="101"/>
        <v>0</v>
      </c>
      <c r="AH706" s="25">
        <f t="shared" si="102"/>
        <v>96.818181818181827</v>
      </c>
      <c r="AI706" s="25">
        <f t="shared" si="103"/>
        <v>470.32258064516134</v>
      </c>
    </row>
    <row r="707" spans="1:35" ht="15.75" customHeight="1">
      <c r="A707" s="12" t="s">
        <v>288</v>
      </c>
      <c r="B707" s="12" t="s">
        <v>289</v>
      </c>
      <c r="C707" s="12" t="s">
        <v>283</v>
      </c>
      <c r="D707" s="12" t="s">
        <v>33</v>
      </c>
      <c r="E707" s="12" t="s">
        <v>27</v>
      </c>
      <c r="F707" s="13">
        <v>1.6821999999999999</v>
      </c>
      <c r="G707" s="14">
        <v>67.012837000000005</v>
      </c>
      <c r="H707" s="24" t="str">
        <f t="shared" si="96"/>
        <v>RJSP</v>
      </c>
      <c r="I707" s="24" t="str">
        <f t="shared" si="105"/>
        <v>RJMG</v>
      </c>
      <c r="J707" s="24" t="str">
        <f t="shared" si="105"/>
        <v>RJES</v>
      </c>
      <c r="K707" s="24" t="str">
        <f t="shared" si="105"/>
        <v>RJSC</v>
      </c>
      <c r="L707" s="24" t="str">
        <f t="shared" si="105"/>
        <v>RJRJ</v>
      </c>
      <c r="M707" s="24" t="str">
        <f t="shared" si="105"/>
        <v>RJPR</v>
      </c>
      <c r="N707" s="24" t="str">
        <f t="shared" si="105"/>
        <v>RJAM</v>
      </c>
      <c r="O707" s="24">
        <f>VLOOKUP(H707, KM!$A:$E, 5, 0)</f>
        <v>429</v>
      </c>
      <c r="P707" s="24">
        <f>VLOOKUP(I707, KM!$A:$E, 5, 0)</f>
        <v>434</v>
      </c>
      <c r="Q707" s="24">
        <f>VLOOKUP(J707, KM!$A:$E, 5, 0)</f>
        <v>521</v>
      </c>
      <c r="R707" s="24">
        <f>VLOOKUP(K707, KM!$A:$E, 5, 0)</f>
        <v>1144</v>
      </c>
      <c r="S707" s="24">
        <f>VLOOKUP(L707, KM!$A:$E, 5, 0)</f>
        <v>0</v>
      </c>
      <c r="T707" s="24">
        <f>VLOOKUP(M707, KM!$A:$E, 5, 0)</f>
        <v>852</v>
      </c>
      <c r="U707" s="24">
        <f>VLOOKUP(N707, KM!$A:$E, 5, 0)</f>
        <v>4374</v>
      </c>
      <c r="V707" s="24">
        <f>VLOOKUP(H707, IMPOSTO!$A:$D, 4, 0)</f>
        <v>0.12</v>
      </c>
      <c r="W707" s="24">
        <f>VLOOKUP(I707, IMPOSTO!$A:$D, 4, 0)</f>
        <v>0.12</v>
      </c>
      <c r="X707" s="24">
        <f>VLOOKUP(J707, IMPOSTO!$A:$D, 4, 0)</f>
        <v>7.0000000000000007E-2</v>
      </c>
      <c r="Y707" s="24">
        <f>VLOOKUP(K707, IMPOSTO!$A:$D, 4, 0)</f>
        <v>0.12</v>
      </c>
      <c r="Z707" s="24">
        <f>VLOOKUP(L707, IMPOSTO!$A:$D, 4, 0)</f>
        <v>0.18</v>
      </c>
      <c r="AA707" s="24">
        <f>VLOOKUP(M707, IMPOSTO!$A:$D, 4, 0)</f>
        <v>0.12</v>
      </c>
      <c r="AB707" s="24">
        <f>VLOOKUP(N707, IMPOSTO!$A:$D, 4, 0)</f>
        <v>7.0000000000000007E-2</v>
      </c>
      <c r="AC707" s="25">
        <f t="shared" si="97"/>
        <v>124.90095113636364</v>
      </c>
      <c r="AD707" s="25">
        <f t="shared" si="98"/>
        <v>125.46913295454547</v>
      </c>
      <c r="AE707" s="25">
        <f t="shared" si="99"/>
        <v>128.07831935483873</v>
      </c>
      <c r="AF707" s="25">
        <f t="shared" si="100"/>
        <v>206.15095113636366</v>
      </c>
      <c r="AG707" s="25">
        <f t="shared" si="101"/>
        <v>81.722971951219506</v>
      </c>
      <c r="AH707" s="25">
        <f t="shared" si="102"/>
        <v>172.96913295454547</v>
      </c>
      <c r="AI707" s="25">
        <f t="shared" si="103"/>
        <v>542.37939462365603</v>
      </c>
    </row>
    <row r="708" spans="1:35" ht="15.75" customHeight="1">
      <c r="A708" s="12" t="s">
        <v>348</v>
      </c>
      <c r="B708" s="12" t="s">
        <v>349</v>
      </c>
      <c r="C708" s="12" t="s">
        <v>283</v>
      </c>
      <c r="D708" s="12" t="s">
        <v>33</v>
      </c>
      <c r="E708" s="12" t="s">
        <v>27</v>
      </c>
      <c r="F708" s="13">
        <v>11945.647999999996</v>
      </c>
      <c r="G708" s="14">
        <v>300529.86088400026</v>
      </c>
      <c r="H708" s="24" t="str">
        <f t="shared" si="96"/>
        <v>RJSP</v>
      </c>
      <c r="I708" s="24" t="str">
        <f t="shared" si="105"/>
        <v>RJMG</v>
      </c>
      <c r="J708" s="24" t="str">
        <f t="shared" si="105"/>
        <v>RJES</v>
      </c>
      <c r="K708" s="24" t="str">
        <f t="shared" si="105"/>
        <v>RJSC</v>
      </c>
      <c r="L708" s="24" t="str">
        <f t="shared" si="105"/>
        <v>RJRJ</v>
      </c>
      <c r="M708" s="24" t="str">
        <f t="shared" si="105"/>
        <v>RJPR</v>
      </c>
      <c r="N708" s="24" t="str">
        <f t="shared" si="105"/>
        <v>RJAM</v>
      </c>
      <c r="O708" s="24">
        <f>VLOOKUP(H708, KM!$A:$E, 5, 0)</f>
        <v>429</v>
      </c>
      <c r="P708" s="24">
        <f>VLOOKUP(I708, KM!$A:$E, 5, 0)</f>
        <v>434</v>
      </c>
      <c r="Q708" s="24">
        <f>VLOOKUP(J708, KM!$A:$E, 5, 0)</f>
        <v>521</v>
      </c>
      <c r="R708" s="24">
        <f>VLOOKUP(K708, KM!$A:$E, 5, 0)</f>
        <v>1144</v>
      </c>
      <c r="S708" s="24">
        <f>VLOOKUP(L708, KM!$A:$E, 5, 0)</f>
        <v>0</v>
      </c>
      <c r="T708" s="24">
        <f>VLOOKUP(M708, KM!$A:$E, 5, 0)</f>
        <v>852</v>
      </c>
      <c r="U708" s="24">
        <f>VLOOKUP(N708, KM!$A:$E, 5, 0)</f>
        <v>4374</v>
      </c>
      <c r="V708" s="24">
        <f>VLOOKUP(H708, IMPOSTO!$A:$D, 4, 0)</f>
        <v>0.12</v>
      </c>
      <c r="W708" s="24">
        <f>VLOOKUP(I708, IMPOSTO!$A:$D, 4, 0)</f>
        <v>0.12</v>
      </c>
      <c r="X708" s="24">
        <f>VLOOKUP(J708, IMPOSTO!$A:$D, 4, 0)</f>
        <v>7.0000000000000007E-2</v>
      </c>
      <c r="Y708" s="24">
        <f>VLOOKUP(K708, IMPOSTO!$A:$D, 4, 0)</f>
        <v>0.12</v>
      </c>
      <c r="Z708" s="24">
        <f>VLOOKUP(L708, IMPOSTO!$A:$D, 4, 0)</f>
        <v>0.18</v>
      </c>
      <c r="AA708" s="24">
        <f>VLOOKUP(M708, IMPOSTO!$A:$D, 4, 0)</f>
        <v>0.12</v>
      </c>
      <c r="AB708" s="24">
        <f>VLOOKUP(N708, IMPOSTO!$A:$D, 4, 0)</f>
        <v>7.0000000000000007E-2</v>
      </c>
      <c r="AC708" s="25">
        <f t="shared" si="97"/>
        <v>341559.9555500003</v>
      </c>
      <c r="AD708" s="25">
        <f t="shared" si="98"/>
        <v>341560.52373181848</v>
      </c>
      <c r="AE708" s="25">
        <f t="shared" si="99"/>
        <v>323206.40955268842</v>
      </c>
      <c r="AF708" s="25">
        <f t="shared" si="100"/>
        <v>341641.2055500003</v>
      </c>
      <c r="AG708" s="25">
        <f t="shared" si="101"/>
        <v>366499.83034634177</v>
      </c>
      <c r="AH708" s="25">
        <f t="shared" si="102"/>
        <v>341608.02373181848</v>
      </c>
      <c r="AI708" s="25">
        <f t="shared" si="103"/>
        <v>323620.71062795731</v>
      </c>
    </row>
    <row r="709" spans="1:35" ht="15.75" customHeight="1">
      <c r="A709" s="12" t="s">
        <v>630</v>
      </c>
      <c r="B709" s="12" t="s">
        <v>631</v>
      </c>
      <c r="C709" s="12" t="s">
        <v>262</v>
      </c>
      <c r="D709" s="12" t="s">
        <v>33</v>
      </c>
      <c r="E709" s="12" t="s">
        <v>27</v>
      </c>
      <c r="F709" s="13">
        <v>345</v>
      </c>
      <c r="G709" s="14">
        <v>6736.31</v>
      </c>
      <c r="H709" s="24" t="str">
        <f t="shared" ref="H709:H772" si="106">$E709 &amp; H$17</f>
        <v>RJSP</v>
      </c>
      <c r="I709" s="24" t="str">
        <f t="shared" si="105"/>
        <v>RJMG</v>
      </c>
      <c r="J709" s="24" t="str">
        <f t="shared" si="105"/>
        <v>RJES</v>
      </c>
      <c r="K709" s="24" t="str">
        <f t="shared" si="105"/>
        <v>RJSC</v>
      </c>
      <c r="L709" s="24" t="str">
        <f t="shared" si="105"/>
        <v>RJRJ</v>
      </c>
      <c r="M709" s="24" t="str">
        <f t="shared" si="105"/>
        <v>RJPR</v>
      </c>
      <c r="N709" s="24" t="str">
        <f t="shared" si="105"/>
        <v>RJAM</v>
      </c>
      <c r="O709" s="24">
        <f>VLOOKUP(H709, KM!$A:$E, 5, 0)</f>
        <v>429</v>
      </c>
      <c r="P709" s="24">
        <f>VLOOKUP(I709, KM!$A:$E, 5, 0)</f>
        <v>434</v>
      </c>
      <c r="Q709" s="24">
        <f>VLOOKUP(J709, KM!$A:$E, 5, 0)</f>
        <v>521</v>
      </c>
      <c r="R709" s="24">
        <f>VLOOKUP(K709, KM!$A:$E, 5, 0)</f>
        <v>1144</v>
      </c>
      <c r="S709" s="24">
        <f>VLOOKUP(L709, KM!$A:$E, 5, 0)</f>
        <v>0</v>
      </c>
      <c r="T709" s="24">
        <f>VLOOKUP(M709, KM!$A:$E, 5, 0)</f>
        <v>852</v>
      </c>
      <c r="U709" s="24">
        <f>VLOOKUP(N709, KM!$A:$E, 5, 0)</f>
        <v>4374</v>
      </c>
      <c r="V709" s="24">
        <f>VLOOKUP(H709, IMPOSTO!$A:$D, 4, 0)</f>
        <v>0.12</v>
      </c>
      <c r="W709" s="24">
        <f>VLOOKUP(I709, IMPOSTO!$A:$D, 4, 0)</f>
        <v>0.12</v>
      </c>
      <c r="X709" s="24">
        <f>VLOOKUP(J709, IMPOSTO!$A:$D, 4, 0)</f>
        <v>7.0000000000000007E-2</v>
      </c>
      <c r="Y709" s="24">
        <f>VLOOKUP(K709, IMPOSTO!$A:$D, 4, 0)</f>
        <v>0.12</v>
      </c>
      <c r="Z709" s="24">
        <f>VLOOKUP(L709, IMPOSTO!$A:$D, 4, 0)</f>
        <v>0.18</v>
      </c>
      <c r="AA709" s="24">
        <f>VLOOKUP(M709, IMPOSTO!$A:$D, 4, 0)</f>
        <v>0.12</v>
      </c>
      <c r="AB709" s="24">
        <f>VLOOKUP(N709, IMPOSTO!$A:$D, 4, 0)</f>
        <v>7.0000000000000007E-2</v>
      </c>
      <c r="AC709" s="25">
        <f t="shared" si="97"/>
        <v>7703.647727272727</v>
      </c>
      <c r="AD709" s="25">
        <f t="shared" si="98"/>
        <v>7704.215909090909</v>
      </c>
      <c r="AE709" s="25">
        <f t="shared" si="99"/>
        <v>7299.3655913978509</v>
      </c>
      <c r="AF709" s="25">
        <f t="shared" si="100"/>
        <v>7784.897727272727</v>
      </c>
      <c r="AG709" s="25">
        <f t="shared" si="101"/>
        <v>8215.0121951219517</v>
      </c>
      <c r="AH709" s="25">
        <f t="shared" si="102"/>
        <v>7751.715909090909</v>
      </c>
      <c r="AI709" s="25">
        <f t="shared" si="103"/>
        <v>7713.666666666667</v>
      </c>
    </row>
    <row r="710" spans="1:35" ht="15.75" customHeight="1">
      <c r="A710" s="12" t="s">
        <v>286</v>
      </c>
      <c r="B710" s="12" t="s">
        <v>627</v>
      </c>
      <c r="C710" s="12" t="s">
        <v>283</v>
      </c>
      <c r="D710" s="12" t="s">
        <v>33</v>
      </c>
      <c r="E710" s="12" t="s">
        <v>27</v>
      </c>
      <c r="F710" s="13">
        <v>1715.9384000000005</v>
      </c>
      <c r="G710" s="14">
        <v>54494.647855999996</v>
      </c>
      <c r="H710" s="24" t="str">
        <f t="shared" si="106"/>
        <v>RJSP</v>
      </c>
      <c r="I710" s="24" t="str">
        <f t="shared" si="105"/>
        <v>RJMG</v>
      </c>
      <c r="J710" s="24" t="str">
        <f t="shared" si="105"/>
        <v>RJES</v>
      </c>
      <c r="K710" s="24" t="str">
        <f t="shared" si="105"/>
        <v>RJSC</v>
      </c>
      <c r="L710" s="24" t="str">
        <f t="shared" si="105"/>
        <v>RJRJ</v>
      </c>
      <c r="M710" s="24" t="str">
        <f t="shared" si="105"/>
        <v>RJPR</v>
      </c>
      <c r="N710" s="24" t="str">
        <f t="shared" si="105"/>
        <v>RJAM</v>
      </c>
      <c r="O710" s="24">
        <f>VLOOKUP(H710, KM!$A:$E, 5, 0)</f>
        <v>429</v>
      </c>
      <c r="P710" s="24">
        <f>VLOOKUP(I710, KM!$A:$E, 5, 0)</f>
        <v>434</v>
      </c>
      <c r="Q710" s="24">
        <f>VLOOKUP(J710, KM!$A:$E, 5, 0)</f>
        <v>521</v>
      </c>
      <c r="R710" s="24">
        <f>VLOOKUP(K710, KM!$A:$E, 5, 0)</f>
        <v>1144</v>
      </c>
      <c r="S710" s="24">
        <f>VLOOKUP(L710, KM!$A:$E, 5, 0)</f>
        <v>0</v>
      </c>
      <c r="T710" s="24">
        <f>VLOOKUP(M710, KM!$A:$E, 5, 0)</f>
        <v>852</v>
      </c>
      <c r="U710" s="24">
        <f>VLOOKUP(N710, KM!$A:$E, 5, 0)</f>
        <v>4374</v>
      </c>
      <c r="V710" s="24">
        <f>VLOOKUP(H710, IMPOSTO!$A:$D, 4, 0)</f>
        <v>0.12</v>
      </c>
      <c r="W710" s="24">
        <f>VLOOKUP(I710, IMPOSTO!$A:$D, 4, 0)</f>
        <v>0.12</v>
      </c>
      <c r="X710" s="24">
        <f>VLOOKUP(J710, IMPOSTO!$A:$D, 4, 0)</f>
        <v>7.0000000000000007E-2</v>
      </c>
      <c r="Y710" s="24">
        <f>VLOOKUP(K710, IMPOSTO!$A:$D, 4, 0)</f>
        <v>0.12</v>
      </c>
      <c r="Z710" s="24">
        <f>VLOOKUP(L710, IMPOSTO!$A:$D, 4, 0)</f>
        <v>0.18</v>
      </c>
      <c r="AA710" s="24">
        <f>VLOOKUP(M710, IMPOSTO!$A:$D, 4, 0)</f>
        <v>0.12</v>
      </c>
      <c r="AB710" s="24">
        <f>VLOOKUP(N710, IMPOSTO!$A:$D, 4, 0)</f>
        <v>7.0000000000000007E-2</v>
      </c>
      <c r="AC710" s="25">
        <f t="shared" si="97"/>
        <v>61974.486199999999</v>
      </c>
      <c r="AD710" s="25">
        <f t="shared" si="98"/>
        <v>61975.054381818176</v>
      </c>
      <c r="AE710" s="25">
        <f t="shared" si="99"/>
        <v>58652.417049462361</v>
      </c>
      <c r="AF710" s="25">
        <f t="shared" si="100"/>
        <v>62055.736199999999</v>
      </c>
      <c r="AG710" s="25">
        <f t="shared" si="101"/>
        <v>66456.887629268283</v>
      </c>
      <c r="AH710" s="25">
        <f t="shared" si="102"/>
        <v>62022.554381818176</v>
      </c>
      <c r="AI710" s="25">
        <f t="shared" si="103"/>
        <v>59066.718124731182</v>
      </c>
    </row>
    <row r="711" spans="1:35" ht="15.75" customHeight="1">
      <c r="A711" s="12" t="s">
        <v>286</v>
      </c>
      <c r="B711" s="12" t="s">
        <v>287</v>
      </c>
      <c r="C711" s="12" t="s">
        <v>283</v>
      </c>
      <c r="D711" s="12" t="s">
        <v>33</v>
      </c>
      <c r="E711" s="12" t="s">
        <v>27</v>
      </c>
      <c r="F711" s="13">
        <v>6879.7344000000003</v>
      </c>
      <c r="G711" s="14">
        <v>216939.52979599999</v>
      </c>
      <c r="H711" s="24" t="str">
        <f t="shared" si="106"/>
        <v>RJSP</v>
      </c>
      <c r="I711" s="24" t="str">
        <f t="shared" si="105"/>
        <v>RJMG</v>
      </c>
      <c r="J711" s="24" t="str">
        <f t="shared" si="105"/>
        <v>RJES</v>
      </c>
      <c r="K711" s="24" t="str">
        <f t="shared" si="105"/>
        <v>RJSC</v>
      </c>
      <c r="L711" s="24" t="str">
        <f t="shared" si="105"/>
        <v>RJRJ</v>
      </c>
      <c r="M711" s="24" t="str">
        <f t="shared" si="105"/>
        <v>RJPR</v>
      </c>
      <c r="N711" s="24" t="str">
        <f t="shared" si="105"/>
        <v>RJAM</v>
      </c>
      <c r="O711" s="24">
        <f>VLOOKUP(H711, KM!$A:$E, 5, 0)</f>
        <v>429</v>
      </c>
      <c r="P711" s="24">
        <f>VLOOKUP(I711, KM!$A:$E, 5, 0)</f>
        <v>434</v>
      </c>
      <c r="Q711" s="24">
        <f>VLOOKUP(J711, KM!$A:$E, 5, 0)</f>
        <v>521</v>
      </c>
      <c r="R711" s="24">
        <f>VLOOKUP(K711, KM!$A:$E, 5, 0)</f>
        <v>1144</v>
      </c>
      <c r="S711" s="24">
        <f>VLOOKUP(L711, KM!$A:$E, 5, 0)</f>
        <v>0</v>
      </c>
      <c r="T711" s="24">
        <f>VLOOKUP(M711, KM!$A:$E, 5, 0)</f>
        <v>852</v>
      </c>
      <c r="U711" s="24">
        <f>VLOOKUP(N711, KM!$A:$E, 5, 0)</f>
        <v>4374</v>
      </c>
      <c r="V711" s="24">
        <f>VLOOKUP(H711, IMPOSTO!$A:$D, 4, 0)</f>
        <v>0.12</v>
      </c>
      <c r="W711" s="24">
        <f>VLOOKUP(I711, IMPOSTO!$A:$D, 4, 0)</f>
        <v>0.12</v>
      </c>
      <c r="X711" s="24">
        <f>VLOOKUP(J711, IMPOSTO!$A:$D, 4, 0)</f>
        <v>7.0000000000000007E-2</v>
      </c>
      <c r="Y711" s="24">
        <f>VLOOKUP(K711, IMPOSTO!$A:$D, 4, 0)</f>
        <v>0.12</v>
      </c>
      <c r="Z711" s="24">
        <f>VLOOKUP(L711, IMPOSTO!$A:$D, 4, 0)</f>
        <v>0.18</v>
      </c>
      <c r="AA711" s="24">
        <f>VLOOKUP(M711, IMPOSTO!$A:$D, 4, 0)</f>
        <v>0.12</v>
      </c>
      <c r="AB711" s="24">
        <f>VLOOKUP(N711, IMPOSTO!$A:$D, 4, 0)</f>
        <v>7.0000000000000007E-2</v>
      </c>
      <c r="AC711" s="25">
        <f t="shared" si="97"/>
        <v>246570.94294999997</v>
      </c>
      <c r="AD711" s="25">
        <f t="shared" si="98"/>
        <v>246571.51113181817</v>
      </c>
      <c r="AE711" s="25">
        <f t="shared" si="99"/>
        <v>233324.3331139785</v>
      </c>
      <c r="AF711" s="25">
        <f t="shared" si="100"/>
        <v>246652.19294999997</v>
      </c>
      <c r="AG711" s="25">
        <f t="shared" si="101"/>
        <v>264560.40219024388</v>
      </c>
      <c r="AH711" s="25">
        <f t="shared" si="102"/>
        <v>246619.01113181817</v>
      </c>
      <c r="AI711" s="25">
        <f t="shared" si="103"/>
        <v>233738.6341892473</v>
      </c>
    </row>
    <row r="712" spans="1:35" ht="15.75" customHeight="1">
      <c r="A712" s="12" t="s">
        <v>329</v>
      </c>
      <c r="B712" s="12" t="s">
        <v>330</v>
      </c>
      <c r="C712" s="12" t="s">
        <v>262</v>
      </c>
      <c r="D712" s="12" t="s">
        <v>33</v>
      </c>
      <c r="E712" s="12" t="s">
        <v>27</v>
      </c>
      <c r="F712" s="13">
        <v>10</v>
      </c>
      <c r="G712" s="14">
        <v>610.4</v>
      </c>
      <c r="H712" s="24" t="str">
        <f t="shared" si="106"/>
        <v>RJSP</v>
      </c>
      <c r="I712" s="24" t="str">
        <f t="shared" si="105"/>
        <v>RJMG</v>
      </c>
      <c r="J712" s="24" t="str">
        <f t="shared" si="105"/>
        <v>RJES</v>
      </c>
      <c r="K712" s="24" t="str">
        <f t="shared" si="105"/>
        <v>RJSC</v>
      </c>
      <c r="L712" s="24" t="str">
        <f t="shared" si="105"/>
        <v>RJRJ</v>
      </c>
      <c r="M712" s="24" t="str">
        <f t="shared" si="105"/>
        <v>RJPR</v>
      </c>
      <c r="N712" s="24" t="str">
        <f t="shared" si="105"/>
        <v>RJAM</v>
      </c>
      <c r="O712" s="24">
        <f>VLOOKUP(H712, KM!$A:$E, 5, 0)</f>
        <v>429</v>
      </c>
      <c r="P712" s="24">
        <f>VLOOKUP(I712, KM!$A:$E, 5, 0)</f>
        <v>434</v>
      </c>
      <c r="Q712" s="24">
        <f>VLOOKUP(J712, KM!$A:$E, 5, 0)</f>
        <v>521</v>
      </c>
      <c r="R712" s="24">
        <f>VLOOKUP(K712, KM!$A:$E, 5, 0)</f>
        <v>1144</v>
      </c>
      <c r="S712" s="24">
        <f>VLOOKUP(L712, KM!$A:$E, 5, 0)</f>
        <v>0</v>
      </c>
      <c r="T712" s="24">
        <f>VLOOKUP(M712, KM!$A:$E, 5, 0)</f>
        <v>852</v>
      </c>
      <c r="U712" s="24">
        <f>VLOOKUP(N712, KM!$A:$E, 5, 0)</f>
        <v>4374</v>
      </c>
      <c r="V712" s="24">
        <f>VLOOKUP(H712, IMPOSTO!$A:$D, 4, 0)</f>
        <v>0.12</v>
      </c>
      <c r="W712" s="24">
        <f>VLOOKUP(I712, IMPOSTO!$A:$D, 4, 0)</f>
        <v>0.12</v>
      </c>
      <c r="X712" s="24">
        <f>VLOOKUP(J712, IMPOSTO!$A:$D, 4, 0)</f>
        <v>7.0000000000000007E-2</v>
      </c>
      <c r="Y712" s="24">
        <f>VLOOKUP(K712, IMPOSTO!$A:$D, 4, 0)</f>
        <v>0.12</v>
      </c>
      <c r="Z712" s="24">
        <f>VLOOKUP(L712, IMPOSTO!$A:$D, 4, 0)</f>
        <v>0.18</v>
      </c>
      <c r="AA712" s="24">
        <f>VLOOKUP(M712, IMPOSTO!$A:$D, 4, 0)</f>
        <v>0.12</v>
      </c>
      <c r="AB712" s="24">
        <f>VLOOKUP(N712, IMPOSTO!$A:$D, 4, 0)</f>
        <v>7.0000000000000007E-2</v>
      </c>
      <c r="AC712" s="25">
        <f t="shared" si="97"/>
        <v>742.38636363636363</v>
      </c>
      <c r="AD712" s="25">
        <f t="shared" si="98"/>
        <v>742.95454545454538</v>
      </c>
      <c r="AE712" s="25">
        <f t="shared" si="99"/>
        <v>712.36559139784947</v>
      </c>
      <c r="AF712" s="25">
        <f t="shared" si="100"/>
        <v>823.63636363636363</v>
      </c>
      <c r="AG712" s="25">
        <f t="shared" si="101"/>
        <v>744.3902439024389</v>
      </c>
      <c r="AH712" s="25">
        <f t="shared" si="102"/>
        <v>790.4545454545455</v>
      </c>
      <c r="AI712" s="25">
        <f t="shared" si="103"/>
        <v>1126.6666666666667</v>
      </c>
    </row>
    <row r="713" spans="1:35" ht="15.75" customHeight="1">
      <c r="A713" s="12" t="s">
        <v>338</v>
      </c>
      <c r="B713" s="12" t="s">
        <v>339</v>
      </c>
      <c r="C713" s="12" t="s">
        <v>86</v>
      </c>
      <c r="D713" s="12" t="s">
        <v>33</v>
      </c>
      <c r="E713" s="12" t="s">
        <v>27</v>
      </c>
      <c r="F713" s="13">
        <v>14325.39959999999</v>
      </c>
      <c r="G713" s="14">
        <v>290271.53251999995</v>
      </c>
      <c r="H713" s="24" t="str">
        <f t="shared" si="106"/>
        <v>RJSP</v>
      </c>
      <c r="I713" s="24" t="str">
        <f t="shared" si="105"/>
        <v>RJMG</v>
      </c>
      <c r="J713" s="24" t="str">
        <f t="shared" si="105"/>
        <v>RJES</v>
      </c>
      <c r="K713" s="24" t="str">
        <f t="shared" si="105"/>
        <v>RJSC</v>
      </c>
      <c r="L713" s="24" t="str">
        <f t="shared" si="105"/>
        <v>RJRJ</v>
      </c>
      <c r="M713" s="24" t="str">
        <f t="shared" si="105"/>
        <v>RJPR</v>
      </c>
      <c r="N713" s="24" t="str">
        <f t="shared" si="105"/>
        <v>RJAM</v>
      </c>
      <c r="O713" s="24">
        <f>VLOOKUP(H713, KM!$A:$E, 5, 0)</f>
        <v>429</v>
      </c>
      <c r="P713" s="24">
        <f>VLOOKUP(I713, KM!$A:$E, 5, 0)</f>
        <v>434</v>
      </c>
      <c r="Q713" s="24">
        <f>VLOOKUP(J713, KM!$A:$E, 5, 0)</f>
        <v>521</v>
      </c>
      <c r="R713" s="24">
        <f>VLOOKUP(K713, KM!$A:$E, 5, 0)</f>
        <v>1144</v>
      </c>
      <c r="S713" s="24">
        <f>VLOOKUP(L713, KM!$A:$E, 5, 0)</f>
        <v>0</v>
      </c>
      <c r="T713" s="24">
        <f>VLOOKUP(M713, KM!$A:$E, 5, 0)</f>
        <v>852</v>
      </c>
      <c r="U713" s="24">
        <f>VLOOKUP(N713, KM!$A:$E, 5, 0)</f>
        <v>4374</v>
      </c>
      <c r="V713" s="24">
        <f>VLOOKUP(H713, IMPOSTO!$A:$D, 4, 0)</f>
        <v>0.12</v>
      </c>
      <c r="W713" s="24">
        <f>VLOOKUP(I713, IMPOSTO!$A:$D, 4, 0)</f>
        <v>0.12</v>
      </c>
      <c r="X713" s="24">
        <f>VLOOKUP(J713, IMPOSTO!$A:$D, 4, 0)</f>
        <v>7.0000000000000007E-2</v>
      </c>
      <c r="Y713" s="24">
        <f>VLOOKUP(K713, IMPOSTO!$A:$D, 4, 0)</f>
        <v>0.12</v>
      </c>
      <c r="Z713" s="24">
        <f>VLOOKUP(L713, IMPOSTO!$A:$D, 4, 0)</f>
        <v>0.18</v>
      </c>
      <c r="AA713" s="24">
        <f>VLOOKUP(M713, IMPOSTO!$A:$D, 4, 0)</f>
        <v>0.12</v>
      </c>
      <c r="AB713" s="24">
        <f>VLOOKUP(N713, IMPOSTO!$A:$D, 4, 0)</f>
        <v>7.0000000000000007E-2</v>
      </c>
      <c r="AC713" s="25">
        <f t="shared" si="97"/>
        <v>329902.76422727271</v>
      </c>
      <c r="AD713" s="25">
        <f t="shared" si="98"/>
        <v>329903.33240909089</v>
      </c>
      <c r="AE713" s="25">
        <f t="shared" si="99"/>
        <v>312175.94894623652</v>
      </c>
      <c r="AF713" s="25">
        <f t="shared" si="100"/>
        <v>329984.01422727271</v>
      </c>
      <c r="AG713" s="25">
        <f t="shared" si="101"/>
        <v>353989.67380487797</v>
      </c>
      <c r="AH713" s="25">
        <f t="shared" si="102"/>
        <v>329950.83240909089</v>
      </c>
      <c r="AI713" s="25">
        <f t="shared" si="103"/>
        <v>312590.25002150534</v>
      </c>
    </row>
    <row r="714" spans="1:35" ht="15.75" customHeight="1">
      <c r="A714" s="12" t="s">
        <v>632</v>
      </c>
      <c r="B714" s="12" t="s">
        <v>633</v>
      </c>
      <c r="C714" s="12" t="s">
        <v>86</v>
      </c>
      <c r="D714" s="12" t="s">
        <v>33</v>
      </c>
      <c r="E714" s="12" t="s">
        <v>27</v>
      </c>
      <c r="F714" s="13">
        <v>736</v>
      </c>
      <c r="G714" s="14">
        <v>9306.7099999999991</v>
      </c>
      <c r="H714" s="24" t="str">
        <f t="shared" si="106"/>
        <v>RJSP</v>
      </c>
      <c r="I714" s="24" t="str">
        <f t="shared" si="105"/>
        <v>RJMG</v>
      </c>
      <c r="J714" s="24" t="str">
        <f t="shared" si="105"/>
        <v>RJES</v>
      </c>
      <c r="K714" s="24" t="str">
        <f t="shared" si="105"/>
        <v>RJSC</v>
      </c>
      <c r="L714" s="24" t="str">
        <f t="shared" si="105"/>
        <v>RJRJ</v>
      </c>
      <c r="M714" s="24" t="str">
        <f t="shared" si="105"/>
        <v>RJPR</v>
      </c>
      <c r="N714" s="24" t="str">
        <f t="shared" si="105"/>
        <v>RJAM</v>
      </c>
      <c r="O714" s="24">
        <f>VLOOKUP(H714, KM!$A:$E, 5, 0)</f>
        <v>429</v>
      </c>
      <c r="P714" s="24">
        <f>VLOOKUP(I714, KM!$A:$E, 5, 0)</f>
        <v>434</v>
      </c>
      <c r="Q714" s="24">
        <f>VLOOKUP(J714, KM!$A:$E, 5, 0)</f>
        <v>521</v>
      </c>
      <c r="R714" s="24">
        <f>VLOOKUP(K714, KM!$A:$E, 5, 0)</f>
        <v>1144</v>
      </c>
      <c r="S714" s="24">
        <f>VLOOKUP(L714, KM!$A:$E, 5, 0)</f>
        <v>0</v>
      </c>
      <c r="T714" s="24">
        <f>VLOOKUP(M714, KM!$A:$E, 5, 0)</f>
        <v>852</v>
      </c>
      <c r="U714" s="24">
        <f>VLOOKUP(N714, KM!$A:$E, 5, 0)</f>
        <v>4374</v>
      </c>
      <c r="V714" s="24">
        <f>VLOOKUP(H714, IMPOSTO!$A:$D, 4, 0)</f>
        <v>0.12</v>
      </c>
      <c r="W714" s="24">
        <f>VLOOKUP(I714, IMPOSTO!$A:$D, 4, 0)</f>
        <v>0.12</v>
      </c>
      <c r="X714" s="24">
        <f>VLOOKUP(J714, IMPOSTO!$A:$D, 4, 0)</f>
        <v>7.0000000000000007E-2</v>
      </c>
      <c r="Y714" s="24">
        <f>VLOOKUP(K714, IMPOSTO!$A:$D, 4, 0)</f>
        <v>0.12</v>
      </c>
      <c r="Z714" s="24">
        <f>VLOOKUP(L714, IMPOSTO!$A:$D, 4, 0)</f>
        <v>0.18</v>
      </c>
      <c r="AA714" s="24">
        <f>VLOOKUP(M714, IMPOSTO!$A:$D, 4, 0)</f>
        <v>0.12</v>
      </c>
      <c r="AB714" s="24">
        <f>VLOOKUP(N714, IMPOSTO!$A:$D, 4, 0)</f>
        <v>7.0000000000000007E-2</v>
      </c>
      <c r="AC714" s="25">
        <f t="shared" si="97"/>
        <v>10624.556818181816</v>
      </c>
      <c r="AD714" s="25">
        <f t="shared" si="98"/>
        <v>10625.124999999998</v>
      </c>
      <c r="AE714" s="25">
        <f t="shared" si="99"/>
        <v>10063.236559139785</v>
      </c>
      <c r="AF714" s="25">
        <f t="shared" si="100"/>
        <v>10705.806818181816</v>
      </c>
      <c r="AG714" s="25">
        <f t="shared" si="101"/>
        <v>11349.646341463413</v>
      </c>
      <c r="AH714" s="25">
        <f t="shared" si="102"/>
        <v>10672.625</v>
      </c>
      <c r="AI714" s="25">
        <f t="shared" si="103"/>
        <v>10477.537634408602</v>
      </c>
    </row>
    <row r="715" spans="1:35" ht="15.75" customHeight="1">
      <c r="A715" s="12" t="s">
        <v>614</v>
      </c>
      <c r="B715" s="12" t="s">
        <v>615</v>
      </c>
      <c r="C715" s="12" t="s">
        <v>333</v>
      </c>
      <c r="D715" s="12" t="s">
        <v>33</v>
      </c>
      <c r="E715" s="12" t="s">
        <v>27</v>
      </c>
      <c r="F715" s="13">
        <v>6565.1124</v>
      </c>
      <c r="G715" s="14">
        <v>134813.39955599999</v>
      </c>
      <c r="H715" s="24" t="str">
        <f t="shared" si="106"/>
        <v>RJSP</v>
      </c>
      <c r="I715" s="24" t="str">
        <f t="shared" si="105"/>
        <v>RJMG</v>
      </c>
      <c r="J715" s="24" t="str">
        <f t="shared" si="105"/>
        <v>RJES</v>
      </c>
      <c r="K715" s="24" t="str">
        <f t="shared" si="105"/>
        <v>RJSC</v>
      </c>
      <c r="L715" s="24" t="str">
        <f t="shared" si="105"/>
        <v>RJRJ</v>
      </c>
      <c r="M715" s="24" t="str">
        <f t="shared" si="105"/>
        <v>RJPR</v>
      </c>
      <c r="N715" s="24" t="str">
        <f t="shared" si="105"/>
        <v>RJAM</v>
      </c>
      <c r="O715" s="24">
        <f>VLOOKUP(H715, KM!$A:$E, 5, 0)</f>
        <v>429</v>
      </c>
      <c r="P715" s="24">
        <f>VLOOKUP(I715, KM!$A:$E, 5, 0)</f>
        <v>434</v>
      </c>
      <c r="Q715" s="24">
        <f>VLOOKUP(J715, KM!$A:$E, 5, 0)</f>
        <v>521</v>
      </c>
      <c r="R715" s="24">
        <f>VLOOKUP(K715, KM!$A:$E, 5, 0)</f>
        <v>1144</v>
      </c>
      <c r="S715" s="24">
        <f>VLOOKUP(L715, KM!$A:$E, 5, 0)</f>
        <v>0</v>
      </c>
      <c r="T715" s="24">
        <f>VLOOKUP(M715, KM!$A:$E, 5, 0)</f>
        <v>852</v>
      </c>
      <c r="U715" s="24">
        <f>VLOOKUP(N715, KM!$A:$E, 5, 0)</f>
        <v>4374</v>
      </c>
      <c r="V715" s="24">
        <f>VLOOKUP(H715, IMPOSTO!$A:$D, 4, 0)</f>
        <v>0.12</v>
      </c>
      <c r="W715" s="24">
        <f>VLOOKUP(I715, IMPOSTO!$A:$D, 4, 0)</f>
        <v>0.12</v>
      </c>
      <c r="X715" s="24">
        <f>VLOOKUP(J715, IMPOSTO!$A:$D, 4, 0)</f>
        <v>7.0000000000000007E-2</v>
      </c>
      <c r="Y715" s="24">
        <f>VLOOKUP(K715, IMPOSTO!$A:$D, 4, 0)</f>
        <v>0.12</v>
      </c>
      <c r="Z715" s="24">
        <f>VLOOKUP(L715, IMPOSTO!$A:$D, 4, 0)</f>
        <v>0.18</v>
      </c>
      <c r="AA715" s="24">
        <f>VLOOKUP(M715, IMPOSTO!$A:$D, 4, 0)</f>
        <v>0.12</v>
      </c>
      <c r="AB715" s="24">
        <f>VLOOKUP(N715, IMPOSTO!$A:$D, 4, 0)</f>
        <v>7.0000000000000007E-2</v>
      </c>
      <c r="AC715" s="25">
        <f t="shared" si="97"/>
        <v>153245.79494999998</v>
      </c>
      <c r="AD715" s="25">
        <f t="shared" si="98"/>
        <v>153246.36313181816</v>
      </c>
      <c r="AE715" s="25">
        <f t="shared" si="99"/>
        <v>145016.66618924731</v>
      </c>
      <c r="AF715" s="25">
        <f t="shared" si="100"/>
        <v>153327.04494999998</v>
      </c>
      <c r="AG715" s="25">
        <f t="shared" si="101"/>
        <v>164406.58482439021</v>
      </c>
      <c r="AH715" s="25">
        <f t="shared" si="102"/>
        <v>153293.86313181819</v>
      </c>
      <c r="AI715" s="25">
        <f t="shared" si="103"/>
        <v>145430.96726451613</v>
      </c>
    </row>
    <row r="716" spans="1:35" ht="15.75" customHeight="1">
      <c r="A716" s="12" t="s">
        <v>634</v>
      </c>
      <c r="B716" s="12" t="s">
        <v>635</v>
      </c>
      <c r="C716" s="12" t="s">
        <v>278</v>
      </c>
      <c r="D716" s="12" t="s">
        <v>33</v>
      </c>
      <c r="E716" s="12" t="s">
        <v>27</v>
      </c>
      <c r="F716" s="13">
        <v>306</v>
      </c>
      <c r="G716" s="14">
        <v>25154.84</v>
      </c>
      <c r="H716" s="24" t="str">
        <f t="shared" si="106"/>
        <v>RJSP</v>
      </c>
      <c r="I716" s="24" t="str">
        <f t="shared" si="105"/>
        <v>RJMG</v>
      </c>
      <c r="J716" s="24" t="str">
        <f t="shared" si="105"/>
        <v>RJES</v>
      </c>
      <c r="K716" s="24" t="str">
        <f t="shared" si="105"/>
        <v>RJSC</v>
      </c>
      <c r="L716" s="24" t="str">
        <f t="shared" si="105"/>
        <v>RJRJ</v>
      </c>
      <c r="M716" s="24" t="str">
        <f t="shared" si="105"/>
        <v>RJPR</v>
      </c>
      <c r="N716" s="24" t="str">
        <f t="shared" si="105"/>
        <v>RJAM</v>
      </c>
      <c r="O716" s="24">
        <f>VLOOKUP(H716, KM!$A:$E, 5, 0)</f>
        <v>429</v>
      </c>
      <c r="P716" s="24">
        <f>VLOOKUP(I716, KM!$A:$E, 5, 0)</f>
        <v>434</v>
      </c>
      <c r="Q716" s="24">
        <f>VLOOKUP(J716, KM!$A:$E, 5, 0)</f>
        <v>521</v>
      </c>
      <c r="R716" s="24">
        <f>VLOOKUP(K716, KM!$A:$E, 5, 0)</f>
        <v>1144</v>
      </c>
      <c r="S716" s="24">
        <f>VLOOKUP(L716, KM!$A:$E, 5, 0)</f>
        <v>0</v>
      </c>
      <c r="T716" s="24">
        <f>VLOOKUP(M716, KM!$A:$E, 5, 0)</f>
        <v>852</v>
      </c>
      <c r="U716" s="24">
        <f>VLOOKUP(N716, KM!$A:$E, 5, 0)</f>
        <v>4374</v>
      </c>
      <c r="V716" s="24">
        <f>VLOOKUP(H716, IMPOSTO!$A:$D, 4, 0)</f>
        <v>0.12</v>
      </c>
      <c r="W716" s="24">
        <f>VLOOKUP(I716, IMPOSTO!$A:$D, 4, 0)</f>
        <v>0.12</v>
      </c>
      <c r="X716" s="24">
        <f>VLOOKUP(J716, IMPOSTO!$A:$D, 4, 0)</f>
        <v>7.0000000000000007E-2</v>
      </c>
      <c r="Y716" s="24">
        <f>VLOOKUP(K716, IMPOSTO!$A:$D, 4, 0)</f>
        <v>0.12</v>
      </c>
      <c r="Z716" s="24">
        <f>VLOOKUP(L716, IMPOSTO!$A:$D, 4, 0)</f>
        <v>0.18</v>
      </c>
      <c r="AA716" s="24">
        <f>VLOOKUP(M716, IMPOSTO!$A:$D, 4, 0)</f>
        <v>0.12</v>
      </c>
      <c r="AB716" s="24">
        <f>VLOOKUP(N716, IMPOSTO!$A:$D, 4, 0)</f>
        <v>7.0000000000000007E-2</v>
      </c>
      <c r="AC716" s="25">
        <f t="shared" si="97"/>
        <v>28633.795454545456</v>
      </c>
      <c r="AD716" s="25">
        <f t="shared" si="98"/>
        <v>28634.36363636364</v>
      </c>
      <c r="AE716" s="25">
        <f t="shared" si="99"/>
        <v>27104.236559139787</v>
      </c>
      <c r="AF716" s="25">
        <f t="shared" si="100"/>
        <v>28715.045454545456</v>
      </c>
      <c r="AG716" s="25">
        <f t="shared" si="101"/>
        <v>30676.634146341461</v>
      </c>
      <c r="AH716" s="25">
        <f t="shared" si="102"/>
        <v>28681.863636363636</v>
      </c>
      <c r="AI716" s="25">
        <f t="shared" si="103"/>
        <v>27518.537634408607</v>
      </c>
    </row>
    <row r="717" spans="1:35" ht="15.75" customHeight="1">
      <c r="A717" s="12" t="s">
        <v>636</v>
      </c>
      <c r="B717" s="12" t="s">
        <v>637</v>
      </c>
      <c r="C717" s="12" t="s">
        <v>333</v>
      </c>
      <c r="D717" s="12" t="s">
        <v>33</v>
      </c>
      <c r="E717" s="12" t="s">
        <v>27</v>
      </c>
      <c r="F717" s="13">
        <v>1748</v>
      </c>
      <c r="G717" s="14">
        <v>5839.7300000000005</v>
      </c>
      <c r="H717" s="24" t="str">
        <f t="shared" si="106"/>
        <v>RJSP</v>
      </c>
      <c r="I717" s="24" t="str">
        <f t="shared" si="105"/>
        <v>RJMG</v>
      </c>
      <c r="J717" s="24" t="str">
        <f t="shared" si="105"/>
        <v>RJES</v>
      </c>
      <c r="K717" s="24" t="str">
        <f t="shared" si="105"/>
        <v>RJSC</v>
      </c>
      <c r="L717" s="24" t="str">
        <f t="shared" si="105"/>
        <v>RJRJ</v>
      </c>
      <c r="M717" s="24" t="str">
        <f t="shared" si="105"/>
        <v>RJPR</v>
      </c>
      <c r="N717" s="24" t="str">
        <f t="shared" si="105"/>
        <v>RJAM</v>
      </c>
      <c r="O717" s="24">
        <f>VLOOKUP(H717, KM!$A:$E, 5, 0)</f>
        <v>429</v>
      </c>
      <c r="P717" s="24">
        <f>VLOOKUP(I717, KM!$A:$E, 5, 0)</f>
        <v>434</v>
      </c>
      <c r="Q717" s="24">
        <f>VLOOKUP(J717, KM!$A:$E, 5, 0)</f>
        <v>521</v>
      </c>
      <c r="R717" s="24">
        <f>VLOOKUP(K717, KM!$A:$E, 5, 0)</f>
        <v>1144</v>
      </c>
      <c r="S717" s="24">
        <f>VLOOKUP(L717, KM!$A:$E, 5, 0)</f>
        <v>0</v>
      </c>
      <c r="T717" s="24">
        <f>VLOOKUP(M717, KM!$A:$E, 5, 0)</f>
        <v>852</v>
      </c>
      <c r="U717" s="24">
        <f>VLOOKUP(N717, KM!$A:$E, 5, 0)</f>
        <v>4374</v>
      </c>
      <c r="V717" s="24">
        <f>VLOOKUP(H717, IMPOSTO!$A:$D, 4, 0)</f>
        <v>0.12</v>
      </c>
      <c r="W717" s="24">
        <f>VLOOKUP(I717, IMPOSTO!$A:$D, 4, 0)</f>
        <v>0.12</v>
      </c>
      <c r="X717" s="24">
        <f>VLOOKUP(J717, IMPOSTO!$A:$D, 4, 0)</f>
        <v>7.0000000000000007E-2</v>
      </c>
      <c r="Y717" s="24">
        <f>VLOOKUP(K717, IMPOSTO!$A:$D, 4, 0)</f>
        <v>0.12</v>
      </c>
      <c r="Z717" s="24">
        <f>VLOOKUP(L717, IMPOSTO!$A:$D, 4, 0)</f>
        <v>0.18</v>
      </c>
      <c r="AA717" s="24">
        <f>VLOOKUP(M717, IMPOSTO!$A:$D, 4, 0)</f>
        <v>0.12</v>
      </c>
      <c r="AB717" s="24">
        <f>VLOOKUP(N717, IMPOSTO!$A:$D, 4, 0)</f>
        <v>7.0000000000000007E-2</v>
      </c>
      <c r="AC717" s="25">
        <f t="shared" si="97"/>
        <v>6684.806818181818</v>
      </c>
      <c r="AD717" s="25">
        <f t="shared" si="98"/>
        <v>6685.375</v>
      </c>
      <c r="AE717" s="25">
        <f t="shared" si="99"/>
        <v>6335.3010752688187</v>
      </c>
      <c r="AF717" s="25">
        <f t="shared" si="100"/>
        <v>6766.056818181818</v>
      </c>
      <c r="AG717" s="25">
        <f t="shared" si="101"/>
        <v>7121.6219512195121</v>
      </c>
      <c r="AH717" s="25">
        <f t="shared" si="102"/>
        <v>6732.875</v>
      </c>
      <c r="AI717" s="25">
        <f t="shared" si="103"/>
        <v>6749.6021505376348</v>
      </c>
    </row>
    <row r="718" spans="1:35" ht="15.75" customHeight="1">
      <c r="A718" s="12" t="s">
        <v>109</v>
      </c>
      <c r="B718" s="12" t="s">
        <v>110</v>
      </c>
      <c r="C718" s="12" t="s">
        <v>111</v>
      </c>
      <c r="D718" s="12" t="s">
        <v>33</v>
      </c>
      <c r="E718" s="12" t="s">
        <v>27</v>
      </c>
      <c r="F718" s="13">
        <v>4536.3807212779529</v>
      </c>
      <c r="G718" s="14">
        <v>27597.677360400008</v>
      </c>
      <c r="H718" s="24" t="str">
        <f t="shared" si="106"/>
        <v>RJSP</v>
      </c>
      <c r="I718" s="24" t="str">
        <f t="shared" si="105"/>
        <v>RJMG</v>
      </c>
      <c r="J718" s="24" t="str">
        <f t="shared" si="105"/>
        <v>RJES</v>
      </c>
      <c r="K718" s="24" t="str">
        <f t="shared" si="105"/>
        <v>RJSC</v>
      </c>
      <c r="L718" s="24" t="str">
        <f t="shared" si="105"/>
        <v>RJRJ</v>
      </c>
      <c r="M718" s="24" t="str">
        <f t="shared" si="105"/>
        <v>RJPR</v>
      </c>
      <c r="N718" s="24" t="str">
        <f t="shared" si="105"/>
        <v>RJAM</v>
      </c>
      <c r="O718" s="24">
        <f>VLOOKUP(H718, KM!$A:$E, 5, 0)</f>
        <v>429</v>
      </c>
      <c r="P718" s="24">
        <f>VLOOKUP(I718, KM!$A:$E, 5, 0)</f>
        <v>434</v>
      </c>
      <c r="Q718" s="24">
        <f>VLOOKUP(J718, KM!$A:$E, 5, 0)</f>
        <v>521</v>
      </c>
      <c r="R718" s="24">
        <f>VLOOKUP(K718, KM!$A:$E, 5, 0)</f>
        <v>1144</v>
      </c>
      <c r="S718" s="24">
        <f>VLOOKUP(L718, KM!$A:$E, 5, 0)</f>
        <v>0</v>
      </c>
      <c r="T718" s="24">
        <f>VLOOKUP(M718, KM!$A:$E, 5, 0)</f>
        <v>852</v>
      </c>
      <c r="U718" s="24">
        <f>VLOOKUP(N718, KM!$A:$E, 5, 0)</f>
        <v>4374</v>
      </c>
      <c r="V718" s="24">
        <f>VLOOKUP(H718, IMPOSTO!$A:$D, 4, 0)</f>
        <v>0.12</v>
      </c>
      <c r="W718" s="24">
        <f>VLOOKUP(I718, IMPOSTO!$A:$D, 4, 0)</f>
        <v>0.12</v>
      </c>
      <c r="X718" s="24">
        <f>VLOOKUP(J718, IMPOSTO!$A:$D, 4, 0)</f>
        <v>7.0000000000000007E-2</v>
      </c>
      <c r="Y718" s="24">
        <f>VLOOKUP(K718, IMPOSTO!$A:$D, 4, 0)</f>
        <v>0.12</v>
      </c>
      <c r="Z718" s="24">
        <f>VLOOKUP(L718, IMPOSTO!$A:$D, 4, 0)</f>
        <v>0.18</v>
      </c>
      <c r="AA718" s="24">
        <f>VLOOKUP(M718, IMPOSTO!$A:$D, 4, 0)</f>
        <v>0.12</v>
      </c>
      <c r="AB718" s="24">
        <f>VLOOKUP(N718, IMPOSTO!$A:$D, 4, 0)</f>
        <v>7.0000000000000007E-2</v>
      </c>
      <c r="AC718" s="25">
        <f t="shared" si="97"/>
        <v>31409.747000454558</v>
      </c>
      <c r="AD718" s="25">
        <f t="shared" si="98"/>
        <v>31410.315182272738</v>
      </c>
      <c r="AE718" s="25">
        <f t="shared" si="99"/>
        <v>29730.943398279578</v>
      </c>
      <c r="AF718" s="25">
        <f t="shared" si="100"/>
        <v>31490.997000454558</v>
      </c>
      <c r="AG718" s="25">
        <f t="shared" si="101"/>
        <v>33655.704098048787</v>
      </c>
      <c r="AH718" s="25">
        <f t="shared" si="102"/>
        <v>31457.815182272738</v>
      </c>
      <c r="AI718" s="25">
        <f t="shared" si="103"/>
        <v>30145.244473548399</v>
      </c>
    </row>
    <row r="719" spans="1:35" ht="15.75" customHeight="1">
      <c r="A719" s="12" t="s">
        <v>576</v>
      </c>
      <c r="B719" s="12" t="s">
        <v>577</v>
      </c>
      <c r="C719" s="12" t="s">
        <v>169</v>
      </c>
      <c r="D719" s="12" t="s">
        <v>33</v>
      </c>
      <c r="E719" s="12" t="s">
        <v>27</v>
      </c>
      <c r="F719" s="13">
        <v>5212.8264000000036</v>
      </c>
      <c r="G719" s="14">
        <v>96884.241808030085</v>
      </c>
      <c r="H719" s="24" t="str">
        <f t="shared" si="106"/>
        <v>RJSP</v>
      </c>
      <c r="I719" s="24" t="str">
        <f t="shared" si="105"/>
        <v>RJMG</v>
      </c>
      <c r="J719" s="24" t="str">
        <f t="shared" si="105"/>
        <v>RJES</v>
      </c>
      <c r="K719" s="24" t="str">
        <f t="shared" si="105"/>
        <v>RJSC</v>
      </c>
      <c r="L719" s="24" t="str">
        <f t="shared" si="105"/>
        <v>RJRJ</v>
      </c>
      <c r="M719" s="24" t="str">
        <f t="shared" si="105"/>
        <v>RJPR</v>
      </c>
      <c r="N719" s="24" t="str">
        <f t="shared" si="105"/>
        <v>RJAM</v>
      </c>
      <c r="O719" s="24">
        <f>VLOOKUP(H719, KM!$A:$E, 5, 0)</f>
        <v>429</v>
      </c>
      <c r="P719" s="24">
        <f>VLOOKUP(I719, KM!$A:$E, 5, 0)</f>
        <v>434</v>
      </c>
      <c r="Q719" s="24">
        <f>VLOOKUP(J719, KM!$A:$E, 5, 0)</f>
        <v>521</v>
      </c>
      <c r="R719" s="24">
        <f>VLOOKUP(K719, KM!$A:$E, 5, 0)</f>
        <v>1144</v>
      </c>
      <c r="S719" s="24">
        <f>VLOOKUP(L719, KM!$A:$E, 5, 0)</f>
        <v>0</v>
      </c>
      <c r="T719" s="24">
        <f>VLOOKUP(M719, KM!$A:$E, 5, 0)</f>
        <v>852</v>
      </c>
      <c r="U719" s="24">
        <f>VLOOKUP(N719, KM!$A:$E, 5, 0)</f>
        <v>4374</v>
      </c>
      <c r="V719" s="24">
        <f>VLOOKUP(H719, IMPOSTO!$A:$D, 4, 0)</f>
        <v>0.12</v>
      </c>
      <c r="W719" s="24">
        <f>VLOOKUP(I719, IMPOSTO!$A:$D, 4, 0)</f>
        <v>0.12</v>
      </c>
      <c r="X719" s="24">
        <f>VLOOKUP(J719, IMPOSTO!$A:$D, 4, 0)</f>
        <v>7.0000000000000007E-2</v>
      </c>
      <c r="Y719" s="24">
        <f>VLOOKUP(K719, IMPOSTO!$A:$D, 4, 0)</f>
        <v>0.12</v>
      </c>
      <c r="Z719" s="24">
        <f>VLOOKUP(L719, IMPOSTO!$A:$D, 4, 0)</f>
        <v>0.18</v>
      </c>
      <c r="AA719" s="24">
        <f>VLOOKUP(M719, IMPOSTO!$A:$D, 4, 0)</f>
        <v>0.12</v>
      </c>
      <c r="AB719" s="24">
        <f>VLOOKUP(N719, IMPOSTO!$A:$D, 4, 0)</f>
        <v>7.0000000000000007E-2</v>
      </c>
      <c r="AC719" s="25">
        <f t="shared" si="97"/>
        <v>110144.47932730691</v>
      </c>
      <c r="AD719" s="25">
        <f t="shared" si="98"/>
        <v>110145.04750912508</v>
      </c>
      <c r="AE719" s="25">
        <f t="shared" si="99"/>
        <v>104232.62560003236</v>
      </c>
      <c r="AF719" s="25">
        <f t="shared" si="100"/>
        <v>110225.72932730691</v>
      </c>
      <c r="AG719" s="25">
        <f t="shared" si="101"/>
        <v>118151.51440003669</v>
      </c>
      <c r="AH719" s="25">
        <f t="shared" si="102"/>
        <v>110192.5475091251</v>
      </c>
      <c r="AI719" s="25">
        <f t="shared" si="103"/>
        <v>104646.92667530116</v>
      </c>
    </row>
    <row r="720" spans="1:35" ht="15.75" customHeight="1">
      <c r="A720" s="12" t="s">
        <v>554</v>
      </c>
      <c r="B720" s="12" t="s">
        <v>555</v>
      </c>
      <c r="C720" s="12" t="s">
        <v>163</v>
      </c>
      <c r="D720" s="12" t="s">
        <v>33</v>
      </c>
      <c r="E720" s="12" t="s">
        <v>27</v>
      </c>
      <c r="F720" s="13">
        <v>799.29406037000945</v>
      </c>
      <c r="G720" s="14">
        <v>10083.080038948392</v>
      </c>
      <c r="H720" s="24" t="str">
        <f t="shared" si="106"/>
        <v>RJSP</v>
      </c>
      <c r="I720" s="24" t="str">
        <f t="shared" si="105"/>
        <v>RJMG</v>
      </c>
      <c r="J720" s="24" t="str">
        <f t="shared" si="105"/>
        <v>RJES</v>
      </c>
      <c r="K720" s="24" t="str">
        <f t="shared" si="105"/>
        <v>RJSC</v>
      </c>
      <c r="L720" s="24" t="str">
        <f t="shared" si="105"/>
        <v>RJRJ</v>
      </c>
      <c r="M720" s="24" t="str">
        <f t="shared" si="105"/>
        <v>RJPR</v>
      </c>
      <c r="N720" s="24" t="str">
        <f t="shared" si="105"/>
        <v>RJAM</v>
      </c>
      <c r="O720" s="24">
        <f>VLOOKUP(H720, KM!$A:$E, 5, 0)</f>
        <v>429</v>
      </c>
      <c r="P720" s="24">
        <f>VLOOKUP(I720, KM!$A:$E, 5, 0)</f>
        <v>434</v>
      </c>
      <c r="Q720" s="24">
        <f>VLOOKUP(J720, KM!$A:$E, 5, 0)</f>
        <v>521</v>
      </c>
      <c r="R720" s="24">
        <f>VLOOKUP(K720, KM!$A:$E, 5, 0)</f>
        <v>1144</v>
      </c>
      <c r="S720" s="24">
        <f>VLOOKUP(L720, KM!$A:$E, 5, 0)</f>
        <v>0</v>
      </c>
      <c r="T720" s="24">
        <f>VLOOKUP(M720, KM!$A:$E, 5, 0)</f>
        <v>852</v>
      </c>
      <c r="U720" s="24">
        <f>VLOOKUP(N720, KM!$A:$E, 5, 0)</f>
        <v>4374</v>
      </c>
      <c r="V720" s="24">
        <f>VLOOKUP(H720, IMPOSTO!$A:$D, 4, 0)</f>
        <v>0.12</v>
      </c>
      <c r="W720" s="24">
        <f>VLOOKUP(I720, IMPOSTO!$A:$D, 4, 0)</f>
        <v>0.12</v>
      </c>
      <c r="X720" s="24">
        <f>VLOOKUP(J720, IMPOSTO!$A:$D, 4, 0)</f>
        <v>7.0000000000000007E-2</v>
      </c>
      <c r="Y720" s="24">
        <f>VLOOKUP(K720, IMPOSTO!$A:$D, 4, 0)</f>
        <v>0.12</v>
      </c>
      <c r="Z720" s="24">
        <f>VLOOKUP(L720, IMPOSTO!$A:$D, 4, 0)</f>
        <v>0.18</v>
      </c>
      <c r="AA720" s="24">
        <f>VLOOKUP(M720, IMPOSTO!$A:$D, 4, 0)</f>
        <v>0.12</v>
      </c>
      <c r="AB720" s="24">
        <f>VLOOKUP(N720, IMPOSTO!$A:$D, 4, 0)</f>
        <v>7.0000000000000007E-2</v>
      </c>
      <c r="AC720" s="25">
        <f t="shared" si="97"/>
        <v>11506.79549880499</v>
      </c>
      <c r="AD720" s="25">
        <f t="shared" si="98"/>
        <v>11507.363680623172</v>
      </c>
      <c r="AE720" s="25">
        <f t="shared" si="99"/>
        <v>10898.04305263268</v>
      </c>
      <c r="AF720" s="25">
        <f t="shared" si="100"/>
        <v>11588.04549880499</v>
      </c>
      <c r="AG720" s="25">
        <f t="shared" si="101"/>
        <v>12296.439071888282</v>
      </c>
      <c r="AH720" s="25">
        <f t="shared" si="102"/>
        <v>11554.863680623173</v>
      </c>
      <c r="AI720" s="25">
        <f t="shared" si="103"/>
        <v>11312.344127901497</v>
      </c>
    </row>
    <row r="721" spans="1:35" ht="15.75" customHeight="1">
      <c r="A721" s="12" t="s">
        <v>638</v>
      </c>
      <c r="B721" s="12" t="s">
        <v>639</v>
      </c>
      <c r="C721" s="12" t="s">
        <v>163</v>
      </c>
      <c r="D721" s="12" t="s">
        <v>33</v>
      </c>
      <c r="E721" s="12" t="s">
        <v>27</v>
      </c>
      <c r="F721" s="13">
        <v>69.573033707865164</v>
      </c>
      <c r="G721" s="14">
        <v>1936.9132584269669</v>
      </c>
      <c r="H721" s="24" t="str">
        <f t="shared" si="106"/>
        <v>RJSP</v>
      </c>
      <c r="I721" s="24" t="str">
        <f t="shared" si="105"/>
        <v>RJMG</v>
      </c>
      <c r="J721" s="24" t="str">
        <f t="shared" si="105"/>
        <v>RJES</v>
      </c>
      <c r="K721" s="24" t="str">
        <f t="shared" si="105"/>
        <v>RJSC</v>
      </c>
      <c r="L721" s="24" t="str">
        <f t="shared" si="105"/>
        <v>RJRJ</v>
      </c>
      <c r="M721" s="24" t="str">
        <f t="shared" si="105"/>
        <v>RJPR</v>
      </c>
      <c r="N721" s="24" t="str">
        <f t="shared" si="105"/>
        <v>RJAM</v>
      </c>
      <c r="O721" s="24">
        <f>VLOOKUP(H721, KM!$A:$E, 5, 0)</f>
        <v>429</v>
      </c>
      <c r="P721" s="24">
        <f>VLOOKUP(I721, KM!$A:$E, 5, 0)</f>
        <v>434</v>
      </c>
      <c r="Q721" s="24">
        <f>VLOOKUP(J721, KM!$A:$E, 5, 0)</f>
        <v>521</v>
      </c>
      <c r="R721" s="24">
        <f>VLOOKUP(K721, KM!$A:$E, 5, 0)</f>
        <v>1144</v>
      </c>
      <c r="S721" s="24">
        <f>VLOOKUP(L721, KM!$A:$E, 5, 0)</f>
        <v>0</v>
      </c>
      <c r="T721" s="24">
        <f>VLOOKUP(M721, KM!$A:$E, 5, 0)</f>
        <v>852</v>
      </c>
      <c r="U721" s="24">
        <f>VLOOKUP(N721, KM!$A:$E, 5, 0)</f>
        <v>4374</v>
      </c>
      <c r="V721" s="24">
        <f>VLOOKUP(H721, IMPOSTO!$A:$D, 4, 0)</f>
        <v>0.12</v>
      </c>
      <c r="W721" s="24">
        <f>VLOOKUP(I721, IMPOSTO!$A:$D, 4, 0)</f>
        <v>0.12</v>
      </c>
      <c r="X721" s="24">
        <f>VLOOKUP(J721, IMPOSTO!$A:$D, 4, 0)</f>
        <v>7.0000000000000007E-2</v>
      </c>
      <c r="Y721" s="24">
        <f>VLOOKUP(K721, IMPOSTO!$A:$D, 4, 0)</f>
        <v>0.12</v>
      </c>
      <c r="Z721" s="24">
        <f>VLOOKUP(L721, IMPOSTO!$A:$D, 4, 0)</f>
        <v>0.18</v>
      </c>
      <c r="AA721" s="24">
        <f>VLOOKUP(M721, IMPOSTO!$A:$D, 4, 0)</f>
        <v>0.12</v>
      </c>
      <c r="AB721" s="24">
        <f>VLOOKUP(N721, IMPOSTO!$A:$D, 4, 0)</f>
        <v>7.0000000000000007E-2</v>
      </c>
      <c r="AC721" s="25">
        <f t="shared" si="97"/>
        <v>2249.7877936670079</v>
      </c>
      <c r="AD721" s="25">
        <f t="shared" si="98"/>
        <v>2250.3559754851899</v>
      </c>
      <c r="AE721" s="25">
        <f t="shared" si="99"/>
        <v>2138.7239337924375</v>
      </c>
      <c r="AF721" s="25">
        <f t="shared" si="100"/>
        <v>2331.0377936670079</v>
      </c>
      <c r="AG721" s="25">
        <f t="shared" si="101"/>
        <v>2362.0893395450812</v>
      </c>
      <c r="AH721" s="25">
        <f t="shared" si="102"/>
        <v>2297.8559754851894</v>
      </c>
      <c r="AI721" s="25">
        <f t="shared" si="103"/>
        <v>2553.0250090612549</v>
      </c>
    </row>
    <row r="722" spans="1:35" ht="15.75" customHeight="1">
      <c r="A722" s="12" t="s">
        <v>638</v>
      </c>
      <c r="B722" s="12" t="s">
        <v>639</v>
      </c>
      <c r="C722" s="12" t="s">
        <v>163</v>
      </c>
      <c r="D722" s="12" t="s">
        <v>33</v>
      </c>
      <c r="E722" s="12" t="s">
        <v>27</v>
      </c>
      <c r="F722" s="13">
        <v>12.561797752808989</v>
      </c>
      <c r="G722" s="14">
        <v>349.0826966292135</v>
      </c>
      <c r="H722" s="24" t="str">
        <f t="shared" si="106"/>
        <v>RJSP</v>
      </c>
      <c r="I722" s="24" t="str">
        <f t="shared" si="105"/>
        <v>RJMG</v>
      </c>
      <c r="J722" s="24" t="str">
        <f t="shared" si="105"/>
        <v>RJES</v>
      </c>
      <c r="K722" s="24" t="str">
        <f t="shared" si="105"/>
        <v>RJSC</v>
      </c>
      <c r="L722" s="24" t="str">
        <f t="shared" si="105"/>
        <v>RJRJ</v>
      </c>
      <c r="M722" s="24" t="str">
        <f t="shared" si="105"/>
        <v>RJPR</v>
      </c>
      <c r="N722" s="24" t="str">
        <f t="shared" si="105"/>
        <v>RJAM</v>
      </c>
      <c r="O722" s="24">
        <f>VLOOKUP(H722, KM!$A:$E, 5, 0)</f>
        <v>429</v>
      </c>
      <c r="P722" s="24">
        <f>VLOOKUP(I722, KM!$A:$E, 5, 0)</f>
        <v>434</v>
      </c>
      <c r="Q722" s="24">
        <f>VLOOKUP(J722, KM!$A:$E, 5, 0)</f>
        <v>521</v>
      </c>
      <c r="R722" s="24">
        <f>VLOOKUP(K722, KM!$A:$E, 5, 0)</f>
        <v>1144</v>
      </c>
      <c r="S722" s="24">
        <f>VLOOKUP(L722, KM!$A:$E, 5, 0)</f>
        <v>0</v>
      </c>
      <c r="T722" s="24">
        <f>VLOOKUP(M722, KM!$A:$E, 5, 0)</f>
        <v>852</v>
      </c>
      <c r="U722" s="24">
        <f>VLOOKUP(N722, KM!$A:$E, 5, 0)</f>
        <v>4374</v>
      </c>
      <c r="V722" s="24">
        <f>VLOOKUP(H722, IMPOSTO!$A:$D, 4, 0)</f>
        <v>0.12</v>
      </c>
      <c r="W722" s="24">
        <f>VLOOKUP(I722, IMPOSTO!$A:$D, 4, 0)</f>
        <v>0.12</v>
      </c>
      <c r="X722" s="24">
        <f>VLOOKUP(J722, IMPOSTO!$A:$D, 4, 0)</f>
        <v>7.0000000000000007E-2</v>
      </c>
      <c r="Y722" s="24">
        <f>VLOOKUP(K722, IMPOSTO!$A:$D, 4, 0)</f>
        <v>0.12</v>
      </c>
      <c r="Z722" s="24">
        <f>VLOOKUP(L722, IMPOSTO!$A:$D, 4, 0)</f>
        <v>0.18</v>
      </c>
      <c r="AA722" s="24">
        <f>VLOOKUP(M722, IMPOSTO!$A:$D, 4, 0)</f>
        <v>0.12</v>
      </c>
      <c r="AB722" s="24">
        <f>VLOOKUP(N722, IMPOSTO!$A:$D, 4, 0)</f>
        <v>7.0000000000000007E-2</v>
      </c>
      <c r="AC722" s="25">
        <f t="shared" si="97"/>
        <v>445.43488253319714</v>
      </c>
      <c r="AD722" s="25">
        <f t="shared" si="98"/>
        <v>446.00306435137895</v>
      </c>
      <c r="AE722" s="25">
        <f t="shared" si="99"/>
        <v>431.37924368732638</v>
      </c>
      <c r="AF722" s="25">
        <f t="shared" si="100"/>
        <v>526.68488253319708</v>
      </c>
      <c r="AG722" s="25">
        <f t="shared" si="101"/>
        <v>425.71060564538226</v>
      </c>
      <c r="AH722" s="25">
        <f t="shared" si="102"/>
        <v>493.50306435137895</v>
      </c>
      <c r="AI722" s="25">
        <f t="shared" si="103"/>
        <v>845.68031895614354</v>
      </c>
    </row>
    <row r="723" spans="1:35" ht="15.75" customHeight="1">
      <c r="A723" s="12" t="s">
        <v>377</v>
      </c>
      <c r="B723" s="12" t="s">
        <v>378</v>
      </c>
      <c r="C723" s="12" t="s">
        <v>163</v>
      </c>
      <c r="D723" s="12" t="s">
        <v>33</v>
      </c>
      <c r="E723" s="12" t="s">
        <v>27</v>
      </c>
      <c r="F723" s="13">
        <v>34.600706713780916</v>
      </c>
      <c r="G723" s="14">
        <v>969.24268551236764</v>
      </c>
      <c r="H723" s="24" t="str">
        <f t="shared" si="106"/>
        <v>RJSP</v>
      </c>
      <c r="I723" s="24" t="str">
        <f t="shared" si="105"/>
        <v>RJMG</v>
      </c>
      <c r="J723" s="24" t="str">
        <f t="shared" si="105"/>
        <v>RJES</v>
      </c>
      <c r="K723" s="24" t="str">
        <f t="shared" si="105"/>
        <v>RJSC</v>
      </c>
      <c r="L723" s="24" t="str">
        <f t="shared" si="105"/>
        <v>RJRJ</v>
      </c>
      <c r="M723" s="24" t="str">
        <f t="shared" si="105"/>
        <v>RJPR</v>
      </c>
      <c r="N723" s="24" t="str">
        <f t="shared" si="105"/>
        <v>RJAM</v>
      </c>
      <c r="O723" s="24">
        <f>VLOOKUP(H723, KM!$A:$E, 5, 0)</f>
        <v>429</v>
      </c>
      <c r="P723" s="24">
        <f>VLOOKUP(I723, KM!$A:$E, 5, 0)</f>
        <v>434</v>
      </c>
      <c r="Q723" s="24">
        <f>VLOOKUP(J723, KM!$A:$E, 5, 0)</f>
        <v>521</v>
      </c>
      <c r="R723" s="24">
        <f>VLOOKUP(K723, KM!$A:$E, 5, 0)</f>
        <v>1144</v>
      </c>
      <c r="S723" s="24">
        <f>VLOOKUP(L723, KM!$A:$E, 5, 0)</f>
        <v>0</v>
      </c>
      <c r="T723" s="24">
        <f>VLOOKUP(M723, KM!$A:$E, 5, 0)</f>
        <v>852</v>
      </c>
      <c r="U723" s="24">
        <f>VLOOKUP(N723, KM!$A:$E, 5, 0)</f>
        <v>4374</v>
      </c>
      <c r="V723" s="24">
        <f>VLOOKUP(H723, IMPOSTO!$A:$D, 4, 0)</f>
        <v>0.12</v>
      </c>
      <c r="W723" s="24">
        <f>VLOOKUP(I723, IMPOSTO!$A:$D, 4, 0)</f>
        <v>0.12</v>
      </c>
      <c r="X723" s="24">
        <f>VLOOKUP(J723, IMPOSTO!$A:$D, 4, 0)</f>
        <v>7.0000000000000007E-2</v>
      </c>
      <c r="Y723" s="24">
        <f>VLOOKUP(K723, IMPOSTO!$A:$D, 4, 0)</f>
        <v>0.12</v>
      </c>
      <c r="Z723" s="24">
        <f>VLOOKUP(L723, IMPOSTO!$A:$D, 4, 0)</f>
        <v>0.18</v>
      </c>
      <c r="AA723" s="24">
        <f>VLOOKUP(M723, IMPOSTO!$A:$D, 4, 0)</f>
        <v>0.12</v>
      </c>
      <c r="AB723" s="24">
        <f>VLOOKUP(N723, IMPOSTO!$A:$D, 4, 0)</f>
        <v>7.0000000000000007E-2</v>
      </c>
      <c r="AC723" s="25">
        <f t="shared" ref="AC723:AC786" si="107">($G723 + O723 * $AE$5) / (1 - V723)</f>
        <v>1150.1621426276904</v>
      </c>
      <c r="AD723" s="25">
        <f t="shared" ref="AD723:AD786" si="108">($G723 + P723 * $AE$5) / (1 - W723)</f>
        <v>1150.7303244458724</v>
      </c>
      <c r="AE723" s="25">
        <f t="shared" ref="AE723:AE786" si="109">($G723 + Q723 * $AE$5) / (1 - X723)</f>
        <v>1098.2179414111481</v>
      </c>
      <c r="AF723" s="25">
        <f t="shared" ref="AF723:AF786" si="110">($G723 + R723 * $AE$5) / (1 - Y723)</f>
        <v>1231.4121426276906</v>
      </c>
      <c r="AG723" s="25">
        <f t="shared" ref="AG723:AG786" si="111">($G723 + S723 * $AE$5) / (1 - Z723)</f>
        <v>1182.0032750150824</v>
      </c>
      <c r="AH723" s="25">
        <f t="shared" ref="AH723:AH786" si="112">($G723 + T723 * $AE$5) / (1 - AA723)</f>
        <v>1198.2303244458724</v>
      </c>
      <c r="AI723" s="25">
        <f t="shared" ref="AI723:AI786" si="113">($G723 + U723 * $AE$5) / (1 - AB723)</f>
        <v>1512.5190166799655</v>
      </c>
    </row>
    <row r="724" spans="1:35" ht="15.75" customHeight="1">
      <c r="A724" s="12" t="s">
        <v>455</v>
      </c>
      <c r="B724" s="12" t="s">
        <v>456</v>
      </c>
      <c r="C724" s="12" t="s">
        <v>220</v>
      </c>
      <c r="D724" s="12" t="s">
        <v>33</v>
      </c>
      <c r="E724" s="12" t="s">
        <v>27</v>
      </c>
      <c r="F724" s="13">
        <v>2855.0000999999988</v>
      </c>
      <c r="G724" s="14">
        <v>33874.14034600446</v>
      </c>
      <c r="H724" s="24" t="str">
        <f t="shared" si="106"/>
        <v>RJSP</v>
      </c>
      <c r="I724" s="24" t="str">
        <f t="shared" si="105"/>
        <v>RJMG</v>
      </c>
      <c r="J724" s="24" t="str">
        <f t="shared" si="105"/>
        <v>RJES</v>
      </c>
      <c r="K724" s="24" t="str">
        <f t="shared" si="105"/>
        <v>RJSC</v>
      </c>
      <c r="L724" s="24" t="str">
        <f t="shared" si="105"/>
        <v>RJRJ</v>
      </c>
      <c r="M724" s="24" t="str">
        <f t="shared" si="105"/>
        <v>RJPR</v>
      </c>
      <c r="N724" s="24" t="str">
        <f t="shared" si="105"/>
        <v>RJAM</v>
      </c>
      <c r="O724" s="24">
        <f>VLOOKUP(H724, KM!$A:$E, 5, 0)</f>
        <v>429</v>
      </c>
      <c r="P724" s="24">
        <f>VLOOKUP(I724, KM!$A:$E, 5, 0)</f>
        <v>434</v>
      </c>
      <c r="Q724" s="24">
        <f>VLOOKUP(J724, KM!$A:$E, 5, 0)</f>
        <v>521</v>
      </c>
      <c r="R724" s="24">
        <f>VLOOKUP(K724, KM!$A:$E, 5, 0)</f>
        <v>1144</v>
      </c>
      <c r="S724" s="24">
        <f>VLOOKUP(L724, KM!$A:$E, 5, 0)</f>
        <v>0</v>
      </c>
      <c r="T724" s="24">
        <f>VLOOKUP(M724, KM!$A:$E, 5, 0)</f>
        <v>852</v>
      </c>
      <c r="U724" s="24">
        <f>VLOOKUP(N724, KM!$A:$E, 5, 0)</f>
        <v>4374</v>
      </c>
      <c r="V724" s="24">
        <f>VLOOKUP(H724, IMPOSTO!$A:$D, 4, 0)</f>
        <v>0.12</v>
      </c>
      <c r="W724" s="24">
        <f>VLOOKUP(I724, IMPOSTO!$A:$D, 4, 0)</f>
        <v>0.12</v>
      </c>
      <c r="X724" s="24">
        <f>VLOOKUP(J724, IMPOSTO!$A:$D, 4, 0)</f>
        <v>7.0000000000000007E-2</v>
      </c>
      <c r="Y724" s="24">
        <f>VLOOKUP(K724, IMPOSTO!$A:$D, 4, 0)</f>
        <v>0.12</v>
      </c>
      <c r="Z724" s="24">
        <f>VLOOKUP(L724, IMPOSTO!$A:$D, 4, 0)</f>
        <v>0.18</v>
      </c>
      <c r="AA724" s="24">
        <f>VLOOKUP(M724, IMPOSTO!$A:$D, 4, 0)</f>
        <v>0.12</v>
      </c>
      <c r="AB724" s="24">
        <f>VLOOKUP(N724, IMPOSTO!$A:$D, 4, 0)</f>
        <v>7.0000000000000007E-2</v>
      </c>
      <c r="AC724" s="25">
        <f t="shared" si="107"/>
        <v>38542.091302277797</v>
      </c>
      <c r="AD724" s="25">
        <f t="shared" si="108"/>
        <v>38542.659484095981</v>
      </c>
      <c r="AE724" s="25">
        <f t="shared" si="109"/>
        <v>36479.828329037053</v>
      </c>
      <c r="AF724" s="25">
        <f t="shared" si="110"/>
        <v>38623.341302277797</v>
      </c>
      <c r="AG724" s="25">
        <f t="shared" si="111"/>
        <v>41309.927251224952</v>
      </c>
      <c r="AH724" s="25">
        <f t="shared" si="112"/>
        <v>38590.159484095973</v>
      </c>
      <c r="AI724" s="25">
        <f t="shared" si="113"/>
        <v>36894.129404305873</v>
      </c>
    </row>
    <row r="725" spans="1:35" ht="15.75" customHeight="1">
      <c r="A725" s="12" t="s">
        <v>170</v>
      </c>
      <c r="B725" s="12" t="s">
        <v>171</v>
      </c>
      <c r="C725" s="12" t="s">
        <v>163</v>
      </c>
      <c r="D725" s="12" t="s">
        <v>33</v>
      </c>
      <c r="E725" s="12" t="s">
        <v>27</v>
      </c>
      <c r="F725" s="13">
        <v>1685.3297518638883</v>
      </c>
      <c r="G725" s="14">
        <v>24587.481516946857</v>
      </c>
      <c r="H725" s="24" t="str">
        <f t="shared" si="106"/>
        <v>RJSP</v>
      </c>
      <c r="I725" s="24" t="str">
        <f t="shared" si="105"/>
        <v>RJMG</v>
      </c>
      <c r="J725" s="24" t="str">
        <f t="shared" si="105"/>
        <v>RJES</v>
      </c>
      <c r="K725" s="24" t="str">
        <f t="shared" si="105"/>
        <v>RJSC</v>
      </c>
      <c r="L725" s="24" t="str">
        <f t="shared" si="105"/>
        <v>RJRJ</v>
      </c>
      <c r="M725" s="24" t="str">
        <f t="shared" si="105"/>
        <v>RJPR</v>
      </c>
      <c r="N725" s="24" t="str">
        <f t="shared" si="105"/>
        <v>RJAM</v>
      </c>
      <c r="O725" s="24">
        <f>VLOOKUP(H725, KM!$A:$E, 5, 0)</f>
        <v>429</v>
      </c>
      <c r="P725" s="24">
        <f>VLOOKUP(I725, KM!$A:$E, 5, 0)</f>
        <v>434</v>
      </c>
      <c r="Q725" s="24">
        <f>VLOOKUP(J725, KM!$A:$E, 5, 0)</f>
        <v>521</v>
      </c>
      <c r="R725" s="24">
        <f>VLOOKUP(K725, KM!$A:$E, 5, 0)</f>
        <v>1144</v>
      </c>
      <c r="S725" s="24">
        <f>VLOOKUP(L725, KM!$A:$E, 5, 0)</f>
        <v>0</v>
      </c>
      <c r="T725" s="24">
        <f>VLOOKUP(M725, KM!$A:$E, 5, 0)</f>
        <v>852</v>
      </c>
      <c r="U725" s="24">
        <f>VLOOKUP(N725, KM!$A:$E, 5, 0)</f>
        <v>4374</v>
      </c>
      <c r="V725" s="24">
        <f>VLOOKUP(H725, IMPOSTO!$A:$D, 4, 0)</f>
        <v>0.12</v>
      </c>
      <c r="W725" s="24">
        <f>VLOOKUP(I725, IMPOSTO!$A:$D, 4, 0)</f>
        <v>0.12</v>
      </c>
      <c r="X725" s="24">
        <f>VLOOKUP(J725, IMPOSTO!$A:$D, 4, 0)</f>
        <v>7.0000000000000007E-2</v>
      </c>
      <c r="Y725" s="24">
        <f>VLOOKUP(K725, IMPOSTO!$A:$D, 4, 0)</f>
        <v>0.12</v>
      </c>
      <c r="Z725" s="24">
        <f>VLOOKUP(L725, IMPOSTO!$A:$D, 4, 0)</f>
        <v>0.18</v>
      </c>
      <c r="AA725" s="24">
        <f>VLOOKUP(M725, IMPOSTO!$A:$D, 4, 0)</f>
        <v>0.12</v>
      </c>
      <c r="AB725" s="24">
        <f>VLOOKUP(N725, IMPOSTO!$A:$D, 4, 0)</f>
        <v>7.0000000000000007E-2</v>
      </c>
      <c r="AC725" s="25">
        <f t="shared" si="107"/>
        <v>27989.069905621429</v>
      </c>
      <c r="AD725" s="25">
        <f t="shared" si="108"/>
        <v>27989.638087439613</v>
      </c>
      <c r="AE725" s="25">
        <f t="shared" si="109"/>
        <v>26494.173674136404</v>
      </c>
      <c r="AF725" s="25">
        <f t="shared" si="110"/>
        <v>28070.319905621429</v>
      </c>
      <c r="AG725" s="25">
        <f t="shared" si="111"/>
        <v>29984.733557252261</v>
      </c>
      <c r="AH725" s="25">
        <f t="shared" si="112"/>
        <v>28037.138087439609</v>
      </c>
      <c r="AI725" s="25">
        <f t="shared" si="113"/>
        <v>26908.474749405224</v>
      </c>
    </row>
    <row r="726" spans="1:35" ht="15.75" customHeight="1">
      <c r="A726" s="12" t="s">
        <v>172</v>
      </c>
      <c r="B726" s="12" t="s">
        <v>173</v>
      </c>
      <c r="C726" s="12" t="s">
        <v>111</v>
      </c>
      <c r="D726" s="12" t="s">
        <v>33</v>
      </c>
      <c r="E726" s="12" t="s">
        <v>27</v>
      </c>
      <c r="F726" s="13">
        <v>549.30619576868833</v>
      </c>
      <c r="G726" s="14">
        <v>31044.255452730038</v>
      </c>
      <c r="H726" s="24" t="str">
        <f t="shared" si="106"/>
        <v>RJSP</v>
      </c>
      <c r="I726" s="24" t="str">
        <f t="shared" si="105"/>
        <v>RJMG</v>
      </c>
      <c r="J726" s="24" t="str">
        <f t="shared" si="105"/>
        <v>RJES</v>
      </c>
      <c r="K726" s="24" t="str">
        <f t="shared" si="105"/>
        <v>RJSC</v>
      </c>
      <c r="L726" s="24" t="str">
        <f t="shared" si="105"/>
        <v>RJRJ</v>
      </c>
      <c r="M726" s="24" t="str">
        <f t="shared" si="105"/>
        <v>RJPR</v>
      </c>
      <c r="N726" s="24" t="str">
        <f t="shared" si="105"/>
        <v>RJAM</v>
      </c>
      <c r="O726" s="24">
        <f>VLOOKUP(H726, KM!$A:$E, 5, 0)</f>
        <v>429</v>
      </c>
      <c r="P726" s="24">
        <f>VLOOKUP(I726, KM!$A:$E, 5, 0)</f>
        <v>434</v>
      </c>
      <c r="Q726" s="24">
        <f>VLOOKUP(J726, KM!$A:$E, 5, 0)</f>
        <v>521</v>
      </c>
      <c r="R726" s="24">
        <f>VLOOKUP(K726, KM!$A:$E, 5, 0)</f>
        <v>1144</v>
      </c>
      <c r="S726" s="24">
        <f>VLOOKUP(L726, KM!$A:$E, 5, 0)</f>
        <v>0</v>
      </c>
      <c r="T726" s="24">
        <f>VLOOKUP(M726, KM!$A:$E, 5, 0)</f>
        <v>852</v>
      </c>
      <c r="U726" s="24">
        <f>VLOOKUP(N726, KM!$A:$E, 5, 0)</f>
        <v>4374</v>
      </c>
      <c r="V726" s="24">
        <f>VLOOKUP(H726, IMPOSTO!$A:$D, 4, 0)</f>
        <v>0.12</v>
      </c>
      <c r="W726" s="24">
        <f>VLOOKUP(I726, IMPOSTO!$A:$D, 4, 0)</f>
        <v>0.12</v>
      </c>
      <c r="X726" s="24">
        <f>VLOOKUP(J726, IMPOSTO!$A:$D, 4, 0)</f>
        <v>7.0000000000000007E-2</v>
      </c>
      <c r="Y726" s="24">
        <f>VLOOKUP(K726, IMPOSTO!$A:$D, 4, 0)</f>
        <v>0.12</v>
      </c>
      <c r="Z726" s="24">
        <f>VLOOKUP(L726, IMPOSTO!$A:$D, 4, 0)</f>
        <v>0.18</v>
      </c>
      <c r="AA726" s="24">
        <f>VLOOKUP(M726, IMPOSTO!$A:$D, 4, 0)</f>
        <v>0.12</v>
      </c>
      <c r="AB726" s="24">
        <f>VLOOKUP(N726, IMPOSTO!$A:$D, 4, 0)</f>
        <v>7.0000000000000007E-2</v>
      </c>
      <c r="AC726" s="25">
        <f t="shared" si="107"/>
        <v>35326.313014465952</v>
      </c>
      <c r="AD726" s="25">
        <f t="shared" si="108"/>
        <v>35326.881196284136</v>
      </c>
      <c r="AE726" s="25">
        <f t="shared" si="109"/>
        <v>33436.941347021544</v>
      </c>
      <c r="AF726" s="25">
        <f t="shared" si="110"/>
        <v>35407.563014465952</v>
      </c>
      <c r="AG726" s="25">
        <f t="shared" si="111"/>
        <v>37858.848113085412</v>
      </c>
      <c r="AH726" s="25">
        <f t="shared" si="112"/>
        <v>35374.381196284136</v>
      </c>
      <c r="AI726" s="25">
        <f t="shared" si="113"/>
        <v>33851.242422290365</v>
      </c>
    </row>
    <row r="727" spans="1:35" ht="15.75" customHeight="1">
      <c r="A727" s="12" t="s">
        <v>640</v>
      </c>
      <c r="B727" s="12" t="s">
        <v>641</v>
      </c>
      <c r="C727" s="12" t="s">
        <v>176</v>
      </c>
      <c r="D727" s="12" t="s">
        <v>33</v>
      </c>
      <c r="E727" s="12" t="s">
        <v>27</v>
      </c>
      <c r="F727" s="13">
        <v>1172.9999999999995</v>
      </c>
      <c r="G727" s="14">
        <v>50088.389577836388</v>
      </c>
      <c r="H727" s="24" t="str">
        <f t="shared" si="106"/>
        <v>RJSP</v>
      </c>
      <c r="I727" s="24" t="str">
        <f t="shared" si="105"/>
        <v>RJMG</v>
      </c>
      <c r="J727" s="24" t="str">
        <f t="shared" si="105"/>
        <v>RJES</v>
      </c>
      <c r="K727" s="24" t="str">
        <f t="shared" si="105"/>
        <v>RJSC</v>
      </c>
      <c r="L727" s="24" t="str">
        <f t="shared" si="105"/>
        <v>RJRJ</v>
      </c>
      <c r="M727" s="24" t="str">
        <f t="shared" si="105"/>
        <v>RJPR</v>
      </c>
      <c r="N727" s="24" t="str">
        <f t="shared" si="105"/>
        <v>RJAM</v>
      </c>
      <c r="O727" s="24">
        <f>VLOOKUP(H727, KM!$A:$E, 5, 0)</f>
        <v>429</v>
      </c>
      <c r="P727" s="24">
        <f>VLOOKUP(I727, KM!$A:$E, 5, 0)</f>
        <v>434</v>
      </c>
      <c r="Q727" s="24">
        <f>VLOOKUP(J727, KM!$A:$E, 5, 0)</f>
        <v>521</v>
      </c>
      <c r="R727" s="24">
        <f>VLOOKUP(K727, KM!$A:$E, 5, 0)</f>
        <v>1144</v>
      </c>
      <c r="S727" s="24">
        <f>VLOOKUP(L727, KM!$A:$E, 5, 0)</f>
        <v>0</v>
      </c>
      <c r="T727" s="24">
        <f>VLOOKUP(M727, KM!$A:$E, 5, 0)</f>
        <v>852</v>
      </c>
      <c r="U727" s="24">
        <f>VLOOKUP(N727, KM!$A:$E, 5, 0)</f>
        <v>4374</v>
      </c>
      <c r="V727" s="24">
        <f>VLOOKUP(H727, IMPOSTO!$A:$D, 4, 0)</f>
        <v>0.12</v>
      </c>
      <c r="W727" s="24">
        <f>VLOOKUP(I727, IMPOSTO!$A:$D, 4, 0)</f>
        <v>0.12</v>
      </c>
      <c r="X727" s="24">
        <f>VLOOKUP(J727, IMPOSTO!$A:$D, 4, 0)</f>
        <v>7.0000000000000007E-2</v>
      </c>
      <c r="Y727" s="24">
        <f>VLOOKUP(K727, IMPOSTO!$A:$D, 4, 0)</f>
        <v>0.12</v>
      </c>
      <c r="Z727" s="24">
        <f>VLOOKUP(L727, IMPOSTO!$A:$D, 4, 0)</f>
        <v>0.18</v>
      </c>
      <c r="AA727" s="24">
        <f>VLOOKUP(M727, IMPOSTO!$A:$D, 4, 0)</f>
        <v>0.12</v>
      </c>
      <c r="AB727" s="24">
        <f>VLOOKUP(N727, IMPOSTO!$A:$D, 4, 0)</f>
        <v>7.0000000000000007E-2</v>
      </c>
      <c r="AC727" s="25">
        <f t="shared" si="107"/>
        <v>56967.374520268626</v>
      </c>
      <c r="AD727" s="25">
        <f t="shared" si="108"/>
        <v>56967.942702086802</v>
      </c>
      <c r="AE727" s="25">
        <f t="shared" si="109"/>
        <v>53914.504922404718</v>
      </c>
      <c r="AF727" s="25">
        <f t="shared" si="110"/>
        <v>57048.624520268626</v>
      </c>
      <c r="AG727" s="25">
        <f t="shared" si="111"/>
        <v>61083.401924190715</v>
      </c>
      <c r="AH727" s="25">
        <f t="shared" si="112"/>
        <v>57015.442702086802</v>
      </c>
      <c r="AI727" s="25">
        <f t="shared" si="113"/>
        <v>54328.805997673539</v>
      </c>
    </row>
    <row r="728" spans="1:35" ht="15.75" customHeight="1">
      <c r="A728" s="12" t="s">
        <v>642</v>
      </c>
      <c r="B728" s="12" t="s">
        <v>643</v>
      </c>
      <c r="C728" s="12" t="s">
        <v>223</v>
      </c>
      <c r="D728" s="12" t="s">
        <v>33</v>
      </c>
      <c r="E728" s="12" t="s">
        <v>27</v>
      </c>
      <c r="F728" s="13">
        <v>170.90043923865301</v>
      </c>
      <c r="G728" s="14">
        <v>3532.7171595900436</v>
      </c>
      <c r="H728" s="24" t="str">
        <f t="shared" si="106"/>
        <v>RJSP</v>
      </c>
      <c r="I728" s="24" t="str">
        <f t="shared" si="105"/>
        <v>RJMG</v>
      </c>
      <c r="J728" s="24" t="str">
        <f t="shared" si="105"/>
        <v>RJES</v>
      </c>
      <c r="K728" s="24" t="str">
        <f t="shared" si="105"/>
        <v>RJSC</v>
      </c>
      <c r="L728" s="24" t="str">
        <f t="shared" si="105"/>
        <v>RJRJ</v>
      </c>
      <c r="M728" s="24" t="str">
        <f t="shared" si="105"/>
        <v>RJPR</v>
      </c>
      <c r="N728" s="24" t="str">
        <f t="shared" si="105"/>
        <v>RJAM</v>
      </c>
      <c r="O728" s="24">
        <f>VLOOKUP(H728, KM!$A:$E, 5, 0)</f>
        <v>429</v>
      </c>
      <c r="P728" s="24">
        <f>VLOOKUP(I728, KM!$A:$E, 5, 0)</f>
        <v>434</v>
      </c>
      <c r="Q728" s="24">
        <f>VLOOKUP(J728, KM!$A:$E, 5, 0)</f>
        <v>521</v>
      </c>
      <c r="R728" s="24">
        <f>VLOOKUP(K728, KM!$A:$E, 5, 0)</f>
        <v>1144</v>
      </c>
      <c r="S728" s="24">
        <f>VLOOKUP(L728, KM!$A:$E, 5, 0)</f>
        <v>0</v>
      </c>
      <c r="T728" s="24">
        <f>VLOOKUP(M728, KM!$A:$E, 5, 0)</f>
        <v>852</v>
      </c>
      <c r="U728" s="24">
        <f>VLOOKUP(N728, KM!$A:$E, 5, 0)</f>
        <v>4374</v>
      </c>
      <c r="V728" s="24">
        <f>VLOOKUP(H728, IMPOSTO!$A:$D, 4, 0)</f>
        <v>0.12</v>
      </c>
      <c r="W728" s="24">
        <f>VLOOKUP(I728, IMPOSTO!$A:$D, 4, 0)</f>
        <v>0.12</v>
      </c>
      <c r="X728" s="24">
        <f>VLOOKUP(J728, IMPOSTO!$A:$D, 4, 0)</f>
        <v>7.0000000000000007E-2</v>
      </c>
      <c r="Y728" s="24">
        <f>VLOOKUP(K728, IMPOSTO!$A:$D, 4, 0)</f>
        <v>0.12</v>
      </c>
      <c r="Z728" s="24">
        <f>VLOOKUP(L728, IMPOSTO!$A:$D, 4, 0)</f>
        <v>0.18</v>
      </c>
      <c r="AA728" s="24">
        <f>VLOOKUP(M728, IMPOSTO!$A:$D, 4, 0)</f>
        <v>0.12</v>
      </c>
      <c r="AB728" s="24">
        <f>VLOOKUP(N728, IMPOSTO!$A:$D, 4, 0)</f>
        <v>7.0000000000000007E-2</v>
      </c>
      <c r="AC728" s="25">
        <f t="shared" si="107"/>
        <v>4063.2013177159588</v>
      </c>
      <c r="AD728" s="25">
        <f t="shared" si="108"/>
        <v>4063.7694995341403</v>
      </c>
      <c r="AE728" s="25">
        <f t="shared" si="109"/>
        <v>3854.6421070860683</v>
      </c>
      <c r="AF728" s="25">
        <f t="shared" si="110"/>
        <v>4144.4513177159588</v>
      </c>
      <c r="AG728" s="25">
        <f t="shared" si="111"/>
        <v>4308.1916580366378</v>
      </c>
      <c r="AH728" s="25">
        <f t="shared" si="112"/>
        <v>4111.2694995341399</v>
      </c>
      <c r="AI728" s="25">
        <f t="shared" si="113"/>
        <v>4268.9431823548857</v>
      </c>
    </row>
    <row r="729" spans="1:35" ht="15.75" customHeight="1">
      <c r="A729" s="12" t="s">
        <v>387</v>
      </c>
      <c r="B729" s="12" t="s">
        <v>388</v>
      </c>
      <c r="C729" s="12" t="s">
        <v>223</v>
      </c>
      <c r="D729" s="12" t="s">
        <v>33</v>
      </c>
      <c r="E729" s="12" t="s">
        <v>27</v>
      </c>
      <c r="F729" s="13">
        <v>1553.1743974533879</v>
      </c>
      <c r="G729" s="14">
        <v>23105.135075034108</v>
      </c>
      <c r="H729" s="24" t="str">
        <f t="shared" si="106"/>
        <v>RJSP</v>
      </c>
      <c r="I729" s="24" t="str">
        <f t="shared" si="105"/>
        <v>RJMG</v>
      </c>
      <c r="J729" s="24" t="str">
        <f t="shared" si="105"/>
        <v>RJES</v>
      </c>
      <c r="K729" s="24" t="str">
        <f t="shared" si="105"/>
        <v>RJSC</v>
      </c>
      <c r="L729" s="24" t="str">
        <f t="shared" si="105"/>
        <v>RJRJ</v>
      </c>
      <c r="M729" s="24" t="str">
        <f t="shared" si="105"/>
        <v>RJPR</v>
      </c>
      <c r="N729" s="24" t="str">
        <f t="shared" si="105"/>
        <v>RJAM</v>
      </c>
      <c r="O729" s="24">
        <f>VLOOKUP(H729, KM!$A:$E, 5, 0)</f>
        <v>429</v>
      </c>
      <c r="P729" s="24">
        <f>VLOOKUP(I729, KM!$A:$E, 5, 0)</f>
        <v>434</v>
      </c>
      <c r="Q729" s="24">
        <f>VLOOKUP(J729, KM!$A:$E, 5, 0)</f>
        <v>521</v>
      </c>
      <c r="R729" s="24">
        <f>VLOOKUP(K729, KM!$A:$E, 5, 0)</f>
        <v>1144</v>
      </c>
      <c r="S729" s="24">
        <f>VLOOKUP(L729, KM!$A:$E, 5, 0)</f>
        <v>0</v>
      </c>
      <c r="T729" s="24">
        <f>VLOOKUP(M729, KM!$A:$E, 5, 0)</f>
        <v>852</v>
      </c>
      <c r="U729" s="24">
        <f>VLOOKUP(N729, KM!$A:$E, 5, 0)</f>
        <v>4374</v>
      </c>
      <c r="V729" s="24">
        <f>VLOOKUP(H729, IMPOSTO!$A:$D, 4, 0)</f>
        <v>0.12</v>
      </c>
      <c r="W729" s="24">
        <f>VLOOKUP(I729, IMPOSTO!$A:$D, 4, 0)</f>
        <v>0.12</v>
      </c>
      <c r="X729" s="24">
        <f>VLOOKUP(J729, IMPOSTO!$A:$D, 4, 0)</f>
        <v>7.0000000000000007E-2</v>
      </c>
      <c r="Y729" s="24">
        <f>VLOOKUP(K729, IMPOSTO!$A:$D, 4, 0)</f>
        <v>0.12</v>
      </c>
      <c r="Z729" s="24">
        <f>VLOOKUP(L729, IMPOSTO!$A:$D, 4, 0)</f>
        <v>0.18</v>
      </c>
      <c r="AA729" s="24">
        <f>VLOOKUP(M729, IMPOSTO!$A:$D, 4, 0)</f>
        <v>0.12</v>
      </c>
      <c r="AB729" s="24">
        <f>VLOOKUP(N729, IMPOSTO!$A:$D, 4, 0)</f>
        <v>7.0000000000000007E-2</v>
      </c>
      <c r="AC729" s="25">
        <f t="shared" si="107"/>
        <v>26304.585312538762</v>
      </c>
      <c r="AD729" s="25">
        <f t="shared" si="108"/>
        <v>26305.153494356942</v>
      </c>
      <c r="AE729" s="25">
        <f t="shared" si="109"/>
        <v>24900.252768853879</v>
      </c>
      <c r="AF729" s="25">
        <f t="shared" si="110"/>
        <v>26385.835312538762</v>
      </c>
      <c r="AG729" s="25">
        <f t="shared" si="111"/>
        <v>28176.993993944034</v>
      </c>
      <c r="AH729" s="25">
        <f t="shared" si="112"/>
        <v>26352.653494356942</v>
      </c>
      <c r="AI729" s="25">
        <f t="shared" si="113"/>
        <v>25314.5538441227</v>
      </c>
    </row>
    <row r="730" spans="1:35" ht="15.75" customHeight="1">
      <c r="A730" s="12" t="s">
        <v>387</v>
      </c>
      <c r="B730" s="12" t="s">
        <v>388</v>
      </c>
      <c r="C730" s="12" t="s">
        <v>223</v>
      </c>
      <c r="D730" s="12" t="s">
        <v>33</v>
      </c>
      <c r="E730" s="12" t="s">
        <v>27</v>
      </c>
      <c r="F730" s="13">
        <v>160.04843110504774</v>
      </c>
      <c r="G730" s="14">
        <v>2387.6105479763528</v>
      </c>
      <c r="H730" s="24" t="str">
        <f t="shared" si="106"/>
        <v>RJSP</v>
      </c>
      <c r="I730" s="24" t="str">
        <f t="shared" si="105"/>
        <v>RJMG</v>
      </c>
      <c r="J730" s="24" t="str">
        <f t="shared" si="105"/>
        <v>RJES</v>
      </c>
      <c r="K730" s="24" t="str">
        <f t="shared" si="105"/>
        <v>RJSC</v>
      </c>
      <c r="L730" s="24" t="str">
        <f t="shared" si="105"/>
        <v>RJRJ</v>
      </c>
      <c r="M730" s="24" t="str">
        <f t="shared" si="105"/>
        <v>RJPR</v>
      </c>
      <c r="N730" s="24" t="str">
        <f t="shared" si="105"/>
        <v>RJAM</v>
      </c>
      <c r="O730" s="24">
        <f>VLOOKUP(H730, KM!$A:$E, 5, 0)</f>
        <v>429</v>
      </c>
      <c r="P730" s="24">
        <f>VLOOKUP(I730, KM!$A:$E, 5, 0)</f>
        <v>434</v>
      </c>
      <c r="Q730" s="24">
        <f>VLOOKUP(J730, KM!$A:$E, 5, 0)</f>
        <v>521</v>
      </c>
      <c r="R730" s="24">
        <f>VLOOKUP(K730, KM!$A:$E, 5, 0)</f>
        <v>1144</v>
      </c>
      <c r="S730" s="24">
        <f>VLOOKUP(L730, KM!$A:$E, 5, 0)</f>
        <v>0</v>
      </c>
      <c r="T730" s="24">
        <f>VLOOKUP(M730, KM!$A:$E, 5, 0)</f>
        <v>852</v>
      </c>
      <c r="U730" s="24">
        <f>VLOOKUP(N730, KM!$A:$E, 5, 0)</f>
        <v>4374</v>
      </c>
      <c r="V730" s="24">
        <f>VLOOKUP(H730, IMPOSTO!$A:$D, 4, 0)</f>
        <v>0.12</v>
      </c>
      <c r="W730" s="24">
        <f>VLOOKUP(I730, IMPOSTO!$A:$D, 4, 0)</f>
        <v>0.12</v>
      </c>
      <c r="X730" s="24">
        <f>VLOOKUP(J730, IMPOSTO!$A:$D, 4, 0)</f>
        <v>7.0000000000000007E-2</v>
      </c>
      <c r="Y730" s="24">
        <f>VLOOKUP(K730, IMPOSTO!$A:$D, 4, 0)</f>
        <v>0.12</v>
      </c>
      <c r="Z730" s="24">
        <f>VLOOKUP(L730, IMPOSTO!$A:$D, 4, 0)</f>
        <v>0.18</v>
      </c>
      <c r="AA730" s="24">
        <f>VLOOKUP(M730, IMPOSTO!$A:$D, 4, 0)</f>
        <v>0.12</v>
      </c>
      <c r="AB730" s="24">
        <f>VLOOKUP(N730, IMPOSTO!$A:$D, 4, 0)</f>
        <v>7.0000000000000007E-2</v>
      </c>
      <c r="AC730" s="25">
        <f t="shared" si="107"/>
        <v>2761.943804518583</v>
      </c>
      <c r="AD730" s="25">
        <f t="shared" si="108"/>
        <v>2762.5119863367645</v>
      </c>
      <c r="AE730" s="25">
        <f t="shared" si="109"/>
        <v>2623.3446752433902</v>
      </c>
      <c r="AF730" s="25">
        <f t="shared" si="110"/>
        <v>2843.193804518583</v>
      </c>
      <c r="AG730" s="25">
        <f t="shared" si="111"/>
        <v>2911.7201804589668</v>
      </c>
      <c r="AH730" s="25">
        <f t="shared" si="112"/>
        <v>2810.0119863367645</v>
      </c>
      <c r="AI730" s="25">
        <f t="shared" si="113"/>
        <v>3037.6457505122075</v>
      </c>
    </row>
    <row r="731" spans="1:35" ht="15.75" customHeight="1">
      <c r="A731" s="12" t="s">
        <v>644</v>
      </c>
      <c r="B731" s="12" t="s">
        <v>645</v>
      </c>
      <c r="C731" s="12" t="s">
        <v>220</v>
      </c>
      <c r="D731" s="12" t="s">
        <v>33</v>
      </c>
      <c r="E731" s="12" t="s">
        <v>27</v>
      </c>
      <c r="F731" s="13">
        <v>131.00000000000006</v>
      </c>
      <c r="G731" s="14">
        <v>5131.9760992907804</v>
      </c>
      <c r="H731" s="24" t="str">
        <f t="shared" si="106"/>
        <v>RJSP</v>
      </c>
      <c r="I731" s="24" t="str">
        <f t="shared" si="105"/>
        <v>RJMG</v>
      </c>
      <c r="J731" s="24" t="str">
        <f t="shared" si="105"/>
        <v>RJES</v>
      </c>
      <c r="K731" s="24" t="str">
        <f t="shared" si="105"/>
        <v>RJSC</v>
      </c>
      <c r="L731" s="24" t="str">
        <f t="shared" si="105"/>
        <v>RJRJ</v>
      </c>
      <c r="M731" s="24" t="str">
        <f t="shared" si="105"/>
        <v>RJPR</v>
      </c>
      <c r="N731" s="24" t="str">
        <f t="shared" si="105"/>
        <v>RJAM</v>
      </c>
      <c r="O731" s="24">
        <f>VLOOKUP(H731, KM!$A:$E, 5, 0)</f>
        <v>429</v>
      </c>
      <c r="P731" s="24">
        <f>VLOOKUP(I731, KM!$A:$E, 5, 0)</f>
        <v>434</v>
      </c>
      <c r="Q731" s="24">
        <f>VLOOKUP(J731, KM!$A:$E, 5, 0)</f>
        <v>521</v>
      </c>
      <c r="R731" s="24">
        <f>VLOOKUP(K731, KM!$A:$E, 5, 0)</f>
        <v>1144</v>
      </c>
      <c r="S731" s="24">
        <f>VLOOKUP(L731, KM!$A:$E, 5, 0)</f>
        <v>0</v>
      </c>
      <c r="T731" s="24">
        <f>VLOOKUP(M731, KM!$A:$E, 5, 0)</f>
        <v>852</v>
      </c>
      <c r="U731" s="24">
        <f>VLOOKUP(N731, KM!$A:$E, 5, 0)</f>
        <v>4374</v>
      </c>
      <c r="V731" s="24">
        <f>VLOOKUP(H731, IMPOSTO!$A:$D, 4, 0)</f>
        <v>0.12</v>
      </c>
      <c r="W731" s="24">
        <f>VLOOKUP(I731, IMPOSTO!$A:$D, 4, 0)</f>
        <v>0.12</v>
      </c>
      <c r="X731" s="24">
        <f>VLOOKUP(J731, IMPOSTO!$A:$D, 4, 0)</f>
        <v>7.0000000000000007E-2</v>
      </c>
      <c r="Y731" s="24">
        <f>VLOOKUP(K731, IMPOSTO!$A:$D, 4, 0)</f>
        <v>0.12</v>
      </c>
      <c r="Z731" s="24">
        <f>VLOOKUP(L731, IMPOSTO!$A:$D, 4, 0)</f>
        <v>0.18</v>
      </c>
      <c r="AA731" s="24">
        <f>VLOOKUP(M731, IMPOSTO!$A:$D, 4, 0)</f>
        <v>0.12</v>
      </c>
      <c r="AB731" s="24">
        <f>VLOOKUP(N731, IMPOSTO!$A:$D, 4, 0)</f>
        <v>7.0000000000000007E-2</v>
      </c>
      <c r="AC731" s="25">
        <f t="shared" si="107"/>
        <v>5880.5410219213409</v>
      </c>
      <c r="AD731" s="25">
        <f t="shared" si="108"/>
        <v>5881.1092037395229</v>
      </c>
      <c r="AE731" s="25">
        <f t="shared" si="109"/>
        <v>5574.2753755814847</v>
      </c>
      <c r="AF731" s="25">
        <f t="shared" si="110"/>
        <v>5961.7910219213409</v>
      </c>
      <c r="AG731" s="25">
        <f t="shared" si="111"/>
        <v>6258.5074381594877</v>
      </c>
      <c r="AH731" s="25">
        <f t="shared" si="112"/>
        <v>5928.6092037395229</v>
      </c>
      <c r="AI731" s="25">
        <f t="shared" si="113"/>
        <v>5988.5764508503016</v>
      </c>
    </row>
    <row r="732" spans="1:35" ht="15.75" customHeight="1">
      <c r="A732" s="12" t="s">
        <v>646</v>
      </c>
      <c r="B732" s="12" t="s">
        <v>647</v>
      </c>
      <c r="C732" s="12" t="s">
        <v>176</v>
      </c>
      <c r="D732" s="12" t="s">
        <v>33</v>
      </c>
      <c r="E732" s="12" t="s">
        <v>27</v>
      </c>
      <c r="F732" s="13">
        <v>161</v>
      </c>
      <c r="G732" s="14">
        <v>4369.3412345679017</v>
      </c>
      <c r="H732" s="24" t="str">
        <f t="shared" si="106"/>
        <v>RJSP</v>
      </c>
      <c r="I732" s="24" t="str">
        <f t="shared" si="105"/>
        <v>RJMG</v>
      </c>
      <c r="J732" s="24" t="str">
        <f t="shared" si="105"/>
        <v>RJES</v>
      </c>
      <c r="K732" s="24" t="str">
        <f t="shared" si="105"/>
        <v>RJSC</v>
      </c>
      <c r="L732" s="24" t="str">
        <f t="shared" si="105"/>
        <v>RJRJ</v>
      </c>
      <c r="M732" s="24" t="str">
        <f t="shared" si="105"/>
        <v>RJPR</v>
      </c>
      <c r="N732" s="24" t="str">
        <f t="shared" si="105"/>
        <v>RJAM</v>
      </c>
      <c r="O732" s="24">
        <f>VLOOKUP(H732, KM!$A:$E, 5, 0)</f>
        <v>429</v>
      </c>
      <c r="P732" s="24">
        <f>VLOOKUP(I732, KM!$A:$E, 5, 0)</f>
        <v>434</v>
      </c>
      <c r="Q732" s="24">
        <f>VLOOKUP(J732, KM!$A:$E, 5, 0)</f>
        <v>521</v>
      </c>
      <c r="R732" s="24">
        <f>VLOOKUP(K732, KM!$A:$E, 5, 0)</f>
        <v>1144</v>
      </c>
      <c r="S732" s="24">
        <f>VLOOKUP(L732, KM!$A:$E, 5, 0)</f>
        <v>0</v>
      </c>
      <c r="T732" s="24">
        <f>VLOOKUP(M732, KM!$A:$E, 5, 0)</f>
        <v>852</v>
      </c>
      <c r="U732" s="24">
        <f>VLOOKUP(N732, KM!$A:$E, 5, 0)</f>
        <v>4374</v>
      </c>
      <c r="V732" s="24">
        <f>VLOOKUP(H732, IMPOSTO!$A:$D, 4, 0)</f>
        <v>0.12</v>
      </c>
      <c r="W732" s="24">
        <f>VLOOKUP(I732, IMPOSTO!$A:$D, 4, 0)</f>
        <v>0.12</v>
      </c>
      <c r="X732" s="24">
        <f>VLOOKUP(J732, IMPOSTO!$A:$D, 4, 0)</f>
        <v>7.0000000000000007E-2</v>
      </c>
      <c r="Y732" s="24">
        <f>VLOOKUP(K732, IMPOSTO!$A:$D, 4, 0)</f>
        <v>0.12</v>
      </c>
      <c r="Z732" s="24">
        <f>VLOOKUP(L732, IMPOSTO!$A:$D, 4, 0)</f>
        <v>0.18</v>
      </c>
      <c r="AA732" s="24">
        <f>VLOOKUP(M732, IMPOSTO!$A:$D, 4, 0)</f>
        <v>0.12</v>
      </c>
      <c r="AB732" s="24">
        <f>VLOOKUP(N732, IMPOSTO!$A:$D, 4, 0)</f>
        <v>7.0000000000000007E-2</v>
      </c>
      <c r="AC732" s="25">
        <f t="shared" si="107"/>
        <v>5013.9104938271603</v>
      </c>
      <c r="AD732" s="25">
        <f t="shared" si="108"/>
        <v>5014.4786756453423</v>
      </c>
      <c r="AE732" s="25">
        <f t="shared" si="109"/>
        <v>4754.2378866321533</v>
      </c>
      <c r="AF732" s="25">
        <f t="shared" si="110"/>
        <v>5095.1604938271603</v>
      </c>
      <c r="AG732" s="25">
        <f t="shared" si="111"/>
        <v>5328.4649202047576</v>
      </c>
      <c r="AH732" s="25">
        <f t="shared" si="112"/>
        <v>5061.9786756453423</v>
      </c>
      <c r="AI732" s="25">
        <f t="shared" si="113"/>
        <v>5168.5389619009693</v>
      </c>
    </row>
    <row r="733" spans="1:35" ht="15.75" customHeight="1">
      <c r="A733" s="12" t="s">
        <v>648</v>
      </c>
      <c r="B733" s="12" t="s">
        <v>649</v>
      </c>
      <c r="C733" s="12" t="s">
        <v>119</v>
      </c>
      <c r="D733" s="12" t="s">
        <v>33</v>
      </c>
      <c r="E733" s="12" t="s">
        <v>27</v>
      </c>
      <c r="F733" s="13">
        <v>97</v>
      </c>
      <c r="G733" s="14">
        <v>4182.6400000000003</v>
      </c>
      <c r="H733" s="24" t="str">
        <f t="shared" si="106"/>
        <v>RJSP</v>
      </c>
      <c r="I733" s="24" t="str">
        <f t="shared" si="105"/>
        <v>RJMG</v>
      </c>
      <c r="J733" s="24" t="str">
        <f t="shared" si="105"/>
        <v>RJES</v>
      </c>
      <c r="K733" s="24" t="str">
        <f t="shared" si="105"/>
        <v>RJSC</v>
      </c>
      <c r="L733" s="24" t="str">
        <f t="shared" si="105"/>
        <v>RJRJ</v>
      </c>
      <c r="M733" s="24" t="str">
        <f t="shared" si="105"/>
        <v>RJPR</v>
      </c>
      <c r="N733" s="24" t="str">
        <f t="shared" si="105"/>
        <v>RJAM</v>
      </c>
      <c r="O733" s="24">
        <f>VLOOKUP(H733, KM!$A:$E, 5, 0)</f>
        <v>429</v>
      </c>
      <c r="P733" s="24">
        <f>VLOOKUP(I733, KM!$A:$E, 5, 0)</f>
        <v>434</v>
      </c>
      <c r="Q733" s="24">
        <f>VLOOKUP(J733, KM!$A:$E, 5, 0)</f>
        <v>521</v>
      </c>
      <c r="R733" s="24">
        <f>VLOOKUP(K733, KM!$A:$E, 5, 0)</f>
        <v>1144</v>
      </c>
      <c r="S733" s="24">
        <f>VLOOKUP(L733, KM!$A:$E, 5, 0)</f>
        <v>0</v>
      </c>
      <c r="T733" s="24">
        <f>VLOOKUP(M733, KM!$A:$E, 5, 0)</f>
        <v>852</v>
      </c>
      <c r="U733" s="24">
        <f>VLOOKUP(N733, KM!$A:$E, 5, 0)</f>
        <v>4374</v>
      </c>
      <c r="V733" s="24">
        <f>VLOOKUP(H733, IMPOSTO!$A:$D, 4, 0)</f>
        <v>0.12</v>
      </c>
      <c r="W733" s="24">
        <f>VLOOKUP(I733, IMPOSTO!$A:$D, 4, 0)</f>
        <v>0.12</v>
      </c>
      <c r="X733" s="24">
        <f>VLOOKUP(J733, IMPOSTO!$A:$D, 4, 0)</f>
        <v>7.0000000000000007E-2</v>
      </c>
      <c r="Y733" s="24">
        <f>VLOOKUP(K733, IMPOSTO!$A:$D, 4, 0)</f>
        <v>0.12</v>
      </c>
      <c r="Z733" s="24">
        <f>VLOOKUP(L733, IMPOSTO!$A:$D, 4, 0)</f>
        <v>0.18</v>
      </c>
      <c r="AA733" s="24">
        <f>VLOOKUP(M733, IMPOSTO!$A:$D, 4, 0)</f>
        <v>0.12</v>
      </c>
      <c r="AB733" s="24">
        <f>VLOOKUP(N733, IMPOSTO!$A:$D, 4, 0)</f>
        <v>7.0000000000000007E-2</v>
      </c>
      <c r="AC733" s="25">
        <f t="shared" si="107"/>
        <v>4801.75</v>
      </c>
      <c r="AD733" s="25">
        <f t="shared" si="108"/>
        <v>4802.318181818182</v>
      </c>
      <c r="AE733" s="25">
        <f t="shared" si="109"/>
        <v>4553.4838709677433</v>
      </c>
      <c r="AF733" s="25">
        <f t="shared" si="110"/>
        <v>4883</v>
      </c>
      <c r="AG733" s="25">
        <f t="shared" si="111"/>
        <v>5100.7804878048782</v>
      </c>
      <c r="AH733" s="25">
        <f t="shared" si="112"/>
        <v>4849.818181818182</v>
      </c>
      <c r="AI733" s="25">
        <f t="shared" si="113"/>
        <v>4967.7849462365593</v>
      </c>
    </row>
    <row r="734" spans="1:35" ht="15.75" customHeight="1">
      <c r="A734" s="12" t="s">
        <v>650</v>
      </c>
      <c r="B734" s="12" t="s">
        <v>651</v>
      </c>
      <c r="C734" s="12" t="s">
        <v>169</v>
      </c>
      <c r="D734" s="12" t="s">
        <v>33</v>
      </c>
      <c r="E734" s="12" t="s">
        <v>27</v>
      </c>
      <c r="F734" s="13">
        <v>3513.0000000000005</v>
      </c>
      <c r="G734" s="14">
        <v>62623.294783764184</v>
      </c>
      <c r="H734" s="24" t="str">
        <f t="shared" si="106"/>
        <v>RJSP</v>
      </c>
      <c r="I734" s="24" t="str">
        <f t="shared" si="105"/>
        <v>RJMG</v>
      </c>
      <c r="J734" s="24" t="str">
        <f t="shared" si="105"/>
        <v>RJES</v>
      </c>
      <c r="K734" s="24" t="str">
        <f t="shared" si="105"/>
        <v>RJSC</v>
      </c>
      <c r="L734" s="24" t="str">
        <f t="shared" si="105"/>
        <v>RJRJ</v>
      </c>
      <c r="M734" s="24" t="str">
        <f t="shared" si="105"/>
        <v>RJPR</v>
      </c>
      <c r="N734" s="24" t="str">
        <f t="shared" si="105"/>
        <v>RJAM</v>
      </c>
      <c r="O734" s="24">
        <f>VLOOKUP(H734, KM!$A:$E, 5, 0)</f>
        <v>429</v>
      </c>
      <c r="P734" s="24">
        <f>VLOOKUP(I734, KM!$A:$E, 5, 0)</f>
        <v>434</v>
      </c>
      <c r="Q734" s="24">
        <f>VLOOKUP(J734, KM!$A:$E, 5, 0)</f>
        <v>521</v>
      </c>
      <c r="R734" s="24">
        <f>VLOOKUP(K734, KM!$A:$E, 5, 0)</f>
        <v>1144</v>
      </c>
      <c r="S734" s="24">
        <f>VLOOKUP(L734, KM!$A:$E, 5, 0)</f>
        <v>0</v>
      </c>
      <c r="T734" s="24">
        <f>VLOOKUP(M734, KM!$A:$E, 5, 0)</f>
        <v>852</v>
      </c>
      <c r="U734" s="24">
        <f>VLOOKUP(N734, KM!$A:$E, 5, 0)</f>
        <v>4374</v>
      </c>
      <c r="V734" s="24">
        <f>VLOOKUP(H734, IMPOSTO!$A:$D, 4, 0)</f>
        <v>0.12</v>
      </c>
      <c r="W734" s="24">
        <f>VLOOKUP(I734, IMPOSTO!$A:$D, 4, 0)</f>
        <v>0.12</v>
      </c>
      <c r="X734" s="24">
        <f>VLOOKUP(J734, IMPOSTO!$A:$D, 4, 0)</f>
        <v>7.0000000000000007E-2</v>
      </c>
      <c r="Y734" s="24">
        <f>VLOOKUP(K734, IMPOSTO!$A:$D, 4, 0)</f>
        <v>0.12</v>
      </c>
      <c r="Z734" s="24">
        <f>VLOOKUP(L734, IMPOSTO!$A:$D, 4, 0)</f>
        <v>0.18</v>
      </c>
      <c r="AA734" s="24">
        <f>VLOOKUP(M734, IMPOSTO!$A:$D, 4, 0)</f>
        <v>0.12</v>
      </c>
      <c r="AB734" s="24">
        <f>VLOOKUP(N734, IMPOSTO!$A:$D, 4, 0)</f>
        <v>7.0000000000000007E-2</v>
      </c>
      <c r="AC734" s="25">
        <f t="shared" si="107"/>
        <v>71211.584981550215</v>
      </c>
      <c r="AD734" s="25">
        <f t="shared" si="108"/>
        <v>71212.153163368392</v>
      </c>
      <c r="AE734" s="25">
        <f t="shared" si="109"/>
        <v>67392.897616950737</v>
      </c>
      <c r="AF734" s="25">
        <f t="shared" si="110"/>
        <v>71292.834981550215</v>
      </c>
      <c r="AG734" s="25">
        <f t="shared" si="111"/>
        <v>76369.871687517298</v>
      </c>
      <c r="AH734" s="25">
        <f t="shared" si="112"/>
        <v>71259.653163368392</v>
      </c>
      <c r="AI734" s="25">
        <f t="shared" si="113"/>
        <v>67807.198692219565</v>
      </c>
    </row>
    <row r="735" spans="1:35" ht="15.75" customHeight="1">
      <c r="A735" s="12" t="s">
        <v>398</v>
      </c>
      <c r="B735" s="12" t="s">
        <v>399</v>
      </c>
      <c r="C735" s="12" t="s">
        <v>98</v>
      </c>
      <c r="D735" s="12" t="s">
        <v>33</v>
      </c>
      <c r="E735" s="12" t="s">
        <v>27</v>
      </c>
      <c r="F735" s="13">
        <v>0.24808290155440413</v>
      </c>
      <c r="G735" s="14">
        <v>3.1489910880829015</v>
      </c>
      <c r="H735" s="24" t="str">
        <f t="shared" si="106"/>
        <v>RJSP</v>
      </c>
      <c r="I735" s="24" t="str">
        <f t="shared" si="105"/>
        <v>RJMG</v>
      </c>
      <c r="J735" s="24" t="str">
        <f t="shared" si="105"/>
        <v>RJES</v>
      </c>
      <c r="K735" s="24" t="str">
        <f t="shared" si="105"/>
        <v>RJSC</v>
      </c>
      <c r="L735" s="24" t="str">
        <f t="shared" si="105"/>
        <v>RJRJ</v>
      </c>
      <c r="M735" s="24" t="str">
        <f t="shared" si="105"/>
        <v>RJPR</v>
      </c>
      <c r="N735" s="24" t="str">
        <f t="shared" si="105"/>
        <v>RJAM</v>
      </c>
      <c r="O735" s="24">
        <f>VLOOKUP(H735, KM!$A:$E, 5, 0)</f>
        <v>429</v>
      </c>
      <c r="P735" s="24">
        <f>VLOOKUP(I735, KM!$A:$E, 5, 0)</f>
        <v>434</v>
      </c>
      <c r="Q735" s="24">
        <f>VLOOKUP(J735, KM!$A:$E, 5, 0)</f>
        <v>521</v>
      </c>
      <c r="R735" s="24">
        <f>VLOOKUP(K735, KM!$A:$E, 5, 0)</f>
        <v>1144</v>
      </c>
      <c r="S735" s="24">
        <f>VLOOKUP(L735, KM!$A:$E, 5, 0)</f>
        <v>0</v>
      </c>
      <c r="T735" s="24">
        <f>VLOOKUP(M735, KM!$A:$E, 5, 0)</f>
        <v>852</v>
      </c>
      <c r="U735" s="24">
        <f>VLOOKUP(N735, KM!$A:$E, 5, 0)</f>
        <v>4374</v>
      </c>
      <c r="V735" s="24">
        <f>VLOOKUP(H735, IMPOSTO!$A:$D, 4, 0)</f>
        <v>0.12</v>
      </c>
      <c r="W735" s="24">
        <f>VLOOKUP(I735, IMPOSTO!$A:$D, 4, 0)</f>
        <v>0.12</v>
      </c>
      <c r="X735" s="24">
        <f>VLOOKUP(J735, IMPOSTO!$A:$D, 4, 0)</f>
        <v>7.0000000000000007E-2</v>
      </c>
      <c r="Y735" s="24">
        <f>VLOOKUP(K735, IMPOSTO!$A:$D, 4, 0)</f>
        <v>0.12</v>
      </c>
      <c r="Z735" s="24">
        <f>VLOOKUP(L735, IMPOSTO!$A:$D, 4, 0)</f>
        <v>0.18</v>
      </c>
      <c r="AA735" s="24">
        <f>VLOOKUP(M735, IMPOSTO!$A:$D, 4, 0)</f>
        <v>0.12</v>
      </c>
      <c r="AB735" s="24">
        <f>VLOOKUP(N735, IMPOSTO!$A:$D, 4, 0)</f>
        <v>7.0000000000000007E-2</v>
      </c>
      <c r="AC735" s="25">
        <f t="shared" si="107"/>
        <v>52.328398963730578</v>
      </c>
      <c r="AD735" s="25">
        <f t="shared" si="108"/>
        <v>52.896580781912391</v>
      </c>
      <c r="AE735" s="25">
        <f t="shared" si="109"/>
        <v>59.407517299013875</v>
      </c>
      <c r="AF735" s="25">
        <f t="shared" si="110"/>
        <v>133.57839896373059</v>
      </c>
      <c r="AG735" s="25">
        <f t="shared" si="111"/>
        <v>3.8402330342474404</v>
      </c>
      <c r="AH735" s="25">
        <f t="shared" si="112"/>
        <v>100.39658078191238</v>
      </c>
      <c r="AI735" s="25">
        <f t="shared" si="113"/>
        <v>473.70859256783115</v>
      </c>
    </row>
    <row r="736" spans="1:35" ht="15.75" customHeight="1">
      <c r="A736" s="12" t="s">
        <v>177</v>
      </c>
      <c r="B736" s="12" t="s">
        <v>178</v>
      </c>
      <c r="C736" s="12" t="s">
        <v>128</v>
      </c>
      <c r="D736" s="12" t="s">
        <v>33</v>
      </c>
      <c r="E736" s="12" t="s">
        <v>27</v>
      </c>
      <c r="F736" s="13">
        <v>0.78968089680589637</v>
      </c>
      <c r="G736" s="14">
        <v>58.385881133292379</v>
      </c>
      <c r="H736" s="24" t="str">
        <f t="shared" si="106"/>
        <v>RJSP</v>
      </c>
      <c r="I736" s="24" t="str">
        <f t="shared" si="105"/>
        <v>RJMG</v>
      </c>
      <c r="J736" s="24" t="str">
        <f t="shared" si="105"/>
        <v>RJES</v>
      </c>
      <c r="K736" s="24" t="str">
        <f t="shared" si="105"/>
        <v>RJSC</v>
      </c>
      <c r="L736" s="24" t="str">
        <f t="shared" si="105"/>
        <v>RJRJ</v>
      </c>
      <c r="M736" s="24" t="str">
        <f t="shared" si="105"/>
        <v>RJPR</v>
      </c>
      <c r="N736" s="24" t="str">
        <f t="shared" si="105"/>
        <v>RJAM</v>
      </c>
      <c r="O736" s="24">
        <f>VLOOKUP(H736, KM!$A:$E, 5, 0)</f>
        <v>429</v>
      </c>
      <c r="P736" s="24">
        <f>VLOOKUP(I736, KM!$A:$E, 5, 0)</f>
        <v>434</v>
      </c>
      <c r="Q736" s="24">
        <f>VLOOKUP(J736, KM!$A:$E, 5, 0)</f>
        <v>521</v>
      </c>
      <c r="R736" s="24">
        <f>VLOOKUP(K736, KM!$A:$E, 5, 0)</f>
        <v>1144</v>
      </c>
      <c r="S736" s="24">
        <f>VLOOKUP(L736, KM!$A:$E, 5, 0)</f>
        <v>0</v>
      </c>
      <c r="T736" s="24">
        <f>VLOOKUP(M736, KM!$A:$E, 5, 0)</f>
        <v>852</v>
      </c>
      <c r="U736" s="24">
        <f>VLOOKUP(N736, KM!$A:$E, 5, 0)</f>
        <v>4374</v>
      </c>
      <c r="V736" s="24">
        <f>VLOOKUP(H736, IMPOSTO!$A:$D, 4, 0)</f>
        <v>0.12</v>
      </c>
      <c r="W736" s="24">
        <f>VLOOKUP(I736, IMPOSTO!$A:$D, 4, 0)</f>
        <v>0.12</v>
      </c>
      <c r="X736" s="24">
        <f>VLOOKUP(J736, IMPOSTO!$A:$D, 4, 0)</f>
        <v>7.0000000000000007E-2</v>
      </c>
      <c r="Y736" s="24">
        <f>VLOOKUP(K736, IMPOSTO!$A:$D, 4, 0)</f>
        <v>0.12</v>
      </c>
      <c r="Z736" s="24">
        <f>VLOOKUP(L736, IMPOSTO!$A:$D, 4, 0)</f>
        <v>0.18</v>
      </c>
      <c r="AA736" s="24">
        <f>VLOOKUP(M736, IMPOSTO!$A:$D, 4, 0)</f>
        <v>0.12</v>
      </c>
      <c r="AB736" s="24">
        <f>VLOOKUP(N736, IMPOSTO!$A:$D, 4, 0)</f>
        <v>7.0000000000000007E-2</v>
      </c>
      <c r="AC736" s="25">
        <f t="shared" si="107"/>
        <v>115.09759219692316</v>
      </c>
      <c r="AD736" s="25">
        <f t="shared" si="108"/>
        <v>115.66577401510497</v>
      </c>
      <c r="AE736" s="25">
        <f t="shared" si="109"/>
        <v>118.80202272397031</v>
      </c>
      <c r="AF736" s="25">
        <f t="shared" si="110"/>
        <v>196.34759219692316</v>
      </c>
      <c r="AG736" s="25">
        <f t="shared" si="111"/>
        <v>71.202294064990696</v>
      </c>
      <c r="AH736" s="25">
        <f t="shared" si="112"/>
        <v>163.165774015105</v>
      </c>
      <c r="AI736" s="25">
        <f t="shared" si="113"/>
        <v>533.10309799278764</v>
      </c>
    </row>
    <row r="737" spans="1:35" ht="15.75" customHeight="1">
      <c r="A737" s="12" t="s">
        <v>182</v>
      </c>
      <c r="B737" s="12" t="s">
        <v>183</v>
      </c>
      <c r="C737" s="12" t="s">
        <v>160</v>
      </c>
      <c r="D737" s="12" t="s">
        <v>33</v>
      </c>
      <c r="E737" s="12" t="s">
        <v>27</v>
      </c>
      <c r="F737" s="13">
        <v>128.69170575578264</v>
      </c>
      <c r="G737" s="14">
        <v>784.81515891920367</v>
      </c>
      <c r="H737" s="24" t="str">
        <f t="shared" si="106"/>
        <v>RJSP</v>
      </c>
      <c r="I737" s="24" t="str">
        <f t="shared" si="105"/>
        <v>RJMG</v>
      </c>
      <c r="J737" s="24" t="str">
        <f t="shared" si="105"/>
        <v>RJES</v>
      </c>
      <c r="K737" s="24" t="str">
        <f t="shared" si="105"/>
        <v>RJSC</v>
      </c>
      <c r="L737" s="24" t="str">
        <f t="shared" si="105"/>
        <v>RJRJ</v>
      </c>
      <c r="M737" s="24" t="str">
        <f t="shared" si="105"/>
        <v>RJPR</v>
      </c>
      <c r="N737" s="24" t="str">
        <f t="shared" si="105"/>
        <v>RJAM</v>
      </c>
      <c r="O737" s="24">
        <f>VLOOKUP(H737, KM!$A:$E, 5, 0)</f>
        <v>429</v>
      </c>
      <c r="P737" s="24">
        <f>VLOOKUP(I737, KM!$A:$E, 5, 0)</f>
        <v>434</v>
      </c>
      <c r="Q737" s="24">
        <f>VLOOKUP(J737, KM!$A:$E, 5, 0)</f>
        <v>521</v>
      </c>
      <c r="R737" s="24">
        <f>VLOOKUP(K737, KM!$A:$E, 5, 0)</f>
        <v>1144</v>
      </c>
      <c r="S737" s="24">
        <f>VLOOKUP(L737, KM!$A:$E, 5, 0)</f>
        <v>0</v>
      </c>
      <c r="T737" s="24">
        <f>VLOOKUP(M737, KM!$A:$E, 5, 0)</f>
        <v>852</v>
      </c>
      <c r="U737" s="24">
        <f>VLOOKUP(N737, KM!$A:$E, 5, 0)</f>
        <v>4374</v>
      </c>
      <c r="V737" s="24">
        <f>VLOOKUP(H737, IMPOSTO!$A:$D, 4, 0)</f>
        <v>0.12</v>
      </c>
      <c r="W737" s="24">
        <f>VLOOKUP(I737, IMPOSTO!$A:$D, 4, 0)</f>
        <v>0.12</v>
      </c>
      <c r="X737" s="24">
        <f>VLOOKUP(J737, IMPOSTO!$A:$D, 4, 0)</f>
        <v>7.0000000000000007E-2</v>
      </c>
      <c r="Y737" s="24">
        <f>VLOOKUP(K737, IMPOSTO!$A:$D, 4, 0)</f>
        <v>0.12</v>
      </c>
      <c r="Z737" s="24">
        <f>VLOOKUP(L737, IMPOSTO!$A:$D, 4, 0)</f>
        <v>0.18</v>
      </c>
      <c r="AA737" s="24">
        <f>VLOOKUP(M737, IMPOSTO!$A:$D, 4, 0)</f>
        <v>0.12</v>
      </c>
      <c r="AB737" s="24">
        <f>VLOOKUP(N737, IMPOSTO!$A:$D, 4, 0)</f>
        <v>7.0000000000000007E-2</v>
      </c>
      <c r="AC737" s="25">
        <f t="shared" si="107"/>
        <v>940.58540786273136</v>
      </c>
      <c r="AD737" s="25">
        <f t="shared" si="108"/>
        <v>941.15358968091323</v>
      </c>
      <c r="AE737" s="25">
        <f t="shared" si="109"/>
        <v>899.90877303140189</v>
      </c>
      <c r="AF737" s="25">
        <f t="shared" si="110"/>
        <v>1021.8354078627314</v>
      </c>
      <c r="AG737" s="25">
        <f t="shared" si="111"/>
        <v>957.09165721854094</v>
      </c>
      <c r="AH737" s="25">
        <f t="shared" si="112"/>
        <v>988.65358968091334</v>
      </c>
      <c r="AI737" s="25">
        <f t="shared" si="113"/>
        <v>1314.2098483002192</v>
      </c>
    </row>
    <row r="738" spans="1:35" ht="15.75" customHeight="1">
      <c r="A738" s="12" t="s">
        <v>186</v>
      </c>
      <c r="B738" s="12" t="s">
        <v>187</v>
      </c>
      <c r="C738" s="12" t="s">
        <v>181</v>
      </c>
      <c r="D738" s="12" t="s">
        <v>33</v>
      </c>
      <c r="E738" s="12" t="s">
        <v>27</v>
      </c>
      <c r="F738" s="13">
        <v>28.597129639737993</v>
      </c>
      <c r="G738" s="14">
        <v>1207.4896014667031</v>
      </c>
      <c r="H738" s="24" t="str">
        <f t="shared" si="106"/>
        <v>RJSP</v>
      </c>
      <c r="I738" s="24" t="str">
        <f t="shared" si="105"/>
        <v>RJMG</v>
      </c>
      <c r="J738" s="24" t="str">
        <f t="shared" si="105"/>
        <v>RJES</v>
      </c>
      <c r="K738" s="24" t="str">
        <f t="shared" si="105"/>
        <v>RJSC</v>
      </c>
      <c r="L738" s="24" t="str">
        <f t="shared" si="105"/>
        <v>RJRJ</v>
      </c>
      <c r="M738" s="24" t="str">
        <f t="shared" si="105"/>
        <v>RJPR</v>
      </c>
      <c r="N738" s="24" t="str">
        <f t="shared" si="105"/>
        <v>RJAM</v>
      </c>
      <c r="O738" s="24">
        <f>VLOOKUP(H738, KM!$A:$E, 5, 0)</f>
        <v>429</v>
      </c>
      <c r="P738" s="24">
        <f>VLOOKUP(I738, KM!$A:$E, 5, 0)</f>
        <v>434</v>
      </c>
      <c r="Q738" s="24">
        <f>VLOOKUP(J738, KM!$A:$E, 5, 0)</f>
        <v>521</v>
      </c>
      <c r="R738" s="24">
        <f>VLOOKUP(K738, KM!$A:$E, 5, 0)</f>
        <v>1144</v>
      </c>
      <c r="S738" s="24">
        <f>VLOOKUP(L738, KM!$A:$E, 5, 0)</f>
        <v>0</v>
      </c>
      <c r="T738" s="24">
        <f>VLOOKUP(M738, KM!$A:$E, 5, 0)</f>
        <v>852</v>
      </c>
      <c r="U738" s="24">
        <f>VLOOKUP(N738, KM!$A:$E, 5, 0)</f>
        <v>4374</v>
      </c>
      <c r="V738" s="24">
        <f>VLOOKUP(H738, IMPOSTO!$A:$D, 4, 0)</f>
        <v>0.12</v>
      </c>
      <c r="W738" s="24">
        <f>VLOOKUP(I738, IMPOSTO!$A:$D, 4, 0)</f>
        <v>0.12</v>
      </c>
      <c r="X738" s="24">
        <f>VLOOKUP(J738, IMPOSTO!$A:$D, 4, 0)</f>
        <v>7.0000000000000007E-2</v>
      </c>
      <c r="Y738" s="24">
        <f>VLOOKUP(K738, IMPOSTO!$A:$D, 4, 0)</f>
        <v>0.12</v>
      </c>
      <c r="Z738" s="24">
        <f>VLOOKUP(L738, IMPOSTO!$A:$D, 4, 0)</f>
        <v>0.18</v>
      </c>
      <c r="AA738" s="24">
        <f>VLOOKUP(M738, IMPOSTO!$A:$D, 4, 0)</f>
        <v>0.12</v>
      </c>
      <c r="AB738" s="24">
        <f>VLOOKUP(N738, IMPOSTO!$A:$D, 4, 0)</f>
        <v>7.0000000000000007E-2</v>
      </c>
      <c r="AC738" s="25">
        <f t="shared" si="107"/>
        <v>1420.897274393981</v>
      </c>
      <c r="AD738" s="25">
        <f t="shared" si="108"/>
        <v>1421.4654562121627</v>
      </c>
      <c r="AE738" s="25">
        <f t="shared" si="109"/>
        <v>1354.3974209319388</v>
      </c>
      <c r="AF738" s="25">
        <f t="shared" si="110"/>
        <v>1502.147274393981</v>
      </c>
      <c r="AG738" s="25">
        <f t="shared" si="111"/>
        <v>1472.5482944715891</v>
      </c>
      <c r="AH738" s="25">
        <f t="shared" si="112"/>
        <v>1468.9654562121627</v>
      </c>
      <c r="AI738" s="25">
        <f t="shared" si="113"/>
        <v>1768.6984962007562</v>
      </c>
    </row>
    <row r="739" spans="1:35" ht="15.75" customHeight="1">
      <c r="A739" s="12" t="s">
        <v>582</v>
      </c>
      <c r="B739" s="12" t="s">
        <v>583</v>
      </c>
      <c r="C739" s="12" t="s">
        <v>181</v>
      </c>
      <c r="D739" s="12" t="s">
        <v>33</v>
      </c>
      <c r="E739" s="12" t="s">
        <v>27</v>
      </c>
      <c r="F739" s="13">
        <v>771.97679999999991</v>
      </c>
      <c r="G739" s="14">
        <v>10467.030279410526</v>
      </c>
      <c r="H739" s="24" t="str">
        <f t="shared" si="106"/>
        <v>RJSP</v>
      </c>
      <c r="I739" s="24" t="str">
        <f t="shared" si="105"/>
        <v>RJMG</v>
      </c>
      <c r="J739" s="24" t="str">
        <f t="shared" si="105"/>
        <v>RJES</v>
      </c>
      <c r="K739" s="24" t="str">
        <f t="shared" si="105"/>
        <v>RJSC</v>
      </c>
      <c r="L739" s="24" t="str">
        <f t="shared" si="105"/>
        <v>RJRJ</v>
      </c>
      <c r="M739" s="24" t="str">
        <f t="shared" si="105"/>
        <v>RJPR</v>
      </c>
      <c r="N739" s="24" t="str">
        <f t="shared" si="105"/>
        <v>RJAM</v>
      </c>
      <c r="O739" s="24">
        <f>VLOOKUP(H739, KM!$A:$E, 5, 0)</f>
        <v>429</v>
      </c>
      <c r="P739" s="24">
        <f>VLOOKUP(I739, KM!$A:$E, 5, 0)</f>
        <v>434</v>
      </c>
      <c r="Q739" s="24">
        <f>VLOOKUP(J739, KM!$A:$E, 5, 0)</f>
        <v>521</v>
      </c>
      <c r="R739" s="24">
        <f>VLOOKUP(K739, KM!$A:$E, 5, 0)</f>
        <v>1144</v>
      </c>
      <c r="S739" s="24">
        <f>VLOOKUP(L739, KM!$A:$E, 5, 0)</f>
        <v>0</v>
      </c>
      <c r="T739" s="24">
        <f>VLOOKUP(M739, KM!$A:$E, 5, 0)</f>
        <v>852</v>
      </c>
      <c r="U739" s="24">
        <f>VLOOKUP(N739, KM!$A:$E, 5, 0)</f>
        <v>4374</v>
      </c>
      <c r="V739" s="24">
        <f>VLOOKUP(H739, IMPOSTO!$A:$D, 4, 0)</f>
        <v>0.12</v>
      </c>
      <c r="W739" s="24">
        <f>VLOOKUP(I739, IMPOSTO!$A:$D, 4, 0)</f>
        <v>0.12</v>
      </c>
      <c r="X739" s="24">
        <f>VLOOKUP(J739, IMPOSTO!$A:$D, 4, 0)</f>
        <v>7.0000000000000007E-2</v>
      </c>
      <c r="Y739" s="24">
        <f>VLOOKUP(K739, IMPOSTO!$A:$D, 4, 0)</f>
        <v>0.12</v>
      </c>
      <c r="Z739" s="24">
        <f>VLOOKUP(L739, IMPOSTO!$A:$D, 4, 0)</f>
        <v>0.18</v>
      </c>
      <c r="AA739" s="24">
        <f>VLOOKUP(M739, IMPOSTO!$A:$D, 4, 0)</f>
        <v>0.12</v>
      </c>
      <c r="AB739" s="24">
        <f>VLOOKUP(N739, IMPOSTO!$A:$D, 4, 0)</f>
        <v>7.0000000000000007E-2</v>
      </c>
      <c r="AC739" s="25">
        <f t="shared" si="107"/>
        <v>11943.102590239234</v>
      </c>
      <c r="AD739" s="25">
        <f t="shared" si="108"/>
        <v>11943.670772057416</v>
      </c>
      <c r="AE739" s="25">
        <f t="shared" si="109"/>
        <v>11310.892773559706</v>
      </c>
      <c r="AF739" s="25">
        <f t="shared" si="110"/>
        <v>12024.352590239234</v>
      </c>
      <c r="AG739" s="25">
        <f t="shared" si="111"/>
        <v>12764.67107245186</v>
      </c>
      <c r="AH739" s="25">
        <f t="shared" si="112"/>
        <v>11991.170772057418</v>
      </c>
      <c r="AI739" s="25">
        <f t="shared" si="113"/>
        <v>11725.193848828523</v>
      </c>
    </row>
    <row r="740" spans="1:35" ht="15.75" customHeight="1">
      <c r="A740" s="12" t="s">
        <v>560</v>
      </c>
      <c r="B740" s="12" t="s">
        <v>561</v>
      </c>
      <c r="C740" s="12" t="s">
        <v>192</v>
      </c>
      <c r="D740" s="12" t="s">
        <v>33</v>
      </c>
      <c r="E740" s="12" t="s">
        <v>27</v>
      </c>
      <c r="F740" s="13">
        <v>1.2852830188679245E-2</v>
      </c>
      <c r="G740" s="14">
        <v>0.93424652075471704</v>
      </c>
      <c r="H740" s="24" t="str">
        <f t="shared" si="106"/>
        <v>RJSP</v>
      </c>
      <c r="I740" s="24" t="str">
        <f t="shared" si="105"/>
        <v>RJMG</v>
      </c>
      <c r="J740" s="24" t="str">
        <f t="shared" si="105"/>
        <v>RJES</v>
      </c>
      <c r="K740" s="24" t="str">
        <f t="shared" si="105"/>
        <v>RJSC</v>
      </c>
      <c r="L740" s="24" t="str">
        <f t="shared" si="105"/>
        <v>RJRJ</v>
      </c>
      <c r="M740" s="24" t="str">
        <f t="shared" si="105"/>
        <v>RJPR</v>
      </c>
      <c r="N740" s="24" t="str">
        <f t="shared" si="105"/>
        <v>RJAM</v>
      </c>
      <c r="O740" s="24">
        <f>VLOOKUP(H740, KM!$A:$E, 5, 0)</f>
        <v>429</v>
      </c>
      <c r="P740" s="24">
        <f>VLOOKUP(I740, KM!$A:$E, 5, 0)</f>
        <v>434</v>
      </c>
      <c r="Q740" s="24">
        <f>VLOOKUP(J740, KM!$A:$E, 5, 0)</f>
        <v>521</v>
      </c>
      <c r="R740" s="24">
        <f>VLOOKUP(K740, KM!$A:$E, 5, 0)</f>
        <v>1144</v>
      </c>
      <c r="S740" s="24">
        <f>VLOOKUP(L740, KM!$A:$E, 5, 0)</f>
        <v>0</v>
      </c>
      <c r="T740" s="24">
        <f>VLOOKUP(M740, KM!$A:$E, 5, 0)</f>
        <v>852</v>
      </c>
      <c r="U740" s="24">
        <f>VLOOKUP(N740, KM!$A:$E, 5, 0)</f>
        <v>4374</v>
      </c>
      <c r="V740" s="24">
        <f>VLOOKUP(H740, IMPOSTO!$A:$D, 4, 0)</f>
        <v>0.12</v>
      </c>
      <c r="W740" s="24">
        <f>VLOOKUP(I740, IMPOSTO!$A:$D, 4, 0)</f>
        <v>0.12</v>
      </c>
      <c r="X740" s="24">
        <f>VLOOKUP(J740, IMPOSTO!$A:$D, 4, 0)</f>
        <v>7.0000000000000007E-2</v>
      </c>
      <c r="Y740" s="24">
        <f>VLOOKUP(K740, IMPOSTO!$A:$D, 4, 0)</f>
        <v>0.12</v>
      </c>
      <c r="Z740" s="24">
        <f>VLOOKUP(L740, IMPOSTO!$A:$D, 4, 0)</f>
        <v>0.18</v>
      </c>
      <c r="AA740" s="24">
        <f>VLOOKUP(M740, IMPOSTO!$A:$D, 4, 0)</f>
        <v>0.12</v>
      </c>
      <c r="AB740" s="24">
        <f>VLOOKUP(N740, IMPOSTO!$A:$D, 4, 0)</f>
        <v>7.0000000000000007E-2</v>
      </c>
      <c r="AC740" s="25">
        <f t="shared" si="107"/>
        <v>49.811643773584912</v>
      </c>
      <c r="AD740" s="25">
        <f t="shared" si="108"/>
        <v>50.379825591766732</v>
      </c>
      <c r="AE740" s="25">
        <f t="shared" si="109"/>
        <v>57.026071527693254</v>
      </c>
      <c r="AF740" s="25">
        <f t="shared" si="110"/>
        <v>131.0616437735849</v>
      </c>
      <c r="AG740" s="25">
        <f t="shared" si="111"/>
        <v>1.1393250253106304</v>
      </c>
      <c r="AH740" s="25">
        <f t="shared" si="112"/>
        <v>97.879825591766718</v>
      </c>
      <c r="AI740" s="25">
        <f t="shared" si="113"/>
        <v>471.32714679651048</v>
      </c>
    </row>
    <row r="741" spans="1:35" ht="15.75" customHeight="1">
      <c r="A741" s="12" t="s">
        <v>586</v>
      </c>
      <c r="B741" s="12" t="s">
        <v>587</v>
      </c>
      <c r="C741" s="12" t="s">
        <v>220</v>
      </c>
      <c r="D741" s="12" t="s">
        <v>33</v>
      </c>
      <c r="E741" s="12" t="s">
        <v>27</v>
      </c>
      <c r="F741" s="13">
        <v>6.9397999999999964</v>
      </c>
      <c r="G741" s="14">
        <v>79.993421235569429</v>
      </c>
      <c r="H741" s="24" t="str">
        <f t="shared" si="106"/>
        <v>RJSP</v>
      </c>
      <c r="I741" s="24" t="str">
        <f t="shared" si="105"/>
        <v>RJMG</v>
      </c>
      <c r="J741" s="24" t="str">
        <f t="shared" si="105"/>
        <v>RJES</v>
      </c>
      <c r="K741" s="24" t="str">
        <f t="shared" si="105"/>
        <v>RJSC</v>
      </c>
      <c r="L741" s="24" t="str">
        <f t="shared" si="105"/>
        <v>RJRJ</v>
      </c>
      <c r="M741" s="24" t="str">
        <f t="shared" si="105"/>
        <v>RJPR</v>
      </c>
      <c r="N741" s="24" t="str">
        <f t="shared" si="105"/>
        <v>RJAM</v>
      </c>
      <c r="O741" s="24">
        <f>VLOOKUP(H741, KM!$A:$E, 5, 0)</f>
        <v>429</v>
      </c>
      <c r="P741" s="24">
        <f>VLOOKUP(I741, KM!$A:$E, 5, 0)</f>
        <v>434</v>
      </c>
      <c r="Q741" s="24">
        <f>VLOOKUP(J741, KM!$A:$E, 5, 0)</f>
        <v>521</v>
      </c>
      <c r="R741" s="24">
        <f>VLOOKUP(K741, KM!$A:$E, 5, 0)</f>
        <v>1144</v>
      </c>
      <c r="S741" s="24">
        <f>VLOOKUP(L741, KM!$A:$E, 5, 0)</f>
        <v>0</v>
      </c>
      <c r="T741" s="24">
        <f>VLOOKUP(M741, KM!$A:$E, 5, 0)</f>
        <v>852</v>
      </c>
      <c r="U741" s="24">
        <f>VLOOKUP(N741, KM!$A:$E, 5, 0)</f>
        <v>4374</v>
      </c>
      <c r="V741" s="24">
        <f>VLOOKUP(H741, IMPOSTO!$A:$D, 4, 0)</f>
        <v>0.12</v>
      </c>
      <c r="W741" s="24">
        <f>VLOOKUP(I741, IMPOSTO!$A:$D, 4, 0)</f>
        <v>0.12</v>
      </c>
      <c r="X741" s="24">
        <f>VLOOKUP(J741, IMPOSTO!$A:$D, 4, 0)</f>
        <v>7.0000000000000007E-2</v>
      </c>
      <c r="Y741" s="24">
        <f>VLOOKUP(K741, IMPOSTO!$A:$D, 4, 0)</f>
        <v>0.12</v>
      </c>
      <c r="Z741" s="24">
        <f>VLOOKUP(L741, IMPOSTO!$A:$D, 4, 0)</f>
        <v>0.18</v>
      </c>
      <c r="AA741" s="24">
        <f>VLOOKUP(M741, IMPOSTO!$A:$D, 4, 0)</f>
        <v>0.12</v>
      </c>
      <c r="AB741" s="24">
        <f>VLOOKUP(N741, IMPOSTO!$A:$D, 4, 0)</f>
        <v>7.0000000000000007E-2</v>
      </c>
      <c r="AC741" s="25">
        <f t="shared" si="107"/>
        <v>139.65161504041981</v>
      </c>
      <c r="AD741" s="25">
        <f t="shared" si="108"/>
        <v>140.21979685860163</v>
      </c>
      <c r="AE741" s="25">
        <f t="shared" si="109"/>
        <v>142.03593681244024</v>
      </c>
      <c r="AF741" s="25">
        <f t="shared" si="110"/>
        <v>220.90161504041981</v>
      </c>
      <c r="AG741" s="25">
        <f t="shared" si="111"/>
        <v>97.55295272630417</v>
      </c>
      <c r="AH741" s="25">
        <f t="shared" si="112"/>
        <v>187.7197968586016</v>
      </c>
      <c r="AI741" s="25">
        <f t="shared" si="113"/>
        <v>556.33701208125751</v>
      </c>
    </row>
    <row r="742" spans="1:35" ht="15.75" customHeight="1">
      <c r="A742" s="12" t="s">
        <v>459</v>
      </c>
      <c r="B742" s="12" t="s">
        <v>460</v>
      </c>
      <c r="C742" s="12" t="s">
        <v>192</v>
      </c>
      <c r="D742" s="12" t="s">
        <v>50</v>
      </c>
      <c r="E742" s="12" t="s">
        <v>27</v>
      </c>
      <c r="F742" s="13">
        <v>1.1846101895734598</v>
      </c>
      <c r="G742" s="14">
        <v>4.2598582417061612</v>
      </c>
      <c r="H742" s="24" t="str">
        <f t="shared" si="106"/>
        <v>RJSP</v>
      </c>
      <c r="I742" s="24" t="str">
        <f t="shared" si="105"/>
        <v>RJMG</v>
      </c>
      <c r="J742" s="24" t="str">
        <f t="shared" si="105"/>
        <v>RJES</v>
      </c>
      <c r="K742" s="24" t="str">
        <f t="shared" si="105"/>
        <v>RJSC</v>
      </c>
      <c r="L742" s="24" t="str">
        <f t="shared" si="105"/>
        <v>RJRJ</v>
      </c>
      <c r="M742" s="24" t="str">
        <f t="shared" si="105"/>
        <v>RJPR</v>
      </c>
      <c r="N742" s="24" t="str">
        <f t="shared" si="105"/>
        <v>RJAM</v>
      </c>
      <c r="O742" s="24">
        <f>VLOOKUP(H742, KM!$A:$E, 5, 0)</f>
        <v>429</v>
      </c>
      <c r="P742" s="24">
        <f>VLOOKUP(I742, KM!$A:$E, 5, 0)</f>
        <v>434</v>
      </c>
      <c r="Q742" s="24">
        <f>VLOOKUP(J742, KM!$A:$E, 5, 0)</f>
        <v>521</v>
      </c>
      <c r="R742" s="24">
        <f>VLOOKUP(K742, KM!$A:$E, 5, 0)</f>
        <v>1144</v>
      </c>
      <c r="S742" s="24">
        <f>VLOOKUP(L742, KM!$A:$E, 5, 0)</f>
        <v>0</v>
      </c>
      <c r="T742" s="24">
        <f>VLOOKUP(M742, KM!$A:$E, 5, 0)</f>
        <v>852</v>
      </c>
      <c r="U742" s="24">
        <f>VLOOKUP(N742, KM!$A:$E, 5, 0)</f>
        <v>4374</v>
      </c>
      <c r="V742" s="24">
        <f>VLOOKUP(H742, IMPOSTO!$A:$D, 4, 0)</f>
        <v>0.12</v>
      </c>
      <c r="W742" s="24">
        <f>VLOOKUP(I742, IMPOSTO!$A:$D, 4, 0)</f>
        <v>0.12</v>
      </c>
      <c r="X742" s="24">
        <f>VLOOKUP(J742, IMPOSTO!$A:$D, 4, 0)</f>
        <v>7.0000000000000007E-2</v>
      </c>
      <c r="Y742" s="24">
        <f>VLOOKUP(K742, IMPOSTO!$A:$D, 4, 0)</f>
        <v>0.12</v>
      </c>
      <c r="Z742" s="24">
        <f>VLOOKUP(L742, IMPOSTO!$A:$D, 4, 0)</f>
        <v>0.18</v>
      </c>
      <c r="AA742" s="24">
        <f>VLOOKUP(M742, IMPOSTO!$A:$D, 4, 0)</f>
        <v>0.12</v>
      </c>
      <c r="AB742" s="24">
        <f>VLOOKUP(N742, IMPOSTO!$A:$D, 4, 0)</f>
        <v>7.0000000000000007E-2</v>
      </c>
      <c r="AC742" s="25">
        <f t="shared" si="107"/>
        <v>53.590748001938827</v>
      </c>
      <c r="AD742" s="25">
        <f t="shared" si="108"/>
        <v>54.158929820120647</v>
      </c>
      <c r="AE742" s="25">
        <f t="shared" si="109"/>
        <v>60.601998109361467</v>
      </c>
      <c r="AF742" s="25">
        <f t="shared" si="110"/>
        <v>134.84074800193881</v>
      </c>
      <c r="AG742" s="25">
        <f t="shared" si="111"/>
        <v>5.194949075251416</v>
      </c>
      <c r="AH742" s="25">
        <f t="shared" si="112"/>
        <v>101.65892982012063</v>
      </c>
      <c r="AI742" s="25">
        <f t="shared" si="113"/>
        <v>474.90307337817876</v>
      </c>
    </row>
    <row r="743" spans="1:35" ht="15.75" customHeight="1">
      <c r="A743" s="12" t="s">
        <v>199</v>
      </c>
      <c r="B743" s="12" t="s">
        <v>200</v>
      </c>
      <c r="C743" s="12" t="s">
        <v>181</v>
      </c>
      <c r="D743" s="12" t="s">
        <v>33</v>
      </c>
      <c r="E743" s="12" t="s">
        <v>27</v>
      </c>
      <c r="F743" s="13">
        <v>173.19024316939891</v>
      </c>
      <c r="G743" s="14">
        <v>2229.1741004590162</v>
      </c>
      <c r="H743" s="24" t="str">
        <f t="shared" si="106"/>
        <v>RJSP</v>
      </c>
      <c r="I743" s="24" t="str">
        <f t="shared" si="105"/>
        <v>RJMG</v>
      </c>
      <c r="J743" s="24" t="str">
        <f t="shared" si="105"/>
        <v>RJES</v>
      </c>
      <c r="K743" s="24" t="str">
        <f t="shared" si="105"/>
        <v>RJSC</v>
      </c>
      <c r="L743" s="24" t="str">
        <f t="shared" si="105"/>
        <v>RJRJ</v>
      </c>
      <c r="M743" s="24" t="str">
        <f t="shared" si="105"/>
        <v>RJPR</v>
      </c>
      <c r="N743" s="24" t="str">
        <f t="shared" si="105"/>
        <v>RJAM</v>
      </c>
      <c r="O743" s="24">
        <f>VLOOKUP(H743, KM!$A:$E, 5, 0)</f>
        <v>429</v>
      </c>
      <c r="P743" s="24">
        <f>VLOOKUP(I743, KM!$A:$E, 5, 0)</f>
        <v>434</v>
      </c>
      <c r="Q743" s="24">
        <f>VLOOKUP(J743, KM!$A:$E, 5, 0)</f>
        <v>521</v>
      </c>
      <c r="R743" s="24">
        <f>VLOOKUP(K743, KM!$A:$E, 5, 0)</f>
        <v>1144</v>
      </c>
      <c r="S743" s="24">
        <f>VLOOKUP(L743, KM!$A:$E, 5, 0)</f>
        <v>0</v>
      </c>
      <c r="T743" s="24">
        <f>VLOOKUP(M743, KM!$A:$E, 5, 0)</f>
        <v>852</v>
      </c>
      <c r="U743" s="24">
        <f>VLOOKUP(N743, KM!$A:$E, 5, 0)</f>
        <v>4374</v>
      </c>
      <c r="V743" s="24">
        <f>VLOOKUP(H743, IMPOSTO!$A:$D, 4, 0)</f>
        <v>0.12</v>
      </c>
      <c r="W743" s="24">
        <f>VLOOKUP(I743, IMPOSTO!$A:$D, 4, 0)</f>
        <v>0.12</v>
      </c>
      <c r="X743" s="24">
        <f>VLOOKUP(J743, IMPOSTO!$A:$D, 4, 0)</f>
        <v>7.0000000000000007E-2</v>
      </c>
      <c r="Y743" s="24">
        <f>VLOOKUP(K743, IMPOSTO!$A:$D, 4, 0)</f>
        <v>0.12</v>
      </c>
      <c r="Z743" s="24">
        <f>VLOOKUP(L743, IMPOSTO!$A:$D, 4, 0)</f>
        <v>0.18</v>
      </c>
      <c r="AA743" s="24">
        <f>VLOOKUP(M743, IMPOSTO!$A:$D, 4, 0)</f>
        <v>0.12</v>
      </c>
      <c r="AB743" s="24">
        <f>VLOOKUP(N743, IMPOSTO!$A:$D, 4, 0)</f>
        <v>7.0000000000000007E-2</v>
      </c>
      <c r="AC743" s="25">
        <f t="shared" si="107"/>
        <v>2581.902386885246</v>
      </c>
      <c r="AD743" s="25">
        <f t="shared" si="108"/>
        <v>2582.4705687034275</v>
      </c>
      <c r="AE743" s="25">
        <f t="shared" si="109"/>
        <v>2452.9829037193722</v>
      </c>
      <c r="AF743" s="25">
        <f t="shared" si="110"/>
        <v>2663.152386885246</v>
      </c>
      <c r="AG743" s="25">
        <f t="shared" si="111"/>
        <v>2718.5050005597759</v>
      </c>
      <c r="AH743" s="25">
        <f t="shared" si="112"/>
        <v>2629.9705687034275</v>
      </c>
      <c r="AI743" s="25">
        <f t="shared" si="113"/>
        <v>2867.2839789881896</v>
      </c>
    </row>
    <row r="744" spans="1:35" ht="15.75" customHeight="1">
      <c r="A744" s="12" t="s">
        <v>30</v>
      </c>
      <c r="B744" s="12" t="s">
        <v>31</v>
      </c>
      <c r="C744" s="12" t="s">
        <v>32</v>
      </c>
      <c r="D744" s="12" t="s">
        <v>33</v>
      </c>
      <c r="E744" s="12" t="s">
        <v>27</v>
      </c>
      <c r="F744" s="13">
        <v>0.1148628082191781</v>
      </c>
      <c r="G744" s="14">
        <v>3.6305826346232877</v>
      </c>
      <c r="H744" s="24" t="str">
        <f t="shared" si="106"/>
        <v>RJSP</v>
      </c>
      <c r="I744" s="24" t="str">
        <f t="shared" si="105"/>
        <v>RJMG</v>
      </c>
      <c r="J744" s="24" t="str">
        <f t="shared" si="105"/>
        <v>RJES</v>
      </c>
      <c r="K744" s="24" t="str">
        <f t="shared" si="105"/>
        <v>RJSC</v>
      </c>
      <c r="L744" s="24" t="str">
        <f t="shared" si="105"/>
        <v>RJRJ</v>
      </c>
      <c r="M744" s="24" t="str">
        <f t="shared" si="105"/>
        <v>RJPR</v>
      </c>
      <c r="N744" s="24" t="str">
        <f t="shared" si="105"/>
        <v>RJAM</v>
      </c>
      <c r="O744" s="24">
        <f>VLOOKUP(H744, KM!$A:$E, 5, 0)</f>
        <v>429</v>
      </c>
      <c r="P744" s="24">
        <f>VLOOKUP(I744, KM!$A:$E, 5, 0)</f>
        <v>434</v>
      </c>
      <c r="Q744" s="24">
        <f>VLOOKUP(J744, KM!$A:$E, 5, 0)</f>
        <v>521</v>
      </c>
      <c r="R744" s="24">
        <f>VLOOKUP(K744, KM!$A:$E, 5, 0)</f>
        <v>1144</v>
      </c>
      <c r="S744" s="24">
        <f>VLOOKUP(L744, KM!$A:$E, 5, 0)</f>
        <v>0</v>
      </c>
      <c r="T744" s="24">
        <f>VLOOKUP(M744, KM!$A:$E, 5, 0)</f>
        <v>852</v>
      </c>
      <c r="U744" s="24">
        <f>VLOOKUP(N744, KM!$A:$E, 5, 0)</f>
        <v>4374</v>
      </c>
      <c r="V744" s="24">
        <f>VLOOKUP(H744, IMPOSTO!$A:$D, 4, 0)</f>
        <v>0.12</v>
      </c>
      <c r="W744" s="24">
        <f>VLOOKUP(I744, IMPOSTO!$A:$D, 4, 0)</f>
        <v>0.12</v>
      </c>
      <c r="X744" s="24">
        <f>VLOOKUP(J744, IMPOSTO!$A:$D, 4, 0)</f>
        <v>7.0000000000000007E-2</v>
      </c>
      <c r="Y744" s="24">
        <f>VLOOKUP(K744, IMPOSTO!$A:$D, 4, 0)</f>
        <v>0.12</v>
      </c>
      <c r="Z744" s="24">
        <f>VLOOKUP(L744, IMPOSTO!$A:$D, 4, 0)</f>
        <v>0.18</v>
      </c>
      <c r="AA744" s="24">
        <f>VLOOKUP(M744, IMPOSTO!$A:$D, 4, 0)</f>
        <v>0.12</v>
      </c>
      <c r="AB744" s="24">
        <f>VLOOKUP(N744, IMPOSTO!$A:$D, 4, 0)</f>
        <v>7.0000000000000007E-2</v>
      </c>
      <c r="AC744" s="25">
        <f t="shared" si="107"/>
        <v>52.875662084799195</v>
      </c>
      <c r="AD744" s="25">
        <f t="shared" si="108"/>
        <v>53.443843902981016</v>
      </c>
      <c r="AE744" s="25">
        <f t="shared" si="109"/>
        <v>59.925357671637947</v>
      </c>
      <c r="AF744" s="25">
        <f t="shared" si="110"/>
        <v>134.12566208479922</v>
      </c>
      <c r="AG744" s="25">
        <f t="shared" si="111"/>
        <v>4.4275397983210825</v>
      </c>
      <c r="AH744" s="25">
        <f t="shared" si="112"/>
        <v>100.943843902981</v>
      </c>
      <c r="AI744" s="25">
        <f t="shared" si="113"/>
        <v>474.2264329404552</v>
      </c>
    </row>
    <row r="745" spans="1:35" ht="15.75" customHeight="1">
      <c r="A745" s="12" t="s">
        <v>461</v>
      </c>
      <c r="B745" s="12" t="s">
        <v>462</v>
      </c>
      <c r="C745" s="12" t="s">
        <v>217</v>
      </c>
      <c r="D745" s="12" t="s">
        <v>50</v>
      </c>
      <c r="E745" s="12" t="s">
        <v>27</v>
      </c>
      <c r="F745" s="13">
        <v>61.953994312796205</v>
      </c>
      <c r="G745" s="14">
        <v>547.8096085126067</v>
      </c>
      <c r="H745" s="24" t="str">
        <f t="shared" si="106"/>
        <v>RJSP</v>
      </c>
      <c r="I745" s="24" t="str">
        <f t="shared" si="105"/>
        <v>RJMG</v>
      </c>
      <c r="J745" s="24" t="str">
        <f t="shared" si="105"/>
        <v>RJES</v>
      </c>
      <c r="K745" s="24" t="str">
        <f t="shared" si="105"/>
        <v>RJSC</v>
      </c>
      <c r="L745" s="24" t="str">
        <f t="shared" si="105"/>
        <v>RJRJ</v>
      </c>
      <c r="M745" s="24" t="str">
        <f t="shared" si="105"/>
        <v>RJPR</v>
      </c>
      <c r="N745" s="24" t="str">
        <f t="shared" si="105"/>
        <v>RJAM</v>
      </c>
      <c r="O745" s="24">
        <f>VLOOKUP(H745, KM!$A:$E, 5, 0)</f>
        <v>429</v>
      </c>
      <c r="P745" s="24">
        <f>VLOOKUP(I745, KM!$A:$E, 5, 0)</f>
        <v>434</v>
      </c>
      <c r="Q745" s="24">
        <f>VLOOKUP(J745, KM!$A:$E, 5, 0)</f>
        <v>521</v>
      </c>
      <c r="R745" s="24">
        <f>VLOOKUP(K745, KM!$A:$E, 5, 0)</f>
        <v>1144</v>
      </c>
      <c r="S745" s="24">
        <f>VLOOKUP(L745, KM!$A:$E, 5, 0)</f>
        <v>0</v>
      </c>
      <c r="T745" s="24">
        <f>VLOOKUP(M745, KM!$A:$E, 5, 0)</f>
        <v>852</v>
      </c>
      <c r="U745" s="24">
        <f>VLOOKUP(N745, KM!$A:$E, 5, 0)</f>
        <v>4374</v>
      </c>
      <c r="V745" s="24">
        <f>VLOOKUP(H745, IMPOSTO!$A:$D, 4, 0)</f>
        <v>0.12</v>
      </c>
      <c r="W745" s="24">
        <f>VLOOKUP(I745, IMPOSTO!$A:$D, 4, 0)</f>
        <v>0.12</v>
      </c>
      <c r="X745" s="24">
        <f>VLOOKUP(J745, IMPOSTO!$A:$D, 4, 0)</f>
        <v>7.0000000000000007E-2</v>
      </c>
      <c r="Y745" s="24">
        <f>VLOOKUP(K745, IMPOSTO!$A:$D, 4, 0)</f>
        <v>0.12</v>
      </c>
      <c r="Z745" s="24">
        <f>VLOOKUP(L745, IMPOSTO!$A:$D, 4, 0)</f>
        <v>0.18</v>
      </c>
      <c r="AA745" s="24">
        <f>VLOOKUP(M745, IMPOSTO!$A:$D, 4, 0)</f>
        <v>0.12</v>
      </c>
      <c r="AB745" s="24">
        <f>VLOOKUP(N745, IMPOSTO!$A:$D, 4, 0)</f>
        <v>7.0000000000000007E-2</v>
      </c>
      <c r="AC745" s="25">
        <f t="shared" si="107"/>
        <v>671.26091876432577</v>
      </c>
      <c r="AD745" s="25">
        <f t="shared" si="108"/>
        <v>671.82910058250764</v>
      </c>
      <c r="AE745" s="25">
        <f t="shared" si="109"/>
        <v>645.06409517484599</v>
      </c>
      <c r="AF745" s="25">
        <f t="shared" si="110"/>
        <v>752.51091876432577</v>
      </c>
      <c r="AG745" s="25">
        <f t="shared" si="111"/>
        <v>668.06049818610563</v>
      </c>
      <c r="AH745" s="25">
        <f t="shared" si="112"/>
        <v>719.32910058250764</v>
      </c>
      <c r="AI745" s="25">
        <f t="shared" si="113"/>
        <v>1059.3651704436634</v>
      </c>
    </row>
    <row r="746" spans="1:35" ht="15.75" customHeight="1">
      <c r="A746" s="12" t="s">
        <v>419</v>
      </c>
      <c r="B746" s="12" t="s">
        <v>420</v>
      </c>
      <c r="C746" s="12" t="s">
        <v>143</v>
      </c>
      <c r="D746" s="12" t="s">
        <v>33</v>
      </c>
      <c r="E746" s="12" t="s">
        <v>27</v>
      </c>
      <c r="F746" s="13">
        <v>232.03050000000002</v>
      </c>
      <c r="G746" s="14">
        <v>12154.835482298289</v>
      </c>
      <c r="H746" s="24" t="str">
        <f t="shared" si="106"/>
        <v>RJSP</v>
      </c>
      <c r="I746" s="24" t="str">
        <f t="shared" si="105"/>
        <v>RJMG</v>
      </c>
      <c r="J746" s="24" t="str">
        <f t="shared" si="105"/>
        <v>RJES</v>
      </c>
      <c r="K746" s="24" t="str">
        <f t="shared" si="105"/>
        <v>RJSC</v>
      </c>
      <c r="L746" s="24" t="str">
        <f t="shared" si="105"/>
        <v>RJRJ</v>
      </c>
      <c r="M746" s="24" t="str">
        <f t="shared" si="105"/>
        <v>RJPR</v>
      </c>
      <c r="N746" s="24" t="str">
        <f t="shared" si="105"/>
        <v>RJAM</v>
      </c>
      <c r="O746" s="24">
        <f>VLOOKUP(H746, KM!$A:$E, 5, 0)</f>
        <v>429</v>
      </c>
      <c r="P746" s="24">
        <f>VLOOKUP(I746, KM!$A:$E, 5, 0)</f>
        <v>434</v>
      </c>
      <c r="Q746" s="24">
        <f>VLOOKUP(J746, KM!$A:$E, 5, 0)</f>
        <v>521</v>
      </c>
      <c r="R746" s="24">
        <f>VLOOKUP(K746, KM!$A:$E, 5, 0)</f>
        <v>1144</v>
      </c>
      <c r="S746" s="24">
        <f>VLOOKUP(L746, KM!$A:$E, 5, 0)</f>
        <v>0</v>
      </c>
      <c r="T746" s="24">
        <f>VLOOKUP(M746, KM!$A:$E, 5, 0)</f>
        <v>852</v>
      </c>
      <c r="U746" s="24">
        <f>VLOOKUP(N746, KM!$A:$E, 5, 0)</f>
        <v>4374</v>
      </c>
      <c r="V746" s="24">
        <f>VLOOKUP(H746, IMPOSTO!$A:$D, 4, 0)</f>
        <v>0.12</v>
      </c>
      <c r="W746" s="24">
        <f>VLOOKUP(I746, IMPOSTO!$A:$D, 4, 0)</f>
        <v>0.12</v>
      </c>
      <c r="X746" s="24">
        <f>VLOOKUP(J746, IMPOSTO!$A:$D, 4, 0)</f>
        <v>7.0000000000000007E-2</v>
      </c>
      <c r="Y746" s="24">
        <f>VLOOKUP(K746, IMPOSTO!$A:$D, 4, 0)</f>
        <v>0.12</v>
      </c>
      <c r="Z746" s="24">
        <f>VLOOKUP(L746, IMPOSTO!$A:$D, 4, 0)</f>
        <v>0.18</v>
      </c>
      <c r="AA746" s="24">
        <f>VLOOKUP(M746, IMPOSTO!$A:$D, 4, 0)</f>
        <v>0.12</v>
      </c>
      <c r="AB746" s="24">
        <f>VLOOKUP(N746, IMPOSTO!$A:$D, 4, 0)</f>
        <v>7.0000000000000007E-2</v>
      </c>
      <c r="AC746" s="25">
        <f t="shared" si="107"/>
        <v>13861.063048066237</v>
      </c>
      <c r="AD746" s="25">
        <f t="shared" si="108"/>
        <v>13861.631229884419</v>
      </c>
      <c r="AE746" s="25">
        <f t="shared" si="109"/>
        <v>13125.737077740097</v>
      </c>
      <c r="AF746" s="25">
        <f t="shared" si="110"/>
        <v>13942.313048066237</v>
      </c>
      <c r="AG746" s="25">
        <f t="shared" si="111"/>
        <v>14822.970100363766</v>
      </c>
      <c r="AH746" s="25">
        <f t="shared" si="112"/>
        <v>13909.13122988442</v>
      </c>
      <c r="AI746" s="25">
        <f t="shared" si="113"/>
        <v>13540.038153008914</v>
      </c>
    </row>
    <row r="747" spans="1:35" ht="15.75" customHeight="1">
      <c r="A747" s="12" t="s">
        <v>221</v>
      </c>
      <c r="B747" s="12" t="s">
        <v>222</v>
      </c>
      <c r="C747" s="12" t="s">
        <v>223</v>
      </c>
      <c r="D747" s="12" t="s">
        <v>33</v>
      </c>
      <c r="E747" s="12" t="s">
        <v>27</v>
      </c>
      <c r="F747" s="13">
        <v>3.1198479846449132</v>
      </c>
      <c r="G747" s="14">
        <v>69.165246109021112</v>
      </c>
      <c r="H747" s="24" t="str">
        <f t="shared" si="106"/>
        <v>RJSP</v>
      </c>
      <c r="I747" s="24" t="str">
        <f t="shared" si="105"/>
        <v>RJMG</v>
      </c>
      <c r="J747" s="24" t="str">
        <f t="shared" si="105"/>
        <v>RJES</v>
      </c>
      <c r="K747" s="24" t="str">
        <f t="shared" si="105"/>
        <v>RJSC</v>
      </c>
      <c r="L747" s="24" t="str">
        <f t="shared" si="105"/>
        <v>RJRJ</v>
      </c>
      <c r="M747" s="24" t="str">
        <f t="shared" si="105"/>
        <v>RJPR</v>
      </c>
      <c r="N747" s="24" t="str">
        <f t="shared" si="105"/>
        <v>RJAM</v>
      </c>
      <c r="O747" s="24">
        <f>VLOOKUP(H747, KM!$A:$E, 5, 0)</f>
        <v>429</v>
      </c>
      <c r="P747" s="24">
        <f>VLOOKUP(I747, KM!$A:$E, 5, 0)</f>
        <v>434</v>
      </c>
      <c r="Q747" s="24">
        <f>VLOOKUP(J747, KM!$A:$E, 5, 0)</f>
        <v>521</v>
      </c>
      <c r="R747" s="24">
        <f>VLOOKUP(K747, KM!$A:$E, 5, 0)</f>
        <v>1144</v>
      </c>
      <c r="S747" s="24">
        <f>VLOOKUP(L747, KM!$A:$E, 5, 0)</f>
        <v>0</v>
      </c>
      <c r="T747" s="24">
        <f>VLOOKUP(M747, KM!$A:$E, 5, 0)</f>
        <v>852</v>
      </c>
      <c r="U747" s="24">
        <f>VLOOKUP(N747, KM!$A:$E, 5, 0)</f>
        <v>4374</v>
      </c>
      <c r="V747" s="24">
        <f>VLOOKUP(H747, IMPOSTO!$A:$D, 4, 0)</f>
        <v>0.12</v>
      </c>
      <c r="W747" s="24">
        <f>VLOOKUP(I747, IMPOSTO!$A:$D, 4, 0)</f>
        <v>0.12</v>
      </c>
      <c r="X747" s="24">
        <f>VLOOKUP(J747, IMPOSTO!$A:$D, 4, 0)</f>
        <v>7.0000000000000007E-2</v>
      </c>
      <c r="Y747" s="24">
        <f>VLOOKUP(K747, IMPOSTO!$A:$D, 4, 0)</f>
        <v>0.12</v>
      </c>
      <c r="Z747" s="24">
        <f>VLOOKUP(L747, IMPOSTO!$A:$D, 4, 0)</f>
        <v>0.18</v>
      </c>
      <c r="AA747" s="24">
        <f>VLOOKUP(M747, IMPOSTO!$A:$D, 4, 0)</f>
        <v>0.12</v>
      </c>
      <c r="AB747" s="24">
        <f>VLOOKUP(N747, IMPOSTO!$A:$D, 4, 0)</f>
        <v>7.0000000000000007E-2</v>
      </c>
      <c r="AC747" s="25">
        <f t="shared" si="107"/>
        <v>127.34687057843308</v>
      </c>
      <c r="AD747" s="25">
        <f t="shared" si="108"/>
        <v>127.91505239661491</v>
      </c>
      <c r="AE747" s="25">
        <f t="shared" si="109"/>
        <v>130.39273775163562</v>
      </c>
      <c r="AF747" s="25">
        <f t="shared" si="110"/>
        <v>208.59687057843311</v>
      </c>
      <c r="AG747" s="25">
        <f t="shared" si="111"/>
        <v>84.347861108562327</v>
      </c>
      <c r="AH747" s="25">
        <f t="shared" si="112"/>
        <v>175.4150523966149</v>
      </c>
      <c r="AI747" s="25">
        <f t="shared" si="113"/>
        <v>544.69381302045292</v>
      </c>
    </row>
    <row r="748" spans="1:35" ht="15.75" customHeight="1">
      <c r="A748" s="12" t="s">
        <v>224</v>
      </c>
      <c r="B748" s="12" t="s">
        <v>225</v>
      </c>
      <c r="C748" s="12" t="s">
        <v>223</v>
      </c>
      <c r="D748" s="12" t="s">
        <v>33</v>
      </c>
      <c r="E748" s="12" t="s">
        <v>27</v>
      </c>
      <c r="F748" s="13">
        <v>0.55290641860465117</v>
      </c>
      <c r="G748" s="14">
        <v>12.257628636279064</v>
      </c>
      <c r="H748" s="24" t="str">
        <f t="shared" si="106"/>
        <v>RJSP</v>
      </c>
      <c r="I748" s="24" t="str">
        <f t="shared" si="105"/>
        <v>RJMG</v>
      </c>
      <c r="J748" s="24" t="str">
        <f t="shared" ref="I748:N811" si="114">$E748 &amp; J$17</f>
        <v>RJES</v>
      </c>
      <c r="K748" s="24" t="str">
        <f t="shared" si="114"/>
        <v>RJSC</v>
      </c>
      <c r="L748" s="24" t="str">
        <f t="shared" si="114"/>
        <v>RJRJ</v>
      </c>
      <c r="M748" s="24" t="str">
        <f t="shared" si="114"/>
        <v>RJPR</v>
      </c>
      <c r="N748" s="24" t="str">
        <f t="shared" si="114"/>
        <v>RJAM</v>
      </c>
      <c r="O748" s="24">
        <f>VLOOKUP(H748, KM!$A:$E, 5, 0)</f>
        <v>429</v>
      </c>
      <c r="P748" s="24">
        <f>VLOOKUP(I748, KM!$A:$E, 5, 0)</f>
        <v>434</v>
      </c>
      <c r="Q748" s="24">
        <f>VLOOKUP(J748, KM!$A:$E, 5, 0)</f>
        <v>521</v>
      </c>
      <c r="R748" s="24">
        <f>VLOOKUP(K748, KM!$A:$E, 5, 0)</f>
        <v>1144</v>
      </c>
      <c r="S748" s="24">
        <f>VLOOKUP(L748, KM!$A:$E, 5, 0)</f>
        <v>0</v>
      </c>
      <c r="T748" s="24">
        <f>VLOOKUP(M748, KM!$A:$E, 5, 0)</f>
        <v>852</v>
      </c>
      <c r="U748" s="24">
        <f>VLOOKUP(N748, KM!$A:$E, 5, 0)</f>
        <v>4374</v>
      </c>
      <c r="V748" s="24">
        <f>VLOOKUP(H748, IMPOSTO!$A:$D, 4, 0)</f>
        <v>0.12</v>
      </c>
      <c r="W748" s="24">
        <f>VLOOKUP(I748, IMPOSTO!$A:$D, 4, 0)</f>
        <v>0.12</v>
      </c>
      <c r="X748" s="24">
        <f>VLOOKUP(J748, IMPOSTO!$A:$D, 4, 0)</f>
        <v>7.0000000000000007E-2</v>
      </c>
      <c r="Y748" s="24">
        <f>VLOOKUP(K748, IMPOSTO!$A:$D, 4, 0)</f>
        <v>0.12</v>
      </c>
      <c r="Z748" s="24">
        <f>VLOOKUP(L748, IMPOSTO!$A:$D, 4, 0)</f>
        <v>0.18</v>
      </c>
      <c r="AA748" s="24">
        <f>VLOOKUP(M748, IMPOSTO!$A:$D, 4, 0)</f>
        <v>0.12</v>
      </c>
      <c r="AB748" s="24">
        <f>VLOOKUP(N748, IMPOSTO!$A:$D, 4, 0)</f>
        <v>7.0000000000000007E-2</v>
      </c>
      <c r="AC748" s="25">
        <f t="shared" si="107"/>
        <v>62.679123450317128</v>
      </c>
      <c r="AD748" s="25">
        <f t="shared" si="108"/>
        <v>63.247305268498941</v>
      </c>
      <c r="AE748" s="25">
        <f t="shared" si="109"/>
        <v>69.201751221805452</v>
      </c>
      <c r="AF748" s="25">
        <f t="shared" si="110"/>
        <v>143.92912345031712</v>
      </c>
      <c r="AG748" s="25">
        <f t="shared" si="111"/>
        <v>14.948327605218369</v>
      </c>
      <c r="AH748" s="25">
        <f t="shared" si="112"/>
        <v>110.74730526849893</v>
      </c>
      <c r="AI748" s="25">
        <f t="shared" si="113"/>
        <v>483.50282649062268</v>
      </c>
    </row>
    <row r="749" spans="1:35" ht="15.75" customHeight="1">
      <c r="A749" s="12" t="s">
        <v>224</v>
      </c>
      <c r="B749" s="12" t="s">
        <v>225</v>
      </c>
      <c r="C749" s="12" t="s">
        <v>223</v>
      </c>
      <c r="D749" s="12" t="s">
        <v>33</v>
      </c>
      <c r="E749" s="12" t="s">
        <v>27</v>
      </c>
      <c r="F749" s="13">
        <v>0.1499921860465116</v>
      </c>
      <c r="G749" s="14">
        <v>3.3188898530232551</v>
      </c>
      <c r="H749" s="24" t="str">
        <f t="shared" si="106"/>
        <v>RJSP</v>
      </c>
      <c r="I749" s="24" t="str">
        <f t="shared" si="114"/>
        <v>RJMG</v>
      </c>
      <c r="J749" s="24" t="str">
        <f t="shared" si="114"/>
        <v>RJES</v>
      </c>
      <c r="K749" s="24" t="str">
        <f t="shared" si="114"/>
        <v>RJSC</v>
      </c>
      <c r="L749" s="24" t="str">
        <f t="shared" si="114"/>
        <v>RJRJ</v>
      </c>
      <c r="M749" s="24" t="str">
        <f t="shared" si="114"/>
        <v>RJPR</v>
      </c>
      <c r="N749" s="24" t="str">
        <f t="shared" si="114"/>
        <v>RJAM</v>
      </c>
      <c r="O749" s="24">
        <f>VLOOKUP(H749, KM!$A:$E, 5, 0)</f>
        <v>429</v>
      </c>
      <c r="P749" s="24">
        <f>VLOOKUP(I749, KM!$A:$E, 5, 0)</f>
        <v>434</v>
      </c>
      <c r="Q749" s="24">
        <f>VLOOKUP(J749, KM!$A:$E, 5, 0)</f>
        <v>521</v>
      </c>
      <c r="R749" s="24">
        <f>VLOOKUP(K749, KM!$A:$E, 5, 0)</f>
        <v>1144</v>
      </c>
      <c r="S749" s="24">
        <f>VLOOKUP(L749, KM!$A:$E, 5, 0)</f>
        <v>0</v>
      </c>
      <c r="T749" s="24">
        <f>VLOOKUP(M749, KM!$A:$E, 5, 0)</f>
        <v>852</v>
      </c>
      <c r="U749" s="24">
        <f>VLOOKUP(N749, KM!$A:$E, 5, 0)</f>
        <v>4374</v>
      </c>
      <c r="V749" s="24">
        <f>VLOOKUP(H749, IMPOSTO!$A:$D, 4, 0)</f>
        <v>0.12</v>
      </c>
      <c r="W749" s="24">
        <f>VLOOKUP(I749, IMPOSTO!$A:$D, 4, 0)</f>
        <v>0.12</v>
      </c>
      <c r="X749" s="24">
        <f>VLOOKUP(J749, IMPOSTO!$A:$D, 4, 0)</f>
        <v>7.0000000000000007E-2</v>
      </c>
      <c r="Y749" s="24">
        <f>VLOOKUP(K749, IMPOSTO!$A:$D, 4, 0)</f>
        <v>0.12</v>
      </c>
      <c r="Z749" s="24">
        <f>VLOOKUP(L749, IMPOSTO!$A:$D, 4, 0)</f>
        <v>0.18</v>
      </c>
      <c r="AA749" s="24">
        <f>VLOOKUP(M749, IMPOSTO!$A:$D, 4, 0)</f>
        <v>0.12</v>
      </c>
      <c r="AB749" s="24">
        <f>VLOOKUP(N749, IMPOSTO!$A:$D, 4, 0)</f>
        <v>7.0000000000000007E-2</v>
      </c>
      <c r="AC749" s="25">
        <f t="shared" si="107"/>
        <v>52.521465742071889</v>
      </c>
      <c r="AD749" s="25">
        <f t="shared" si="108"/>
        <v>53.089647560253709</v>
      </c>
      <c r="AE749" s="25">
        <f t="shared" si="109"/>
        <v>59.59020414303577</v>
      </c>
      <c r="AF749" s="25">
        <f t="shared" si="110"/>
        <v>133.77146574207188</v>
      </c>
      <c r="AG749" s="25">
        <f t="shared" si="111"/>
        <v>4.0474266500283598</v>
      </c>
      <c r="AH749" s="25">
        <f t="shared" si="112"/>
        <v>100.5896475602537</v>
      </c>
      <c r="AI749" s="25">
        <f t="shared" si="113"/>
        <v>473.89127941185308</v>
      </c>
    </row>
    <row r="750" spans="1:35" ht="15.75" customHeight="1">
      <c r="A750" s="12" t="s">
        <v>226</v>
      </c>
      <c r="B750" s="12" t="s">
        <v>227</v>
      </c>
      <c r="C750" s="12" t="s">
        <v>223</v>
      </c>
      <c r="D750" s="12" t="s">
        <v>33</v>
      </c>
      <c r="E750" s="12" t="s">
        <v>27</v>
      </c>
      <c r="F750" s="13">
        <v>3.7580097087378639E-2</v>
      </c>
      <c r="G750" s="14">
        <v>0.68434609466019425</v>
      </c>
      <c r="H750" s="24" t="str">
        <f t="shared" si="106"/>
        <v>RJSP</v>
      </c>
      <c r="I750" s="24" t="str">
        <f t="shared" si="114"/>
        <v>RJMG</v>
      </c>
      <c r="J750" s="24" t="str">
        <f t="shared" si="114"/>
        <v>RJES</v>
      </c>
      <c r="K750" s="24" t="str">
        <f t="shared" si="114"/>
        <v>RJSC</v>
      </c>
      <c r="L750" s="24" t="str">
        <f t="shared" si="114"/>
        <v>RJRJ</v>
      </c>
      <c r="M750" s="24" t="str">
        <f t="shared" si="114"/>
        <v>RJPR</v>
      </c>
      <c r="N750" s="24" t="str">
        <f t="shared" si="114"/>
        <v>RJAM</v>
      </c>
      <c r="O750" s="24">
        <f>VLOOKUP(H750, KM!$A:$E, 5, 0)</f>
        <v>429</v>
      </c>
      <c r="P750" s="24">
        <f>VLOOKUP(I750, KM!$A:$E, 5, 0)</f>
        <v>434</v>
      </c>
      <c r="Q750" s="24">
        <f>VLOOKUP(J750, KM!$A:$E, 5, 0)</f>
        <v>521</v>
      </c>
      <c r="R750" s="24">
        <f>VLOOKUP(K750, KM!$A:$E, 5, 0)</f>
        <v>1144</v>
      </c>
      <c r="S750" s="24">
        <f>VLOOKUP(L750, KM!$A:$E, 5, 0)</f>
        <v>0</v>
      </c>
      <c r="T750" s="24">
        <f>VLOOKUP(M750, KM!$A:$E, 5, 0)</f>
        <v>852</v>
      </c>
      <c r="U750" s="24">
        <f>VLOOKUP(N750, KM!$A:$E, 5, 0)</f>
        <v>4374</v>
      </c>
      <c r="V750" s="24">
        <f>VLOOKUP(H750, IMPOSTO!$A:$D, 4, 0)</f>
        <v>0.12</v>
      </c>
      <c r="W750" s="24">
        <f>VLOOKUP(I750, IMPOSTO!$A:$D, 4, 0)</f>
        <v>0.12</v>
      </c>
      <c r="X750" s="24">
        <f>VLOOKUP(J750, IMPOSTO!$A:$D, 4, 0)</f>
        <v>7.0000000000000007E-2</v>
      </c>
      <c r="Y750" s="24">
        <f>VLOOKUP(K750, IMPOSTO!$A:$D, 4, 0)</f>
        <v>0.12</v>
      </c>
      <c r="Z750" s="24">
        <f>VLOOKUP(L750, IMPOSTO!$A:$D, 4, 0)</f>
        <v>0.18</v>
      </c>
      <c r="AA750" s="24">
        <f>VLOOKUP(M750, IMPOSTO!$A:$D, 4, 0)</f>
        <v>0.12</v>
      </c>
      <c r="AB750" s="24">
        <f>VLOOKUP(N750, IMPOSTO!$A:$D, 4, 0)</f>
        <v>7.0000000000000007E-2</v>
      </c>
      <c r="AC750" s="25">
        <f t="shared" si="107"/>
        <v>49.527666016659317</v>
      </c>
      <c r="AD750" s="25">
        <f t="shared" si="108"/>
        <v>50.09584783484113</v>
      </c>
      <c r="AE750" s="25">
        <f t="shared" si="109"/>
        <v>56.75736139210774</v>
      </c>
      <c r="AF750" s="25">
        <f t="shared" si="110"/>
        <v>130.77766601665931</v>
      </c>
      <c r="AG750" s="25">
        <f t="shared" si="111"/>
        <v>0.83456840812218802</v>
      </c>
      <c r="AH750" s="25">
        <f t="shared" si="112"/>
        <v>97.595847834841138</v>
      </c>
      <c r="AI750" s="25">
        <f t="shared" si="113"/>
        <v>471.05843666092505</v>
      </c>
    </row>
    <row r="751" spans="1:35" ht="15.75" customHeight="1">
      <c r="A751" s="12" t="s">
        <v>465</v>
      </c>
      <c r="B751" s="12" t="s">
        <v>466</v>
      </c>
      <c r="C751" s="12" t="s">
        <v>57</v>
      </c>
      <c r="D751" s="12" t="s">
        <v>33</v>
      </c>
      <c r="E751" s="12" t="s">
        <v>27</v>
      </c>
      <c r="F751" s="13">
        <v>4.385457032620133</v>
      </c>
      <c r="G751" s="14">
        <v>67.237754884251132</v>
      </c>
      <c r="H751" s="24" t="str">
        <f t="shared" si="106"/>
        <v>RJSP</v>
      </c>
      <c r="I751" s="24" t="str">
        <f t="shared" si="114"/>
        <v>RJMG</v>
      </c>
      <c r="J751" s="24" t="str">
        <f t="shared" si="114"/>
        <v>RJES</v>
      </c>
      <c r="K751" s="24" t="str">
        <f t="shared" si="114"/>
        <v>RJSC</v>
      </c>
      <c r="L751" s="24" t="str">
        <f t="shared" si="114"/>
        <v>RJRJ</v>
      </c>
      <c r="M751" s="24" t="str">
        <f t="shared" si="114"/>
        <v>RJPR</v>
      </c>
      <c r="N751" s="24" t="str">
        <f t="shared" si="114"/>
        <v>RJAM</v>
      </c>
      <c r="O751" s="24">
        <f>VLOOKUP(H751, KM!$A:$E, 5, 0)</f>
        <v>429</v>
      </c>
      <c r="P751" s="24">
        <f>VLOOKUP(I751, KM!$A:$E, 5, 0)</f>
        <v>434</v>
      </c>
      <c r="Q751" s="24">
        <f>VLOOKUP(J751, KM!$A:$E, 5, 0)</f>
        <v>521</v>
      </c>
      <c r="R751" s="24">
        <f>VLOOKUP(K751, KM!$A:$E, 5, 0)</f>
        <v>1144</v>
      </c>
      <c r="S751" s="24">
        <f>VLOOKUP(L751, KM!$A:$E, 5, 0)</f>
        <v>0</v>
      </c>
      <c r="T751" s="24">
        <f>VLOOKUP(M751, KM!$A:$E, 5, 0)</f>
        <v>852</v>
      </c>
      <c r="U751" s="24">
        <f>VLOOKUP(N751, KM!$A:$E, 5, 0)</f>
        <v>4374</v>
      </c>
      <c r="V751" s="24">
        <f>VLOOKUP(H751, IMPOSTO!$A:$D, 4, 0)</f>
        <v>0.12</v>
      </c>
      <c r="W751" s="24">
        <f>VLOOKUP(I751, IMPOSTO!$A:$D, 4, 0)</f>
        <v>0.12</v>
      </c>
      <c r="X751" s="24">
        <f>VLOOKUP(J751, IMPOSTO!$A:$D, 4, 0)</f>
        <v>7.0000000000000007E-2</v>
      </c>
      <c r="Y751" s="24">
        <f>VLOOKUP(K751, IMPOSTO!$A:$D, 4, 0)</f>
        <v>0.12</v>
      </c>
      <c r="Z751" s="24">
        <f>VLOOKUP(L751, IMPOSTO!$A:$D, 4, 0)</f>
        <v>0.18</v>
      </c>
      <c r="AA751" s="24">
        <f>VLOOKUP(M751, IMPOSTO!$A:$D, 4, 0)</f>
        <v>0.12</v>
      </c>
      <c r="AB751" s="24">
        <f>VLOOKUP(N751, IMPOSTO!$A:$D, 4, 0)</f>
        <v>7.0000000000000007E-2</v>
      </c>
      <c r="AC751" s="25">
        <f t="shared" si="107"/>
        <v>125.15653964119447</v>
      </c>
      <c r="AD751" s="25">
        <f t="shared" si="108"/>
        <v>125.7247214593763</v>
      </c>
      <c r="AE751" s="25">
        <f t="shared" si="109"/>
        <v>128.32016654220553</v>
      </c>
      <c r="AF751" s="25">
        <f t="shared" si="110"/>
        <v>206.40653964119448</v>
      </c>
      <c r="AG751" s="25">
        <f t="shared" si="111"/>
        <v>81.997262053964789</v>
      </c>
      <c r="AH751" s="25">
        <f t="shared" si="112"/>
        <v>173.2247214593763</v>
      </c>
      <c r="AI751" s="25">
        <f t="shared" si="113"/>
        <v>542.62124181102286</v>
      </c>
    </row>
    <row r="752" spans="1:35" ht="15.75" customHeight="1">
      <c r="A752" s="12" t="s">
        <v>652</v>
      </c>
      <c r="B752" s="12" t="s">
        <v>653</v>
      </c>
      <c r="C752" s="12" t="s">
        <v>223</v>
      </c>
      <c r="D752" s="12" t="s">
        <v>33</v>
      </c>
      <c r="E752" s="12" t="s">
        <v>27</v>
      </c>
      <c r="F752" s="13">
        <v>142</v>
      </c>
      <c r="G752" s="14">
        <v>3493.42</v>
      </c>
      <c r="H752" s="24" t="str">
        <f t="shared" si="106"/>
        <v>RJSP</v>
      </c>
      <c r="I752" s="24" t="str">
        <f t="shared" si="114"/>
        <v>RJMG</v>
      </c>
      <c r="J752" s="24" t="str">
        <f t="shared" si="114"/>
        <v>RJES</v>
      </c>
      <c r="K752" s="24" t="str">
        <f t="shared" si="114"/>
        <v>RJSC</v>
      </c>
      <c r="L752" s="24" t="str">
        <f t="shared" si="114"/>
        <v>RJRJ</v>
      </c>
      <c r="M752" s="24" t="str">
        <f t="shared" si="114"/>
        <v>RJPR</v>
      </c>
      <c r="N752" s="24" t="str">
        <f t="shared" si="114"/>
        <v>RJAM</v>
      </c>
      <c r="O752" s="24">
        <f>VLOOKUP(H752, KM!$A:$E, 5, 0)</f>
        <v>429</v>
      </c>
      <c r="P752" s="24">
        <f>VLOOKUP(I752, KM!$A:$E, 5, 0)</f>
        <v>434</v>
      </c>
      <c r="Q752" s="24">
        <f>VLOOKUP(J752, KM!$A:$E, 5, 0)</f>
        <v>521</v>
      </c>
      <c r="R752" s="24">
        <f>VLOOKUP(K752, KM!$A:$E, 5, 0)</f>
        <v>1144</v>
      </c>
      <c r="S752" s="24">
        <f>VLOOKUP(L752, KM!$A:$E, 5, 0)</f>
        <v>0</v>
      </c>
      <c r="T752" s="24">
        <f>VLOOKUP(M752, KM!$A:$E, 5, 0)</f>
        <v>852</v>
      </c>
      <c r="U752" s="24">
        <f>VLOOKUP(N752, KM!$A:$E, 5, 0)</f>
        <v>4374</v>
      </c>
      <c r="V752" s="24">
        <f>VLOOKUP(H752, IMPOSTO!$A:$D, 4, 0)</f>
        <v>0.12</v>
      </c>
      <c r="W752" s="24">
        <f>VLOOKUP(I752, IMPOSTO!$A:$D, 4, 0)</f>
        <v>0.12</v>
      </c>
      <c r="X752" s="24">
        <f>VLOOKUP(J752, IMPOSTO!$A:$D, 4, 0)</f>
        <v>7.0000000000000007E-2</v>
      </c>
      <c r="Y752" s="24">
        <f>VLOOKUP(K752, IMPOSTO!$A:$D, 4, 0)</f>
        <v>0.12</v>
      </c>
      <c r="Z752" s="24">
        <f>VLOOKUP(L752, IMPOSTO!$A:$D, 4, 0)</f>
        <v>0.18</v>
      </c>
      <c r="AA752" s="24">
        <f>VLOOKUP(M752, IMPOSTO!$A:$D, 4, 0)</f>
        <v>0.12</v>
      </c>
      <c r="AB752" s="24">
        <f>VLOOKUP(N752, IMPOSTO!$A:$D, 4, 0)</f>
        <v>7.0000000000000007E-2</v>
      </c>
      <c r="AC752" s="25">
        <f t="shared" si="107"/>
        <v>4018.5454545454545</v>
      </c>
      <c r="AD752" s="25">
        <f t="shared" si="108"/>
        <v>4019.1136363636365</v>
      </c>
      <c r="AE752" s="25">
        <f t="shared" si="109"/>
        <v>3812.3870967741937</v>
      </c>
      <c r="AF752" s="25">
        <f t="shared" si="110"/>
        <v>4099.795454545455</v>
      </c>
      <c r="AG752" s="25">
        <f t="shared" si="111"/>
        <v>4260.2682926829266</v>
      </c>
      <c r="AH752" s="25">
        <f t="shared" si="112"/>
        <v>4066.613636363636</v>
      </c>
      <c r="AI752" s="25">
        <f t="shared" si="113"/>
        <v>4226.688172043011</v>
      </c>
    </row>
    <row r="753" spans="1:35" ht="15.75" customHeight="1">
      <c r="A753" s="12" t="s">
        <v>170</v>
      </c>
      <c r="B753" s="12" t="s">
        <v>171</v>
      </c>
      <c r="C753" s="12" t="s">
        <v>163</v>
      </c>
      <c r="D753" s="12" t="s">
        <v>33</v>
      </c>
      <c r="E753" s="12" t="s">
        <v>27</v>
      </c>
      <c r="F753" s="13">
        <v>23.944201873446755</v>
      </c>
      <c r="G753" s="14">
        <v>349.32488455171097</v>
      </c>
      <c r="H753" s="24" t="str">
        <f t="shared" si="106"/>
        <v>RJSP</v>
      </c>
      <c r="I753" s="24" t="str">
        <f t="shared" si="114"/>
        <v>RJMG</v>
      </c>
      <c r="J753" s="24" t="str">
        <f t="shared" si="114"/>
        <v>RJES</v>
      </c>
      <c r="K753" s="24" t="str">
        <f t="shared" si="114"/>
        <v>RJSC</v>
      </c>
      <c r="L753" s="24" t="str">
        <f t="shared" si="114"/>
        <v>RJRJ</v>
      </c>
      <c r="M753" s="24" t="str">
        <f t="shared" si="114"/>
        <v>RJPR</v>
      </c>
      <c r="N753" s="24" t="str">
        <f t="shared" si="114"/>
        <v>RJAM</v>
      </c>
      <c r="O753" s="24">
        <f>VLOOKUP(H753, KM!$A:$E, 5, 0)</f>
        <v>429</v>
      </c>
      <c r="P753" s="24">
        <f>VLOOKUP(I753, KM!$A:$E, 5, 0)</f>
        <v>434</v>
      </c>
      <c r="Q753" s="24">
        <f>VLOOKUP(J753, KM!$A:$E, 5, 0)</f>
        <v>521</v>
      </c>
      <c r="R753" s="24">
        <f>VLOOKUP(K753, KM!$A:$E, 5, 0)</f>
        <v>1144</v>
      </c>
      <c r="S753" s="24">
        <f>VLOOKUP(L753, KM!$A:$E, 5, 0)</f>
        <v>0</v>
      </c>
      <c r="T753" s="24">
        <f>VLOOKUP(M753, KM!$A:$E, 5, 0)</f>
        <v>852</v>
      </c>
      <c r="U753" s="24">
        <f>VLOOKUP(N753, KM!$A:$E, 5, 0)</f>
        <v>4374</v>
      </c>
      <c r="V753" s="24">
        <f>VLOOKUP(H753, IMPOSTO!$A:$D, 4, 0)</f>
        <v>0.12</v>
      </c>
      <c r="W753" s="24">
        <f>VLOOKUP(I753, IMPOSTO!$A:$D, 4, 0)</f>
        <v>0.12</v>
      </c>
      <c r="X753" s="24">
        <f>VLOOKUP(J753, IMPOSTO!$A:$D, 4, 0)</f>
        <v>7.0000000000000007E-2</v>
      </c>
      <c r="Y753" s="24">
        <f>VLOOKUP(K753, IMPOSTO!$A:$D, 4, 0)</f>
        <v>0.12</v>
      </c>
      <c r="Z753" s="24">
        <f>VLOOKUP(L753, IMPOSTO!$A:$D, 4, 0)</f>
        <v>0.18</v>
      </c>
      <c r="AA753" s="24">
        <f>VLOOKUP(M753, IMPOSTO!$A:$D, 4, 0)</f>
        <v>0.12</v>
      </c>
      <c r="AB753" s="24">
        <f>VLOOKUP(N753, IMPOSTO!$A:$D, 4, 0)</f>
        <v>7.0000000000000007E-2</v>
      </c>
      <c r="AC753" s="25">
        <f t="shared" si="107"/>
        <v>445.71009608148972</v>
      </c>
      <c r="AD753" s="25">
        <f t="shared" si="108"/>
        <v>446.27827789967154</v>
      </c>
      <c r="AE753" s="25">
        <f t="shared" si="109"/>
        <v>431.63966080829141</v>
      </c>
      <c r="AF753" s="25">
        <f t="shared" si="110"/>
        <v>526.96009608148972</v>
      </c>
      <c r="AG753" s="25">
        <f t="shared" si="111"/>
        <v>426.00595677037921</v>
      </c>
      <c r="AH753" s="25">
        <f t="shared" si="112"/>
        <v>493.77827789967154</v>
      </c>
      <c r="AI753" s="25">
        <f t="shared" si="113"/>
        <v>845.94073607710868</v>
      </c>
    </row>
    <row r="754" spans="1:35" ht="15.75" customHeight="1">
      <c r="A754" s="12" t="s">
        <v>170</v>
      </c>
      <c r="B754" s="12" t="s">
        <v>171</v>
      </c>
      <c r="C754" s="12" t="s">
        <v>163</v>
      </c>
      <c r="D754" s="12" t="s">
        <v>33</v>
      </c>
      <c r="E754" s="12" t="s">
        <v>27</v>
      </c>
      <c r="F754" s="13">
        <v>2.2273676161345826</v>
      </c>
      <c r="G754" s="14">
        <v>33.958446675587844</v>
      </c>
      <c r="H754" s="24" t="str">
        <f t="shared" si="106"/>
        <v>RJSP</v>
      </c>
      <c r="I754" s="24" t="str">
        <f t="shared" si="114"/>
        <v>RJMG</v>
      </c>
      <c r="J754" s="24" t="str">
        <f t="shared" si="114"/>
        <v>RJES</v>
      </c>
      <c r="K754" s="24" t="str">
        <f t="shared" si="114"/>
        <v>RJSC</v>
      </c>
      <c r="L754" s="24" t="str">
        <f t="shared" si="114"/>
        <v>RJRJ</v>
      </c>
      <c r="M754" s="24" t="str">
        <f t="shared" si="114"/>
        <v>RJPR</v>
      </c>
      <c r="N754" s="24" t="str">
        <f t="shared" si="114"/>
        <v>RJAM</v>
      </c>
      <c r="O754" s="24">
        <f>VLOOKUP(H754, KM!$A:$E, 5, 0)</f>
        <v>429</v>
      </c>
      <c r="P754" s="24">
        <f>VLOOKUP(I754, KM!$A:$E, 5, 0)</f>
        <v>434</v>
      </c>
      <c r="Q754" s="24">
        <f>VLOOKUP(J754, KM!$A:$E, 5, 0)</f>
        <v>521</v>
      </c>
      <c r="R754" s="24">
        <f>VLOOKUP(K754, KM!$A:$E, 5, 0)</f>
        <v>1144</v>
      </c>
      <c r="S754" s="24">
        <f>VLOOKUP(L754, KM!$A:$E, 5, 0)</f>
        <v>0</v>
      </c>
      <c r="T754" s="24">
        <f>VLOOKUP(M754, KM!$A:$E, 5, 0)</f>
        <v>852</v>
      </c>
      <c r="U754" s="24">
        <f>VLOOKUP(N754, KM!$A:$E, 5, 0)</f>
        <v>4374</v>
      </c>
      <c r="V754" s="24">
        <f>VLOOKUP(H754, IMPOSTO!$A:$D, 4, 0)</f>
        <v>0.12</v>
      </c>
      <c r="W754" s="24">
        <f>VLOOKUP(I754, IMPOSTO!$A:$D, 4, 0)</f>
        <v>0.12</v>
      </c>
      <c r="X754" s="24">
        <f>VLOOKUP(J754, IMPOSTO!$A:$D, 4, 0)</f>
        <v>7.0000000000000007E-2</v>
      </c>
      <c r="Y754" s="24">
        <f>VLOOKUP(K754, IMPOSTO!$A:$D, 4, 0)</f>
        <v>0.12</v>
      </c>
      <c r="Z754" s="24">
        <f>VLOOKUP(L754, IMPOSTO!$A:$D, 4, 0)</f>
        <v>0.18</v>
      </c>
      <c r="AA754" s="24">
        <f>VLOOKUP(M754, IMPOSTO!$A:$D, 4, 0)</f>
        <v>0.12</v>
      </c>
      <c r="AB754" s="24">
        <f>VLOOKUP(N754, IMPOSTO!$A:$D, 4, 0)</f>
        <v>7.0000000000000007E-2</v>
      </c>
      <c r="AC754" s="25">
        <f t="shared" si="107"/>
        <v>87.33914394953166</v>
      </c>
      <c r="AD754" s="25">
        <f t="shared" si="108"/>
        <v>87.907325767713473</v>
      </c>
      <c r="AE754" s="25">
        <f t="shared" si="109"/>
        <v>92.535964167298758</v>
      </c>
      <c r="AF754" s="25">
        <f t="shared" si="110"/>
        <v>168.58914394953166</v>
      </c>
      <c r="AG754" s="25">
        <f t="shared" si="111"/>
        <v>41.412739848277852</v>
      </c>
      <c r="AH754" s="25">
        <f t="shared" si="112"/>
        <v>135.40732576771344</v>
      </c>
      <c r="AI754" s="25">
        <f t="shared" si="113"/>
        <v>506.83703943611602</v>
      </c>
    </row>
    <row r="755" spans="1:35" ht="15.75" customHeight="1">
      <c r="A755" s="12" t="s">
        <v>182</v>
      </c>
      <c r="B755" s="12" t="s">
        <v>183</v>
      </c>
      <c r="C755" s="12" t="s">
        <v>160</v>
      </c>
      <c r="D755" s="12" t="s">
        <v>33</v>
      </c>
      <c r="E755" s="12" t="s">
        <v>27</v>
      </c>
      <c r="F755" s="13">
        <v>4.8237903711672923</v>
      </c>
      <c r="G755" s="14">
        <v>28.671880746207631</v>
      </c>
      <c r="H755" s="24" t="str">
        <f t="shared" si="106"/>
        <v>RJSP</v>
      </c>
      <c r="I755" s="24" t="str">
        <f t="shared" si="114"/>
        <v>RJMG</v>
      </c>
      <c r="J755" s="24" t="str">
        <f t="shared" si="114"/>
        <v>RJES</v>
      </c>
      <c r="K755" s="24" t="str">
        <f t="shared" si="114"/>
        <v>RJSC</v>
      </c>
      <c r="L755" s="24" t="str">
        <f t="shared" si="114"/>
        <v>RJRJ</v>
      </c>
      <c r="M755" s="24" t="str">
        <f t="shared" si="114"/>
        <v>RJPR</v>
      </c>
      <c r="N755" s="24" t="str">
        <f t="shared" si="114"/>
        <v>RJAM</v>
      </c>
      <c r="O755" s="24">
        <f>VLOOKUP(H755, KM!$A:$E, 5, 0)</f>
        <v>429</v>
      </c>
      <c r="P755" s="24">
        <f>VLOOKUP(I755, KM!$A:$E, 5, 0)</f>
        <v>434</v>
      </c>
      <c r="Q755" s="24">
        <f>VLOOKUP(J755, KM!$A:$E, 5, 0)</f>
        <v>521</v>
      </c>
      <c r="R755" s="24">
        <f>VLOOKUP(K755, KM!$A:$E, 5, 0)</f>
        <v>1144</v>
      </c>
      <c r="S755" s="24">
        <f>VLOOKUP(L755, KM!$A:$E, 5, 0)</f>
        <v>0</v>
      </c>
      <c r="T755" s="24">
        <f>VLOOKUP(M755, KM!$A:$E, 5, 0)</f>
        <v>852</v>
      </c>
      <c r="U755" s="24">
        <f>VLOOKUP(N755, KM!$A:$E, 5, 0)</f>
        <v>4374</v>
      </c>
      <c r="V755" s="24">
        <f>VLOOKUP(H755, IMPOSTO!$A:$D, 4, 0)</f>
        <v>0.12</v>
      </c>
      <c r="W755" s="24">
        <f>VLOOKUP(I755, IMPOSTO!$A:$D, 4, 0)</f>
        <v>0.12</v>
      </c>
      <c r="X755" s="24">
        <f>VLOOKUP(J755, IMPOSTO!$A:$D, 4, 0)</f>
        <v>7.0000000000000007E-2</v>
      </c>
      <c r="Y755" s="24">
        <f>VLOOKUP(K755, IMPOSTO!$A:$D, 4, 0)</f>
        <v>0.12</v>
      </c>
      <c r="Z755" s="24">
        <f>VLOOKUP(L755, IMPOSTO!$A:$D, 4, 0)</f>
        <v>0.18</v>
      </c>
      <c r="AA755" s="24">
        <f>VLOOKUP(M755, IMPOSTO!$A:$D, 4, 0)</f>
        <v>0.12</v>
      </c>
      <c r="AB755" s="24">
        <f>VLOOKUP(N755, IMPOSTO!$A:$D, 4, 0)</f>
        <v>7.0000000000000007E-2</v>
      </c>
      <c r="AC755" s="25">
        <f t="shared" si="107"/>
        <v>81.331682666145042</v>
      </c>
      <c r="AD755" s="25">
        <f t="shared" si="108"/>
        <v>81.899864484326869</v>
      </c>
      <c r="AE755" s="25">
        <f t="shared" si="109"/>
        <v>86.851484673341545</v>
      </c>
      <c r="AF755" s="25">
        <f t="shared" si="110"/>
        <v>162.58168266614504</v>
      </c>
      <c r="AG755" s="25">
        <f t="shared" si="111"/>
        <v>34.965708227082473</v>
      </c>
      <c r="AH755" s="25">
        <f t="shared" si="112"/>
        <v>129.39986448432686</v>
      </c>
      <c r="AI755" s="25">
        <f t="shared" si="113"/>
        <v>501.15255994215886</v>
      </c>
    </row>
    <row r="756" spans="1:35" ht="15.75" customHeight="1">
      <c r="A756" s="12" t="s">
        <v>195</v>
      </c>
      <c r="B756" s="12" t="s">
        <v>196</v>
      </c>
      <c r="C756" s="12" t="s">
        <v>98</v>
      </c>
      <c r="D756" s="12" t="s">
        <v>33</v>
      </c>
      <c r="E756" s="12" t="s">
        <v>27</v>
      </c>
      <c r="F756" s="13">
        <v>282.12923076923079</v>
      </c>
      <c r="G756" s="14">
        <v>1690.5070656000003</v>
      </c>
      <c r="H756" s="24" t="str">
        <f t="shared" si="106"/>
        <v>RJSP</v>
      </c>
      <c r="I756" s="24" t="str">
        <f t="shared" si="114"/>
        <v>RJMG</v>
      </c>
      <c r="J756" s="24" t="str">
        <f t="shared" si="114"/>
        <v>RJES</v>
      </c>
      <c r="K756" s="24" t="str">
        <f t="shared" si="114"/>
        <v>RJSC</v>
      </c>
      <c r="L756" s="24" t="str">
        <f t="shared" si="114"/>
        <v>RJRJ</v>
      </c>
      <c r="M756" s="24" t="str">
        <f t="shared" si="114"/>
        <v>RJPR</v>
      </c>
      <c r="N756" s="24" t="str">
        <f t="shared" si="114"/>
        <v>RJAM</v>
      </c>
      <c r="O756" s="24">
        <f>VLOOKUP(H756, KM!$A:$E, 5, 0)</f>
        <v>429</v>
      </c>
      <c r="P756" s="24">
        <f>VLOOKUP(I756, KM!$A:$E, 5, 0)</f>
        <v>434</v>
      </c>
      <c r="Q756" s="24">
        <f>VLOOKUP(J756, KM!$A:$E, 5, 0)</f>
        <v>521</v>
      </c>
      <c r="R756" s="24">
        <f>VLOOKUP(K756, KM!$A:$E, 5, 0)</f>
        <v>1144</v>
      </c>
      <c r="S756" s="24">
        <f>VLOOKUP(L756, KM!$A:$E, 5, 0)</f>
        <v>0</v>
      </c>
      <c r="T756" s="24">
        <f>VLOOKUP(M756, KM!$A:$E, 5, 0)</f>
        <v>852</v>
      </c>
      <c r="U756" s="24">
        <f>VLOOKUP(N756, KM!$A:$E, 5, 0)</f>
        <v>4374</v>
      </c>
      <c r="V756" s="24">
        <f>VLOOKUP(H756, IMPOSTO!$A:$D, 4, 0)</f>
        <v>0.12</v>
      </c>
      <c r="W756" s="24">
        <f>VLOOKUP(I756, IMPOSTO!$A:$D, 4, 0)</f>
        <v>0.12</v>
      </c>
      <c r="X756" s="24">
        <f>VLOOKUP(J756, IMPOSTO!$A:$D, 4, 0)</f>
        <v>7.0000000000000007E-2</v>
      </c>
      <c r="Y756" s="24">
        <f>VLOOKUP(K756, IMPOSTO!$A:$D, 4, 0)</f>
        <v>0.12</v>
      </c>
      <c r="Z756" s="24">
        <f>VLOOKUP(L756, IMPOSTO!$A:$D, 4, 0)</f>
        <v>0.18</v>
      </c>
      <c r="AA756" s="24">
        <f>VLOOKUP(M756, IMPOSTO!$A:$D, 4, 0)</f>
        <v>0.12</v>
      </c>
      <c r="AB756" s="24">
        <f>VLOOKUP(N756, IMPOSTO!$A:$D, 4, 0)</f>
        <v>7.0000000000000007E-2</v>
      </c>
      <c r="AC756" s="25">
        <f t="shared" si="107"/>
        <v>1969.7807563636368</v>
      </c>
      <c r="AD756" s="25">
        <f t="shared" si="108"/>
        <v>1970.3489381818185</v>
      </c>
      <c r="AE756" s="25">
        <f t="shared" si="109"/>
        <v>1873.7710382795701</v>
      </c>
      <c r="AF756" s="25">
        <f t="shared" si="110"/>
        <v>2051.0307563636366</v>
      </c>
      <c r="AG756" s="25">
        <f t="shared" si="111"/>
        <v>2061.5939824390243</v>
      </c>
      <c r="AH756" s="25">
        <f t="shared" si="112"/>
        <v>2017.8489381818185</v>
      </c>
      <c r="AI756" s="25">
        <f t="shared" si="113"/>
        <v>2288.0721135483877</v>
      </c>
    </row>
    <row r="757" spans="1:35" ht="15.75" customHeight="1">
      <c r="A757" s="12" t="s">
        <v>199</v>
      </c>
      <c r="B757" s="12" t="s">
        <v>200</v>
      </c>
      <c r="C757" s="12" t="s">
        <v>181</v>
      </c>
      <c r="D757" s="12" t="s">
        <v>33</v>
      </c>
      <c r="E757" s="12" t="s">
        <v>27</v>
      </c>
      <c r="F757" s="13">
        <v>174.43500273224035</v>
      </c>
      <c r="G757" s="14">
        <v>2239.4490649316949</v>
      </c>
      <c r="H757" s="24" t="str">
        <f t="shared" si="106"/>
        <v>RJSP</v>
      </c>
      <c r="I757" s="24" t="str">
        <f t="shared" si="114"/>
        <v>RJMG</v>
      </c>
      <c r="J757" s="24" t="str">
        <f t="shared" si="114"/>
        <v>RJES</v>
      </c>
      <c r="K757" s="24" t="str">
        <f t="shared" si="114"/>
        <v>RJSC</v>
      </c>
      <c r="L757" s="24" t="str">
        <f t="shared" si="114"/>
        <v>RJRJ</v>
      </c>
      <c r="M757" s="24" t="str">
        <f t="shared" si="114"/>
        <v>RJPR</v>
      </c>
      <c r="N757" s="24" t="str">
        <f t="shared" si="114"/>
        <v>RJAM</v>
      </c>
      <c r="O757" s="24">
        <f>VLOOKUP(H757, KM!$A:$E, 5, 0)</f>
        <v>429</v>
      </c>
      <c r="P757" s="24">
        <f>VLOOKUP(I757, KM!$A:$E, 5, 0)</f>
        <v>434</v>
      </c>
      <c r="Q757" s="24">
        <f>VLOOKUP(J757, KM!$A:$E, 5, 0)</f>
        <v>521</v>
      </c>
      <c r="R757" s="24">
        <f>VLOOKUP(K757, KM!$A:$E, 5, 0)</f>
        <v>1144</v>
      </c>
      <c r="S757" s="24">
        <f>VLOOKUP(L757, KM!$A:$E, 5, 0)</f>
        <v>0</v>
      </c>
      <c r="T757" s="24">
        <f>VLOOKUP(M757, KM!$A:$E, 5, 0)</f>
        <v>852</v>
      </c>
      <c r="U757" s="24">
        <f>VLOOKUP(N757, KM!$A:$E, 5, 0)</f>
        <v>4374</v>
      </c>
      <c r="V757" s="24">
        <f>VLOOKUP(H757, IMPOSTO!$A:$D, 4, 0)</f>
        <v>0.12</v>
      </c>
      <c r="W757" s="24">
        <f>VLOOKUP(I757, IMPOSTO!$A:$D, 4, 0)</f>
        <v>0.12</v>
      </c>
      <c r="X757" s="24">
        <f>VLOOKUP(J757, IMPOSTO!$A:$D, 4, 0)</f>
        <v>7.0000000000000007E-2</v>
      </c>
      <c r="Y757" s="24">
        <f>VLOOKUP(K757, IMPOSTO!$A:$D, 4, 0)</f>
        <v>0.12</v>
      </c>
      <c r="Z757" s="24">
        <f>VLOOKUP(L757, IMPOSTO!$A:$D, 4, 0)</f>
        <v>0.18</v>
      </c>
      <c r="AA757" s="24">
        <f>VLOOKUP(M757, IMPOSTO!$A:$D, 4, 0)</f>
        <v>0.12</v>
      </c>
      <c r="AB757" s="24">
        <f>VLOOKUP(N757, IMPOSTO!$A:$D, 4, 0)</f>
        <v>7.0000000000000007E-2</v>
      </c>
      <c r="AC757" s="25">
        <f t="shared" si="107"/>
        <v>2593.578482876926</v>
      </c>
      <c r="AD757" s="25">
        <f t="shared" si="108"/>
        <v>2594.146664695108</v>
      </c>
      <c r="AE757" s="25">
        <f t="shared" si="109"/>
        <v>2464.0312526147259</v>
      </c>
      <c r="AF757" s="25">
        <f t="shared" si="110"/>
        <v>2674.828482876926</v>
      </c>
      <c r="AG757" s="25">
        <f t="shared" si="111"/>
        <v>2731.0354450386521</v>
      </c>
      <c r="AH757" s="25">
        <f t="shared" si="112"/>
        <v>2641.6466646951076</v>
      </c>
      <c r="AI757" s="25">
        <f t="shared" si="113"/>
        <v>2878.3323278835433</v>
      </c>
    </row>
    <row r="758" spans="1:35" ht="15.75" customHeight="1">
      <c r="A758" s="12" t="s">
        <v>404</v>
      </c>
      <c r="B758" s="12" t="s">
        <v>405</v>
      </c>
      <c r="C758" s="12" t="s">
        <v>181</v>
      </c>
      <c r="D758" s="12" t="s">
        <v>33</v>
      </c>
      <c r="E758" s="12" t="s">
        <v>27</v>
      </c>
      <c r="F758" s="13">
        <v>175.40600000000003</v>
      </c>
      <c r="G758" s="14">
        <v>3770.9241201563168</v>
      </c>
      <c r="H758" s="24" t="str">
        <f t="shared" si="106"/>
        <v>RJSP</v>
      </c>
      <c r="I758" s="24" t="str">
        <f t="shared" si="114"/>
        <v>RJMG</v>
      </c>
      <c r="J758" s="24" t="str">
        <f t="shared" si="114"/>
        <v>RJES</v>
      </c>
      <c r="K758" s="24" t="str">
        <f t="shared" si="114"/>
        <v>RJSC</v>
      </c>
      <c r="L758" s="24" t="str">
        <f t="shared" si="114"/>
        <v>RJRJ</v>
      </c>
      <c r="M758" s="24" t="str">
        <f t="shared" si="114"/>
        <v>RJPR</v>
      </c>
      <c r="N758" s="24" t="str">
        <f t="shared" si="114"/>
        <v>RJAM</v>
      </c>
      <c r="O758" s="24">
        <f>VLOOKUP(H758, KM!$A:$E, 5, 0)</f>
        <v>429</v>
      </c>
      <c r="P758" s="24">
        <f>VLOOKUP(I758, KM!$A:$E, 5, 0)</f>
        <v>434</v>
      </c>
      <c r="Q758" s="24">
        <f>VLOOKUP(J758, KM!$A:$E, 5, 0)</f>
        <v>521</v>
      </c>
      <c r="R758" s="24">
        <f>VLOOKUP(K758, KM!$A:$E, 5, 0)</f>
        <v>1144</v>
      </c>
      <c r="S758" s="24">
        <f>VLOOKUP(L758, KM!$A:$E, 5, 0)</f>
        <v>0</v>
      </c>
      <c r="T758" s="24">
        <f>VLOOKUP(M758, KM!$A:$E, 5, 0)</f>
        <v>852</v>
      </c>
      <c r="U758" s="24">
        <f>VLOOKUP(N758, KM!$A:$E, 5, 0)</f>
        <v>4374</v>
      </c>
      <c r="V758" s="24">
        <f>VLOOKUP(H758, IMPOSTO!$A:$D, 4, 0)</f>
        <v>0.12</v>
      </c>
      <c r="W758" s="24">
        <f>VLOOKUP(I758, IMPOSTO!$A:$D, 4, 0)</f>
        <v>0.12</v>
      </c>
      <c r="X758" s="24">
        <f>VLOOKUP(J758, IMPOSTO!$A:$D, 4, 0)</f>
        <v>7.0000000000000007E-2</v>
      </c>
      <c r="Y758" s="24">
        <f>VLOOKUP(K758, IMPOSTO!$A:$D, 4, 0)</f>
        <v>0.12</v>
      </c>
      <c r="Z758" s="24">
        <f>VLOOKUP(L758, IMPOSTO!$A:$D, 4, 0)</f>
        <v>0.18</v>
      </c>
      <c r="AA758" s="24">
        <f>VLOOKUP(M758, IMPOSTO!$A:$D, 4, 0)</f>
        <v>0.12</v>
      </c>
      <c r="AB758" s="24">
        <f>VLOOKUP(N758, IMPOSTO!$A:$D, 4, 0)</f>
        <v>7.0000000000000007E-2</v>
      </c>
      <c r="AC758" s="25">
        <f t="shared" si="107"/>
        <v>4333.8910456321782</v>
      </c>
      <c r="AD758" s="25">
        <f t="shared" si="108"/>
        <v>4334.4592274503602</v>
      </c>
      <c r="AE758" s="25">
        <f t="shared" si="109"/>
        <v>4110.7786238239969</v>
      </c>
      <c r="AF758" s="25">
        <f t="shared" si="110"/>
        <v>4415.1410456321782</v>
      </c>
      <c r="AG758" s="25">
        <f t="shared" si="111"/>
        <v>4598.687951410142</v>
      </c>
      <c r="AH758" s="25">
        <f t="shared" si="112"/>
        <v>4381.9592274503593</v>
      </c>
      <c r="AI758" s="25">
        <f t="shared" si="113"/>
        <v>4525.0796990928138</v>
      </c>
    </row>
    <row r="759" spans="1:35" ht="15.75" customHeight="1">
      <c r="A759" s="12" t="s">
        <v>406</v>
      </c>
      <c r="B759" s="12" t="s">
        <v>407</v>
      </c>
      <c r="C759" s="12" t="s">
        <v>314</v>
      </c>
      <c r="D759" s="12" t="s">
        <v>33</v>
      </c>
      <c r="E759" s="12" t="s">
        <v>27</v>
      </c>
      <c r="F759" s="13">
        <v>9.4649651194726712</v>
      </c>
      <c r="G759" s="14">
        <v>636.95782693216142</v>
      </c>
      <c r="H759" s="24" t="str">
        <f t="shared" si="106"/>
        <v>RJSP</v>
      </c>
      <c r="I759" s="24" t="str">
        <f t="shared" si="114"/>
        <v>RJMG</v>
      </c>
      <c r="J759" s="24" t="str">
        <f t="shared" si="114"/>
        <v>RJES</v>
      </c>
      <c r="K759" s="24" t="str">
        <f t="shared" si="114"/>
        <v>RJSC</v>
      </c>
      <c r="L759" s="24" t="str">
        <f t="shared" si="114"/>
        <v>RJRJ</v>
      </c>
      <c r="M759" s="24" t="str">
        <f t="shared" si="114"/>
        <v>RJPR</v>
      </c>
      <c r="N759" s="24" t="str">
        <f t="shared" si="114"/>
        <v>RJAM</v>
      </c>
      <c r="O759" s="24">
        <f>VLOOKUP(H759, KM!$A:$E, 5, 0)</f>
        <v>429</v>
      </c>
      <c r="P759" s="24">
        <f>VLOOKUP(I759, KM!$A:$E, 5, 0)</f>
        <v>434</v>
      </c>
      <c r="Q759" s="24">
        <f>VLOOKUP(J759, KM!$A:$E, 5, 0)</f>
        <v>521</v>
      </c>
      <c r="R759" s="24">
        <f>VLOOKUP(K759, KM!$A:$E, 5, 0)</f>
        <v>1144</v>
      </c>
      <c r="S759" s="24">
        <f>VLOOKUP(L759, KM!$A:$E, 5, 0)</f>
        <v>0</v>
      </c>
      <c r="T759" s="24">
        <f>VLOOKUP(M759, KM!$A:$E, 5, 0)</f>
        <v>852</v>
      </c>
      <c r="U759" s="24">
        <f>VLOOKUP(N759, KM!$A:$E, 5, 0)</f>
        <v>4374</v>
      </c>
      <c r="V759" s="24">
        <f>VLOOKUP(H759, IMPOSTO!$A:$D, 4, 0)</f>
        <v>0.12</v>
      </c>
      <c r="W759" s="24">
        <f>VLOOKUP(I759, IMPOSTO!$A:$D, 4, 0)</f>
        <v>0.12</v>
      </c>
      <c r="X759" s="24">
        <f>VLOOKUP(J759, IMPOSTO!$A:$D, 4, 0)</f>
        <v>7.0000000000000007E-2</v>
      </c>
      <c r="Y759" s="24">
        <f>VLOOKUP(K759, IMPOSTO!$A:$D, 4, 0)</f>
        <v>0.12</v>
      </c>
      <c r="Z759" s="24">
        <f>VLOOKUP(L759, IMPOSTO!$A:$D, 4, 0)</f>
        <v>0.18</v>
      </c>
      <c r="AA759" s="24">
        <f>VLOOKUP(M759, IMPOSTO!$A:$D, 4, 0)</f>
        <v>0.12</v>
      </c>
      <c r="AB759" s="24">
        <f>VLOOKUP(N759, IMPOSTO!$A:$D, 4, 0)</f>
        <v>7.0000000000000007E-2</v>
      </c>
      <c r="AC759" s="25">
        <f t="shared" si="107"/>
        <v>772.56571242291068</v>
      </c>
      <c r="AD759" s="25">
        <f t="shared" si="108"/>
        <v>773.13389424109255</v>
      </c>
      <c r="AE759" s="25">
        <f t="shared" si="109"/>
        <v>740.92239455071126</v>
      </c>
      <c r="AF759" s="25">
        <f t="shared" si="110"/>
        <v>853.81571242291068</v>
      </c>
      <c r="AG759" s="25">
        <f t="shared" si="111"/>
        <v>776.77783772214798</v>
      </c>
      <c r="AH759" s="25">
        <f t="shared" si="112"/>
        <v>820.63389424109255</v>
      </c>
      <c r="AI759" s="25">
        <f t="shared" si="113"/>
        <v>1155.2234698195286</v>
      </c>
    </row>
    <row r="760" spans="1:35" ht="15.75" customHeight="1">
      <c r="A760" s="12" t="s">
        <v>429</v>
      </c>
      <c r="B760" s="12" t="s">
        <v>430</v>
      </c>
      <c r="C760" s="12" t="s">
        <v>299</v>
      </c>
      <c r="D760" s="12" t="s">
        <v>33</v>
      </c>
      <c r="E760" s="12" t="s">
        <v>27</v>
      </c>
      <c r="F760" s="13">
        <v>1123.7103742013994</v>
      </c>
      <c r="G760" s="14">
        <v>34605.460731365987</v>
      </c>
      <c r="H760" s="24" t="str">
        <f t="shared" si="106"/>
        <v>RJSP</v>
      </c>
      <c r="I760" s="24" t="str">
        <f t="shared" si="114"/>
        <v>RJMG</v>
      </c>
      <c r="J760" s="24" t="str">
        <f t="shared" si="114"/>
        <v>RJES</v>
      </c>
      <c r="K760" s="24" t="str">
        <f t="shared" si="114"/>
        <v>RJSC</v>
      </c>
      <c r="L760" s="24" t="str">
        <f t="shared" si="114"/>
        <v>RJRJ</v>
      </c>
      <c r="M760" s="24" t="str">
        <f t="shared" si="114"/>
        <v>RJPR</v>
      </c>
      <c r="N760" s="24" t="str">
        <f t="shared" si="114"/>
        <v>RJAM</v>
      </c>
      <c r="O760" s="24">
        <f>VLOOKUP(H760, KM!$A:$E, 5, 0)</f>
        <v>429</v>
      </c>
      <c r="P760" s="24">
        <f>VLOOKUP(I760, KM!$A:$E, 5, 0)</f>
        <v>434</v>
      </c>
      <c r="Q760" s="24">
        <f>VLOOKUP(J760, KM!$A:$E, 5, 0)</f>
        <v>521</v>
      </c>
      <c r="R760" s="24">
        <f>VLOOKUP(K760, KM!$A:$E, 5, 0)</f>
        <v>1144</v>
      </c>
      <c r="S760" s="24">
        <f>VLOOKUP(L760, KM!$A:$E, 5, 0)</f>
        <v>0</v>
      </c>
      <c r="T760" s="24">
        <f>VLOOKUP(M760, KM!$A:$E, 5, 0)</f>
        <v>852</v>
      </c>
      <c r="U760" s="24">
        <f>VLOOKUP(N760, KM!$A:$E, 5, 0)</f>
        <v>4374</v>
      </c>
      <c r="V760" s="24">
        <f>VLOOKUP(H760, IMPOSTO!$A:$D, 4, 0)</f>
        <v>0.12</v>
      </c>
      <c r="W760" s="24">
        <f>VLOOKUP(I760, IMPOSTO!$A:$D, 4, 0)</f>
        <v>0.12</v>
      </c>
      <c r="X760" s="24">
        <f>VLOOKUP(J760, IMPOSTO!$A:$D, 4, 0)</f>
        <v>7.0000000000000007E-2</v>
      </c>
      <c r="Y760" s="24">
        <f>VLOOKUP(K760, IMPOSTO!$A:$D, 4, 0)</f>
        <v>0.12</v>
      </c>
      <c r="Z760" s="24">
        <f>VLOOKUP(L760, IMPOSTO!$A:$D, 4, 0)</f>
        <v>0.18</v>
      </c>
      <c r="AA760" s="24">
        <f>VLOOKUP(M760, IMPOSTO!$A:$D, 4, 0)</f>
        <v>0.12</v>
      </c>
      <c r="AB760" s="24">
        <f>VLOOKUP(N760, IMPOSTO!$A:$D, 4, 0)</f>
        <v>7.0000000000000007E-2</v>
      </c>
      <c r="AC760" s="25">
        <f t="shared" si="107"/>
        <v>39373.137194734081</v>
      </c>
      <c r="AD760" s="25">
        <f t="shared" si="108"/>
        <v>39373.705376552258</v>
      </c>
      <c r="AE760" s="25">
        <f t="shared" si="109"/>
        <v>37266.194334802138</v>
      </c>
      <c r="AF760" s="25">
        <f t="shared" si="110"/>
        <v>39454.387194734081</v>
      </c>
      <c r="AG760" s="25">
        <f t="shared" si="111"/>
        <v>42201.781379714615</v>
      </c>
      <c r="AH760" s="25">
        <f t="shared" si="112"/>
        <v>39421.205376552258</v>
      </c>
      <c r="AI760" s="25">
        <f t="shared" si="113"/>
        <v>37680.495410070958</v>
      </c>
    </row>
    <row r="761" spans="1:35" ht="15.75" customHeight="1">
      <c r="A761" s="12" t="s">
        <v>654</v>
      </c>
      <c r="B761" s="12" t="s">
        <v>655</v>
      </c>
      <c r="C761" s="12" t="s">
        <v>433</v>
      </c>
      <c r="D761" s="12" t="s">
        <v>33</v>
      </c>
      <c r="E761" s="12" t="s">
        <v>27</v>
      </c>
      <c r="F761" s="13">
        <v>8826.0000000000073</v>
      </c>
      <c r="G761" s="14">
        <v>149738.22636751647</v>
      </c>
      <c r="H761" s="24" t="str">
        <f t="shared" si="106"/>
        <v>RJSP</v>
      </c>
      <c r="I761" s="24" t="str">
        <f t="shared" si="114"/>
        <v>RJMG</v>
      </c>
      <c r="J761" s="24" t="str">
        <f t="shared" si="114"/>
        <v>RJES</v>
      </c>
      <c r="K761" s="24" t="str">
        <f t="shared" si="114"/>
        <v>RJSC</v>
      </c>
      <c r="L761" s="24" t="str">
        <f t="shared" si="114"/>
        <v>RJRJ</v>
      </c>
      <c r="M761" s="24" t="str">
        <f t="shared" si="114"/>
        <v>RJPR</v>
      </c>
      <c r="N761" s="24" t="str">
        <f t="shared" si="114"/>
        <v>RJAM</v>
      </c>
      <c r="O761" s="24">
        <f>VLOOKUP(H761, KM!$A:$E, 5, 0)</f>
        <v>429</v>
      </c>
      <c r="P761" s="24">
        <f>VLOOKUP(I761, KM!$A:$E, 5, 0)</f>
        <v>434</v>
      </c>
      <c r="Q761" s="24">
        <f>VLOOKUP(J761, KM!$A:$E, 5, 0)</f>
        <v>521</v>
      </c>
      <c r="R761" s="24">
        <f>VLOOKUP(K761, KM!$A:$E, 5, 0)</f>
        <v>1144</v>
      </c>
      <c r="S761" s="24">
        <f>VLOOKUP(L761, KM!$A:$E, 5, 0)</f>
        <v>0</v>
      </c>
      <c r="T761" s="24">
        <f>VLOOKUP(M761, KM!$A:$E, 5, 0)</f>
        <v>852</v>
      </c>
      <c r="U761" s="24">
        <f>VLOOKUP(N761, KM!$A:$E, 5, 0)</f>
        <v>4374</v>
      </c>
      <c r="V761" s="24">
        <f>VLOOKUP(H761, IMPOSTO!$A:$D, 4, 0)</f>
        <v>0.12</v>
      </c>
      <c r="W761" s="24">
        <f>VLOOKUP(I761, IMPOSTO!$A:$D, 4, 0)</f>
        <v>0.12</v>
      </c>
      <c r="X761" s="24">
        <f>VLOOKUP(J761, IMPOSTO!$A:$D, 4, 0)</f>
        <v>7.0000000000000007E-2</v>
      </c>
      <c r="Y761" s="24">
        <f>VLOOKUP(K761, IMPOSTO!$A:$D, 4, 0)</f>
        <v>0.12</v>
      </c>
      <c r="Z761" s="24">
        <f>VLOOKUP(L761, IMPOSTO!$A:$D, 4, 0)</f>
        <v>0.18</v>
      </c>
      <c r="AA761" s="24">
        <f>VLOOKUP(M761, IMPOSTO!$A:$D, 4, 0)</f>
        <v>0.12</v>
      </c>
      <c r="AB761" s="24">
        <f>VLOOKUP(N761, IMPOSTO!$A:$D, 4, 0)</f>
        <v>7.0000000000000007E-2</v>
      </c>
      <c r="AC761" s="25">
        <f t="shared" si="107"/>
        <v>170205.82541763235</v>
      </c>
      <c r="AD761" s="25">
        <f t="shared" si="108"/>
        <v>170206.39359945053</v>
      </c>
      <c r="AE761" s="25">
        <f t="shared" si="109"/>
        <v>161064.8670618457</v>
      </c>
      <c r="AF761" s="25">
        <f t="shared" si="110"/>
        <v>170287.07541763235</v>
      </c>
      <c r="AG761" s="25">
        <f t="shared" si="111"/>
        <v>182607.59313111764</v>
      </c>
      <c r="AH761" s="25">
        <f t="shared" si="112"/>
        <v>170253.89359945056</v>
      </c>
      <c r="AI761" s="25">
        <f t="shared" si="113"/>
        <v>161479.1681371145</v>
      </c>
    </row>
    <row r="762" spans="1:35" ht="15.75" customHeight="1">
      <c r="A762" s="12" t="s">
        <v>566</v>
      </c>
      <c r="B762" s="12" t="s">
        <v>567</v>
      </c>
      <c r="C762" s="12" t="s">
        <v>433</v>
      </c>
      <c r="D762" s="12" t="s">
        <v>33</v>
      </c>
      <c r="E762" s="12" t="s">
        <v>27</v>
      </c>
      <c r="F762" s="13">
        <v>2738.0294117647059</v>
      </c>
      <c r="G762" s="14">
        <v>142897.39200367645</v>
      </c>
      <c r="H762" s="24" t="str">
        <f t="shared" si="106"/>
        <v>RJSP</v>
      </c>
      <c r="I762" s="24" t="str">
        <f t="shared" si="114"/>
        <v>RJMG</v>
      </c>
      <c r="J762" s="24" t="str">
        <f t="shared" si="114"/>
        <v>RJES</v>
      </c>
      <c r="K762" s="24" t="str">
        <f t="shared" si="114"/>
        <v>RJSC</v>
      </c>
      <c r="L762" s="24" t="str">
        <f t="shared" si="114"/>
        <v>RJRJ</v>
      </c>
      <c r="M762" s="24" t="str">
        <f t="shared" si="114"/>
        <v>RJPR</v>
      </c>
      <c r="N762" s="24" t="str">
        <f t="shared" si="114"/>
        <v>RJAM</v>
      </c>
      <c r="O762" s="24">
        <f>VLOOKUP(H762, KM!$A:$E, 5, 0)</f>
        <v>429</v>
      </c>
      <c r="P762" s="24">
        <f>VLOOKUP(I762, KM!$A:$E, 5, 0)</f>
        <v>434</v>
      </c>
      <c r="Q762" s="24">
        <f>VLOOKUP(J762, KM!$A:$E, 5, 0)</f>
        <v>521</v>
      </c>
      <c r="R762" s="24">
        <f>VLOOKUP(K762, KM!$A:$E, 5, 0)</f>
        <v>1144</v>
      </c>
      <c r="S762" s="24">
        <f>VLOOKUP(L762, KM!$A:$E, 5, 0)</f>
        <v>0</v>
      </c>
      <c r="T762" s="24">
        <f>VLOOKUP(M762, KM!$A:$E, 5, 0)</f>
        <v>852</v>
      </c>
      <c r="U762" s="24">
        <f>VLOOKUP(N762, KM!$A:$E, 5, 0)</f>
        <v>4374</v>
      </c>
      <c r="V762" s="24">
        <f>VLOOKUP(H762, IMPOSTO!$A:$D, 4, 0)</f>
        <v>0.12</v>
      </c>
      <c r="W762" s="24">
        <f>VLOOKUP(I762, IMPOSTO!$A:$D, 4, 0)</f>
        <v>0.12</v>
      </c>
      <c r="X762" s="24">
        <f>VLOOKUP(J762, IMPOSTO!$A:$D, 4, 0)</f>
        <v>7.0000000000000007E-2</v>
      </c>
      <c r="Y762" s="24">
        <f>VLOOKUP(K762, IMPOSTO!$A:$D, 4, 0)</f>
        <v>0.12</v>
      </c>
      <c r="Z762" s="24">
        <f>VLOOKUP(L762, IMPOSTO!$A:$D, 4, 0)</f>
        <v>0.18</v>
      </c>
      <c r="AA762" s="24">
        <f>VLOOKUP(M762, IMPOSTO!$A:$D, 4, 0)</f>
        <v>0.12</v>
      </c>
      <c r="AB762" s="24">
        <f>VLOOKUP(N762, IMPOSTO!$A:$D, 4, 0)</f>
        <v>7.0000000000000007E-2</v>
      </c>
      <c r="AC762" s="25">
        <f t="shared" si="107"/>
        <v>162432.15000417776</v>
      </c>
      <c r="AD762" s="25">
        <f t="shared" si="108"/>
        <v>162432.71818599597</v>
      </c>
      <c r="AE762" s="25">
        <f t="shared" si="109"/>
        <v>153709.13118674888</v>
      </c>
      <c r="AF762" s="25">
        <f t="shared" si="110"/>
        <v>162513.40000417776</v>
      </c>
      <c r="AG762" s="25">
        <f t="shared" si="111"/>
        <v>174265.11219960541</v>
      </c>
      <c r="AH762" s="25">
        <f t="shared" si="112"/>
        <v>162480.21818599597</v>
      </c>
      <c r="AI762" s="25">
        <f t="shared" si="113"/>
        <v>154123.43226201768</v>
      </c>
    </row>
    <row r="763" spans="1:35" ht="15.75" customHeight="1">
      <c r="A763" s="12" t="s">
        <v>436</v>
      </c>
      <c r="B763" s="12" t="s">
        <v>437</v>
      </c>
      <c r="C763" s="12" t="s">
        <v>169</v>
      </c>
      <c r="D763" s="12" t="s">
        <v>33</v>
      </c>
      <c r="E763" s="12" t="s">
        <v>27</v>
      </c>
      <c r="F763" s="13">
        <v>30</v>
      </c>
      <c r="G763" s="14">
        <v>2846.1000000000004</v>
      </c>
      <c r="H763" s="24" t="str">
        <f t="shared" si="106"/>
        <v>RJSP</v>
      </c>
      <c r="I763" s="24" t="str">
        <f t="shared" si="114"/>
        <v>RJMG</v>
      </c>
      <c r="J763" s="24" t="str">
        <f t="shared" si="114"/>
        <v>RJES</v>
      </c>
      <c r="K763" s="24" t="str">
        <f t="shared" si="114"/>
        <v>RJSC</v>
      </c>
      <c r="L763" s="24" t="str">
        <f t="shared" si="114"/>
        <v>RJRJ</v>
      </c>
      <c r="M763" s="24" t="str">
        <f t="shared" si="114"/>
        <v>RJPR</v>
      </c>
      <c r="N763" s="24" t="str">
        <f t="shared" si="114"/>
        <v>RJAM</v>
      </c>
      <c r="O763" s="24">
        <f>VLOOKUP(H763, KM!$A:$E, 5, 0)</f>
        <v>429</v>
      </c>
      <c r="P763" s="24">
        <f>VLOOKUP(I763, KM!$A:$E, 5, 0)</f>
        <v>434</v>
      </c>
      <c r="Q763" s="24">
        <f>VLOOKUP(J763, KM!$A:$E, 5, 0)</f>
        <v>521</v>
      </c>
      <c r="R763" s="24">
        <f>VLOOKUP(K763, KM!$A:$E, 5, 0)</f>
        <v>1144</v>
      </c>
      <c r="S763" s="24">
        <f>VLOOKUP(L763, KM!$A:$E, 5, 0)</f>
        <v>0</v>
      </c>
      <c r="T763" s="24">
        <f>VLOOKUP(M763, KM!$A:$E, 5, 0)</f>
        <v>852</v>
      </c>
      <c r="U763" s="24">
        <f>VLOOKUP(N763, KM!$A:$E, 5, 0)</f>
        <v>4374</v>
      </c>
      <c r="V763" s="24">
        <f>VLOOKUP(H763, IMPOSTO!$A:$D, 4, 0)</f>
        <v>0.12</v>
      </c>
      <c r="W763" s="24">
        <f>VLOOKUP(I763, IMPOSTO!$A:$D, 4, 0)</f>
        <v>0.12</v>
      </c>
      <c r="X763" s="24">
        <f>VLOOKUP(J763, IMPOSTO!$A:$D, 4, 0)</f>
        <v>7.0000000000000007E-2</v>
      </c>
      <c r="Y763" s="24">
        <f>VLOOKUP(K763, IMPOSTO!$A:$D, 4, 0)</f>
        <v>0.12</v>
      </c>
      <c r="Z763" s="24">
        <f>VLOOKUP(L763, IMPOSTO!$A:$D, 4, 0)</f>
        <v>0.18</v>
      </c>
      <c r="AA763" s="24">
        <f>VLOOKUP(M763, IMPOSTO!$A:$D, 4, 0)</f>
        <v>0.12</v>
      </c>
      <c r="AB763" s="24">
        <f>VLOOKUP(N763, IMPOSTO!$A:$D, 4, 0)</f>
        <v>7.0000000000000007E-2</v>
      </c>
      <c r="AC763" s="25">
        <f t="shared" si="107"/>
        <v>3282.954545454546</v>
      </c>
      <c r="AD763" s="25">
        <f t="shared" si="108"/>
        <v>3283.5227272727279</v>
      </c>
      <c r="AE763" s="25">
        <f t="shared" si="109"/>
        <v>3116.344086021506</v>
      </c>
      <c r="AF763" s="25">
        <f t="shared" si="110"/>
        <v>3364.204545454546</v>
      </c>
      <c r="AG763" s="25">
        <f t="shared" si="111"/>
        <v>3470.8536585365855</v>
      </c>
      <c r="AH763" s="25">
        <f t="shared" si="112"/>
        <v>3331.0227272727275</v>
      </c>
      <c r="AI763" s="25">
        <f t="shared" si="113"/>
        <v>3530.6451612903234</v>
      </c>
    </row>
    <row r="764" spans="1:35" ht="15.75" customHeight="1">
      <c r="A764" s="12" t="s">
        <v>436</v>
      </c>
      <c r="B764" s="12" t="s">
        <v>437</v>
      </c>
      <c r="C764" s="12" t="s">
        <v>169</v>
      </c>
      <c r="D764" s="12" t="s">
        <v>33</v>
      </c>
      <c r="E764" s="12" t="s">
        <v>27</v>
      </c>
      <c r="F764" s="13">
        <v>22</v>
      </c>
      <c r="G764" s="14">
        <v>2087.14</v>
      </c>
      <c r="H764" s="24" t="str">
        <f t="shared" si="106"/>
        <v>RJSP</v>
      </c>
      <c r="I764" s="24" t="str">
        <f t="shared" si="114"/>
        <v>RJMG</v>
      </c>
      <c r="J764" s="24" t="str">
        <f t="shared" si="114"/>
        <v>RJES</v>
      </c>
      <c r="K764" s="24" t="str">
        <f t="shared" si="114"/>
        <v>RJSC</v>
      </c>
      <c r="L764" s="24" t="str">
        <f t="shared" si="114"/>
        <v>RJRJ</v>
      </c>
      <c r="M764" s="24" t="str">
        <f t="shared" si="114"/>
        <v>RJPR</v>
      </c>
      <c r="N764" s="24" t="str">
        <f t="shared" si="114"/>
        <v>RJAM</v>
      </c>
      <c r="O764" s="24">
        <f>VLOOKUP(H764, KM!$A:$E, 5, 0)</f>
        <v>429</v>
      </c>
      <c r="P764" s="24">
        <f>VLOOKUP(I764, KM!$A:$E, 5, 0)</f>
        <v>434</v>
      </c>
      <c r="Q764" s="24">
        <f>VLOOKUP(J764, KM!$A:$E, 5, 0)</f>
        <v>521</v>
      </c>
      <c r="R764" s="24">
        <f>VLOOKUP(K764, KM!$A:$E, 5, 0)</f>
        <v>1144</v>
      </c>
      <c r="S764" s="24">
        <f>VLOOKUP(L764, KM!$A:$E, 5, 0)</f>
        <v>0</v>
      </c>
      <c r="T764" s="24">
        <f>VLOOKUP(M764, KM!$A:$E, 5, 0)</f>
        <v>852</v>
      </c>
      <c r="U764" s="24">
        <f>VLOOKUP(N764, KM!$A:$E, 5, 0)</f>
        <v>4374</v>
      </c>
      <c r="V764" s="24">
        <f>VLOOKUP(H764, IMPOSTO!$A:$D, 4, 0)</f>
        <v>0.12</v>
      </c>
      <c r="W764" s="24">
        <f>VLOOKUP(I764, IMPOSTO!$A:$D, 4, 0)</f>
        <v>0.12</v>
      </c>
      <c r="X764" s="24">
        <f>VLOOKUP(J764, IMPOSTO!$A:$D, 4, 0)</f>
        <v>7.0000000000000007E-2</v>
      </c>
      <c r="Y764" s="24">
        <f>VLOOKUP(K764, IMPOSTO!$A:$D, 4, 0)</f>
        <v>0.12</v>
      </c>
      <c r="Z764" s="24">
        <f>VLOOKUP(L764, IMPOSTO!$A:$D, 4, 0)</f>
        <v>0.18</v>
      </c>
      <c r="AA764" s="24">
        <f>VLOOKUP(M764, IMPOSTO!$A:$D, 4, 0)</f>
        <v>0.12</v>
      </c>
      <c r="AB764" s="24">
        <f>VLOOKUP(N764, IMPOSTO!$A:$D, 4, 0)</f>
        <v>7.0000000000000007E-2</v>
      </c>
      <c r="AC764" s="25">
        <f t="shared" si="107"/>
        <v>2420.5</v>
      </c>
      <c r="AD764" s="25">
        <f t="shared" si="108"/>
        <v>2421.068181818182</v>
      </c>
      <c r="AE764" s="25">
        <f t="shared" si="109"/>
        <v>2300.2580645161288</v>
      </c>
      <c r="AF764" s="25">
        <f t="shared" si="110"/>
        <v>2501.75</v>
      </c>
      <c r="AG764" s="25">
        <f t="shared" si="111"/>
        <v>2545.292682926829</v>
      </c>
      <c r="AH764" s="25">
        <f t="shared" si="112"/>
        <v>2468.5681818181815</v>
      </c>
      <c r="AI764" s="25">
        <f t="shared" si="113"/>
        <v>2714.5591397849462</v>
      </c>
    </row>
    <row r="765" spans="1:35" ht="15.75" customHeight="1">
      <c r="A765" s="12" t="s">
        <v>438</v>
      </c>
      <c r="B765" s="12" t="s">
        <v>439</v>
      </c>
      <c r="C765" s="12" t="s">
        <v>333</v>
      </c>
      <c r="D765" s="12" t="s">
        <v>50</v>
      </c>
      <c r="E765" s="12" t="s">
        <v>27</v>
      </c>
      <c r="F765" s="13">
        <v>13158.337678721615</v>
      </c>
      <c r="G765" s="14">
        <v>42103.811835155604</v>
      </c>
      <c r="H765" s="24" t="str">
        <f t="shared" si="106"/>
        <v>RJSP</v>
      </c>
      <c r="I765" s="24" t="str">
        <f t="shared" si="114"/>
        <v>RJMG</v>
      </c>
      <c r="J765" s="24" t="str">
        <f t="shared" si="114"/>
        <v>RJES</v>
      </c>
      <c r="K765" s="24" t="str">
        <f t="shared" si="114"/>
        <v>RJSC</v>
      </c>
      <c r="L765" s="24" t="str">
        <f t="shared" si="114"/>
        <v>RJRJ</v>
      </c>
      <c r="M765" s="24" t="str">
        <f t="shared" si="114"/>
        <v>RJPR</v>
      </c>
      <c r="N765" s="24" t="str">
        <f t="shared" si="114"/>
        <v>RJAM</v>
      </c>
      <c r="O765" s="24">
        <f>VLOOKUP(H765, KM!$A:$E, 5, 0)</f>
        <v>429</v>
      </c>
      <c r="P765" s="24">
        <f>VLOOKUP(I765, KM!$A:$E, 5, 0)</f>
        <v>434</v>
      </c>
      <c r="Q765" s="24">
        <f>VLOOKUP(J765, KM!$A:$E, 5, 0)</f>
        <v>521</v>
      </c>
      <c r="R765" s="24">
        <f>VLOOKUP(K765, KM!$A:$E, 5, 0)</f>
        <v>1144</v>
      </c>
      <c r="S765" s="24">
        <f>VLOOKUP(L765, KM!$A:$E, 5, 0)</f>
        <v>0</v>
      </c>
      <c r="T765" s="24">
        <f>VLOOKUP(M765, KM!$A:$E, 5, 0)</f>
        <v>852</v>
      </c>
      <c r="U765" s="24">
        <f>VLOOKUP(N765, KM!$A:$E, 5, 0)</f>
        <v>4374</v>
      </c>
      <c r="V765" s="24">
        <f>VLOOKUP(H765, IMPOSTO!$A:$D, 4, 0)</f>
        <v>0.12</v>
      </c>
      <c r="W765" s="24">
        <f>VLOOKUP(I765, IMPOSTO!$A:$D, 4, 0)</f>
        <v>0.12</v>
      </c>
      <c r="X765" s="24">
        <f>VLOOKUP(J765, IMPOSTO!$A:$D, 4, 0)</f>
        <v>7.0000000000000007E-2</v>
      </c>
      <c r="Y765" s="24">
        <f>VLOOKUP(K765, IMPOSTO!$A:$D, 4, 0)</f>
        <v>0.12</v>
      </c>
      <c r="Z765" s="24">
        <f>VLOOKUP(L765, IMPOSTO!$A:$D, 4, 0)</f>
        <v>0.18</v>
      </c>
      <c r="AA765" s="24">
        <f>VLOOKUP(M765, IMPOSTO!$A:$D, 4, 0)</f>
        <v>0.12</v>
      </c>
      <c r="AB765" s="24">
        <f>VLOOKUP(N765, IMPOSTO!$A:$D, 4, 0)</f>
        <v>7.0000000000000007E-2</v>
      </c>
      <c r="AC765" s="25">
        <f t="shared" si="107"/>
        <v>47893.990721767732</v>
      </c>
      <c r="AD765" s="25">
        <f t="shared" si="108"/>
        <v>47894.558903585916</v>
      </c>
      <c r="AE765" s="25">
        <f t="shared" si="109"/>
        <v>45328.937457156564</v>
      </c>
      <c r="AF765" s="25">
        <f t="shared" si="110"/>
        <v>47975.240721767732</v>
      </c>
      <c r="AG765" s="25">
        <f t="shared" si="111"/>
        <v>51346.111994092193</v>
      </c>
      <c r="AH765" s="25">
        <f t="shared" si="112"/>
        <v>47942.058903585908</v>
      </c>
      <c r="AI765" s="25">
        <f t="shared" si="113"/>
        <v>45743.238532425385</v>
      </c>
    </row>
    <row r="766" spans="1:35" ht="15.75" customHeight="1">
      <c r="A766" s="12" t="s">
        <v>440</v>
      </c>
      <c r="B766" s="12" t="s">
        <v>441</v>
      </c>
      <c r="C766" s="12" t="s">
        <v>442</v>
      </c>
      <c r="D766" s="12" t="s">
        <v>33</v>
      </c>
      <c r="E766" s="12" t="s">
        <v>27</v>
      </c>
      <c r="F766" s="13">
        <v>8895.5606548069627</v>
      </c>
      <c r="G766" s="14">
        <v>115628.59727952312</v>
      </c>
      <c r="H766" s="24" t="str">
        <f t="shared" si="106"/>
        <v>RJSP</v>
      </c>
      <c r="I766" s="24" t="str">
        <f t="shared" si="114"/>
        <v>RJMG</v>
      </c>
      <c r="J766" s="24" t="str">
        <f t="shared" si="114"/>
        <v>RJES</v>
      </c>
      <c r="K766" s="24" t="str">
        <f t="shared" si="114"/>
        <v>RJSC</v>
      </c>
      <c r="L766" s="24" t="str">
        <f t="shared" si="114"/>
        <v>RJRJ</v>
      </c>
      <c r="M766" s="24" t="str">
        <f t="shared" si="114"/>
        <v>RJPR</v>
      </c>
      <c r="N766" s="24" t="str">
        <f t="shared" si="114"/>
        <v>RJAM</v>
      </c>
      <c r="O766" s="24">
        <f>VLOOKUP(H766, KM!$A:$E, 5, 0)</f>
        <v>429</v>
      </c>
      <c r="P766" s="24">
        <f>VLOOKUP(I766, KM!$A:$E, 5, 0)</f>
        <v>434</v>
      </c>
      <c r="Q766" s="24">
        <f>VLOOKUP(J766, KM!$A:$E, 5, 0)</f>
        <v>521</v>
      </c>
      <c r="R766" s="24">
        <f>VLOOKUP(K766, KM!$A:$E, 5, 0)</f>
        <v>1144</v>
      </c>
      <c r="S766" s="24">
        <f>VLOOKUP(L766, KM!$A:$E, 5, 0)</f>
        <v>0</v>
      </c>
      <c r="T766" s="24">
        <f>VLOOKUP(M766, KM!$A:$E, 5, 0)</f>
        <v>852</v>
      </c>
      <c r="U766" s="24">
        <f>VLOOKUP(N766, KM!$A:$E, 5, 0)</f>
        <v>4374</v>
      </c>
      <c r="V766" s="24">
        <f>VLOOKUP(H766, IMPOSTO!$A:$D, 4, 0)</f>
        <v>0.12</v>
      </c>
      <c r="W766" s="24">
        <f>VLOOKUP(I766, IMPOSTO!$A:$D, 4, 0)</f>
        <v>0.12</v>
      </c>
      <c r="X766" s="24">
        <f>VLOOKUP(J766, IMPOSTO!$A:$D, 4, 0)</f>
        <v>7.0000000000000007E-2</v>
      </c>
      <c r="Y766" s="24">
        <f>VLOOKUP(K766, IMPOSTO!$A:$D, 4, 0)</f>
        <v>0.12</v>
      </c>
      <c r="Z766" s="24">
        <f>VLOOKUP(L766, IMPOSTO!$A:$D, 4, 0)</f>
        <v>0.18</v>
      </c>
      <c r="AA766" s="24">
        <f>VLOOKUP(M766, IMPOSTO!$A:$D, 4, 0)</f>
        <v>0.12</v>
      </c>
      <c r="AB766" s="24">
        <f>VLOOKUP(N766, IMPOSTO!$A:$D, 4, 0)</f>
        <v>7.0000000000000007E-2</v>
      </c>
      <c r="AC766" s="25">
        <f t="shared" si="107"/>
        <v>131444.88327218537</v>
      </c>
      <c r="AD766" s="25">
        <f t="shared" si="108"/>
        <v>131445.45145400355</v>
      </c>
      <c r="AE766" s="25">
        <f t="shared" si="109"/>
        <v>124387.84653712164</v>
      </c>
      <c r="AF766" s="25">
        <f t="shared" si="110"/>
        <v>131526.13327218537</v>
      </c>
      <c r="AG766" s="25">
        <f t="shared" si="111"/>
        <v>141010.48448722329</v>
      </c>
      <c r="AH766" s="25">
        <f t="shared" si="112"/>
        <v>131492.95145400355</v>
      </c>
      <c r="AI766" s="25">
        <f t="shared" si="113"/>
        <v>124802.14761239046</v>
      </c>
    </row>
    <row r="767" spans="1:35" ht="15.75" customHeight="1">
      <c r="A767" s="12" t="s">
        <v>656</v>
      </c>
      <c r="B767" s="12" t="s">
        <v>657</v>
      </c>
      <c r="C767" s="12" t="s">
        <v>442</v>
      </c>
      <c r="D767" s="12" t="s">
        <v>33</v>
      </c>
      <c r="E767" s="12" t="s">
        <v>27</v>
      </c>
      <c r="F767" s="13">
        <v>799.2772025786287</v>
      </c>
      <c r="G767" s="14">
        <v>40866.286718760181</v>
      </c>
      <c r="H767" s="24" t="str">
        <f t="shared" si="106"/>
        <v>RJSP</v>
      </c>
      <c r="I767" s="24" t="str">
        <f t="shared" si="114"/>
        <v>RJMG</v>
      </c>
      <c r="J767" s="24" t="str">
        <f t="shared" si="114"/>
        <v>RJES</v>
      </c>
      <c r="K767" s="24" t="str">
        <f t="shared" si="114"/>
        <v>RJSC</v>
      </c>
      <c r="L767" s="24" t="str">
        <f t="shared" si="114"/>
        <v>RJRJ</v>
      </c>
      <c r="M767" s="24" t="str">
        <f t="shared" si="114"/>
        <v>RJPR</v>
      </c>
      <c r="N767" s="24" t="str">
        <f t="shared" si="114"/>
        <v>RJAM</v>
      </c>
      <c r="O767" s="24">
        <f>VLOOKUP(H767, KM!$A:$E, 5, 0)</f>
        <v>429</v>
      </c>
      <c r="P767" s="24">
        <f>VLOOKUP(I767, KM!$A:$E, 5, 0)</f>
        <v>434</v>
      </c>
      <c r="Q767" s="24">
        <f>VLOOKUP(J767, KM!$A:$E, 5, 0)</f>
        <v>521</v>
      </c>
      <c r="R767" s="24">
        <f>VLOOKUP(K767, KM!$A:$E, 5, 0)</f>
        <v>1144</v>
      </c>
      <c r="S767" s="24">
        <f>VLOOKUP(L767, KM!$A:$E, 5, 0)</f>
        <v>0</v>
      </c>
      <c r="T767" s="24">
        <f>VLOOKUP(M767, KM!$A:$E, 5, 0)</f>
        <v>852</v>
      </c>
      <c r="U767" s="24">
        <f>VLOOKUP(N767, KM!$A:$E, 5, 0)</f>
        <v>4374</v>
      </c>
      <c r="V767" s="24">
        <f>VLOOKUP(H767, IMPOSTO!$A:$D, 4, 0)</f>
        <v>0.12</v>
      </c>
      <c r="W767" s="24">
        <f>VLOOKUP(I767, IMPOSTO!$A:$D, 4, 0)</f>
        <v>0.12</v>
      </c>
      <c r="X767" s="24">
        <f>VLOOKUP(J767, IMPOSTO!$A:$D, 4, 0)</f>
        <v>7.0000000000000007E-2</v>
      </c>
      <c r="Y767" s="24">
        <f>VLOOKUP(K767, IMPOSTO!$A:$D, 4, 0)</f>
        <v>0.12</v>
      </c>
      <c r="Z767" s="24">
        <f>VLOOKUP(L767, IMPOSTO!$A:$D, 4, 0)</f>
        <v>0.18</v>
      </c>
      <c r="AA767" s="24">
        <f>VLOOKUP(M767, IMPOSTO!$A:$D, 4, 0)</f>
        <v>0.12</v>
      </c>
      <c r="AB767" s="24">
        <f>VLOOKUP(N767, IMPOSTO!$A:$D, 4, 0)</f>
        <v>7.0000000000000007E-2</v>
      </c>
      <c r="AC767" s="25">
        <f t="shared" si="107"/>
        <v>46487.712180409297</v>
      </c>
      <c r="AD767" s="25">
        <f t="shared" si="108"/>
        <v>46488.280362227481</v>
      </c>
      <c r="AE767" s="25">
        <f t="shared" si="109"/>
        <v>43998.265288989445</v>
      </c>
      <c r="AF767" s="25">
        <f t="shared" si="110"/>
        <v>46568.962180409297</v>
      </c>
      <c r="AG767" s="25">
        <f t="shared" si="111"/>
        <v>49836.935022878264</v>
      </c>
      <c r="AH767" s="25">
        <f t="shared" si="112"/>
        <v>46535.780362227473</v>
      </c>
      <c r="AI767" s="25">
        <f t="shared" si="113"/>
        <v>44412.566364258266</v>
      </c>
    </row>
    <row r="768" spans="1:35" ht="15.75" customHeight="1">
      <c r="A768" s="12" t="s">
        <v>658</v>
      </c>
      <c r="B768" s="12" t="s">
        <v>659</v>
      </c>
      <c r="C768" s="12" t="s">
        <v>166</v>
      </c>
      <c r="D768" s="12" t="s">
        <v>50</v>
      </c>
      <c r="E768" s="12" t="s">
        <v>27</v>
      </c>
      <c r="F768" s="13">
        <v>57.999999999999993</v>
      </c>
      <c r="G768" s="14">
        <v>26294.753454545451</v>
      </c>
      <c r="H768" s="24" t="str">
        <f t="shared" si="106"/>
        <v>RJSP</v>
      </c>
      <c r="I768" s="24" t="str">
        <f t="shared" si="114"/>
        <v>RJMG</v>
      </c>
      <c r="J768" s="24" t="str">
        <f t="shared" si="114"/>
        <v>RJES</v>
      </c>
      <c r="K768" s="24" t="str">
        <f t="shared" si="114"/>
        <v>RJSC</v>
      </c>
      <c r="L768" s="24" t="str">
        <f t="shared" si="114"/>
        <v>RJRJ</v>
      </c>
      <c r="M768" s="24" t="str">
        <f t="shared" si="114"/>
        <v>RJPR</v>
      </c>
      <c r="N768" s="24" t="str">
        <f t="shared" si="114"/>
        <v>RJAM</v>
      </c>
      <c r="O768" s="24">
        <f>VLOOKUP(H768, KM!$A:$E, 5, 0)</f>
        <v>429</v>
      </c>
      <c r="P768" s="24">
        <f>VLOOKUP(I768, KM!$A:$E, 5, 0)</f>
        <v>434</v>
      </c>
      <c r="Q768" s="24">
        <f>VLOOKUP(J768, KM!$A:$E, 5, 0)</f>
        <v>521</v>
      </c>
      <c r="R768" s="24">
        <f>VLOOKUP(K768, KM!$A:$E, 5, 0)</f>
        <v>1144</v>
      </c>
      <c r="S768" s="24">
        <f>VLOOKUP(L768, KM!$A:$E, 5, 0)</f>
        <v>0</v>
      </c>
      <c r="T768" s="24">
        <f>VLOOKUP(M768, KM!$A:$E, 5, 0)</f>
        <v>852</v>
      </c>
      <c r="U768" s="24">
        <f>VLOOKUP(N768, KM!$A:$E, 5, 0)</f>
        <v>4374</v>
      </c>
      <c r="V768" s="24">
        <f>VLOOKUP(H768, IMPOSTO!$A:$D, 4, 0)</f>
        <v>0.12</v>
      </c>
      <c r="W768" s="24">
        <f>VLOOKUP(I768, IMPOSTO!$A:$D, 4, 0)</f>
        <v>0.12</v>
      </c>
      <c r="X768" s="24">
        <f>VLOOKUP(J768, IMPOSTO!$A:$D, 4, 0)</f>
        <v>7.0000000000000007E-2</v>
      </c>
      <c r="Y768" s="24">
        <f>VLOOKUP(K768, IMPOSTO!$A:$D, 4, 0)</f>
        <v>0.12</v>
      </c>
      <c r="Z768" s="24">
        <f>VLOOKUP(L768, IMPOSTO!$A:$D, 4, 0)</f>
        <v>0.18</v>
      </c>
      <c r="AA768" s="24">
        <f>VLOOKUP(M768, IMPOSTO!$A:$D, 4, 0)</f>
        <v>0.12</v>
      </c>
      <c r="AB768" s="24">
        <f>VLOOKUP(N768, IMPOSTO!$A:$D, 4, 0)</f>
        <v>7.0000000000000007E-2</v>
      </c>
      <c r="AC768" s="25">
        <f t="shared" si="107"/>
        <v>29929.15165289256</v>
      </c>
      <c r="AD768" s="25">
        <f t="shared" si="108"/>
        <v>29929.719834710741</v>
      </c>
      <c r="AE768" s="25">
        <f t="shared" si="109"/>
        <v>28329.949951124141</v>
      </c>
      <c r="AF768" s="25">
        <f t="shared" si="110"/>
        <v>30010.40165289256</v>
      </c>
      <c r="AG768" s="25">
        <f t="shared" si="111"/>
        <v>32066.772505543231</v>
      </c>
      <c r="AH768" s="25">
        <f t="shared" si="112"/>
        <v>29977.219834710741</v>
      </c>
      <c r="AI768" s="25">
        <f t="shared" si="113"/>
        <v>28744.251026392962</v>
      </c>
    </row>
    <row r="769" spans="1:35" ht="15.75" customHeight="1">
      <c r="A769" s="12" t="s">
        <v>660</v>
      </c>
      <c r="B769" s="12" t="s">
        <v>661</v>
      </c>
      <c r="C769" s="12" t="s">
        <v>662</v>
      </c>
      <c r="D769" s="12" t="s">
        <v>33</v>
      </c>
      <c r="E769" s="12" t="s">
        <v>27</v>
      </c>
      <c r="F769" s="13">
        <v>579</v>
      </c>
      <c r="G769" s="14">
        <v>91593.644699453565</v>
      </c>
      <c r="H769" s="24" t="str">
        <f t="shared" si="106"/>
        <v>RJSP</v>
      </c>
      <c r="I769" s="24" t="str">
        <f t="shared" si="114"/>
        <v>RJMG</v>
      </c>
      <c r="J769" s="24" t="str">
        <f t="shared" si="114"/>
        <v>RJES</v>
      </c>
      <c r="K769" s="24" t="str">
        <f t="shared" si="114"/>
        <v>RJSC</v>
      </c>
      <c r="L769" s="24" t="str">
        <f t="shared" si="114"/>
        <v>RJRJ</v>
      </c>
      <c r="M769" s="24" t="str">
        <f t="shared" si="114"/>
        <v>RJPR</v>
      </c>
      <c r="N769" s="24" t="str">
        <f t="shared" si="114"/>
        <v>RJAM</v>
      </c>
      <c r="O769" s="24">
        <f>VLOOKUP(H769, KM!$A:$E, 5, 0)</f>
        <v>429</v>
      </c>
      <c r="P769" s="24">
        <f>VLOOKUP(I769, KM!$A:$E, 5, 0)</f>
        <v>434</v>
      </c>
      <c r="Q769" s="24">
        <f>VLOOKUP(J769, KM!$A:$E, 5, 0)</f>
        <v>521</v>
      </c>
      <c r="R769" s="24">
        <f>VLOOKUP(K769, KM!$A:$E, 5, 0)</f>
        <v>1144</v>
      </c>
      <c r="S769" s="24">
        <f>VLOOKUP(L769, KM!$A:$E, 5, 0)</f>
        <v>0</v>
      </c>
      <c r="T769" s="24">
        <f>VLOOKUP(M769, KM!$A:$E, 5, 0)</f>
        <v>852</v>
      </c>
      <c r="U769" s="24">
        <f>VLOOKUP(N769, KM!$A:$E, 5, 0)</f>
        <v>4374</v>
      </c>
      <c r="V769" s="24">
        <f>VLOOKUP(H769, IMPOSTO!$A:$D, 4, 0)</f>
        <v>0.12</v>
      </c>
      <c r="W769" s="24">
        <f>VLOOKUP(I769, IMPOSTO!$A:$D, 4, 0)</f>
        <v>0.12</v>
      </c>
      <c r="X769" s="24">
        <f>VLOOKUP(J769, IMPOSTO!$A:$D, 4, 0)</f>
        <v>7.0000000000000007E-2</v>
      </c>
      <c r="Y769" s="24">
        <f>VLOOKUP(K769, IMPOSTO!$A:$D, 4, 0)</f>
        <v>0.12</v>
      </c>
      <c r="Z769" s="24">
        <f>VLOOKUP(L769, IMPOSTO!$A:$D, 4, 0)</f>
        <v>0.18</v>
      </c>
      <c r="AA769" s="24">
        <f>VLOOKUP(M769, IMPOSTO!$A:$D, 4, 0)</f>
        <v>0.12</v>
      </c>
      <c r="AB769" s="24">
        <f>VLOOKUP(N769, IMPOSTO!$A:$D, 4, 0)</f>
        <v>7.0000000000000007E-2</v>
      </c>
      <c r="AC769" s="25">
        <f t="shared" si="107"/>
        <v>104132.43715846995</v>
      </c>
      <c r="AD769" s="25">
        <f t="shared" si="108"/>
        <v>104133.00534028813</v>
      </c>
      <c r="AE769" s="25">
        <f t="shared" si="109"/>
        <v>98543.811504788799</v>
      </c>
      <c r="AF769" s="25">
        <f t="shared" si="110"/>
        <v>104213.68715846995</v>
      </c>
      <c r="AG769" s="25">
        <f t="shared" si="111"/>
        <v>111699.56670665069</v>
      </c>
      <c r="AH769" s="25">
        <f t="shared" si="112"/>
        <v>104180.50534028815</v>
      </c>
      <c r="AI769" s="25">
        <f t="shared" si="113"/>
        <v>98958.112580057597</v>
      </c>
    </row>
    <row r="770" spans="1:35" ht="15.75" customHeight="1">
      <c r="A770" s="12" t="s">
        <v>663</v>
      </c>
      <c r="B770" s="12" t="s">
        <v>664</v>
      </c>
      <c r="C770" s="12" t="s">
        <v>333</v>
      </c>
      <c r="D770" s="12" t="s">
        <v>33</v>
      </c>
      <c r="E770" s="12" t="s">
        <v>27</v>
      </c>
      <c r="F770" s="13">
        <v>233.8360655737705</v>
      </c>
      <c r="G770" s="14">
        <v>1075.0856693989074</v>
      </c>
      <c r="H770" s="24" t="str">
        <f t="shared" si="106"/>
        <v>RJSP</v>
      </c>
      <c r="I770" s="24" t="str">
        <f t="shared" si="114"/>
        <v>RJMG</v>
      </c>
      <c r="J770" s="24" t="str">
        <f t="shared" si="114"/>
        <v>RJES</v>
      </c>
      <c r="K770" s="24" t="str">
        <f t="shared" si="114"/>
        <v>RJSC</v>
      </c>
      <c r="L770" s="24" t="str">
        <f t="shared" si="114"/>
        <v>RJRJ</v>
      </c>
      <c r="M770" s="24" t="str">
        <f t="shared" si="114"/>
        <v>RJPR</v>
      </c>
      <c r="N770" s="24" t="str">
        <f t="shared" si="114"/>
        <v>RJAM</v>
      </c>
      <c r="O770" s="24">
        <f>VLOOKUP(H770, KM!$A:$E, 5, 0)</f>
        <v>429</v>
      </c>
      <c r="P770" s="24">
        <f>VLOOKUP(I770, KM!$A:$E, 5, 0)</f>
        <v>434</v>
      </c>
      <c r="Q770" s="24">
        <f>VLOOKUP(J770, KM!$A:$E, 5, 0)</f>
        <v>521</v>
      </c>
      <c r="R770" s="24">
        <f>VLOOKUP(K770, KM!$A:$E, 5, 0)</f>
        <v>1144</v>
      </c>
      <c r="S770" s="24">
        <f>VLOOKUP(L770, KM!$A:$E, 5, 0)</f>
        <v>0</v>
      </c>
      <c r="T770" s="24">
        <f>VLOOKUP(M770, KM!$A:$E, 5, 0)</f>
        <v>852</v>
      </c>
      <c r="U770" s="24">
        <f>VLOOKUP(N770, KM!$A:$E, 5, 0)</f>
        <v>4374</v>
      </c>
      <c r="V770" s="24">
        <f>VLOOKUP(H770, IMPOSTO!$A:$D, 4, 0)</f>
        <v>0.12</v>
      </c>
      <c r="W770" s="24">
        <f>VLOOKUP(I770, IMPOSTO!$A:$D, 4, 0)</f>
        <v>0.12</v>
      </c>
      <c r="X770" s="24">
        <f>VLOOKUP(J770, IMPOSTO!$A:$D, 4, 0)</f>
        <v>7.0000000000000007E-2</v>
      </c>
      <c r="Y770" s="24">
        <f>VLOOKUP(K770, IMPOSTO!$A:$D, 4, 0)</f>
        <v>0.12</v>
      </c>
      <c r="Z770" s="24">
        <f>VLOOKUP(L770, IMPOSTO!$A:$D, 4, 0)</f>
        <v>0.18</v>
      </c>
      <c r="AA770" s="24">
        <f>VLOOKUP(M770, IMPOSTO!$A:$D, 4, 0)</f>
        <v>0.12</v>
      </c>
      <c r="AB770" s="24">
        <f>VLOOKUP(N770, IMPOSTO!$A:$D, 4, 0)</f>
        <v>7.0000000000000007E-2</v>
      </c>
      <c r="AC770" s="25">
        <f t="shared" si="107"/>
        <v>1270.4382606805766</v>
      </c>
      <c r="AD770" s="25">
        <f t="shared" si="108"/>
        <v>1271.0064424987586</v>
      </c>
      <c r="AE770" s="25">
        <f t="shared" si="109"/>
        <v>1212.0276015042016</v>
      </c>
      <c r="AF770" s="25">
        <f t="shared" si="110"/>
        <v>1351.6882606805766</v>
      </c>
      <c r="AG770" s="25">
        <f t="shared" si="111"/>
        <v>1311.0800846328139</v>
      </c>
      <c r="AH770" s="25">
        <f t="shared" si="112"/>
        <v>1318.5064424987584</v>
      </c>
      <c r="AI770" s="25">
        <f t="shared" si="113"/>
        <v>1626.328676773019</v>
      </c>
    </row>
    <row r="771" spans="1:35" ht="15.75" customHeight="1">
      <c r="A771" s="12" t="s">
        <v>449</v>
      </c>
      <c r="B771" s="12" t="s">
        <v>450</v>
      </c>
      <c r="C771" s="12" t="s">
        <v>451</v>
      </c>
      <c r="D771" s="12" t="s">
        <v>33</v>
      </c>
      <c r="E771" s="12" t="s">
        <v>27</v>
      </c>
      <c r="F771" s="13">
        <v>893.26923076923083</v>
      </c>
      <c r="G771" s="14">
        <v>89835.203778280527</v>
      </c>
      <c r="H771" s="24" t="str">
        <f t="shared" si="106"/>
        <v>RJSP</v>
      </c>
      <c r="I771" s="24" t="str">
        <f t="shared" si="114"/>
        <v>RJMG</v>
      </c>
      <c r="J771" s="24" t="str">
        <f t="shared" si="114"/>
        <v>RJES</v>
      </c>
      <c r="K771" s="24" t="str">
        <f t="shared" si="114"/>
        <v>RJSC</v>
      </c>
      <c r="L771" s="24" t="str">
        <f t="shared" si="114"/>
        <v>RJRJ</v>
      </c>
      <c r="M771" s="24" t="str">
        <f t="shared" si="114"/>
        <v>RJPR</v>
      </c>
      <c r="N771" s="24" t="str">
        <f t="shared" si="114"/>
        <v>RJAM</v>
      </c>
      <c r="O771" s="24">
        <f>VLOOKUP(H771, KM!$A:$E, 5, 0)</f>
        <v>429</v>
      </c>
      <c r="P771" s="24">
        <f>VLOOKUP(I771, KM!$A:$E, 5, 0)</f>
        <v>434</v>
      </c>
      <c r="Q771" s="24">
        <f>VLOOKUP(J771, KM!$A:$E, 5, 0)</f>
        <v>521</v>
      </c>
      <c r="R771" s="24">
        <f>VLOOKUP(K771, KM!$A:$E, 5, 0)</f>
        <v>1144</v>
      </c>
      <c r="S771" s="24">
        <f>VLOOKUP(L771, KM!$A:$E, 5, 0)</f>
        <v>0</v>
      </c>
      <c r="T771" s="24">
        <f>VLOOKUP(M771, KM!$A:$E, 5, 0)</f>
        <v>852</v>
      </c>
      <c r="U771" s="24">
        <f>VLOOKUP(N771, KM!$A:$E, 5, 0)</f>
        <v>4374</v>
      </c>
      <c r="V771" s="24">
        <f>VLOOKUP(H771, IMPOSTO!$A:$D, 4, 0)</f>
        <v>0.12</v>
      </c>
      <c r="W771" s="24">
        <f>VLOOKUP(I771, IMPOSTO!$A:$D, 4, 0)</f>
        <v>0.12</v>
      </c>
      <c r="X771" s="24">
        <f>VLOOKUP(J771, IMPOSTO!$A:$D, 4, 0)</f>
        <v>7.0000000000000007E-2</v>
      </c>
      <c r="Y771" s="24">
        <f>VLOOKUP(K771, IMPOSTO!$A:$D, 4, 0)</f>
        <v>0.12</v>
      </c>
      <c r="Z771" s="24">
        <f>VLOOKUP(L771, IMPOSTO!$A:$D, 4, 0)</f>
        <v>0.18</v>
      </c>
      <c r="AA771" s="24">
        <f>VLOOKUP(M771, IMPOSTO!$A:$D, 4, 0)</f>
        <v>0.12</v>
      </c>
      <c r="AB771" s="24">
        <f>VLOOKUP(N771, IMPOSTO!$A:$D, 4, 0)</f>
        <v>7.0000000000000007E-2</v>
      </c>
      <c r="AC771" s="25">
        <f t="shared" si="107"/>
        <v>102134.20883895514</v>
      </c>
      <c r="AD771" s="25">
        <f t="shared" si="108"/>
        <v>102134.77702077333</v>
      </c>
      <c r="AE771" s="25">
        <f t="shared" si="109"/>
        <v>96653.014815355418</v>
      </c>
      <c r="AF771" s="25">
        <f t="shared" si="110"/>
        <v>102215.45883895514</v>
      </c>
      <c r="AG771" s="25">
        <f t="shared" si="111"/>
        <v>109555.12655887868</v>
      </c>
      <c r="AH771" s="25">
        <f t="shared" si="112"/>
        <v>102182.27702077333</v>
      </c>
      <c r="AI771" s="25">
        <f t="shared" si="113"/>
        <v>97067.315890624217</v>
      </c>
    </row>
    <row r="772" spans="1:35" ht="15.75" customHeight="1">
      <c r="A772" s="12" t="s">
        <v>572</v>
      </c>
      <c r="B772" s="12" t="s">
        <v>573</v>
      </c>
      <c r="C772" s="12" t="s">
        <v>451</v>
      </c>
      <c r="D772" s="12" t="s">
        <v>33</v>
      </c>
      <c r="E772" s="12" t="s">
        <v>27</v>
      </c>
      <c r="F772" s="13">
        <v>21.367521367521366</v>
      </c>
      <c r="G772" s="14">
        <v>376.04700854700849</v>
      </c>
      <c r="H772" s="24" t="str">
        <f t="shared" si="106"/>
        <v>RJSP</v>
      </c>
      <c r="I772" s="24" t="str">
        <f t="shared" si="114"/>
        <v>RJMG</v>
      </c>
      <c r="J772" s="24" t="str">
        <f t="shared" si="114"/>
        <v>RJES</v>
      </c>
      <c r="K772" s="24" t="str">
        <f t="shared" si="114"/>
        <v>RJSC</v>
      </c>
      <c r="L772" s="24" t="str">
        <f t="shared" si="114"/>
        <v>RJRJ</v>
      </c>
      <c r="M772" s="24" t="str">
        <f t="shared" si="114"/>
        <v>RJPR</v>
      </c>
      <c r="N772" s="24" t="str">
        <f t="shared" si="114"/>
        <v>RJAM</v>
      </c>
      <c r="O772" s="24">
        <f>VLOOKUP(H772, KM!$A:$E, 5, 0)</f>
        <v>429</v>
      </c>
      <c r="P772" s="24">
        <f>VLOOKUP(I772, KM!$A:$E, 5, 0)</f>
        <v>434</v>
      </c>
      <c r="Q772" s="24">
        <f>VLOOKUP(J772, KM!$A:$E, 5, 0)</f>
        <v>521</v>
      </c>
      <c r="R772" s="24">
        <f>VLOOKUP(K772, KM!$A:$E, 5, 0)</f>
        <v>1144</v>
      </c>
      <c r="S772" s="24">
        <f>VLOOKUP(L772, KM!$A:$E, 5, 0)</f>
        <v>0</v>
      </c>
      <c r="T772" s="24">
        <f>VLOOKUP(M772, KM!$A:$E, 5, 0)</f>
        <v>852</v>
      </c>
      <c r="U772" s="24">
        <f>VLOOKUP(N772, KM!$A:$E, 5, 0)</f>
        <v>4374</v>
      </c>
      <c r="V772" s="24">
        <f>VLOOKUP(H772, IMPOSTO!$A:$D, 4, 0)</f>
        <v>0.12</v>
      </c>
      <c r="W772" s="24">
        <f>VLOOKUP(I772, IMPOSTO!$A:$D, 4, 0)</f>
        <v>0.12</v>
      </c>
      <c r="X772" s="24">
        <f>VLOOKUP(J772, IMPOSTO!$A:$D, 4, 0)</f>
        <v>7.0000000000000007E-2</v>
      </c>
      <c r="Y772" s="24">
        <f>VLOOKUP(K772, IMPOSTO!$A:$D, 4, 0)</f>
        <v>0.12</v>
      </c>
      <c r="Z772" s="24">
        <f>VLOOKUP(L772, IMPOSTO!$A:$D, 4, 0)</f>
        <v>0.18</v>
      </c>
      <c r="AA772" s="24">
        <f>VLOOKUP(M772, IMPOSTO!$A:$D, 4, 0)</f>
        <v>0.12</v>
      </c>
      <c r="AB772" s="24">
        <f>VLOOKUP(N772, IMPOSTO!$A:$D, 4, 0)</f>
        <v>7.0000000000000007E-2</v>
      </c>
      <c r="AC772" s="25">
        <f t="shared" si="107"/>
        <v>476.07614607614607</v>
      </c>
      <c r="AD772" s="25">
        <f t="shared" si="108"/>
        <v>476.64432789432789</v>
      </c>
      <c r="AE772" s="25">
        <f t="shared" si="109"/>
        <v>460.37312746990165</v>
      </c>
      <c r="AF772" s="25">
        <f t="shared" si="110"/>
        <v>557.32614607614607</v>
      </c>
      <c r="AG772" s="25">
        <f t="shared" si="111"/>
        <v>458.59391286220546</v>
      </c>
      <c r="AH772" s="25">
        <f t="shared" si="112"/>
        <v>524.14432789432783</v>
      </c>
      <c r="AI772" s="25">
        <f t="shared" si="113"/>
        <v>874.67420273871892</v>
      </c>
    </row>
    <row r="773" spans="1:35" ht="15.75" customHeight="1">
      <c r="A773" s="12" t="s">
        <v>665</v>
      </c>
      <c r="B773" s="12" t="s">
        <v>666</v>
      </c>
      <c r="C773" s="12" t="s">
        <v>192</v>
      </c>
      <c r="D773" s="12" t="s">
        <v>33</v>
      </c>
      <c r="E773" s="12" t="s">
        <v>27</v>
      </c>
      <c r="F773" s="13">
        <v>146.00000000000011</v>
      </c>
      <c r="G773" s="14">
        <v>16767.304551724137</v>
      </c>
      <c r="H773" s="24" t="str">
        <f t="shared" ref="H773:H836" si="115">$E773 &amp; H$17</f>
        <v>RJSP</v>
      </c>
      <c r="I773" s="24" t="str">
        <f t="shared" si="114"/>
        <v>RJMG</v>
      </c>
      <c r="J773" s="24" t="str">
        <f t="shared" si="114"/>
        <v>RJES</v>
      </c>
      <c r="K773" s="24" t="str">
        <f t="shared" si="114"/>
        <v>RJSC</v>
      </c>
      <c r="L773" s="24" t="str">
        <f t="shared" si="114"/>
        <v>RJRJ</v>
      </c>
      <c r="M773" s="24" t="str">
        <f t="shared" si="114"/>
        <v>RJPR</v>
      </c>
      <c r="N773" s="24" t="str">
        <f t="shared" si="114"/>
        <v>RJAM</v>
      </c>
      <c r="O773" s="24">
        <f>VLOOKUP(H773, KM!$A:$E, 5, 0)</f>
        <v>429</v>
      </c>
      <c r="P773" s="24">
        <f>VLOOKUP(I773, KM!$A:$E, 5, 0)</f>
        <v>434</v>
      </c>
      <c r="Q773" s="24">
        <f>VLOOKUP(J773, KM!$A:$E, 5, 0)</f>
        <v>521</v>
      </c>
      <c r="R773" s="24">
        <f>VLOOKUP(K773, KM!$A:$E, 5, 0)</f>
        <v>1144</v>
      </c>
      <c r="S773" s="24">
        <f>VLOOKUP(L773, KM!$A:$E, 5, 0)</f>
        <v>0</v>
      </c>
      <c r="T773" s="24">
        <f>VLOOKUP(M773, KM!$A:$E, 5, 0)</f>
        <v>852</v>
      </c>
      <c r="U773" s="24">
        <f>VLOOKUP(N773, KM!$A:$E, 5, 0)</f>
        <v>4374</v>
      </c>
      <c r="V773" s="24">
        <f>VLOOKUP(H773, IMPOSTO!$A:$D, 4, 0)</f>
        <v>0.12</v>
      </c>
      <c r="W773" s="24">
        <f>VLOOKUP(I773, IMPOSTO!$A:$D, 4, 0)</f>
        <v>0.12</v>
      </c>
      <c r="X773" s="24">
        <f>VLOOKUP(J773, IMPOSTO!$A:$D, 4, 0)</f>
        <v>7.0000000000000007E-2</v>
      </c>
      <c r="Y773" s="24">
        <f>VLOOKUP(K773, IMPOSTO!$A:$D, 4, 0)</f>
        <v>0.12</v>
      </c>
      <c r="Z773" s="24">
        <f>VLOOKUP(L773, IMPOSTO!$A:$D, 4, 0)</f>
        <v>0.18</v>
      </c>
      <c r="AA773" s="24">
        <f>VLOOKUP(M773, IMPOSTO!$A:$D, 4, 0)</f>
        <v>0.12</v>
      </c>
      <c r="AB773" s="24">
        <f>VLOOKUP(N773, IMPOSTO!$A:$D, 4, 0)</f>
        <v>7.0000000000000007E-2</v>
      </c>
      <c r="AC773" s="25">
        <f t="shared" si="107"/>
        <v>19102.505172413792</v>
      </c>
      <c r="AD773" s="25">
        <f t="shared" si="108"/>
        <v>19103.073354231976</v>
      </c>
      <c r="AE773" s="25">
        <f t="shared" si="109"/>
        <v>18085.381238413051</v>
      </c>
      <c r="AF773" s="25">
        <f t="shared" si="110"/>
        <v>19183.755172413792</v>
      </c>
      <c r="AG773" s="25">
        <f t="shared" si="111"/>
        <v>20447.932380151386</v>
      </c>
      <c r="AH773" s="25">
        <f t="shared" si="112"/>
        <v>19150.573354231976</v>
      </c>
      <c r="AI773" s="25">
        <f t="shared" si="113"/>
        <v>18499.682313681871</v>
      </c>
    </row>
    <row r="774" spans="1:35" ht="15.75" customHeight="1">
      <c r="A774" s="12" t="s">
        <v>667</v>
      </c>
      <c r="B774" s="12" t="s">
        <v>668</v>
      </c>
      <c r="C774" s="12" t="s">
        <v>442</v>
      </c>
      <c r="D774" s="12" t="s">
        <v>33</v>
      </c>
      <c r="E774" s="12" t="s">
        <v>27</v>
      </c>
      <c r="F774" s="13">
        <v>49.231264835537473</v>
      </c>
      <c r="G774" s="14">
        <v>2517.1526720922343</v>
      </c>
      <c r="H774" s="24" t="str">
        <f t="shared" si="115"/>
        <v>RJSP</v>
      </c>
      <c r="I774" s="24" t="str">
        <f t="shared" si="114"/>
        <v>RJMG</v>
      </c>
      <c r="J774" s="24" t="str">
        <f t="shared" si="114"/>
        <v>RJES</v>
      </c>
      <c r="K774" s="24" t="str">
        <f t="shared" si="114"/>
        <v>RJSC</v>
      </c>
      <c r="L774" s="24" t="str">
        <f t="shared" si="114"/>
        <v>RJRJ</v>
      </c>
      <c r="M774" s="24" t="str">
        <f t="shared" si="114"/>
        <v>RJPR</v>
      </c>
      <c r="N774" s="24" t="str">
        <f t="shared" si="114"/>
        <v>RJAM</v>
      </c>
      <c r="O774" s="24">
        <f>VLOOKUP(H774, KM!$A:$E, 5, 0)</f>
        <v>429</v>
      </c>
      <c r="P774" s="24">
        <f>VLOOKUP(I774, KM!$A:$E, 5, 0)</f>
        <v>434</v>
      </c>
      <c r="Q774" s="24">
        <f>VLOOKUP(J774, KM!$A:$E, 5, 0)</f>
        <v>521</v>
      </c>
      <c r="R774" s="24">
        <f>VLOOKUP(K774, KM!$A:$E, 5, 0)</f>
        <v>1144</v>
      </c>
      <c r="S774" s="24">
        <f>VLOOKUP(L774, KM!$A:$E, 5, 0)</f>
        <v>0</v>
      </c>
      <c r="T774" s="24">
        <f>VLOOKUP(M774, KM!$A:$E, 5, 0)</f>
        <v>852</v>
      </c>
      <c r="U774" s="24">
        <f>VLOOKUP(N774, KM!$A:$E, 5, 0)</f>
        <v>4374</v>
      </c>
      <c r="V774" s="24">
        <f>VLOOKUP(H774, IMPOSTO!$A:$D, 4, 0)</f>
        <v>0.12</v>
      </c>
      <c r="W774" s="24">
        <f>VLOOKUP(I774, IMPOSTO!$A:$D, 4, 0)</f>
        <v>0.12</v>
      </c>
      <c r="X774" s="24">
        <f>VLOOKUP(J774, IMPOSTO!$A:$D, 4, 0)</f>
        <v>7.0000000000000007E-2</v>
      </c>
      <c r="Y774" s="24">
        <f>VLOOKUP(K774, IMPOSTO!$A:$D, 4, 0)</f>
        <v>0.12</v>
      </c>
      <c r="Z774" s="24">
        <f>VLOOKUP(L774, IMPOSTO!$A:$D, 4, 0)</f>
        <v>0.18</v>
      </c>
      <c r="AA774" s="24">
        <f>VLOOKUP(M774, IMPOSTO!$A:$D, 4, 0)</f>
        <v>0.12</v>
      </c>
      <c r="AB774" s="24">
        <f>VLOOKUP(N774, IMPOSTO!$A:$D, 4, 0)</f>
        <v>7.0000000000000007E-2</v>
      </c>
      <c r="AC774" s="25">
        <f t="shared" si="107"/>
        <v>2909.1507637411755</v>
      </c>
      <c r="AD774" s="25">
        <f t="shared" si="108"/>
        <v>2909.7189455593571</v>
      </c>
      <c r="AE774" s="25">
        <f t="shared" si="109"/>
        <v>2762.6372818196069</v>
      </c>
      <c r="AF774" s="25">
        <f t="shared" si="110"/>
        <v>2990.4007637411755</v>
      </c>
      <c r="AG774" s="25">
        <f t="shared" si="111"/>
        <v>3069.6983806002854</v>
      </c>
      <c r="AH774" s="25">
        <f t="shared" si="112"/>
        <v>2957.2189455593571</v>
      </c>
      <c r="AI774" s="25">
        <f t="shared" si="113"/>
        <v>3176.9383570884243</v>
      </c>
    </row>
    <row r="775" spans="1:35" ht="15.75" customHeight="1">
      <c r="A775" s="12" t="s">
        <v>669</v>
      </c>
      <c r="B775" s="12" t="s">
        <v>670</v>
      </c>
      <c r="C775" s="12" t="s">
        <v>220</v>
      </c>
      <c r="D775" s="12" t="s">
        <v>33</v>
      </c>
      <c r="E775" s="12" t="s">
        <v>27</v>
      </c>
      <c r="F775" s="13">
        <v>238</v>
      </c>
      <c r="G775" s="14">
        <v>14083.680000000004</v>
      </c>
      <c r="H775" s="24" t="str">
        <f t="shared" si="115"/>
        <v>RJSP</v>
      </c>
      <c r="I775" s="24" t="str">
        <f t="shared" si="114"/>
        <v>RJMG</v>
      </c>
      <c r="J775" s="24" t="str">
        <f t="shared" si="114"/>
        <v>RJES</v>
      </c>
      <c r="K775" s="24" t="str">
        <f t="shared" si="114"/>
        <v>RJSC</v>
      </c>
      <c r="L775" s="24" t="str">
        <f t="shared" si="114"/>
        <v>RJRJ</v>
      </c>
      <c r="M775" s="24" t="str">
        <f t="shared" si="114"/>
        <v>RJPR</v>
      </c>
      <c r="N775" s="24" t="str">
        <f t="shared" si="114"/>
        <v>RJAM</v>
      </c>
      <c r="O775" s="24">
        <f>VLOOKUP(H775, KM!$A:$E, 5, 0)</f>
        <v>429</v>
      </c>
      <c r="P775" s="24">
        <f>VLOOKUP(I775, KM!$A:$E, 5, 0)</f>
        <v>434</v>
      </c>
      <c r="Q775" s="24">
        <f>VLOOKUP(J775, KM!$A:$E, 5, 0)</f>
        <v>521</v>
      </c>
      <c r="R775" s="24">
        <f>VLOOKUP(K775, KM!$A:$E, 5, 0)</f>
        <v>1144</v>
      </c>
      <c r="S775" s="24">
        <f>VLOOKUP(L775, KM!$A:$E, 5, 0)</f>
        <v>0</v>
      </c>
      <c r="T775" s="24">
        <f>VLOOKUP(M775, KM!$A:$E, 5, 0)</f>
        <v>852</v>
      </c>
      <c r="U775" s="24">
        <f>VLOOKUP(N775, KM!$A:$E, 5, 0)</f>
        <v>4374</v>
      </c>
      <c r="V775" s="24">
        <f>VLOOKUP(H775, IMPOSTO!$A:$D, 4, 0)</f>
        <v>0.12</v>
      </c>
      <c r="W775" s="24">
        <f>VLOOKUP(I775, IMPOSTO!$A:$D, 4, 0)</f>
        <v>0.12</v>
      </c>
      <c r="X775" s="24">
        <f>VLOOKUP(J775, IMPOSTO!$A:$D, 4, 0)</f>
        <v>7.0000000000000007E-2</v>
      </c>
      <c r="Y775" s="24">
        <f>VLOOKUP(K775, IMPOSTO!$A:$D, 4, 0)</f>
        <v>0.12</v>
      </c>
      <c r="Z775" s="24">
        <f>VLOOKUP(L775, IMPOSTO!$A:$D, 4, 0)</f>
        <v>0.18</v>
      </c>
      <c r="AA775" s="24">
        <f>VLOOKUP(M775, IMPOSTO!$A:$D, 4, 0)</f>
        <v>0.12</v>
      </c>
      <c r="AB775" s="24">
        <f>VLOOKUP(N775, IMPOSTO!$A:$D, 4, 0)</f>
        <v>7.0000000000000007E-2</v>
      </c>
      <c r="AC775" s="25">
        <f t="shared" si="107"/>
        <v>16052.931818181822</v>
      </c>
      <c r="AD775" s="25">
        <f t="shared" si="108"/>
        <v>16053.500000000004</v>
      </c>
      <c r="AE775" s="25">
        <f t="shared" si="109"/>
        <v>15199.763440860221</v>
      </c>
      <c r="AF775" s="25">
        <f t="shared" si="110"/>
        <v>16134.181818181822</v>
      </c>
      <c r="AG775" s="25">
        <f t="shared" si="111"/>
        <v>17175.219512195126</v>
      </c>
      <c r="AH775" s="25">
        <f t="shared" si="112"/>
        <v>16101.000000000005</v>
      </c>
      <c r="AI775" s="25">
        <f t="shared" si="113"/>
        <v>15614.064516129038</v>
      </c>
    </row>
    <row r="776" spans="1:35" ht="15.75" customHeight="1">
      <c r="A776" s="12" t="s">
        <v>671</v>
      </c>
      <c r="B776" s="12" t="s">
        <v>672</v>
      </c>
      <c r="C776" s="12" t="s">
        <v>119</v>
      </c>
      <c r="D776" s="12" t="s">
        <v>33</v>
      </c>
      <c r="E776" s="12" t="s">
        <v>27</v>
      </c>
      <c r="F776" s="13">
        <v>254.99999999999997</v>
      </c>
      <c r="G776" s="14">
        <v>4589.9999999999991</v>
      </c>
      <c r="H776" s="24" t="str">
        <f t="shared" si="115"/>
        <v>RJSP</v>
      </c>
      <c r="I776" s="24" t="str">
        <f t="shared" si="114"/>
        <v>RJMG</v>
      </c>
      <c r="J776" s="24" t="str">
        <f t="shared" si="114"/>
        <v>RJES</v>
      </c>
      <c r="K776" s="24" t="str">
        <f t="shared" si="114"/>
        <v>RJSC</v>
      </c>
      <c r="L776" s="24" t="str">
        <f t="shared" si="114"/>
        <v>RJRJ</v>
      </c>
      <c r="M776" s="24" t="str">
        <f t="shared" si="114"/>
        <v>RJPR</v>
      </c>
      <c r="N776" s="24" t="str">
        <f t="shared" si="114"/>
        <v>RJAM</v>
      </c>
      <c r="O776" s="24">
        <f>VLOOKUP(H776, KM!$A:$E, 5, 0)</f>
        <v>429</v>
      </c>
      <c r="P776" s="24">
        <f>VLOOKUP(I776, KM!$A:$E, 5, 0)</f>
        <v>434</v>
      </c>
      <c r="Q776" s="24">
        <f>VLOOKUP(J776, KM!$A:$E, 5, 0)</f>
        <v>521</v>
      </c>
      <c r="R776" s="24">
        <f>VLOOKUP(K776, KM!$A:$E, 5, 0)</f>
        <v>1144</v>
      </c>
      <c r="S776" s="24">
        <f>VLOOKUP(L776, KM!$A:$E, 5, 0)</f>
        <v>0</v>
      </c>
      <c r="T776" s="24">
        <f>VLOOKUP(M776, KM!$A:$E, 5, 0)</f>
        <v>852</v>
      </c>
      <c r="U776" s="24">
        <f>VLOOKUP(N776, KM!$A:$E, 5, 0)</f>
        <v>4374</v>
      </c>
      <c r="V776" s="24">
        <f>VLOOKUP(H776, IMPOSTO!$A:$D, 4, 0)</f>
        <v>0.12</v>
      </c>
      <c r="W776" s="24">
        <f>VLOOKUP(I776, IMPOSTO!$A:$D, 4, 0)</f>
        <v>0.12</v>
      </c>
      <c r="X776" s="24">
        <f>VLOOKUP(J776, IMPOSTO!$A:$D, 4, 0)</f>
        <v>7.0000000000000007E-2</v>
      </c>
      <c r="Y776" s="24">
        <f>VLOOKUP(K776, IMPOSTO!$A:$D, 4, 0)</f>
        <v>0.12</v>
      </c>
      <c r="Z776" s="24">
        <f>VLOOKUP(L776, IMPOSTO!$A:$D, 4, 0)</f>
        <v>0.18</v>
      </c>
      <c r="AA776" s="24">
        <f>VLOOKUP(M776, IMPOSTO!$A:$D, 4, 0)</f>
        <v>0.12</v>
      </c>
      <c r="AB776" s="24">
        <f>VLOOKUP(N776, IMPOSTO!$A:$D, 4, 0)</f>
        <v>7.0000000000000007E-2</v>
      </c>
      <c r="AC776" s="25">
        <f t="shared" si="107"/>
        <v>5264.6590909090892</v>
      </c>
      <c r="AD776" s="25">
        <f t="shared" si="108"/>
        <v>5265.2272727272712</v>
      </c>
      <c r="AE776" s="25">
        <f t="shared" si="109"/>
        <v>4991.5053763440856</v>
      </c>
      <c r="AF776" s="25">
        <f t="shared" si="110"/>
        <v>5345.9090909090892</v>
      </c>
      <c r="AG776" s="25">
        <f t="shared" si="111"/>
        <v>5597.5609756097547</v>
      </c>
      <c r="AH776" s="25">
        <f t="shared" si="112"/>
        <v>5312.7272727272712</v>
      </c>
      <c r="AI776" s="25">
        <f t="shared" si="113"/>
        <v>5405.8064516129025</v>
      </c>
    </row>
    <row r="777" spans="1:35" ht="15.75" customHeight="1">
      <c r="A777" s="12" t="s">
        <v>385</v>
      </c>
      <c r="B777" s="12" t="s">
        <v>386</v>
      </c>
      <c r="C777" s="12" t="s">
        <v>169</v>
      </c>
      <c r="D777" s="12" t="s">
        <v>33</v>
      </c>
      <c r="E777" s="12" t="s">
        <v>27</v>
      </c>
      <c r="F777" s="13">
        <v>6.9139999999999988</v>
      </c>
      <c r="G777" s="14">
        <v>146.66342055967692</v>
      </c>
      <c r="H777" s="24" t="str">
        <f t="shared" si="115"/>
        <v>RJSP</v>
      </c>
      <c r="I777" s="24" t="str">
        <f t="shared" si="114"/>
        <v>RJMG</v>
      </c>
      <c r="J777" s="24" t="str">
        <f t="shared" si="114"/>
        <v>RJES</v>
      </c>
      <c r="K777" s="24" t="str">
        <f t="shared" si="114"/>
        <v>RJSC</v>
      </c>
      <c r="L777" s="24" t="str">
        <f t="shared" si="114"/>
        <v>RJRJ</v>
      </c>
      <c r="M777" s="24" t="str">
        <f t="shared" si="114"/>
        <v>RJPR</v>
      </c>
      <c r="N777" s="24" t="str">
        <f t="shared" si="114"/>
        <v>RJAM</v>
      </c>
      <c r="O777" s="24">
        <f>VLOOKUP(H777, KM!$A:$E, 5, 0)</f>
        <v>429</v>
      </c>
      <c r="P777" s="24">
        <f>VLOOKUP(I777, KM!$A:$E, 5, 0)</f>
        <v>434</v>
      </c>
      <c r="Q777" s="24">
        <f>VLOOKUP(J777, KM!$A:$E, 5, 0)</f>
        <v>521</v>
      </c>
      <c r="R777" s="24">
        <f>VLOOKUP(K777, KM!$A:$E, 5, 0)</f>
        <v>1144</v>
      </c>
      <c r="S777" s="24">
        <f>VLOOKUP(L777, KM!$A:$E, 5, 0)</f>
        <v>0</v>
      </c>
      <c r="T777" s="24">
        <f>VLOOKUP(M777, KM!$A:$E, 5, 0)</f>
        <v>852</v>
      </c>
      <c r="U777" s="24">
        <f>VLOOKUP(N777, KM!$A:$E, 5, 0)</f>
        <v>4374</v>
      </c>
      <c r="V777" s="24">
        <f>VLOOKUP(H777, IMPOSTO!$A:$D, 4, 0)</f>
        <v>0.12</v>
      </c>
      <c r="W777" s="24">
        <f>VLOOKUP(I777, IMPOSTO!$A:$D, 4, 0)</f>
        <v>0.12</v>
      </c>
      <c r="X777" s="24">
        <f>VLOOKUP(J777, IMPOSTO!$A:$D, 4, 0)</f>
        <v>7.0000000000000007E-2</v>
      </c>
      <c r="Y777" s="24">
        <f>VLOOKUP(K777, IMPOSTO!$A:$D, 4, 0)</f>
        <v>0.12</v>
      </c>
      <c r="Z777" s="24">
        <f>VLOOKUP(L777, IMPOSTO!$A:$D, 4, 0)</f>
        <v>0.18</v>
      </c>
      <c r="AA777" s="24">
        <f>VLOOKUP(M777, IMPOSTO!$A:$D, 4, 0)</f>
        <v>0.12</v>
      </c>
      <c r="AB777" s="24">
        <f>VLOOKUP(N777, IMPOSTO!$A:$D, 4, 0)</f>
        <v>7.0000000000000007E-2</v>
      </c>
      <c r="AC777" s="25">
        <f t="shared" si="107"/>
        <v>215.41297790872378</v>
      </c>
      <c r="AD777" s="25">
        <f t="shared" si="108"/>
        <v>215.98115972690559</v>
      </c>
      <c r="AE777" s="25">
        <f t="shared" si="109"/>
        <v>213.72410812868486</v>
      </c>
      <c r="AF777" s="25">
        <f t="shared" si="110"/>
        <v>296.6629779087238</v>
      </c>
      <c r="AG777" s="25">
        <f t="shared" si="111"/>
        <v>178.8578299508255</v>
      </c>
      <c r="AH777" s="25">
        <f t="shared" si="112"/>
        <v>263.48115972690556</v>
      </c>
      <c r="AI777" s="25">
        <f t="shared" si="113"/>
        <v>628.02518339750213</v>
      </c>
    </row>
    <row r="778" spans="1:35" ht="15.75" customHeight="1">
      <c r="A778" s="12" t="s">
        <v>170</v>
      </c>
      <c r="B778" s="12" t="s">
        <v>171</v>
      </c>
      <c r="C778" s="12" t="s">
        <v>163</v>
      </c>
      <c r="D778" s="12" t="s">
        <v>33</v>
      </c>
      <c r="E778" s="12" t="s">
        <v>27</v>
      </c>
      <c r="F778" s="13">
        <v>0.47729306060026755</v>
      </c>
      <c r="G778" s="14">
        <v>6.9600783268973423</v>
      </c>
      <c r="H778" s="24" t="str">
        <f t="shared" si="115"/>
        <v>RJSP</v>
      </c>
      <c r="I778" s="24" t="str">
        <f t="shared" si="114"/>
        <v>RJMG</v>
      </c>
      <c r="J778" s="24" t="str">
        <f t="shared" si="114"/>
        <v>RJES</v>
      </c>
      <c r="K778" s="24" t="str">
        <f t="shared" si="114"/>
        <v>RJSC</v>
      </c>
      <c r="L778" s="24" t="str">
        <f t="shared" si="114"/>
        <v>RJRJ</v>
      </c>
      <c r="M778" s="24" t="str">
        <f t="shared" si="114"/>
        <v>RJPR</v>
      </c>
      <c r="N778" s="24" t="str">
        <f t="shared" si="114"/>
        <v>RJAM</v>
      </c>
      <c r="O778" s="24">
        <f>VLOOKUP(H778, KM!$A:$E, 5, 0)</f>
        <v>429</v>
      </c>
      <c r="P778" s="24">
        <f>VLOOKUP(I778, KM!$A:$E, 5, 0)</f>
        <v>434</v>
      </c>
      <c r="Q778" s="24">
        <f>VLOOKUP(J778, KM!$A:$E, 5, 0)</f>
        <v>521</v>
      </c>
      <c r="R778" s="24">
        <f>VLOOKUP(K778, KM!$A:$E, 5, 0)</f>
        <v>1144</v>
      </c>
      <c r="S778" s="24">
        <f>VLOOKUP(L778, KM!$A:$E, 5, 0)</f>
        <v>0</v>
      </c>
      <c r="T778" s="24">
        <f>VLOOKUP(M778, KM!$A:$E, 5, 0)</f>
        <v>852</v>
      </c>
      <c r="U778" s="24">
        <f>VLOOKUP(N778, KM!$A:$E, 5, 0)</f>
        <v>4374</v>
      </c>
      <c r="V778" s="24">
        <f>VLOOKUP(H778, IMPOSTO!$A:$D, 4, 0)</f>
        <v>0.12</v>
      </c>
      <c r="W778" s="24">
        <f>VLOOKUP(I778, IMPOSTO!$A:$D, 4, 0)</f>
        <v>0.12</v>
      </c>
      <c r="X778" s="24">
        <f>VLOOKUP(J778, IMPOSTO!$A:$D, 4, 0)</f>
        <v>7.0000000000000007E-2</v>
      </c>
      <c r="Y778" s="24">
        <f>VLOOKUP(K778, IMPOSTO!$A:$D, 4, 0)</f>
        <v>0.12</v>
      </c>
      <c r="Z778" s="24">
        <f>VLOOKUP(L778, IMPOSTO!$A:$D, 4, 0)</f>
        <v>0.18</v>
      </c>
      <c r="AA778" s="24">
        <f>VLOOKUP(M778, IMPOSTO!$A:$D, 4, 0)</f>
        <v>0.12</v>
      </c>
      <c r="AB778" s="24">
        <f>VLOOKUP(N778, IMPOSTO!$A:$D, 4, 0)</f>
        <v>7.0000000000000007E-2</v>
      </c>
      <c r="AC778" s="25">
        <f t="shared" si="107"/>
        <v>56.659179916928807</v>
      </c>
      <c r="AD778" s="25">
        <f t="shared" si="108"/>
        <v>57.227361735110627</v>
      </c>
      <c r="AE778" s="25">
        <f t="shared" si="109"/>
        <v>63.505460566556287</v>
      </c>
      <c r="AF778" s="25">
        <f t="shared" si="110"/>
        <v>137.90917991692882</v>
      </c>
      <c r="AG778" s="25">
        <f t="shared" si="111"/>
        <v>8.4879003986552952</v>
      </c>
      <c r="AH778" s="25">
        <f t="shared" si="112"/>
        <v>104.72736173511062</v>
      </c>
      <c r="AI778" s="25">
        <f t="shared" si="113"/>
        <v>477.80653583537355</v>
      </c>
    </row>
    <row r="779" spans="1:35" ht="15.75" customHeight="1">
      <c r="A779" s="12" t="s">
        <v>172</v>
      </c>
      <c r="B779" s="12" t="s">
        <v>173</v>
      </c>
      <c r="C779" s="12" t="s">
        <v>111</v>
      </c>
      <c r="D779" s="12" t="s">
        <v>33</v>
      </c>
      <c r="E779" s="12" t="s">
        <v>27</v>
      </c>
      <c r="F779" s="13">
        <v>2.3546403385049364E-2</v>
      </c>
      <c r="G779" s="14">
        <v>1.5720363779971793</v>
      </c>
      <c r="H779" s="24" t="str">
        <f t="shared" si="115"/>
        <v>RJSP</v>
      </c>
      <c r="I779" s="24" t="str">
        <f t="shared" si="114"/>
        <v>RJMG</v>
      </c>
      <c r="J779" s="24" t="str">
        <f t="shared" si="114"/>
        <v>RJES</v>
      </c>
      <c r="K779" s="24" t="str">
        <f t="shared" si="114"/>
        <v>RJSC</v>
      </c>
      <c r="L779" s="24" t="str">
        <f t="shared" si="114"/>
        <v>RJRJ</v>
      </c>
      <c r="M779" s="24" t="str">
        <f t="shared" si="114"/>
        <v>RJPR</v>
      </c>
      <c r="N779" s="24" t="str">
        <f t="shared" si="114"/>
        <v>RJAM</v>
      </c>
      <c r="O779" s="24">
        <f>VLOOKUP(H779, KM!$A:$E, 5, 0)</f>
        <v>429</v>
      </c>
      <c r="P779" s="24">
        <f>VLOOKUP(I779, KM!$A:$E, 5, 0)</f>
        <v>434</v>
      </c>
      <c r="Q779" s="24">
        <f>VLOOKUP(J779, KM!$A:$E, 5, 0)</f>
        <v>521</v>
      </c>
      <c r="R779" s="24">
        <f>VLOOKUP(K779, KM!$A:$E, 5, 0)</f>
        <v>1144</v>
      </c>
      <c r="S779" s="24">
        <f>VLOOKUP(L779, KM!$A:$E, 5, 0)</f>
        <v>0</v>
      </c>
      <c r="T779" s="24">
        <f>VLOOKUP(M779, KM!$A:$E, 5, 0)</f>
        <v>852</v>
      </c>
      <c r="U779" s="24">
        <f>VLOOKUP(N779, KM!$A:$E, 5, 0)</f>
        <v>4374</v>
      </c>
      <c r="V779" s="24">
        <f>VLOOKUP(H779, IMPOSTO!$A:$D, 4, 0)</f>
        <v>0.12</v>
      </c>
      <c r="W779" s="24">
        <f>VLOOKUP(I779, IMPOSTO!$A:$D, 4, 0)</f>
        <v>0.12</v>
      </c>
      <c r="X779" s="24">
        <f>VLOOKUP(J779, IMPOSTO!$A:$D, 4, 0)</f>
        <v>7.0000000000000007E-2</v>
      </c>
      <c r="Y779" s="24">
        <f>VLOOKUP(K779, IMPOSTO!$A:$D, 4, 0)</f>
        <v>0.12</v>
      </c>
      <c r="Z779" s="24">
        <f>VLOOKUP(L779, IMPOSTO!$A:$D, 4, 0)</f>
        <v>0.18</v>
      </c>
      <c r="AA779" s="24">
        <f>VLOOKUP(M779, IMPOSTO!$A:$D, 4, 0)</f>
        <v>0.12</v>
      </c>
      <c r="AB779" s="24">
        <f>VLOOKUP(N779, IMPOSTO!$A:$D, 4, 0)</f>
        <v>7.0000000000000007E-2</v>
      </c>
      <c r="AC779" s="25">
        <f t="shared" si="107"/>
        <v>50.536404974996799</v>
      </c>
      <c r="AD779" s="25">
        <f t="shared" si="108"/>
        <v>51.104586793178619</v>
      </c>
      <c r="AE779" s="25">
        <f t="shared" si="109"/>
        <v>57.711867073115251</v>
      </c>
      <c r="AF779" s="25">
        <f t="shared" si="110"/>
        <v>131.7864049749968</v>
      </c>
      <c r="AG779" s="25">
        <f t="shared" si="111"/>
        <v>1.9171175341429014</v>
      </c>
      <c r="AH779" s="25">
        <f t="shared" si="112"/>
        <v>98.604586793178612</v>
      </c>
      <c r="AI779" s="25">
        <f t="shared" si="113"/>
        <v>472.0129423419325</v>
      </c>
    </row>
    <row r="780" spans="1:35" ht="15.75" customHeight="1">
      <c r="A780" s="12" t="s">
        <v>172</v>
      </c>
      <c r="B780" s="12" t="s">
        <v>173</v>
      </c>
      <c r="C780" s="12" t="s">
        <v>111</v>
      </c>
      <c r="D780" s="12" t="s">
        <v>33</v>
      </c>
      <c r="E780" s="12" t="s">
        <v>27</v>
      </c>
      <c r="F780" s="13">
        <v>2.6038397743300412</v>
      </c>
      <c r="G780" s="14">
        <v>154.7611183593794</v>
      </c>
      <c r="H780" s="24" t="str">
        <f t="shared" si="115"/>
        <v>RJSP</v>
      </c>
      <c r="I780" s="24" t="str">
        <f t="shared" si="114"/>
        <v>RJMG</v>
      </c>
      <c r="J780" s="24" t="str">
        <f t="shared" si="114"/>
        <v>RJES</v>
      </c>
      <c r="K780" s="24" t="str">
        <f t="shared" si="114"/>
        <v>RJSC</v>
      </c>
      <c r="L780" s="24" t="str">
        <f t="shared" si="114"/>
        <v>RJRJ</v>
      </c>
      <c r="M780" s="24" t="str">
        <f t="shared" si="114"/>
        <v>RJPR</v>
      </c>
      <c r="N780" s="24" t="str">
        <f t="shared" si="114"/>
        <v>RJAM</v>
      </c>
      <c r="O780" s="24">
        <f>VLOOKUP(H780, KM!$A:$E, 5, 0)</f>
        <v>429</v>
      </c>
      <c r="P780" s="24">
        <f>VLOOKUP(I780, KM!$A:$E, 5, 0)</f>
        <v>434</v>
      </c>
      <c r="Q780" s="24">
        <f>VLOOKUP(J780, KM!$A:$E, 5, 0)</f>
        <v>521</v>
      </c>
      <c r="R780" s="24">
        <f>VLOOKUP(K780, KM!$A:$E, 5, 0)</f>
        <v>1144</v>
      </c>
      <c r="S780" s="24">
        <f>VLOOKUP(L780, KM!$A:$E, 5, 0)</f>
        <v>0</v>
      </c>
      <c r="T780" s="24">
        <f>VLOOKUP(M780, KM!$A:$E, 5, 0)</f>
        <v>852</v>
      </c>
      <c r="U780" s="24">
        <f>VLOOKUP(N780, KM!$A:$E, 5, 0)</f>
        <v>4374</v>
      </c>
      <c r="V780" s="24">
        <f>VLOOKUP(H780, IMPOSTO!$A:$D, 4, 0)</f>
        <v>0.12</v>
      </c>
      <c r="W780" s="24">
        <f>VLOOKUP(I780, IMPOSTO!$A:$D, 4, 0)</f>
        <v>0.12</v>
      </c>
      <c r="X780" s="24">
        <f>VLOOKUP(J780, IMPOSTO!$A:$D, 4, 0)</f>
        <v>7.0000000000000007E-2</v>
      </c>
      <c r="Y780" s="24">
        <f>VLOOKUP(K780, IMPOSTO!$A:$D, 4, 0)</f>
        <v>0.12</v>
      </c>
      <c r="Z780" s="24">
        <f>VLOOKUP(L780, IMPOSTO!$A:$D, 4, 0)</f>
        <v>0.18</v>
      </c>
      <c r="AA780" s="24">
        <f>VLOOKUP(M780, IMPOSTO!$A:$D, 4, 0)</f>
        <v>0.12</v>
      </c>
      <c r="AB780" s="24">
        <f>VLOOKUP(N780, IMPOSTO!$A:$D, 4, 0)</f>
        <v>7.0000000000000007E-2</v>
      </c>
      <c r="AC780" s="25">
        <f t="shared" si="107"/>
        <v>224.61490722656751</v>
      </c>
      <c r="AD780" s="25">
        <f t="shared" si="108"/>
        <v>225.18308904474932</v>
      </c>
      <c r="AE780" s="25">
        <f t="shared" si="109"/>
        <v>222.43131006384883</v>
      </c>
      <c r="AF780" s="25">
        <f t="shared" si="110"/>
        <v>305.86490722656754</v>
      </c>
      <c r="AG780" s="25">
        <f t="shared" si="111"/>
        <v>188.73307116997486</v>
      </c>
      <c r="AH780" s="25">
        <f t="shared" si="112"/>
        <v>272.68308904474929</v>
      </c>
      <c r="AI780" s="25">
        <f t="shared" si="113"/>
        <v>636.73238533266613</v>
      </c>
    </row>
    <row r="781" spans="1:35" ht="15.75" customHeight="1">
      <c r="A781" s="12" t="s">
        <v>398</v>
      </c>
      <c r="B781" s="12" t="s">
        <v>399</v>
      </c>
      <c r="C781" s="12" t="s">
        <v>98</v>
      </c>
      <c r="D781" s="12" t="s">
        <v>33</v>
      </c>
      <c r="E781" s="12" t="s">
        <v>27</v>
      </c>
      <c r="F781" s="13">
        <v>43.281409326424864</v>
      </c>
      <c r="G781" s="14">
        <v>444.32301347150263</v>
      </c>
      <c r="H781" s="24" t="str">
        <f t="shared" si="115"/>
        <v>RJSP</v>
      </c>
      <c r="I781" s="24" t="str">
        <f t="shared" si="114"/>
        <v>RJMG</v>
      </c>
      <c r="J781" s="24" t="str">
        <f t="shared" si="114"/>
        <v>RJES</v>
      </c>
      <c r="K781" s="24" t="str">
        <f t="shared" si="114"/>
        <v>RJSC</v>
      </c>
      <c r="L781" s="24" t="str">
        <f t="shared" si="114"/>
        <v>RJRJ</v>
      </c>
      <c r="M781" s="24" t="str">
        <f t="shared" si="114"/>
        <v>RJPR</v>
      </c>
      <c r="N781" s="24" t="str">
        <f t="shared" si="114"/>
        <v>RJAM</v>
      </c>
      <c r="O781" s="24">
        <f>VLOOKUP(H781, KM!$A:$E, 5, 0)</f>
        <v>429</v>
      </c>
      <c r="P781" s="24">
        <f>VLOOKUP(I781, KM!$A:$E, 5, 0)</f>
        <v>434</v>
      </c>
      <c r="Q781" s="24">
        <f>VLOOKUP(J781, KM!$A:$E, 5, 0)</f>
        <v>521</v>
      </c>
      <c r="R781" s="24">
        <f>VLOOKUP(K781, KM!$A:$E, 5, 0)</f>
        <v>1144</v>
      </c>
      <c r="S781" s="24">
        <f>VLOOKUP(L781, KM!$A:$E, 5, 0)</f>
        <v>0</v>
      </c>
      <c r="T781" s="24">
        <f>VLOOKUP(M781, KM!$A:$E, 5, 0)</f>
        <v>852</v>
      </c>
      <c r="U781" s="24">
        <f>VLOOKUP(N781, KM!$A:$E, 5, 0)</f>
        <v>4374</v>
      </c>
      <c r="V781" s="24">
        <f>VLOOKUP(H781, IMPOSTO!$A:$D, 4, 0)</f>
        <v>0.12</v>
      </c>
      <c r="W781" s="24">
        <f>VLOOKUP(I781, IMPOSTO!$A:$D, 4, 0)</f>
        <v>0.12</v>
      </c>
      <c r="X781" s="24">
        <f>VLOOKUP(J781, IMPOSTO!$A:$D, 4, 0)</f>
        <v>7.0000000000000007E-2</v>
      </c>
      <c r="Y781" s="24">
        <f>VLOOKUP(K781, IMPOSTO!$A:$D, 4, 0)</f>
        <v>0.12</v>
      </c>
      <c r="Z781" s="24">
        <f>VLOOKUP(L781, IMPOSTO!$A:$D, 4, 0)</f>
        <v>0.18</v>
      </c>
      <c r="AA781" s="24">
        <f>VLOOKUP(M781, IMPOSTO!$A:$D, 4, 0)</f>
        <v>0.12</v>
      </c>
      <c r="AB781" s="24">
        <f>VLOOKUP(N781, IMPOSTO!$A:$D, 4, 0)</f>
        <v>7.0000000000000007E-2</v>
      </c>
      <c r="AC781" s="25">
        <f t="shared" si="107"/>
        <v>553.66251530852571</v>
      </c>
      <c r="AD781" s="25">
        <f t="shared" si="108"/>
        <v>554.23069712670758</v>
      </c>
      <c r="AE781" s="25">
        <f t="shared" si="109"/>
        <v>533.78818652849748</v>
      </c>
      <c r="AF781" s="25">
        <f t="shared" si="110"/>
        <v>634.91251530852571</v>
      </c>
      <c r="AG781" s="25">
        <f t="shared" si="111"/>
        <v>541.85733350183239</v>
      </c>
      <c r="AH781" s="25">
        <f t="shared" si="112"/>
        <v>601.73069712670747</v>
      </c>
      <c r="AI781" s="25">
        <f t="shared" si="113"/>
        <v>948.08926179731475</v>
      </c>
    </row>
    <row r="782" spans="1:35" ht="15.75" customHeight="1">
      <c r="A782" s="12" t="s">
        <v>99</v>
      </c>
      <c r="B782" s="12" t="s">
        <v>100</v>
      </c>
      <c r="C782" s="12" t="s">
        <v>101</v>
      </c>
      <c r="D782" s="12" t="s">
        <v>33</v>
      </c>
      <c r="E782" s="12" t="s">
        <v>27</v>
      </c>
      <c r="F782" s="13">
        <v>57961.750747869024</v>
      </c>
      <c r="G782" s="14">
        <v>383313.61040957546</v>
      </c>
      <c r="H782" s="24" t="str">
        <f t="shared" si="115"/>
        <v>RJSP</v>
      </c>
      <c r="I782" s="24" t="str">
        <f t="shared" si="114"/>
        <v>RJMG</v>
      </c>
      <c r="J782" s="24" t="str">
        <f t="shared" si="114"/>
        <v>RJES</v>
      </c>
      <c r="K782" s="24" t="str">
        <f t="shared" si="114"/>
        <v>RJSC</v>
      </c>
      <c r="L782" s="24" t="str">
        <f t="shared" si="114"/>
        <v>RJRJ</v>
      </c>
      <c r="M782" s="24" t="str">
        <f t="shared" si="114"/>
        <v>RJPR</v>
      </c>
      <c r="N782" s="24" t="str">
        <f t="shared" si="114"/>
        <v>RJAM</v>
      </c>
      <c r="O782" s="24">
        <f>VLOOKUP(H782, KM!$A:$E, 5, 0)</f>
        <v>429</v>
      </c>
      <c r="P782" s="24">
        <f>VLOOKUP(I782, KM!$A:$E, 5, 0)</f>
        <v>434</v>
      </c>
      <c r="Q782" s="24">
        <f>VLOOKUP(J782, KM!$A:$E, 5, 0)</f>
        <v>521</v>
      </c>
      <c r="R782" s="24">
        <f>VLOOKUP(K782, KM!$A:$E, 5, 0)</f>
        <v>1144</v>
      </c>
      <c r="S782" s="24">
        <f>VLOOKUP(L782, KM!$A:$E, 5, 0)</f>
        <v>0</v>
      </c>
      <c r="T782" s="24">
        <f>VLOOKUP(M782, KM!$A:$E, 5, 0)</f>
        <v>852</v>
      </c>
      <c r="U782" s="24">
        <f>VLOOKUP(N782, KM!$A:$E, 5, 0)</f>
        <v>4374</v>
      </c>
      <c r="V782" s="24">
        <f>VLOOKUP(H782, IMPOSTO!$A:$D, 4, 0)</f>
        <v>0.12</v>
      </c>
      <c r="W782" s="24">
        <f>VLOOKUP(I782, IMPOSTO!$A:$D, 4, 0)</f>
        <v>0.12</v>
      </c>
      <c r="X782" s="24">
        <f>VLOOKUP(J782, IMPOSTO!$A:$D, 4, 0)</f>
        <v>7.0000000000000007E-2</v>
      </c>
      <c r="Y782" s="24">
        <f>VLOOKUP(K782, IMPOSTO!$A:$D, 4, 0)</f>
        <v>0.12</v>
      </c>
      <c r="Z782" s="24">
        <f>VLOOKUP(L782, IMPOSTO!$A:$D, 4, 0)</f>
        <v>0.18</v>
      </c>
      <c r="AA782" s="24">
        <f>VLOOKUP(M782, IMPOSTO!$A:$D, 4, 0)</f>
        <v>0.12</v>
      </c>
      <c r="AB782" s="24">
        <f>VLOOKUP(N782, IMPOSTO!$A:$D, 4, 0)</f>
        <v>7.0000000000000007E-2</v>
      </c>
      <c r="AC782" s="25">
        <f t="shared" si="107"/>
        <v>435632.39819269942</v>
      </c>
      <c r="AD782" s="25">
        <f t="shared" si="108"/>
        <v>435632.96637451759</v>
      </c>
      <c r="AE782" s="25">
        <f t="shared" si="109"/>
        <v>412221.19398879079</v>
      </c>
      <c r="AF782" s="25">
        <f t="shared" si="110"/>
        <v>435713.64819269942</v>
      </c>
      <c r="AG782" s="25">
        <f t="shared" si="111"/>
        <v>467455.62245070172</v>
      </c>
      <c r="AH782" s="25">
        <f t="shared" si="112"/>
        <v>435680.46637451759</v>
      </c>
      <c r="AI782" s="25">
        <f t="shared" si="113"/>
        <v>412635.49506405968</v>
      </c>
    </row>
    <row r="783" spans="1:35" ht="15.75" customHeight="1">
      <c r="A783" s="12" t="s">
        <v>400</v>
      </c>
      <c r="B783" s="12" t="s">
        <v>401</v>
      </c>
      <c r="C783" s="12" t="s">
        <v>122</v>
      </c>
      <c r="D783" s="12" t="s">
        <v>33</v>
      </c>
      <c r="E783" s="12" t="s">
        <v>27</v>
      </c>
      <c r="F783" s="13">
        <v>3686.5359316045397</v>
      </c>
      <c r="G783" s="14">
        <v>219967.95700141651</v>
      </c>
      <c r="H783" s="24" t="str">
        <f t="shared" si="115"/>
        <v>RJSP</v>
      </c>
      <c r="I783" s="24" t="str">
        <f t="shared" si="114"/>
        <v>RJMG</v>
      </c>
      <c r="J783" s="24" t="str">
        <f t="shared" si="114"/>
        <v>RJES</v>
      </c>
      <c r="K783" s="24" t="str">
        <f t="shared" si="114"/>
        <v>RJSC</v>
      </c>
      <c r="L783" s="24" t="str">
        <f t="shared" si="114"/>
        <v>RJRJ</v>
      </c>
      <c r="M783" s="24" t="str">
        <f t="shared" si="114"/>
        <v>RJPR</v>
      </c>
      <c r="N783" s="24" t="str">
        <f t="shared" si="114"/>
        <v>RJAM</v>
      </c>
      <c r="O783" s="24">
        <f>VLOOKUP(H783, KM!$A:$E, 5, 0)</f>
        <v>429</v>
      </c>
      <c r="P783" s="24">
        <f>VLOOKUP(I783, KM!$A:$E, 5, 0)</f>
        <v>434</v>
      </c>
      <c r="Q783" s="24">
        <f>VLOOKUP(J783, KM!$A:$E, 5, 0)</f>
        <v>521</v>
      </c>
      <c r="R783" s="24">
        <f>VLOOKUP(K783, KM!$A:$E, 5, 0)</f>
        <v>1144</v>
      </c>
      <c r="S783" s="24">
        <f>VLOOKUP(L783, KM!$A:$E, 5, 0)</f>
        <v>0</v>
      </c>
      <c r="T783" s="24">
        <f>VLOOKUP(M783, KM!$A:$E, 5, 0)</f>
        <v>852</v>
      </c>
      <c r="U783" s="24">
        <f>VLOOKUP(N783, KM!$A:$E, 5, 0)</f>
        <v>4374</v>
      </c>
      <c r="V783" s="24">
        <f>VLOOKUP(H783, IMPOSTO!$A:$D, 4, 0)</f>
        <v>0.12</v>
      </c>
      <c r="W783" s="24">
        <f>VLOOKUP(I783, IMPOSTO!$A:$D, 4, 0)</f>
        <v>0.12</v>
      </c>
      <c r="X783" s="24">
        <f>VLOOKUP(J783, IMPOSTO!$A:$D, 4, 0)</f>
        <v>7.0000000000000007E-2</v>
      </c>
      <c r="Y783" s="24">
        <f>VLOOKUP(K783, IMPOSTO!$A:$D, 4, 0)</f>
        <v>0.12</v>
      </c>
      <c r="Z783" s="24">
        <f>VLOOKUP(L783, IMPOSTO!$A:$D, 4, 0)</f>
        <v>0.18</v>
      </c>
      <c r="AA783" s="24">
        <f>VLOOKUP(M783, IMPOSTO!$A:$D, 4, 0)</f>
        <v>0.12</v>
      </c>
      <c r="AB783" s="24">
        <f>VLOOKUP(N783, IMPOSTO!$A:$D, 4, 0)</f>
        <v>7.0000000000000007E-2</v>
      </c>
      <c r="AC783" s="25">
        <f t="shared" si="107"/>
        <v>250012.33750160967</v>
      </c>
      <c r="AD783" s="25">
        <f t="shared" si="108"/>
        <v>250012.90568342785</v>
      </c>
      <c r="AE783" s="25">
        <f t="shared" si="109"/>
        <v>236580.70645313605</v>
      </c>
      <c r="AF783" s="25">
        <f t="shared" si="110"/>
        <v>250093.58750160967</v>
      </c>
      <c r="AG783" s="25">
        <f t="shared" si="111"/>
        <v>268253.60609928839</v>
      </c>
      <c r="AH783" s="25">
        <f t="shared" si="112"/>
        <v>250060.40568342787</v>
      </c>
      <c r="AI783" s="25">
        <f t="shared" si="113"/>
        <v>236995.00752840485</v>
      </c>
    </row>
    <row r="784" spans="1:35" ht="15.75" customHeight="1">
      <c r="A784" s="12" t="s">
        <v>179</v>
      </c>
      <c r="B784" s="12" t="s">
        <v>180</v>
      </c>
      <c r="C784" s="12" t="s">
        <v>181</v>
      </c>
      <c r="D784" s="12" t="s">
        <v>33</v>
      </c>
      <c r="E784" s="12" t="s">
        <v>27</v>
      </c>
      <c r="F784" s="13">
        <v>4.7162105263157894</v>
      </c>
      <c r="G784" s="14">
        <v>38.073967578947375</v>
      </c>
      <c r="H784" s="24" t="str">
        <f t="shared" si="115"/>
        <v>RJSP</v>
      </c>
      <c r="I784" s="24" t="str">
        <f t="shared" si="114"/>
        <v>RJMG</v>
      </c>
      <c r="J784" s="24" t="str">
        <f t="shared" si="114"/>
        <v>RJES</v>
      </c>
      <c r="K784" s="24" t="str">
        <f t="shared" si="114"/>
        <v>RJSC</v>
      </c>
      <c r="L784" s="24" t="str">
        <f t="shared" si="114"/>
        <v>RJRJ</v>
      </c>
      <c r="M784" s="24" t="str">
        <f t="shared" si="114"/>
        <v>RJPR</v>
      </c>
      <c r="N784" s="24" t="str">
        <f t="shared" si="114"/>
        <v>RJAM</v>
      </c>
      <c r="O784" s="24">
        <f>VLOOKUP(H784, KM!$A:$E, 5, 0)</f>
        <v>429</v>
      </c>
      <c r="P784" s="24">
        <f>VLOOKUP(I784, KM!$A:$E, 5, 0)</f>
        <v>434</v>
      </c>
      <c r="Q784" s="24">
        <f>VLOOKUP(J784, KM!$A:$E, 5, 0)</f>
        <v>521</v>
      </c>
      <c r="R784" s="24">
        <f>VLOOKUP(K784, KM!$A:$E, 5, 0)</f>
        <v>1144</v>
      </c>
      <c r="S784" s="24">
        <f>VLOOKUP(L784, KM!$A:$E, 5, 0)</f>
        <v>0</v>
      </c>
      <c r="T784" s="24">
        <f>VLOOKUP(M784, KM!$A:$E, 5, 0)</f>
        <v>852</v>
      </c>
      <c r="U784" s="24">
        <f>VLOOKUP(N784, KM!$A:$E, 5, 0)</f>
        <v>4374</v>
      </c>
      <c r="V784" s="24">
        <f>VLOOKUP(H784, IMPOSTO!$A:$D, 4, 0)</f>
        <v>0.12</v>
      </c>
      <c r="W784" s="24">
        <f>VLOOKUP(I784, IMPOSTO!$A:$D, 4, 0)</f>
        <v>0.12</v>
      </c>
      <c r="X784" s="24">
        <f>VLOOKUP(J784, IMPOSTO!$A:$D, 4, 0)</f>
        <v>7.0000000000000007E-2</v>
      </c>
      <c r="Y784" s="24">
        <f>VLOOKUP(K784, IMPOSTO!$A:$D, 4, 0)</f>
        <v>0.12</v>
      </c>
      <c r="Z784" s="24">
        <f>VLOOKUP(L784, IMPOSTO!$A:$D, 4, 0)</f>
        <v>0.18</v>
      </c>
      <c r="AA784" s="24">
        <f>VLOOKUP(M784, IMPOSTO!$A:$D, 4, 0)</f>
        <v>0.12</v>
      </c>
      <c r="AB784" s="24">
        <f>VLOOKUP(N784, IMPOSTO!$A:$D, 4, 0)</f>
        <v>7.0000000000000007E-2</v>
      </c>
      <c r="AC784" s="25">
        <f t="shared" si="107"/>
        <v>92.015872248803845</v>
      </c>
      <c r="AD784" s="25">
        <f t="shared" si="108"/>
        <v>92.584054066985658</v>
      </c>
      <c r="AE784" s="25">
        <f t="shared" si="109"/>
        <v>96.961255461233748</v>
      </c>
      <c r="AF784" s="25">
        <f t="shared" si="110"/>
        <v>173.26587224880384</v>
      </c>
      <c r="AG784" s="25">
        <f t="shared" si="111"/>
        <v>46.431667779204112</v>
      </c>
      <c r="AH784" s="25">
        <f t="shared" si="112"/>
        <v>140.08405406698566</v>
      </c>
      <c r="AI784" s="25">
        <f t="shared" si="113"/>
        <v>511.26233073005102</v>
      </c>
    </row>
    <row r="785" spans="1:35" ht="15.75" customHeight="1">
      <c r="A785" s="12" t="s">
        <v>179</v>
      </c>
      <c r="B785" s="12" t="s">
        <v>180</v>
      </c>
      <c r="C785" s="12" t="s">
        <v>181</v>
      </c>
      <c r="D785" s="12" t="s">
        <v>33</v>
      </c>
      <c r="E785" s="12" t="s">
        <v>27</v>
      </c>
      <c r="F785" s="13">
        <v>4.7162105263157894</v>
      </c>
      <c r="G785" s="14">
        <v>39.760012842105262</v>
      </c>
      <c r="H785" s="24" t="str">
        <f t="shared" si="115"/>
        <v>RJSP</v>
      </c>
      <c r="I785" s="24" t="str">
        <f t="shared" si="114"/>
        <v>RJMG</v>
      </c>
      <c r="J785" s="24" t="str">
        <f t="shared" si="114"/>
        <v>RJES</v>
      </c>
      <c r="K785" s="24" t="str">
        <f t="shared" si="114"/>
        <v>RJSC</v>
      </c>
      <c r="L785" s="24" t="str">
        <f t="shared" si="114"/>
        <v>RJRJ</v>
      </c>
      <c r="M785" s="24" t="str">
        <f t="shared" si="114"/>
        <v>RJPR</v>
      </c>
      <c r="N785" s="24" t="str">
        <f t="shared" si="114"/>
        <v>RJAM</v>
      </c>
      <c r="O785" s="24">
        <f>VLOOKUP(H785, KM!$A:$E, 5, 0)</f>
        <v>429</v>
      </c>
      <c r="P785" s="24">
        <f>VLOOKUP(I785, KM!$A:$E, 5, 0)</f>
        <v>434</v>
      </c>
      <c r="Q785" s="24">
        <f>VLOOKUP(J785, KM!$A:$E, 5, 0)</f>
        <v>521</v>
      </c>
      <c r="R785" s="24">
        <f>VLOOKUP(K785, KM!$A:$E, 5, 0)</f>
        <v>1144</v>
      </c>
      <c r="S785" s="24">
        <f>VLOOKUP(L785, KM!$A:$E, 5, 0)</f>
        <v>0</v>
      </c>
      <c r="T785" s="24">
        <f>VLOOKUP(M785, KM!$A:$E, 5, 0)</f>
        <v>852</v>
      </c>
      <c r="U785" s="24">
        <f>VLOOKUP(N785, KM!$A:$E, 5, 0)</f>
        <v>4374</v>
      </c>
      <c r="V785" s="24">
        <f>VLOOKUP(H785, IMPOSTO!$A:$D, 4, 0)</f>
        <v>0.12</v>
      </c>
      <c r="W785" s="24">
        <f>VLOOKUP(I785, IMPOSTO!$A:$D, 4, 0)</f>
        <v>0.12</v>
      </c>
      <c r="X785" s="24">
        <f>VLOOKUP(J785, IMPOSTO!$A:$D, 4, 0)</f>
        <v>7.0000000000000007E-2</v>
      </c>
      <c r="Y785" s="24">
        <f>VLOOKUP(K785, IMPOSTO!$A:$D, 4, 0)</f>
        <v>0.12</v>
      </c>
      <c r="Z785" s="24">
        <f>VLOOKUP(L785, IMPOSTO!$A:$D, 4, 0)</f>
        <v>0.18</v>
      </c>
      <c r="AA785" s="24">
        <f>VLOOKUP(M785, IMPOSTO!$A:$D, 4, 0)</f>
        <v>0.12</v>
      </c>
      <c r="AB785" s="24">
        <f>VLOOKUP(N785, IMPOSTO!$A:$D, 4, 0)</f>
        <v>7.0000000000000007E-2</v>
      </c>
      <c r="AC785" s="25">
        <f t="shared" si="107"/>
        <v>93.931832775119616</v>
      </c>
      <c r="AD785" s="25">
        <f t="shared" si="108"/>
        <v>94.500014593301429</v>
      </c>
      <c r="AE785" s="25">
        <f t="shared" si="109"/>
        <v>98.774207357102441</v>
      </c>
      <c r="AF785" s="25">
        <f t="shared" si="110"/>
        <v>175.1818327751196</v>
      </c>
      <c r="AG785" s="25">
        <f t="shared" si="111"/>
        <v>48.487820539152757</v>
      </c>
      <c r="AH785" s="25">
        <f t="shared" si="112"/>
        <v>142.00001459330144</v>
      </c>
      <c r="AI785" s="25">
        <f t="shared" si="113"/>
        <v>513.07528262591973</v>
      </c>
    </row>
    <row r="786" spans="1:35" ht="15.75" customHeight="1">
      <c r="A786" s="12" t="s">
        <v>182</v>
      </c>
      <c r="B786" s="12" t="s">
        <v>183</v>
      </c>
      <c r="C786" s="12" t="s">
        <v>160</v>
      </c>
      <c r="D786" s="12" t="s">
        <v>33</v>
      </c>
      <c r="E786" s="12" t="s">
        <v>27</v>
      </c>
      <c r="F786" s="13">
        <v>5787.859332490586</v>
      </c>
      <c r="G786" s="14">
        <v>34402.160912485415</v>
      </c>
      <c r="H786" s="24" t="str">
        <f t="shared" si="115"/>
        <v>RJSP</v>
      </c>
      <c r="I786" s="24" t="str">
        <f t="shared" si="114"/>
        <v>RJMG</v>
      </c>
      <c r="J786" s="24" t="str">
        <f t="shared" si="114"/>
        <v>RJES</v>
      </c>
      <c r="K786" s="24" t="str">
        <f t="shared" si="114"/>
        <v>RJSC</v>
      </c>
      <c r="L786" s="24" t="str">
        <f t="shared" si="114"/>
        <v>RJRJ</v>
      </c>
      <c r="M786" s="24" t="str">
        <f t="shared" si="114"/>
        <v>RJPR</v>
      </c>
      <c r="N786" s="24" t="str">
        <f t="shared" si="114"/>
        <v>RJAM</v>
      </c>
      <c r="O786" s="24">
        <f>VLOOKUP(H786, KM!$A:$E, 5, 0)</f>
        <v>429</v>
      </c>
      <c r="P786" s="24">
        <f>VLOOKUP(I786, KM!$A:$E, 5, 0)</f>
        <v>434</v>
      </c>
      <c r="Q786" s="24">
        <f>VLOOKUP(J786, KM!$A:$E, 5, 0)</f>
        <v>521</v>
      </c>
      <c r="R786" s="24">
        <f>VLOOKUP(K786, KM!$A:$E, 5, 0)</f>
        <v>1144</v>
      </c>
      <c r="S786" s="24">
        <f>VLOOKUP(L786, KM!$A:$E, 5, 0)</f>
        <v>0</v>
      </c>
      <c r="T786" s="24">
        <f>VLOOKUP(M786, KM!$A:$E, 5, 0)</f>
        <v>852</v>
      </c>
      <c r="U786" s="24">
        <f>VLOOKUP(N786, KM!$A:$E, 5, 0)</f>
        <v>4374</v>
      </c>
      <c r="V786" s="24">
        <f>VLOOKUP(H786, IMPOSTO!$A:$D, 4, 0)</f>
        <v>0.12</v>
      </c>
      <c r="W786" s="24">
        <f>VLOOKUP(I786, IMPOSTO!$A:$D, 4, 0)</f>
        <v>0.12</v>
      </c>
      <c r="X786" s="24">
        <f>VLOOKUP(J786, IMPOSTO!$A:$D, 4, 0)</f>
        <v>7.0000000000000007E-2</v>
      </c>
      <c r="Y786" s="24">
        <f>VLOOKUP(K786, IMPOSTO!$A:$D, 4, 0)</f>
        <v>0.12</v>
      </c>
      <c r="Z786" s="24">
        <f>VLOOKUP(L786, IMPOSTO!$A:$D, 4, 0)</f>
        <v>0.18</v>
      </c>
      <c r="AA786" s="24">
        <f>VLOOKUP(M786, IMPOSTO!$A:$D, 4, 0)</f>
        <v>0.12</v>
      </c>
      <c r="AB786" s="24">
        <f>VLOOKUP(N786, IMPOSTO!$A:$D, 4, 0)</f>
        <v>7.0000000000000007E-2</v>
      </c>
      <c r="AC786" s="25">
        <f t="shared" si="107"/>
        <v>39142.114673278884</v>
      </c>
      <c r="AD786" s="25">
        <f t="shared" si="108"/>
        <v>39142.68285509706</v>
      </c>
      <c r="AE786" s="25">
        <f t="shared" si="109"/>
        <v>37047.592379016576</v>
      </c>
      <c r="AF786" s="25">
        <f t="shared" si="110"/>
        <v>39223.364673278884</v>
      </c>
      <c r="AG786" s="25">
        <f t="shared" si="111"/>
        <v>41953.854771323677</v>
      </c>
      <c r="AH786" s="25">
        <f t="shared" si="112"/>
        <v>39190.18285509706</v>
      </c>
      <c r="AI786" s="25">
        <f t="shared" si="113"/>
        <v>37461.893454285397</v>
      </c>
    </row>
    <row r="787" spans="1:35" ht="15.75" customHeight="1">
      <c r="A787" s="12" t="s">
        <v>415</v>
      </c>
      <c r="B787" s="12" t="s">
        <v>416</v>
      </c>
      <c r="C787" s="12" t="s">
        <v>192</v>
      </c>
      <c r="D787" s="12" t="s">
        <v>33</v>
      </c>
      <c r="E787" s="12" t="s">
        <v>27</v>
      </c>
      <c r="F787" s="13">
        <v>39.999600000000008</v>
      </c>
      <c r="G787" s="14">
        <v>1493.3320053061225</v>
      </c>
      <c r="H787" s="24" t="str">
        <f t="shared" si="115"/>
        <v>RJSP</v>
      </c>
      <c r="I787" s="24" t="str">
        <f t="shared" si="114"/>
        <v>RJMG</v>
      </c>
      <c r="J787" s="24" t="str">
        <f t="shared" si="114"/>
        <v>RJES</v>
      </c>
      <c r="K787" s="24" t="str">
        <f t="shared" si="114"/>
        <v>RJSC</v>
      </c>
      <c r="L787" s="24" t="str">
        <f t="shared" si="114"/>
        <v>RJRJ</v>
      </c>
      <c r="M787" s="24" t="str">
        <f t="shared" si="114"/>
        <v>RJPR</v>
      </c>
      <c r="N787" s="24" t="str">
        <f t="shared" si="114"/>
        <v>RJAM</v>
      </c>
      <c r="O787" s="24">
        <f>VLOOKUP(H787, KM!$A:$E, 5, 0)</f>
        <v>429</v>
      </c>
      <c r="P787" s="24">
        <f>VLOOKUP(I787, KM!$A:$E, 5, 0)</f>
        <v>434</v>
      </c>
      <c r="Q787" s="24">
        <f>VLOOKUP(J787, KM!$A:$E, 5, 0)</f>
        <v>521</v>
      </c>
      <c r="R787" s="24">
        <f>VLOOKUP(K787, KM!$A:$E, 5, 0)</f>
        <v>1144</v>
      </c>
      <c r="S787" s="24">
        <f>VLOOKUP(L787, KM!$A:$E, 5, 0)</f>
        <v>0</v>
      </c>
      <c r="T787" s="24">
        <f>VLOOKUP(M787, KM!$A:$E, 5, 0)</f>
        <v>852</v>
      </c>
      <c r="U787" s="24">
        <f>VLOOKUP(N787, KM!$A:$E, 5, 0)</f>
        <v>4374</v>
      </c>
      <c r="V787" s="24">
        <f>VLOOKUP(H787, IMPOSTO!$A:$D, 4, 0)</f>
        <v>0.12</v>
      </c>
      <c r="W787" s="24">
        <f>VLOOKUP(I787, IMPOSTO!$A:$D, 4, 0)</f>
        <v>0.12</v>
      </c>
      <c r="X787" s="24">
        <f>VLOOKUP(J787, IMPOSTO!$A:$D, 4, 0)</f>
        <v>7.0000000000000007E-2</v>
      </c>
      <c r="Y787" s="24">
        <f>VLOOKUP(K787, IMPOSTO!$A:$D, 4, 0)</f>
        <v>0.12</v>
      </c>
      <c r="Z787" s="24">
        <f>VLOOKUP(L787, IMPOSTO!$A:$D, 4, 0)</f>
        <v>0.18</v>
      </c>
      <c r="AA787" s="24">
        <f>VLOOKUP(M787, IMPOSTO!$A:$D, 4, 0)</f>
        <v>0.12</v>
      </c>
      <c r="AB787" s="24">
        <f>VLOOKUP(N787, IMPOSTO!$A:$D, 4, 0)</f>
        <v>7.0000000000000007E-2</v>
      </c>
      <c r="AC787" s="25">
        <f t="shared" ref="AC787:AC850" si="116">($G787 + O787 * $AE$5) / (1 - V787)</f>
        <v>1745.7181878478666</v>
      </c>
      <c r="AD787" s="25">
        <f t="shared" ref="AD787:AD850" si="117">($G787 + P787 * $AE$5) / (1 - W787)</f>
        <v>1746.2863696660484</v>
      </c>
      <c r="AE787" s="25">
        <f t="shared" ref="AE787:AE850" si="118">($G787 + Q787 * $AE$5) / (1 - X787)</f>
        <v>1661.7548444151855</v>
      </c>
      <c r="AF787" s="25">
        <f t="shared" ref="AF787:AF850" si="119">($G787 + R787 * $AE$5) / (1 - Y787)</f>
        <v>1826.9681878478666</v>
      </c>
      <c r="AG787" s="25">
        <f t="shared" ref="AG787:AG850" si="120">($G787 + S787 * $AE$5) / (1 - Z787)</f>
        <v>1821.1365918367346</v>
      </c>
      <c r="AH787" s="25">
        <f t="shared" ref="AH787:AH850" si="121">($G787 + T787 * $AE$5) / (1 - AA787)</f>
        <v>1793.7863696660484</v>
      </c>
      <c r="AI787" s="25">
        <f t="shared" ref="AI787:AI850" si="122">($G787 + U787 * $AE$5) / (1 - AB787)</f>
        <v>2076.0559196840031</v>
      </c>
    </row>
    <row r="788" spans="1:35" ht="15.75" customHeight="1">
      <c r="A788" s="12" t="s">
        <v>560</v>
      </c>
      <c r="B788" s="12" t="s">
        <v>561</v>
      </c>
      <c r="C788" s="12" t="s">
        <v>192</v>
      </c>
      <c r="D788" s="12" t="s">
        <v>33</v>
      </c>
      <c r="E788" s="12" t="s">
        <v>27</v>
      </c>
      <c r="F788" s="13">
        <v>9.8739396226415099</v>
      </c>
      <c r="G788" s="14">
        <v>548.94167332075483</v>
      </c>
      <c r="H788" s="24" t="str">
        <f t="shared" si="115"/>
        <v>RJSP</v>
      </c>
      <c r="I788" s="24" t="str">
        <f t="shared" si="114"/>
        <v>RJMG</v>
      </c>
      <c r="J788" s="24" t="str">
        <f t="shared" si="114"/>
        <v>RJES</v>
      </c>
      <c r="K788" s="24" t="str">
        <f t="shared" si="114"/>
        <v>RJSC</v>
      </c>
      <c r="L788" s="24" t="str">
        <f t="shared" si="114"/>
        <v>RJRJ</v>
      </c>
      <c r="M788" s="24" t="str">
        <f t="shared" si="114"/>
        <v>RJPR</v>
      </c>
      <c r="N788" s="24" t="str">
        <f t="shared" si="114"/>
        <v>RJAM</v>
      </c>
      <c r="O788" s="24">
        <f>VLOOKUP(H788, KM!$A:$E, 5, 0)</f>
        <v>429</v>
      </c>
      <c r="P788" s="24">
        <f>VLOOKUP(I788, KM!$A:$E, 5, 0)</f>
        <v>434</v>
      </c>
      <c r="Q788" s="24">
        <f>VLOOKUP(J788, KM!$A:$E, 5, 0)</f>
        <v>521</v>
      </c>
      <c r="R788" s="24">
        <f>VLOOKUP(K788, KM!$A:$E, 5, 0)</f>
        <v>1144</v>
      </c>
      <c r="S788" s="24">
        <f>VLOOKUP(L788, KM!$A:$E, 5, 0)</f>
        <v>0</v>
      </c>
      <c r="T788" s="24">
        <f>VLOOKUP(M788, KM!$A:$E, 5, 0)</f>
        <v>852</v>
      </c>
      <c r="U788" s="24">
        <f>VLOOKUP(N788, KM!$A:$E, 5, 0)</f>
        <v>4374</v>
      </c>
      <c r="V788" s="24">
        <f>VLOOKUP(H788, IMPOSTO!$A:$D, 4, 0)</f>
        <v>0.12</v>
      </c>
      <c r="W788" s="24">
        <f>VLOOKUP(I788, IMPOSTO!$A:$D, 4, 0)</f>
        <v>0.12</v>
      </c>
      <c r="X788" s="24">
        <f>VLOOKUP(J788, IMPOSTO!$A:$D, 4, 0)</f>
        <v>7.0000000000000007E-2</v>
      </c>
      <c r="Y788" s="24">
        <f>VLOOKUP(K788, IMPOSTO!$A:$D, 4, 0)</f>
        <v>0.12</v>
      </c>
      <c r="Z788" s="24">
        <f>VLOOKUP(L788, IMPOSTO!$A:$D, 4, 0)</f>
        <v>0.18</v>
      </c>
      <c r="AA788" s="24">
        <f>VLOOKUP(M788, IMPOSTO!$A:$D, 4, 0)</f>
        <v>0.12</v>
      </c>
      <c r="AB788" s="24">
        <f>VLOOKUP(N788, IMPOSTO!$A:$D, 4, 0)</f>
        <v>7.0000000000000007E-2</v>
      </c>
      <c r="AC788" s="25">
        <f t="shared" si="116"/>
        <v>672.5473560463123</v>
      </c>
      <c r="AD788" s="25">
        <f t="shared" si="117"/>
        <v>673.11553786449406</v>
      </c>
      <c r="AE788" s="25">
        <f t="shared" si="118"/>
        <v>646.28136916210201</v>
      </c>
      <c r="AF788" s="25">
        <f t="shared" si="119"/>
        <v>753.7973560463123</v>
      </c>
      <c r="AG788" s="25">
        <f t="shared" si="120"/>
        <v>669.44106502531076</v>
      </c>
      <c r="AH788" s="25">
        <f t="shared" si="121"/>
        <v>720.61553786449417</v>
      </c>
      <c r="AI788" s="25">
        <f t="shared" si="122"/>
        <v>1060.5824444309192</v>
      </c>
    </row>
    <row r="789" spans="1:35" ht="15.75" customHeight="1">
      <c r="A789" s="12" t="s">
        <v>190</v>
      </c>
      <c r="B789" s="12" t="s">
        <v>191</v>
      </c>
      <c r="C789" s="12" t="s">
        <v>192</v>
      </c>
      <c r="D789" s="12" t="s">
        <v>50</v>
      </c>
      <c r="E789" s="12" t="s">
        <v>27</v>
      </c>
      <c r="F789" s="13">
        <v>2.2767630769230767</v>
      </c>
      <c r="G789" s="14">
        <v>13.427210246153845</v>
      </c>
      <c r="H789" s="24" t="str">
        <f t="shared" si="115"/>
        <v>RJSP</v>
      </c>
      <c r="I789" s="24" t="str">
        <f t="shared" si="114"/>
        <v>RJMG</v>
      </c>
      <c r="J789" s="24" t="str">
        <f t="shared" si="114"/>
        <v>RJES</v>
      </c>
      <c r="K789" s="24" t="str">
        <f t="shared" si="114"/>
        <v>RJSC</v>
      </c>
      <c r="L789" s="24" t="str">
        <f t="shared" si="114"/>
        <v>RJRJ</v>
      </c>
      <c r="M789" s="24" t="str">
        <f t="shared" si="114"/>
        <v>RJPR</v>
      </c>
      <c r="N789" s="24" t="str">
        <f t="shared" si="114"/>
        <v>RJAM</v>
      </c>
      <c r="O789" s="24">
        <f>VLOOKUP(H789, KM!$A:$E, 5, 0)</f>
        <v>429</v>
      </c>
      <c r="P789" s="24">
        <f>VLOOKUP(I789, KM!$A:$E, 5, 0)</f>
        <v>434</v>
      </c>
      <c r="Q789" s="24">
        <f>VLOOKUP(J789, KM!$A:$E, 5, 0)</f>
        <v>521</v>
      </c>
      <c r="R789" s="24">
        <f>VLOOKUP(K789, KM!$A:$E, 5, 0)</f>
        <v>1144</v>
      </c>
      <c r="S789" s="24">
        <f>VLOOKUP(L789, KM!$A:$E, 5, 0)</f>
        <v>0</v>
      </c>
      <c r="T789" s="24">
        <f>VLOOKUP(M789, KM!$A:$E, 5, 0)</f>
        <v>852</v>
      </c>
      <c r="U789" s="24">
        <f>VLOOKUP(N789, KM!$A:$E, 5, 0)</f>
        <v>4374</v>
      </c>
      <c r="V789" s="24">
        <f>VLOOKUP(H789, IMPOSTO!$A:$D, 4, 0)</f>
        <v>0.12</v>
      </c>
      <c r="W789" s="24">
        <f>VLOOKUP(I789, IMPOSTO!$A:$D, 4, 0)</f>
        <v>0.12</v>
      </c>
      <c r="X789" s="24">
        <f>VLOOKUP(J789, IMPOSTO!$A:$D, 4, 0)</f>
        <v>7.0000000000000007E-2</v>
      </c>
      <c r="Y789" s="24">
        <f>VLOOKUP(K789, IMPOSTO!$A:$D, 4, 0)</f>
        <v>0.12</v>
      </c>
      <c r="Z789" s="24">
        <f>VLOOKUP(L789, IMPOSTO!$A:$D, 4, 0)</f>
        <v>0.18</v>
      </c>
      <c r="AA789" s="24">
        <f>VLOOKUP(M789, IMPOSTO!$A:$D, 4, 0)</f>
        <v>0.12</v>
      </c>
      <c r="AB789" s="24">
        <f>VLOOKUP(N789, IMPOSTO!$A:$D, 4, 0)</f>
        <v>7.0000000000000007E-2</v>
      </c>
      <c r="AC789" s="25">
        <f t="shared" si="116"/>
        <v>64.008193461538468</v>
      </c>
      <c r="AD789" s="25">
        <f t="shared" si="117"/>
        <v>64.576375279720281</v>
      </c>
      <c r="AE789" s="25">
        <f t="shared" si="118"/>
        <v>70.459365856079401</v>
      </c>
      <c r="AF789" s="25">
        <f t="shared" si="119"/>
        <v>145.25819346153847</v>
      </c>
      <c r="AG789" s="25">
        <f t="shared" si="120"/>
        <v>16.374646641651029</v>
      </c>
      <c r="AH789" s="25">
        <f t="shared" si="121"/>
        <v>112.07637527972028</v>
      </c>
      <c r="AI789" s="25">
        <f t="shared" si="122"/>
        <v>484.76044112489666</v>
      </c>
    </row>
    <row r="790" spans="1:35" ht="15.75" customHeight="1">
      <c r="A790" s="12" t="s">
        <v>136</v>
      </c>
      <c r="B790" s="12" t="s">
        <v>137</v>
      </c>
      <c r="C790" s="12" t="s">
        <v>69</v>
      </c>
      <c r="D790" s="12" t="s">
        <v>33</v>
      </c>
      <c r="E790" s="12" t="s">
        <v>27</v>
      </c>
      <c r="F790" s="13">
        <v>471.47872340425522</v>
      </c>
      <c r="G790" s="14">
        <v>26823.021382978728</v>
      </c>
      <c r="H790" s="24" t="str">
        <f t="shared" si="115"/>
        <v>RJSP</v>
      </c>
      <c r="I790" s="24" t="str">
        <f t="shared" si="114"/>
        <v>RJMG</v>
      </c>
      <c r="J790" s="24" t="str">
        <f t="shared" si="114"/>
        <v>RJES</v>
      </c>
      <c r="K790" s="24" t="str">
        <f t="shared" si="114"/>
        <v>RJSC</v>
      </c>
      <c r="L790" s="24" t="str">
        <f t="shared" si="114"/>
        <v>RJRJ</v>
      </c>
      <c r="M790" s="24" t="str">
        <f t="shared" ref="I790:N853" si="123">$E790 &amp; M$17</f>
        <v>RJPR</v>
      </c>
      <c r="N790" s="24" t="str">
        <f t="shared" si="123"/>
        <v>RJAM</v>
      </c>
      <c r="O790" s="24">
        <f>VLOOKUP(H790, KM!$A:$E, 5, 0)</f>
        <v>429</v>
      </c>
      <c r="P790" s="24">
        <f>VLOOKUP(I790, KM!$A:$E, 5, 0)</f>
        <v>434</v>
      </c>
      <c r="Q790" s="24">
        <f>VLOOKUP(J790, KM!$A:$E, 5, 0)</f>
        <v>521</v>
      </c>
      <c r="R790" s="24">
        <f>VLOOKUP(K790, KM!$A:$E, 5, 0)</f>
        <v>1144</v>
      </c>
      <c r="S790" s="24">
        <f>VLOOKUP(L790, KM!$A:$E, 5, 0)</f>
        <v>0</v>
      </c>
      <c r="T790" s="24">
        <f>VLOOKUP(M790, KM!$A:$E, 5, 0)</f>
        <v>852</v>
      </c>
      <c r="U790" s="24">
        <f>VLOOKUP(N790, KM!$A:$E, 5, 0)</f>
        <v>4374</v>
      </c>
      <c r="V790" s="24">
        <f>VLOOKUP(H790, IMPOSTO!$A:$D, 4, 0)</f>
        <v>0.12</v>
      </c>
      <c r="W790" s="24">
        <f>VLOOKUP(I790, IMPOSTO!$A:$D, 4, 0)</f>
        <v>0.12</v>
      </c>
      <c r="X790" s="24">
        <f>VLOOKUP(J790, IMPOSTO!$A:$D, 4, 0)</f>
        <v>7.0000000000000007E-2</v>
      </c>
      <c r="Y790" s="24">
        <f>VLOOKUP(K790, IMPOSTO!$A:$D, 4, 0)</f>
        <v>0.12</v>
      </c>
      <c r="Z790" s="24">
        <f>VLOOKUP(L790, IMPOSTO!$A:$D, 4, 0)</f>
        <v>0.18</v>
      </c>
      <c r="AA790" s="24">
        <f>VLOOKUP(M790, IMPOSTO!$A:$D, 4, 0)</f>
        <v>0.12</v>
      </c>
      <c r="AB790" s="24">
        <f>VLOOKUP(N790, IMPOSTO!$A:$D, 4, 0)</f>
        <v>7.0000000000000007E-2</v>
      </c>
      <c r="AC790" s="25">
        <f t="shared" si="116"/>
        <v>30529.456117021284</v>
      </c>
      <c r="AD790" s="25">
        <f t="shared" si="117"/>
        <v>30530.024298839464</v>
      </c>
      <c r="AE790" s="25">
        <f t="shared" si="118"/>
        <v>28897.979981697557</v>
      </c>
      <c r="AF790" s="25">
        <f t="shared" si="119"/>
        <v>30610.706117021284</v>
      </c>
      <c r="AG790" s="25">
        <f t="shared" si="120"/>
        <v>32711.001686559423</v>
      </c>
      <c r="AH790" s="25">
        <f t="shared" si="121"/>
        <v>30577.524298839464</v>
      </c>
      <c r="AI790" s="25">
        <f t="shared" si="122"/>
        <v>29312.281056966378</v>
      </c>
    </row>
    <row r="791" spans="1:35" ht="15.75" customHeight="1">
      <c r="A791" s="12" t="s">
        <v>197</v>
      </c>
      <c r="B791" s="12" t="s">
        <v>198</v>
      </c>
      <c r="C791" s="12" t="s">
        <v>181</v>
      </c>
      <c r="D791" s="12" t="s">
        <v>33</v>
      </c>
      <c r="E791" s="12" t="s">
        <v>27</v>
      </c>
      <c r="F791" s="13">
        <v>11.439747774480711</v>
      </c>
      <c r="G791" s="14">
        <v>225.41641664688422</v>
      </c>
      <c r="H791" s="24" t="str">
        <f t="shared" si="115"/>
        <v>RJSP</v>
      </c>
      <c r="I791" s="24" t="str">
        <f t="shared" si="123"/>
        <v>RJMG</v>
      </c>
      <c r="J791" s="24" t="str">
        <f t="shared" si="123"/>
        <v>RJES</v>
      </c>
      <c r="K791" s="24" t="str">
        <f t="shared" si="123"/>
        <v>RJSC</v>
      </c>
      <c r="L791" s="24" t="str">
        <f t="shared" si="123"/>
        <v>RJRJ</v>
      </c>
      <c r="M791" s="24" t="str">
        <f t="shared" si="123"/>
        <v>RJPR</v>
      </c>
      <c r="N791" s="24" t="str">
        <f t="shared" si="123"/>
        <v>RJAM</v>
      </c>
      <c r="O791" s="24">
        <f>VLOOKUP(H791, KM!$A:$E, 5, 0)</f>
        <v>429</v>
      </c>
      <c r="P791" s="24">
        <f>VLOOKUP(I791, KM!$A:$E, 5, 0)</f>
        <v>434</v>
      </c>
      <c r="Q791" s="24">
        <f>VLOOKUP(J791, KM!$A:$E, 5, 0)</f>
        <v>521</v>
      </c>
      <c r="R791" s="24">
        <f>VLOOKUP(K791, KM!$A:$E, 5, 0)</f>
        <v>1144</v>
      </c>
      <c r="S791" s="24">
        <f>VLOOKUP(L791, KM!$A:$E, 5, 0)</f>
        <v>0</v>
      </c>
      <c r="T791" s="24">
        <f>VLOOKUP(M791, KM!$A:$E, 5, 0)</f>
        <v>852</v>
      </c>
      <c r="U791" s="24">
        <f>VLOOKUP(N791, KM!$A:$E, 5, 0)</f>
        <v>4374</v>
      </c>
      <c r="V791" s="24">
        <f>VLOOKUP(H791, IMPOSTO!$A:$D, 4, 0)</f>
        <v>0.12</v>
      </c>
      <c r="W791" s="24">
        <f>VLOOKUP(I791, IMPOSTO!$A:$D, 4, 0)</f>
        <v>0.12</v>
      </c>
      <c r="X791" s="24">
        <f>VLOOKUP(J791, IMPOSTO!$A:$D, 4, 0)</f>
        <v>7.0000000000000007E-2</v>
      </c>
      <c r="Y791" s="24">
        <f>VLOOKUP(K791, IMPOSTO!$A:$D, 4, 0)</f>
        <v>0.12</v>
      </c>
      <c r="Z791" s="24">
        <f>VLOOKUP(L791, IMPOSTO!$A:$D, 4, 0)</f>
        <v>0.18</v>
      </c>
      <c r="AA791" s="24">
        <f>VLOOKUP(M791, IMPOSTO!$A:$D, 4, 0)</f>
        <v>0.12</v>
      </c>
      <c r="AB791" s="24">
        <f>VLOOKUP(N791, IMPOSTO!$A:$D, 4, 0)</f>
        <v>7.0000000000000007E-2</v>
      </c>
      <c r="AC791" s="25">
        <f t="shared" si="116"/>
        <v>304.90501891691395</v>
      </c>
      <c r="AD791" s="25">
        <f t="shared" si="117"/>
        <v>305.47320073509576</v>
      </c>
      <c r="AE791" s="25">
        <f t="shared" si="118"/>
        <v>298.40474908267123</v>
      </c>
      <c r="AF791" s="25">
        <f t="shared" si="119"/>
        <v>386.15501891691395</v>
      </c>
      <c r="AG791" s="25">
        <f t="shared" si="120"/>
        <v>274.89806908156612</v>
      </c>
      <c r="AH791" s="25">
        <f t="shared" si="121"/>
        <v>352.9732007350957</v>
      </c>
      <c r="AI791" s="25">
        <f t="shared" si="122"/>
        <v>712.70582435148845</v>
      </c>
    </row>
    <row r="792" spans="1:35" ht="15.75" customHeight="1">
      <c r="A792" s="12" t="s">
        <v>203</v>
      </c>
      <c r="B792" s="12" t="s">
        <v>204</v>
      </c>
      <c r="C792" s="12" t="s">
        <v>205</v>
      </c>
      <c r="D792" s="12" t="s">
        <v>50</v>
      </c>
      <c r="E792" s="12" t="s">
        <v>27</v>
      </c>
      <c r="F792" s="13">
        <v>10.833333333333334</v>
      </c>
      <c r="G792" s="14">
        <v>1380.8</v>
      </c>
      <c r="H792" s="24" t="str">
        <f t="shared" si="115"/>
        <v>RJSP</v>
      </c>
      <c r="I792" s="24" t="str">
        <f t="shared" si="123"/>
        <v>RJMG</v>
      </c>
      <c r="J792" s="24" t="str">
        <f t="shared" si="123"/>
        <v>RJES</v>
      </c>
      <c r="K792" s="24" t="str">
        <f t="shared" si="123"/>
        <v>RJSC</v>
      </c>
      <c r="L792" s="24" t="str">
        <f t="shared" si="123"/>
        <v>RJRJ</v>
      </c>
      <c r="M792" s="24" t="str">
        <f t="shared" si="123"/>
        <v>RJPR</v>
      </c>
      <c r="N792" s="24" t="str">
        <f t="shared" si="123"/>
        <v>RJAM</v>
      </c>
      <c r="O792" s="24">
        <f>VLOOKUP(H792, KM!$A:$E, 5, 0)</f>
        <v>429</v>
      </c>
      <c r="P792" s="24">
        <f>VLOOKUP(I792, KM!$A:$E, 5, 0)</f>
        <v>434</v>
      </c>
      <c r="Q792" s="24">
        <f>VLOOKUP(J792, KM!$A:$E, 5, 0)</f>
        <v>521</v>
      </c>
      <c r="R792" s="24">
        <f>VLOOKUP(K792, KM!$A:$E, 5, 0)</f>
        <v>1144</v>
      </c>
      <c r="S792" s="24">
        <f>VLOOKUP(L792, KM!$A:$E, 5, 0)</f>
        <v>0</v>
      </c>
      <c r="T792" s="24">
        <f>VLOOKUP(M792, KM!$A:$E, 5, 0)</f>
        <v>852</v>
      </c>
      <c r="U792" s="24">
        <f>VLOOKUP(N792, KM!$A:$E, 5, 0)</f>
        <v>4374</v>
      </c>
      <c r="V792" s="24">
        <f>VLOOKUP(H792, IMPOSTO!$A:$D, 4, 0)</f>
        <v>0.12</v>
      </c>
      <c r="W792" s="24">
        <f>VLOOKUP(I792, IMPOSTO!$A:$D, 4, 0)</f>
        <v>0.12</v>
      </c>
      <c r="X792" s="24">
        <f>VLOOKUP(J792, IMPOSTO!$A:$D, 4, 0)</f>
        <v>7.0000000000000007E-2</v>
      </c>
      <c r="Y792" s="24">
        <f>VLOOKUP(K792, IMPOSTO!$A:$D, 4, 0)</f>
        <v>0.12</v>
      </c>
      <c r="Z792" s="24">
        <f>VLOOKUP(L792, IMPOSTO!$A:$D, 4, 0)</f>
        <v>0.18</v>
      </c>
      <c r="AA792" s="24">
        <f>VLOOKUP(M792, IMPOSTO!$A:$D, 4, 0)</f>
        <v>0.12</v>
      </c>
      <c r="AB792" s="24">
        <f>VLOOKUP(N792, IMPOSTO!$A:$D, 4, 0)</f>
        <v>7.0000000000000007E-2</v>
      </c>
      <c r="AC792" s="25">
        <f t="shared" si="116"/>
        <v>1617.8409090909092</v>
      </c>
      <c r="AD792" s="25">
        <f t="shared" si="117"/>
        <v>1618.409090909091</v>
      </c>
      <c r="AE792" s="25">
        <f t="shared" si="118"/>
        <v>1540.752688172043</v>
      </c>
      <c r="AF792" s="25">
        <f t="shared" si="119"/>
        <v>1699.0909090909092</v>
      </c>
      <c r="AG792" s="25">
        <f t="shared" si="120"/>
        <v>1683.9024390243901</v>
      </c>
      <c r="AH792" s="25">
        <f t="shared" si="121"/>
        <v>1665.909090909091</v>
      </c>
      <c r="AI792" s="25">
        <f t="shared" si="122"/>
        <v>1955.0537634408604</v>
      </c>
    </row>
    <row r="793" spans="1:35" ht="15.75" customHeight="1">
      <c r="A793" s="12" t="s">
        <v>406</v>
      </c>
      <c r="B793" s="12" t="s">
        <v>407</v>
      </c>
      <c r="C793" s="12" t="s">
        <v>314</v>
      </c>
      <c r="D793" s="12" t="s">
        <v>33</v>
      </c>
      <c r="E793" s="12" t="s">
        <v>27</v>
      </c>
      <c r="F793" s="13">
        <v>23551.199458527855</v>
      </c>
      <c r="G793" s="14">
        <v>1584910.3128639504</v>
      </c>
      <c r="H793" s="24" t="str">
        <f t="shared" si="115"/>
        <v>RJSP</v>
      </c>
      <c r="I793" s="24" t="str">
        <f t="shared" si="123"/>
        <v>RJMG</v>
      </c>
      <c r="J793" s="24" t="str">
        <f t="shared" si="123"/>
        <v>RJES</v>
      </c>
      <c r="K793" s="24" t="str">
        <f t="shared" si="123"/>
        <v>RJSC</v>
      </c>
      <c r="L793" s="24" t="str">
        <f t="shared" si="123"/>
        <v>RJRJ</v>
      </c>
      <c r="M793" s="24" t="str">
        <f t="shared" si="123"/>
        <v>RJPR</v>
      </c>
      <c r="N793" s="24" t="str">
        <f t="shared" si="123"/>
        <v>RJAM</v>
      </c>
      <c r="O793" s="24">
        <f>VLOOKUP(H793, KM!$A:$E, 5, 0)</f>
        <v>429</v>
      </c>
      <c r="P793" s="24">
        <f>VLOOKUP(I793, KM!$A:$E, 5, 0)</f>
        <v>434</v>
      </c>
      <c r="Q793" s="24">
        <f>VLOOKUP(J793, KM!$A:$E, 5, 0)</f>
        <v>521</v>
      </c>
      <c r="R793" s="24">
        <f>VLOOKUP(K793, KM!$A:$E, 5, 0)</f>
        <v>1144</v>
      </c>
      <c r="S793" s="24">
        <f>VLOOKUP(L793, KM!$A:$E, 5, 0)</f>
        <v>0</v>
      </c>
      <c r="T793" s="24">
        <f>VLOOKUP(M793, KM!$A:$E, 5, 0)</f>
        <v>852</v>
      </c>
      <c r="U793" s="24">
        <f>VLOOKUP(N793, KM!$A:$E, 5, 0)</f>
        <v>4374</v>
      </c>
      <c r="V793" s="24">
        <f>VLOOKUP(H793, IMPOSTO!$A:$D, 4, 0)</f>
        <v>0.12</v>
      </c>
      <c r="W793" s="24">
        <f>VLOOKUP(I793, IMPOSTO!$A:$D, 4, 0)</f>
        <v>0.12</v>
      </c>
      <c r="X793" s="24">
        <f>VLOOKUP(J793, IMPOSTO!$A:$D, 4, 0)</f>
        <v>7.0000000000000007E-2</v>
      </c>
      <c r="Y793" s="24">
        <f>VLOOKUP(K793, IMPOSTO!$A:$D, 4, 0)</f>
        <v>0.12</v>
      </c>
      <c r="Z793" s="24">
        <f>VLOOKUP(L793, IMPOSTO!$A:$D, 4, 0)</f>
        <v>0.18</v>
      </c>
      <c r="AA793" s="24">
        <f>VLOOKUP(M793, IMPOSTO!$A:$D, 4, 0)</f>
        <v>0.12</v>
      </c>
      <c r="AB793" s="24">
        <f>VLOOKUP(N793, IMPOSTO!$A:$D, 4, 0)</f>
        <v>7.0000000000000007E-2</v>
      </c>
      <c r="AC793" s="25">
        <f t="shared" si="116"/>
        <v>1801083.1964363072</v>
      </c>
      <c r="AD793" s="25">
        <f t="shared" si="117"/>
        <v>1801083.7646181253</v>
      </c>
      <c r="AE793" s="25">
        <f t="shared" si="118"/>
        <v>1704260.6589934952</v>
      </c>
      <c r="AF793" s="25">
        <f t="shared" si="119"/>
        <v>1801164.4464363072</v>
      </c>
      <c r="AG793" s="25">
        <f t="shared" si="120"/>
        <v>1932817.4547121346</v>
      </c>
      <c r="AH793" s="25">
        <f t="shared" si="121"/>
        <v>1801131.2646181253</v>
      </c>
      <c r="AI793" s="25">
        <f t="shared" si="122"/>
        <v>1704674.9600687639</v>
      </c>
    </row>
    <row r="794" spans="1:35" ht="15.75" customHeight="1">
      <c r="A794" s="12" t="s">
        <v>408</v>
      </c>
      <c r="B794" s="12" t="s">
        <v>409</v>
      </c>
      <c r="C794" s="12" t="s">
        <v>143</v>
      </c>
      <c r="D794" s="12" t="s">
        <v>33</v>
      </c>
      <c r="E794" s="12" t="s">
        <v>27</v>
      </c>
      <c r="F794" s="13">
        <v>0.12189426771989752</v>
      </c>
      <c r="G794" s="14">
        <v>4.3120081776259607</v>
      </c>
      <c r="H794" s="24" t="str">
        <f t="shared" si="115"/>
        <v>RJSP</v>
      </c>
      <c r="I794" s="24" t="str">
        <f t="shared" si="123"/>
        <v>RJMG</v>
      </c>
      <c r="J794" s="24" t="str">
        <f t="shared" si="123"/>
        <v>RJES</v>
      </c>
      <c r="K794" s="24" t="str">
        <f t="shared" si="123"/>
        <v>RJSC</v>
      </c>
      <c r="L794" s="24" t="str">
        <f t="shared" si="123"/>
        <v>RJRJ</v>
      </c>
      <c r="M794" s="24" t="str">
        <f t="shared" si="123"/>
        <v>RJPR</v>
      </c>
      <c r="N794" s="24" t="str">
        <f t="shared" si="123"/>
        <v>RJAM</v>
      </c>
      <c r="O794" s="24">
        <f>VLOOKUP(H794, KM!$A:$E, 5, 0)</f>
        <v>429</v>
      </c>
      <c r="P794" s="24">
        <f>VLOOKUP(I794, KM!$A:$E, 5, 0)</f>
        <v>434</v>
      </c>
      <c r="Q794" s="24">
        <f>VLOOKUP(J794, KM!$A:$E, 5, 0)</f>
        <v>521</v>
      </c>
      <c r="R794" s="24">
        <f>VLOOKUP(K794, KM!$A:$E, 5, 0)</f>
        <v>1144</v>
      </c>
      <c r="S794" s="24">
        <f>VLOOKUP(L794, KM!$A:$E, 5, 0)</f>
        <v>0</v>
      </c>
      <c r="T794" s="24">
        <f>VLOOKUP(M794, KM!$A:$E, 5, 0)</f>
        <v>852</v>
      </c>
      <c r="U794" s="24">
        <f>VLOOKUP(N794, KM!$A:$E, 5, 0)</f>
        <v>4374</v>
      </c>
      <c r="V794" s="24">
        <f>VLOOKUP(H794, IMPOSTO!$A:$D, 4, 0)</f>
        <v>0.12</v>
      </c>
      <c r="W794" s="24">
        <f>VLOOKUP(I794, IMPOSTO!$A:$D, 4, 0)</f>
        <v>0.12</v>
      </c>
      <c r="X794" s="24">
        <f>VLOOKUP(J794, IMPOSTO!$A:$D, 4, 0)</f>
        <v>7.0000000000000007E-2</v>
      </c>
      <c r="Y794" s="24">
        <f>VLOOKUP(K794, IMPOSTO!$A:$D, 4, 0)</f>
        <v>0.12</v>
      </c>
      <c r="Z794" s="24">
        <f>VLOOKUP(L794, IMPOSTO!$A:$D, 4, 0)</f>
        <v>0.18</v>
      </c>
      <c r="AA794" s="24">
        <f>VLOOKUP(M794, IMPOSTO!$A:$D, 4, 0)</f>
        <v>0.12</v>
      </c>
      <c r="AB794" s="24">
        <f>VLOOKUP(N794, IMPOSTO!$A:$D, 4, 0)</f>
        <v>7.0000000000000007E-2</v>
      </c>
      <c r="AC794" s="25">
        <f t="shared" si="116"/>
        <v>53.650009292756785</v>
      </c>
      <c r="AD794" s="25">
        <f t="shared" si="117"/>
        <v>54.218191110938598</v>
      </c>
      <c r="AE794" s="25">
        <f t="shared" si="118"/>
        <v>60.658073309275231</v>
      </c>
      <c r="AF794" s="25">
        <f t="shared" si="119"/>
        <v>134.90000929275678</v>
      </c>
      <c r="AG794" s="25">
        <f t="shared" si="120"/>
        <v>5.2585465580804396</v>
      </c>
      <c r="AH794" s="25">
        <f t="shared" si="121"/>
        <v>101.71819111093859</v>
      </c>
      <c r="AI794" s="25">
        <f t="shared" si="122"/>
        <v>474.95914857809248</v>
      </c>
    </row>
    <row r="795" spans="1:35" ht="15.75" customHeight="1">
      <c r="A795" s="12" t="s">
        <v>410</v>
      </c>
      <c r="B795" s="12" t="s">
        <v>411</v>
      </c>
      <c r="C795" s="12" t="s">
        <v>192</v>
      </c>
      <c r="D795" s="12" t="s">
        <v>33</v>
      </c>
      <c r="E795" s="12" t="s">
        <v>27</v>
      </c>
      <c r="F795" s="13">
        <v>3000.997499999999</v>
      </c>
      <c r="G795" s="14">
        <v>82995.555252068487</v>
      </c>
      <c r="H795" s="24" t="str">
        <f t="shared" si="115"/>
        <v>RJSP</v>
      </c>
      <c r="I795" s="24" t="str">
        <f t="shared" si="123"/>
        <v>RJMG</v>
      </c>
      <c r="J795" s="24" t="str">
        <f t="shared" si="123"/>
        <v>RJES</v>
      </c>
      <c r="K795" s="24" t="str">
        <f t="shared" si="123"/>
        <v>RJSC</v>
      </c>
      <c r="L795" s="24" t="str">
        <f t="shared" si="123"/>
        <v>RJRJ</v>
      </c>
      <c r="M795" s="24" t="str">
        <f t="shared" si="123"/>
        <v>RJPR</v>
      </c>
      <c r="N795" s="24" t="str">
        <f t="shared" si="123"/>
        <v>RJAM</v>
      </c>
      <c r="O795" s="24">
        <f>VLOOKUP(H795, KM!$A:$E, 5, 0)</f>
        <v>429</v>
      </c>
      <c r="P795" s="24">
        <f>VLOOKUP(I795, KM!$A:$E, 5, 0)</f>
        <v>434</v>
      </c>
      <c r="Q795" s="24">
        <f>VLOOKUP(J795, KM!$A:$E, 5, 0)</f>
        <v>521</v>
      </c>
      <c r="R795" s="24">
        <f>VLOOKUP(K795, KM!$A:$E, 5, 0)</f>
        <v>1144</v>
      </c>
      <c r="S795" s="24">
        <f>VLOOKUP(L795, KM!$A:$E, 5, 0)</f>
        <v>0</v>
      </c>
      <c r="T795" s="24">
        <f>VLOOKUP(M795, KM!$A:$E, 5, 0)</f>
        <v>852</v>
      </c>
      <c r="U795" s="24">
        <f>VLOOKUP(N795, KM!$A:$E, 5, 0)</f>
        <v>4374</v>
      </c>
      <c r="V795" s="24">
        <f>VLOOKUP(H795, IMPOSTO!$A:$D, 4, 0)</f>
        <v>0.12</v>
      </c>
      <c r="W795" s="24">
        <f>VLOOKUP(I795, IMPOSTO!$A:$D, 4, 0)</f>
        <v>0.12</v>
      </c>
      <c r="X795" s="24">
        <f>VLOOKUP(J795, IMPOSTO!$A:$D, 4, 0)</f>
        <v>7.0000000000000007E-2</v>
      </c>
      <c r="Y795" s="24">
        <f>VLOOKUP(K795, IMPOSTO!$A:$D, 4, 0)</f>
        <v>0.12</v>
      </c>
      <c r="Z795" s="24">
        <f>VLOOKUP(L795, IMPOSTO!$A:$D, 4, 0)</f>
        <v>0.18</v>
      </c>
      <c r="AA795" s="24">
        <f>VLOOKUP(M795, IMPOSTO!$A:$D, 4, 0)</f>
        <v>0.12</v>
      </c>
      <c r="AB795" s="24">
        <f>VLOOKUP(N795, IMPOSTO!$A:$D, 4, 0)</f>
        <v>7.0000000000000007E-2</v>
      </c>
      <c r="AC795" s="25">
        <f t="shared" si="116"/>
        <v>94361.880968259633</v>
      </c>
      <c r="AD795" s="25">
        <f t="shared" si="117"/>
        <v>94362.449150077824</v>
      </c>
      <c r="AE795" s="25">
        <f t="shared" si="118"/>
        <v>89298.554034482251</v>
      </c>
      <c r="AF795" s="25">
        <f t="shared" si="119"/>
        <v>94443.130968259633</v>
      </c>
      <c r="AG795" s="25">
        <f t="shared" si="120"/>
        <v>101214.09177081523</v>
      </c>
      <c r="AH795" s="25">
        <f t="shared" si="121"/>
        <v>94409.949150077824</v>
      </c>
      <c r="AI795" s="25">
        <f t="shared" si="122"/>
        <v>89712.855109751064</v>
      </c>
    </row>
    <row r="796" spans="1:35" ht="15.75" customHeight="1">
      <c r="A796" s="12" t="s">
        <v>673</v>
      </c>
      <c r="B796" s="12" t="s">
        <v>674</v>
      </c>
      <c r="C796" s="12" t="s">
        <v>192</v>
      </c>
      <c r="D796" s="12" t="s">
        <v>33</v>
      </c>
      <c r="E796" s="12" t="s">
        <v>27</v>
      </c>
      <c r="F796" s="13">
        <v>1925.0000000000005</v>
      </c>
      <c r="G796" s="14">
        <v>48005.208196721302</v>
      </c>
      <c r="H796" s="24" t="str">
        <f t="shared" si="115"/>
        <v>RJSP</v>
      </c>
      <c r="I796" s="24" t="str">
        <f t="shared" si="123"/>
        <v>RJMG</v>
      </c>
      <c r="J796" s="24" t="str">
        <f t="shared" si="123"/>
        <v>RJES</v>
      </c>
      <c r="K796" s="24" t="str">
        <f t="shared" si="123"/>
        <v>RJSC</v>
      </c>
      <c r="L796" s="24" t="str">
        <f t="shared" si="123"/>
        <v>RJRJ</v>
      </c>
      <c r="M796" s="24" t="str">
        <f t="shared" si="123"/>
        <v>RJPR</v>
      </c>
      <c r="N796" s="24" t="str">
        <f t="shared" si="123"/>
        <v>RJAM</v>
      </c>
      <c r="O796" s="24">
        <f>VLOOKUP(H796, KM!$A:$E, 5, 0)</f>
        <v>429</v>
      </c>
      <c r="P796" s="24">
        <f>VLOOKUP(I796, KM!$A:$E, 5, 0)</f>
        <v>434</v>
      </c>
      <c r="Q796" s="24">
        <f>VLOOKUP(J796, KM!$A:$E, 5, 0)</f>
        <v>521</v>
      </c>
      <c r="R796" s="24">
        <f>VLOOKUP(K796, KM!$A:$E, 5, 0)</f>
        <v>1144</v>
      </c>
      <c r="S796" s="24">
        <f>VLOOKUP(L796, KM!$A:$E, 5, 0)</f>
        <v>0</v>
      </c>
      <c r="T796" s="24">
        <f>VLOOKUP(M796, KM!$A:$E, 5, 0)</f>
        <v>852</v>
      </c>
      <c r="U796" s="24">
        <f>VLOOKUP(N796, KM!$A:$E, 5, 0)</f>
        <v>4374</v>
      </c>
      <c r="V796" s="24">
        <f>VLOOKUP(H796, IMPOSTO!$A:$D, 4, 0)</f>
        <v>0.12</v>
      </c>
      <c r="W796" s="24">
        <f>VLOOKUP(I796, IMPOSTO!$A:$D, 4, 0)</f>
        <v>0.12</v>
      </c>
      <c r="X796" s="24">
        <f>VLOOKUP(J796, IMPOSTO!$A:$D, 4, 0)</f>
        <v>7.0000000000000007E-2</v>
      </c>
      <c r="Y796" s="24">
        <f>VLOOKUP(K796, IMPOSTO!$A:$D, 4, 0)</f>
        <v>0.12</v>
      </c>
      <c r="Z796" s="24">
        <f>VLOOKUP(L796, IMPOSTO!$A:$D, 4, 0)</f>
        <v>0.18</v>
      </c>
      <c r="AA796" s="24">
        <f>VLOOKUP(M796, IMPOSTO!$A:$D, 4, 0)</f>
        <v>0.12</v>
      </c>
      <c r="AB796" s="24">
        <f>VLOOKUP(N796, IMPOSTO!$A:$D, 4, 0)</f>
        <v>7.0000000000000007E-2</v>
      </c>
      <c r="AC796" s="25">
        <f t="shared" si="116"/>
        <v>54600.122950819663</v>
      </c>
      <c r="AD796" s="25">
        <f t="shared" si="117"/>
        <v>54600.691132637847</v>
      </c>
      <c r="AE796" s="25">
        <f t="shared" si="118"/>
        <v>51674.524942711076</v>
      </c>
      <c r="AF796" s="25">
        <f t="shared" si="119"/>
        <v>54681.372950819663</v>
      </c>
      <c r="AG796" s="25">
        <f t="shared" si="120"/>
        <v>58542.936825269877</v>
      </c>
      <c r="AH796" s="25">
        <f t="shared" si="121"/>
        <v>54648.191132637839</v>
      </c>
      <c r="AI796" s="25">
        <f t="shared" si="122"/>
        <v>52088.826017979896</v>
      </c>
    </row>
    <row r="797" spans="1:35" ht="15.75" customHeight="1">
      <c r="A797" s="12" t="s">
        <v>564</v>
      </c>
      <c r="B797" s="12" t="s">
        <v>565</v>
      </c>
      <c r="C797" s="12" t="s">
        <v>192</v>
      </c>
      <c r="D797" s="12" t="s">
        <v>33</v>
      </c>
      <c r="E797" s="12" t="s">
        <v>27</v>
      </c>
      <c r="F797" s="13">
        <v>128.00160000000002</v>
      </c>
      <c r="G797" s="14">
        <v>3451.6847984132232</v>
      </c>
      <c r="H797" s="24" t="str">
        <f t="shared" si="115"/>
        <v>RJSP</v>
      </c>
      <c r="I797" s="24" t="str">
        <f t="shared" si="123"/>
        <v>RJMG</v>
      </c>
      <c r="J797" s="24" t="str">
        <f t="shared" si="123"/>
        <v>RJES</v>
      </c>
      <c r="K797" s="24" t="str">
        <f t="shared" si="123"/>
        <v>RJSC</v>
      </c>
      <c r="L797" s="24" t="str">
        <f t="shared" si="123"/>
        <v>RJRJ</v>
      </c>
      <c r="M797" s="24" t="str">
        <f t="shared" si="123"/>
        <v>RJPR</v>
      </c>
      <c r="N797" s="24" t="str">
        <f t="shared" si="123"/>
        <v>RJAM</v>
      </c>
      <c r="O797" s="24">
        <f>VLOOKUP(H797, KM!$A:$E, 5, 0)</f>
        <v>429</v>
      </c>
      <c r="P797" s="24">
        <f>VLOOKUP(I797, KM!$A:$E, 5, 0)</f>
        <v>434</v>
      </c>
      <c r="Q797" s="24">
        <f>VLOOKUP(J797, KM!$A:$E, 5, 0)</f>
        <v>521</v>
      </c>
      <c r="R797" s="24">
        <f>VLOOKUP(K797, KM!$A:$E, 5, 0)</f>
        <v>1144</v>
      </c>
      <c r="S797" s="24">
        <f>VLOOKUP(L797, KM!$A:$E, 5, 0)</f>
        <v>0</v>
      </c>
      <c r="T797" s="24">
        <f>VLOOKUP(M797, KM!$A:$E, 5, 0)</f>
        <v>852</v>
      </c>
      <c r="U797" s="24">
        <f>VLOOKUP(N797, KM!$A:$E, 5, 0)</f>
        <v>4374</v>
      </c>
      <c r="V797" s="24">
        <f>VLOOKUP(H797, IMPOSTO!$A:$D, 4, 0)</f>
        <v>0.12</v>
      </c>
      <c r="W797" s="24">
        <f>VLOOKUP(I797, IMPOSTO!$A:$D, 4, 0)</f>
        <v>0.12</v>
      </c>
      <c r="X797" s="24">
        <f>VLOOKUP(J797, IMPOSTO!$A:$D, 4, 0)</f>
        <v>7.0000000000000007E-2</v>
      </c>
      <c r="Y797" s="24">
        <f>VLOOKUP(K797, IMPOSTO!$A:$D, 4, 0)</f>
        <v>0.12</v>
      </c>
      <c r="Z797" s="24">
        <f>VLOOKUP(L797, IMPOSTO!$A:$D, 4, 0)</f>
        <v>0.18</v>
      </c>
      <c r="AA797" s="24">
        <f>VLOOKUP(M797, IMPOSTO!$A:$D, 4, 0)</f>
        <v>0.12</v>
      </c>
      <c r="AB797" s="24">
        <f>VLOOKUP(N797, IMPOSTO!$A:$D, 4, 0)</f>
        <v>7.0000000000000007E-2</v>
      </c>
      <c r="AC797" s="25">
        <f t="shared" si="116"/>
        <v>3971.1190891059355</v>
      </c>
      <c r="AD797" s="25">
        <f t="shared" si="117"/>
        <v>3971.6872709241175</v>
      </c>
      <c r="AE797" s="25">
        <f t="shared" si="118"/>
        <v>3767.510535928197</v>
      </c>
      <c r="AF797" s="25">
        <f t="shared" si="119"/>
        <v>4052.3690891059355</v>
      </c>
      <c r="AG797" s="25">
        <f t="shared" si="120"/>
        <v>4209.3717053819792</v>
      </c>
      <c r="AH797" s="25">
        <f t="shared" si="121"/>
        <v>4019.187270924117</v>
      </c>
      <c r="AI797" s="25">
        <f t="shared" si="122"/>
        <v>4181.8116111970148</v>
      </c>
    </row>
    <row r="798" spans="1:35" ht="15.75" customHeight="1">
      <c r="A798" s="12" t="s">
        <v>421</v>
      </c>
      <c r="B798" s="12" t="s">
        <v>422</v>
      </c>
      <c r="C798" s="12" t="s">
        <v>192</v>
      </c>
      <c r="D798" s="12" t="s">
        <v>33</v>
      </c>
      <c r="E798" s="12" t="s">
        <v>27</v>
      </c>
      <c r="F798" s="13">
        <v>32.001300000000008</v>
      </c>
      <c r="G798" s="14">
        <v>3988.2492887727276</v>
      </c>
      <c r="H798" s="24" t="str">
        <f t="shared" si="115"/>
        <v>RJSP</v>
      </c>
      <c r="I798" s="24" t="str">
        <f t="shared" si="123"/>
        <v>RJMG</v>
      </c>
      <c r="J798" s="24" t="str">
        <f t="shared" si="123"/>
        <v>RJES</v>
      </c>
      <c r="K798" s="24" t="str">
        <f t="shared" si="123"/>
        <v>RJSC</v>
      </c>
      <c r="L798" s="24" t="str">
        <f t="shared" si="123"/>
        <v>RJRJ</v>
      </c>
      <c r="M798" s="24" t="str">
        <f t="shared" si="123"/>
        <v>RJPR</v>
      </c>
      <c r="N798" s="24" t="str">
        <f t="shared" si="123"/>
        <v>RJAM</v>
      </c>
      <c r="O798" s="24">
        <f>VLOOKUP(H798, KM!$A:$E, 5, 0)</f>
        <v>429</v>
      </c>
      <c r="P798" s="24">
        <f>VLOOKUP(I798, KM!$A:$E, 5, 0)</f>
        <v>434</v>
      </c>
      <c r="Q798" s="24">
        <f>VLOOKUP(J798, KM!$A:$E, 5, 0)</f>
        <v>521</v>
      </c>
      <c r="R798" s="24">
        <f>VLOOKUP(K798, KM!$A:$E, 5, 0)</f>
        <v>1144</v>
      </c>
      <c r="S798" s="24">
        <f>VLOOKUP(L798, KM!$A:$E, 5, 0)</f>
        <v>0</v>
      </c>
      <c r="T798" s="24">
        <f>VLOOKUP(M798, KM!$A:$E, 5, 0)</f>
        <v>852</v>
      </c>
      <c r="U798" s="24">
        <f>VLOOKUP(N798, KM!$A:$E, 5, 0)</f>
        <v>4374</v>
      </c>
      <c r="V798" s="24">
        <f>VLOOKUP(H798, IMPOSTO!$A:$D, 4, 0)</f>
        <v>0.12</v>
      </c>
      <c r="W798" s="24">
        <f>VLOOKUP(I798, IMPOSTO!$A:$D, 4, 0)</f>
        <v>0.12</v>
      </c>
      <c r="X798" s="24">
        <f>VLOOKUP(J798, IMPOSTO!$A:$D, 4, 0)</f>
        <v>7.0000000000000007E-2</v>
      </c>
      <c r="Y798" s="24">
        <f>VLOOKUP(K798, IMPOSTO!$A:$D, 4, 0)</f>
        <v>0.12</v>
      </c>
      <c r="Z798" s="24">
        <f>VLOOKUP(L798, IMPOSTO!$A:$D, 4, 0)</f>
        <v>0.18</v>
      </c>
      <c r="AA798" s="24">
        <f>VLOOKUP(M798, IMPOSTO!$A:$D, 4, 0)</f>
        <v>0.12</v>
      </c>
      <c r="AB798" s="24">
        <f>VLOOKUP(N798, IMPOSTO!$A:$D, 4, 0)</f>
        <v>7.0000000000000007E-2</v>
      </c>
      <c r="AC798" s="25">
        <f t="shared" si="116"/>
        <v>4580.8514645144633</v>
      </c>
      <c r="AD798" s="25">
        <f t="shared" si="117"/>
        <v>4581.4196463326452</v>
      </c>
      <c r="AE798" s="25">
        <f t="shared" si="118"/>
        <v>4344.4616008308903</v>
      </c>
      <c r="AF798" s="25">
        <f t="shared" si="119"/>
        <v>4662.1014645144624</v>
      </c>
      <c r="AG798" s="25">
        <f t="shared" si="120"/>
        <v>4863.7186448447892</v>
      </c>
      <c r="AH798" s="25">
        <f t="shared" si="121"/>
        <v>4628.9196463326443</v>
      </c>
      <c r="AI798" s="25">
        <f t="shared" si="122"/>
        <v>4758.7626760997073</v>
      </c>
    </row>
    <row r="799" spans="1:35" ht="15.75" customHeight="1">
      <c r="A799" s="12" t="s">
        <v>221</v>
      </c>
      <c r="B799" s="12" t="s">
        <v>222</v>
      </c>
      <c r="C799" s="12" t="s">
        <v>223</v>
      </c>
      <c r="D799" s="12" t="s">
        <v>33</v>
      </c>
      <c r="E799" s="12" t="s">
        <v>27</v>
      </c>
      <c r="F799" s="13">
        <v>5196.6267930902113</v>
      </c>
      <c r="G799" s="14">
        <v>115206.24493559283</v>
      </c>
      <c r="H799" s="24" t="str">
        <f t="shared" si="115"/>
        <v>RJSP</v>
      </c>
      <c r="I799" s="24" t="str">
        <f t="shared" si="123"/>
        <v>RJMG</v>
      </c>
      <c r="J799" s="24" t="str">
        <f t="shared" si="123"/>
        <v>RJES</v>
      </c>
      <c r="K799" s="24" t="str">
        <f t="shared" si="123"/>
        <v>RJSC</v>
      </c>
      <c r="L799" s="24" t="str">
        <f t="shared" si="123"/>
        <v>RJRJ</v>
      </c>
      <c r="M799" s="24" t="str">
        <f t="shared" si="123"/>
        <v>RJPR</v>
      </c>
      <c r="N799" s="24" t="str">
        <f t="shared" si="123"/>
        <v>RJAM</v>
      </c>
      <c r="O799" s="24">
        <f>VLOOKUP(H799, KM!$A:$E, 5, 0)</f>
        <v>429</v>
      </c>
      <c r="P799" s="24">
        <f>VLOOKUP(I799, KM!$A:$E, 5, 0)</f>
        <v>434</v>
      </c>
      <c r="Q799" s="24">
        <f>VLOOKUP(J799, KM!$A:$E, 5, 0)</f>
        <v>521</v>
      </c>
      <c r="R799" s="24">
        <f>VLOOKUP(K799, KM!$A:$E, 5, 0)</f>
        <v>1144</v>
      </c>
      <c r="S799" s="24">
        <f>VLOOKUP(L799, KM!$A:$E, 5, 0)</f>
        <v>0</v>
      </c>
      <c r="T799" s="24">
        <f>VLOOKUP(M799, KM!$A:$E, 5, 0)</f>
        <v>852</v>
      </c>
      <c r="U799" s="24">
        <f>VLOOKUP(N799, KM!$A:$E, 5, 0)</f>
        <v>4374</v>
      </c>
      <c r="V799" s="24">
        <f>VLOOKUP(H799, IMPOSTO!$A:$D, 4, 0)</f>
        <v>0.12</v>
      </c>
      <c r="W799" s="24">
        <f>VLOOKUP(I799, IMPOSTO!$A:$D, 4, 0)</f>
        <v>0.12</v>
      </c>
      <c r="X799" s="24">
        <f>VLOOKUP(J799, IMPOSTO!$A:$D, 4, 0)</f>
        <v>7.0000000000000007E-2</v>
      </c>
      <c r="Y799" s="24">
        <f>VLOOKUP(K799, IMPOSTO!$A:$D, 4, 0)</f>
        <v>0.12</v>
      </c>
      <c r="Z799" s="24">
        <f>VLOOKUP(L799, IMPOSTO!$A:$D, 4, 0)</f>
        <v>0.18</v>
      </c>
      <c r="AA799" s="24">
        <f>VLOOKUP(M799, IMPOSTO!$A:$D, 4, 0)</f>
        <v>0.12</v>
      </c>
      <c r="AB799" s="24">
        <f>VLOOKUP(N799, IMPOSTO!$A:$D, 4, 0)</f>
        <v>7.0000000000000007E-2</v>
      </c>
      <c r="AC799" s="25">
        <f t="shared" si="116"/>
        <v>130964.93742681002</v>
      </c>
      <c r="AD799" s="25">
        <f t="shared" si="117"/>
        <v>130965.5056086282</v>
      </c>
      <c r="AE799" s="25">
        <f t="shared" si="118"/>
        <v>123933.70423182026</v>
      </c>
      <c r="AF799" s="25">
        <f t="shared" si="119"/>
        <v>131046.18742681002</v>
      </c>
      <c r="AG799" s="25">
        <f t="shared" si="120"/>
        <v>140495.42065316197</v>
      </c>
      <c r="AH799" s="25">
        <f t="shared" si="121"/>
        <v>131013.00560862821</v>
      </c>
      <c r="AI799" s="25">
        <f t="shared" si="122"/>
        <v>124348.00530708906</v>
      </c>
    </row>
    <row r="800" spans="1:35" ht="15.75" customHeight="1">
      <c r="A800" s="12" t="s">
        <v>221</v>
      </c>
      <c r="B800" s="12" t="s">
        <v>222</v>
      </c>
      <c r="C800" s="12" t="s">
        <v>223</v>
      </c>
      <c r="D800" s="12" t="s">
        <v>33</v>
      </c>
      <c r="E800" s="12" t="s">
        <v>27</v>
      </c>
      <c r="F800" s="13">
        <v>1704.8005618682023</v>
      </c>
      <c r="G800" s="14">
        <v>37790.527840211893</v>
      </c>
      <c r="H800" s="24" t="str">
        <f t="shared" si="115"/>
        <v>RJSP</v>
      </c>
      <c r="I800" s="24" t="str">
        <f t="shared" si="123"/>
        <v>RJMG</v>
      </c>
      <c r="J800" s="24" t="str">
        <f t="shared" si="123"/>
        <v>RJES</v>
      </c>
      <c r="K800" s="24" t="str">
        <f t="shared" si="123"/>
        <v>RJSC</v>
      </c>
      <c r="L800" s="24" t="str">
        <f t="shared" si="123"/>
        <v>RJRJ</v>
      </c>
      <c r="M800" s="24" t="str">
        <f t="shared" si="123"/>
        <v>RJPR</v>
      </c>
      <c r="N800" s="24" t="str">
        <f t="shared" si="123"/>
        <v>RJAM</v>
      </c>
      <c r="O800" s="24">
        <f>VLOOKUP(H800, KM!$A:$E, 5, 0)</f>
        <v>429</v>
      </c>
      <c r="P800" s="24">
        <f>VLOOKUP(I800, KM!$A:$E, 5, 0)</f>
        <v>434</v>
      </c>
      <c r="Q800" s="24">
        <f>VLOOKUP(J800, KM!$A:$E, 5, 0)</f>
        <v>521</v>
      </c>
      <c r="R800" s="24">
        <f>VLOOKUP(K800, KM!$A:$E, 5, 0)</f>
        <v>1144</v>
      </c>
      <c r="S800" s="24">
        <f>VLOOKUP(L800, KM!$A:$E, 5, 0)</f>
        <v>0</v>
      </c>
      <c r="T800" s="24">
        <f>VLOOKUP(M800, KM!$A:$E, 5, 0)</f>
        <v>852</v>
      </c>
      <c r="U800" s="24">
        <f>VLOOKUP(N800, KM!$A:$E, 5, 0)</f>
        <v>4374</v>
      </c>
      <c r="V800" s="24">
        <f>VLOOKUP(H800, IMPOSTO!$A:$D, 4, 0)</f>
        <v>0.12</v>
      </c>
      <c r="W800" s="24">
        <f>VLOOKUP(I800, IMPOSTO!$A:$D, 4, 0)</f>
        <v>0.12</v>
      </c>
      <c r="X800" s="24">
        <f>VLOOKUP(J800, IMPOSTO!$A:$D, 4, 0)</f>
        <v>7.0000000000000007E-2</v>
      </c>
      <c r="Y800" s="24">
        <f>VLOOKUP(K800, IMPOSTO!$A:$D, 4, 0)</f>
        <v>0.12</v>
      </c>
      <c r="Z800" s="24">
        <f>VLOOKUP(L800, IMPOSTO!$A:$D, 4, 0)</f>
        <v>0.18</v>
      </c>
      <c r="AA800" s="24">
        <f>VLOOKUP(M800, IMPOSTO!$A:$D, 4, 0)</f>
        <v>0.12</v>
      </c>
      <c r="AB800" s="24">
        <f>VLOOKUP(N800, IMPOSTO!$A:$D, 4, 0)</f>
        <v>7.0000000000000007E-2</v>
      </c>
      <c r="AC800" s="25">
        <f t="shared" si="116"/>
        <v>42992.531636604428</v>
      </c>
      <c r="AD800" s="25">
        <f t="shared" si="117"/>
        <v>42993.099818422605</v>
      </c>
      <c r="AE800" s="25">
        <f t="shared" si="118"/>
        <v>40690.997677647196</v>
      </c>
      <c r="AF800" s="25">
        <f t="shared" si="119"/>
        <v>43073.781636604428</v>
      </c>
      <c r="AG800" s="25">
        <f t="shared" si="120"/>
        <v>46086.009561234016</v>
      </c>
      <c r="AH800" s="25">
        <f t="shared" si="121"/>
        <v>43040.599818422605</v>
      </c>
      <c r="AI800" s="25">
        <f t="shared" si="122"/>
        <v>41105.298752916016</v>
      </c>
    </row>
    <row r="801" spans="1:35" ht="15.75" customHeight="1">
      <c r="A801" s="12" t="s">
        <v>221</v>
      </c>
      <c r="B801" s="12" t="s">
        <v>222</v>
      </c>
      <c r="C801" s="12" t="s">
        <v>223</v>
      </c>
      <c r="D801" s="12" t="s">
        <v>33</v>
      </c>
      <c r="E801" s="12" t="s">
        <v>27</v>
      </c>
      <c r="F801" s="13">
        <v>816.76940102367234</v>
      </c>
      <c r="G801" s="14">
        <v>18065.349465232244</v>
      </c>
      <c r="H801" s="24" t="str">
        <f t="shared" si="115"/>
        <v>RJSP</v>
      </c>
      <c r="I801" s="24" t="str">
        <f t="shared" si="123"/>
        <v>RJMG</v>
      </c>
      <c r="J801" s="24" t="str">
        <f t="shared" si="123"/>
        <v>RJES</v>
      </c>
      <c r="K801" s="24" t="str">
        <f t="shared" si="123"/>
        <v>RJSC</v>
      </c>
      <c r="L801" s="24" t="str">
        <f t="shared" si="123"/>
        <v>RJRJ</v>
      </c>
      <c r="M801" s="24" t="str">
        <f t="shared" si="123"/>
        <v>RJPR</v>
      </c>
      <c r="N801" s="24" t="str">
        <f t="shared" si="123"/>
        <v>RJAM</v>
      </c>
      <c r="O801" s="24">
        <f>VLOOKUP(H801, KM!$A:$E, 5, 0)</f>
        <v>429</v>
      </c>
      <c r="P801" s="24">
        <f>VLOOKUP(I801, KM!$A:$E, 5, 0)</f>
        <v>434</v>
      </c>
      <c r="Q801" s="24">
        <f>VLOOKUP(J801, KM!$A:$E, 5, 0)</f>
        <v>521</v>
      </c>
      <c r="R801" s="24">
        <f>VLOOKUP(K801, KM!$A:$E, 5, 0)</f>
        <v>1144</v>
      </c>
      <c r="S801" s="24">
        <f>VLOOKUP(L801, KM!$A:$E, 5, 0)</f>
        <v>0</v>
      </c>
      <c r="T801" s="24">
        <f>VLOOKUP(M801, KM!$A:$E, 5, 0)</f>
        <v>852</v>
      </c>
      <c r="U801" s="24">
        <f>VLOOKUP(N801, KM!$A:$E, 5, 0)</f>
        <v>4374</v>
      </c>
      <c r="V801" s="24">
        <f>VLOOKUP(H801, IMPOSTO!$A:$D, 4, 0)</f>
        <v>0.12</v>
      </c>
      <c r="W801" s="24">
        <f>VLOOKUP(I801, IMPOSTO!$A:$D, 4, 0)</f>
        <v>0.12</v>
      </c>
      <c r="X801" s="24">
        <f>VLOOKUP(J801, IMPOSTO!$A:$D, 4, 0)</f>
        <v>7.0000000000000007E-2</v>
      </c>
      <c r="Y801" s="24">
        <f>VLOOKUP(K801, IMPOSTO!$A:$D, 4, 0)</f>
        <v>0.12</v>
      </c>
      <c r="Z801" s="24">
        <f>VLOOKUP(L801, IMPOSTO!$A:$D, 4, 0)</f>
        <v>0.18</v>
      </c>
      <c r="AA801" s="24">
        <f>VLOOKUP(M801, IMPOSTO!$A:$D, 4, 0)</f>
        <v>0.12</v>
      </c>
      <c r="AB801" s="24">
        <f>VLOOKUP(N801, IMPOSTO!$A:$D, 4, 0)</f>
        <v>7.0000000000000007E-2</v>
      </c>
      <c r="AC801" s="25">
        <f t="shared" si="116"/>
        <v>20577.556210491188</v>
      </c>
      <c r="AD801" s="25">
        <f t="shared" si="117"/>
        <v>20578.124392309372</v>
      </c>
      <c r="AE801" s="25">
        <f t="shared" si="118"/>
        <v>19481.12845723897</v>
      </c>
      <c r="AF801" s="25">
        <f t="shared" si="119"/>
        <v>20658.806210491188</v>
      </c>
      <c r="AG801" s="25">
        <f t="shared" si="120"/>
        <v>22030.913981990539</v>
      </c>
      <c r="AH801" s="25">
        <f t="shared" si="121"/>
        <v>20625.624392309368</v>
      </c>
      <c r="AI801" s="25">
        <f t="shared" si="122"/>
        <v>19895.429532507791</v>
      </c>
    </row>
    <row r="802" spans="1:35" ht="15.75" customHeight="1">
      <c r="A802" s="12" t="s">
        <v>224</v>
      </c>
      <c r="B802" s="12" t="s">
        <v>225</v>
      </c>
      <c r="C802" s="12" t="s">
        <v>223</v>
      </c>
      <c r="D802" s="12" t="s">
        <v>33</v>
      </c>
      <c r="E802" s="12" t="s">
        <v>27</v>
      </c>
      <c r="F802" s="13">
        <v>108.26146530232558</v>
      </c>
      <c r="G802" s="14">
        <v>2461.0664073525577</v>
      </c>
      <c r="H802" s="24" t="str">
        <f t="shared" si="115"/>
        <v>RJSP</v>
      </c>
      <c r="I802" s="24" t="str">
        <f t="shared" si="123"/>
        <v>RJMG</v>
      </c>
      <c r="J802" s="24" t="str">
        <f t="shared" si="123"/>
        <v>RJES</v>
      </c>
      <c r="K802" s="24" t="str">
        <f t="shared" si="123"/>
        <v>RJSC</v>
      </c>
      <c r="L802" s="24" t="str">
        <f t="shared" si="123"/>
        <v>RJRJ</v>
      </c>
      <c r="M802" s="24" t="str">
        <f t="shared" si="123"/>
        <v>RJPR</v>
      </c>
      <c r="N802" s="24" t="str">
        <f t="shared" si="123"/>
        <v>RJAM</v>
      </c>
      <c r="O802" s="24">
        <f>VLOOKUP(H802, KM!$A:$E, 5, 0)</f>
        <v>429</v>
      </c>
      <c r="P802" s="24">
        <f>VLOOKUP(I802, KM!$A:$E, 5, 0)</f>
        <v>434</v>
      </c>
      <c r="Q802" s="24">
        <f>VLOOKUP(J802, KM!$A:$E, 5, 0)</f>
        <v>521</v>
      </c>
      <c r="R802" s="24">
        <f>VLOOKUP(K802, KM!$A:$E, 5, 0)</f>
        <v>1144</v>
      </c>
      <c r="S802" s="24">
        <f>VLOOKUP(L802, KM!$A:$E, 5, 0)</f>
        <v>0</v>
      </c>
      <c r="T802" s="24">
        <f>VLOOKUP(M802, KM!$A:$E, 5, 0)</f>
        <v>852</v>
      </c>
      <c r="U802" s="24">
        <f>VLOOKUP(N802, KM!$A:$E, 5, 0)</f>
        <v>4374</v>
      </c>
      <c r="V802" s="24">
        <f>VLOOKUP(H802, IMPOSTO!$A:$D, 4, 0)</f>
        <v>0.12</v>
      </c>
      <c r="W802" s="24">
        <f>VLOOKUP(I802, IMPOSTO!$A:$D, 4, 0)</f>
        <v>0.12</v>
      </c>
      <c r="X802" s="24">
        <f>VLOOKUP(J802, IMPOSTO!$A:$D, 4, 0)</f>
        <v>7.0000000000000007E-2</v>
      </c>
      <c r="Y802" s="24">
        <f>VLOOKUP(K802, IMPOSTO!$A:$D, 4, 0)</f>
        <v>0.12</v>
      </c>
      <c r="Z802" s="24">
        <f>VLOOKUP(L802, IMPOSTO!$A:$D, 4, 0)</f>
        <v>0.18</v>
      </c>
      <c r="AA802" s="24">
        <f>VLOOKUP(M802, IMPOSTO!$A:$D, 4, 0)</f>
        <v>0.12</v>
      </c>
      <c r="AB802" s="24">
        <f>VLOOKUP(N802, IMPOSTO!$A:$D, 4, 0)</f>
        <v>7.0000000000000007E-2</v>
      </c>
      <c r="AC802" s="25">
        <f t="shared" si="116"/>
        <v>2845.4163719915427</v>
      </c>
      <c r="AD802" s="25">
        <f t="shared" si="117"/>
        <v>2845.9845538097247</v>
      </c>
      <c r="AE802" s="25">
        <f t="shared" si="118"/>
        <v>2702.3294702715675</v>
      </c>
      <c r="AF802" s="25">
        <f t="shared" si="119"/>
        <v>2926.6663719915427</v>
      </c>
      <c r="AG802" s="25">
        <f t="shared" si="120"/>
        <v>3001.3004967714114</v>
      </c>
      <c r="AH802" s="25">
        <f t="shared" si="121"/>
        <v>2893.4845538097243</v>
      </c>
      <c r="AI802" s="25">
        <f t="shared" si="122"/>
        <v>3116.6305455403849</v>
      </c>
    </row>
    <row r="803" spans="1:35" ht="15.75" customHeight="1">
      <c r="A803" s="12" t="s">
        <v>226</v>
      </c>
      <c r="B803" s="12" t="s">
        <v>227</v>
      </c>
      <c r="C803" s="12" t="s">
        <v>223</v>
      </c>
      <c r="D803" s="12" t="s">
        <v>33</v>
      </c>
      <c r="E803" s="12" t="s">
        <v>27</v>
      </c>
      <c r="F803" s="13">
        <v>1047.0254446601941</v>
      </c>
      <c r="G803" s="14">
        <v>23211.947834191746</v>
      </c>
      <c r="H803" s="24" t="str">
        <f t="shared" si="115"/>
        <v>RJSP</v>
      </c>
      <c r="I803" s="24" t="str">
        <f t="shared" si="123"/>
        <v>RJMG</v>
      </c>
      <c r="J803" s="24" t="str">
        <f t="shared" si="123"/>
        <v>RJES</v>
      </c>
      <c r="K803" s="24" t="str">
        <f t="shared" si="123"/>
        <v>RJSC</v>
      </c>
      <c r="L803" s="24" t="str">
        <f t="shared" si="123"/>
        <v>RJRJ</v>
      </c>
      <c r="M803" s="24" t="str">
        <f t="shared" si="123"/>
        <v>RJPR</v>
      </c>
      <c r="N803" s="24" t="str">
        <f t="shared" si="123"/>
        <v>RJAM</v>
      </c>
      <c r="O803" s="24">
        <f>VLOOKUP(H803, KM!$A:$E, 5, 0)</f>
        <v>429</v>
      </c>
      <c r="P803" s="24">
        <f>VLOOKUP(I803, KM!$A:$E, 5, 0)</f>
        <v>434</v>
      </c>
      <c r="Q803" s="24">
        <f>VLOOKUP(J803, KM!$A:$E, 5, 0)</f>
        <v>521</v>
      </c>
      <c r="R803" s="24">
        <f>VLOOKUP(K803, KM!$A:$E, 5, 0)</f>
        <v>1144</v>
      </c>
      <c r="S803" s="24">
        <f>VLOOKUP(L803, KM!$A:$E, 5, 0)</f>
        <v>0</v>
      </c>
      <c r="T803" s="24">
        <f>VLOOKUP(M803, KM!$A:$E, 5, 0)</f>
        <v>852</v>
      </c>
      <c r="U803" s="24">
        <f>VLOOKUP(N803, KM!$A:$E, 5, 0)</f>
        <v>4374</v>
      </c>
      <c r="V803" s="24">
        <f>VLOOKUP(H803, IMPOSTO!$A:$D, 4, 0)</f>
        <v>0.12</v>
      </c>
      <c r="W803" s="24">
        <f>VLOOKUP(I803, IMPOSTO!$A:$D, 4, 0)</f>
        <v>0.12</v>
      </c>
      <c r="X803" s="24">
        <f>VLOOKUP(J803, IMPOSTO!$A:$D, 4, 0)</f>
        <v>7.0000000000000007E-2</v>
      </c>
      <c r="Y803" s="24">
        <f>VLOOKUP(K803, IMPOSTO!$A:$D, 4, 0)</f>
        <v>0.12</v>
      </c>
      <c r="Z803" s="24">
        <f>VLOOKUP(L803, IMPOSTO!$A:$D, 4, 0)</f>
        <v>0.18</v>
      </c>
      <c r="AA803" s="24">
        <f>VLOOKUP(M803, IMPOSTO!$A:$D, 4, 0)</f>
        <v>0.12</v>
      </c>
      <c r="AB803" s="24">
        <f>VLOOKUP(N803, IMPOSTO!$A:$D, 4, 0)</f>
        <v>7.0000000000000007E-2</v>
      </c>
      <c r="AC803" s="25">
        <f t="shared" si="116"/>
        <v>26425.963447945167</v>
      </c>
      <c r="AD803" s="25">
        <f t="shared" si="117"/>
        <v>26426.531629763347</v>
      </c>
      <c r="AE803" s="25">
        <f t="shared" si="118"/>
        <v>25015.10519805564</v>
      </c>
      <c r="AF803" s="25">
        <f t="shared" si="119"/>
        <v>26507.213447945167</v>
      </c>
      <c r="AG803" s="25">
        <f t="shared" si="120"/>
        <v>28307.253456331397</v>
      </c>
      <c r="AH803" s="25">
        <f t="shared" si="121"/>
        <v>26474.031629763347</v>
      </c>
      <c r="AI803" s="25">
        <f t="shared" si="122"/>
        <v>25429.406273324461</v>
      </c>
    </row>
    <row r="804" spans="1:35" ht="15.75" customHeight="1">
      <c r="A804" s="12" t="s">
        <v>226</v>
      </c>
      <c r="B804" s="12" t="s">
        <v>227</v>
      </c>
      <c r="C804" s="12" t="s">
        <v>223</v>
      </c>
      <c r="D804" s="12" t="s">
        <v>33</v>
      </c>
      <c r="E804" s="12" t="s">
        <v>27</v>
      </c>
      <c r="F804" s="13">
        <v>250.20828640776699</v>
      </c>
      <c r="G804" s="14">
        <v>5546.3478380097094</v>
      </c>
      <c r="H804" s="24" t="str">
        <f t="shared" si="115"/>
        <v>RJSP</v>
      </c>
      <c r="I804" s="24" t="str">
        <f t="shared" si="123"/>
        <v>RJMG</v>
      </c>
      <c r="J804" s="24" t="str">
        <f t="shared" si="123"/>
        <v>RJES</v>
      </c>
      <c r="K804" s="24" t="str">
        <f t="shared" si="123"/>
        <v>RJSC</v>
      </c>
      <c r="L804" s="24" t="str">
        <f t="shared" si="123"/>
        <v>RJRJ</v>
      </c>
      <c r="M804" s="24" t="str">
        <f t="shared" si="123"/>
        <v>RJPR</v>
      </c>
      <c r="N804" s="24" t="str">
        <f t="shared" si="123"/>
        <v>RJAM</v>
      </c>
      <c r="O804" s="24">
        <f>VLOOKUP(H804, KM!$A:$E, 5, 0)</f>
        <v>429</v>
      </c>
      <c r="P804" s="24">
        <f>VLOOKUP(I804, KM!$A:$E, 5, 0)</f>
        <v>434</v>
      </c>
      <c r="Q804" s="24">
        <f>VLOOKUP(J804, KM!$A:$E, 5, 0)</f>
        <v>521</v>
      </c>
      <c r="R804" s="24">
        <f>VLOOKUP(K804, KM!$A:$E, 5, 0)</f>
        <v>1144</v>
      </c>
      <c r="S804" s="24">
        <f>VLOOKUP(L804, KM!$A:$E, 5, 0)</f>
        <v>0</v>
      </c>
      <c r="T804" s="24">
        <f>VLOOKUP(M804, KM!$A:$E, 5, 0)</f>
        <v>852</v>
      </c>
      <c r="U804" s="24">
        <f>VLOOKUP(N804, KM!$A:$E, 5, 0)</f>
        <v>4374</v>
      </c>
      <c r="V804" s="24">
        <f>VLOOKUP(H804, IMPOSTO!$A:$D, 4, 0)</f>
        <v>0.12</v>
      </c>
      <c r="W804" s="24">
        <f>VLOOKUP(I804, IMPOSTO!$A:$D, 4, 0)</f>
        <v>0.12</v>
      </c>
      <c r="X804" s="24">
        <f>VLOOKUP(J804, IMPOSTO!$A:$D, 4, 0)</f>
        <v>7.0000000000000007E-2</v>
      </c>
      <c r="Y804" s="24">
        <f>VLOOKUP(K804, IMPOSTO!$A:$D, 4, 0)</f>
        <v>0.12</v>
      </c>
      <c r="Z804" s="24">
        <f>VLOOKUP(L804, IMPOSTO!$A:$D, 4, 0)</f>
        <v>0.18</v>
      </c>
      <c r="AA804" s="24">
        <f>VLOOKUP(M804, IMPOSTO!$A:$D, 4, 0)</f>
        <v>0.12</v>
      </c>
      <c r="AB804" s="24">
        <f>VLOOKUP(N804, IMPOSTO!$A:$D, 4, 0)</f>
        <v>7.0000000000000007E-2</v>
      </c>
      <c r="AC804" s="25">
        <f t="shared" si="116"/>
        <v>6351.4179977383055</v>
      </c>
      <c r="AD804" s="25">
        <f t="shared" si="117"/>
        <v>6351.9861795564875</v>
      </c>
      <c r="AE804" s="25">
        <f t="shared" si="118"/>
        <v>6019.8363849566776</v>
      </c>
      <c r="AF804" s="25">
        <f t="shared" si="119"/>
        <v>6432.6679977383055</v>
      </c>
      <c r="AG804" s="25">
        <f t="shared" si="120"/>
        <v>6763.8388268411081</v>
      </c>
      <c r="AH804" s="25">
        <f t="shared" si="121"/>
        <v>6399.4861795564875</v>
      </c>
      <c r="AI804" s="25">
        <f t="shared" si="122"/>
        <v>6434.1374602254937</v>
      </c>
    </row>
    <row r="805" spans="1:35" ht="15.75" customHeight="1">
      <c r="A805" s="12" t="s">
        <v>226</v>
      </c>
      <c r="B805" s="12" t="s">
        <v>227</v>
      </c>
      <c r="C805" s="12" t="s">
        <v>223</v>
      </c>
      <c r="D805" s="12" t="s">
        <v>33</v>
      </c>
      <c r="E805" s="12" t="s">
        <v>27</v>
      </c>
      <c r="F805" s="13">
        <v>178.03281917475729</v>
      </c>
      <c r="G805" s="14">
        <v>3937.7010243203886</v>
      </c>
      <c r="H805" s="24" t="str">
        <f t="shared" si="115"/>
        <v>RJSP</v>
      </c>
      <c r="I805" s="24" t="str">
        <f t="shared" si="123"/>
        <v>RJMG</v>
      </c>
      <c r="J805" s="24" t="str">
        <f t="shared" si="123"/>
        <v>RJES</v>
      </c>
      <c r="K805" s="24" t="str">
        <f t="shared" si="123"/>
        <v>RJSC</v>
      </c>
      <c r="L805" s="24" t="str">
        <f t="shared" si="123"/>
        <v>RJRJ</v>
      </c>
      <c r="M805" s="24" t="str">
        <f t="shared" si="123"/>
        <v>RJPR</v>
      </c>
      <c r="N805" s="24" t="str">
        <f t="shared" si="123"/>
        <v>RJAM</v>
      </c>
      <c r="O805" s="24">
        <f>VLOOKUP(H805, KM!$A:$E, 5, 0)</f>
        <v>429</v>
      </c>
      <c r="P805" s="24">
        <f>VLOOKUP(I805, KM!$A:$E, 5, 0)</f>
        <v>434</v>
      </c>
      <c r="Q805" s="24">
        <f>VLOOKUP(J805, KM!$A:$E, 5, 0)</f>
        <v>521</v>
      </c>
      <c r="R805" s="24">
        <f>VLOOKUP(K805, KM!$A:$E, 5, 0)</f>
        <v>1144</v>
      </c>
      <c r="S805" s="24">
        <f>VLOOKUP(L805, KM!$A:$E, 5, 0)</f>
        <v>0</v>
      </c>
      <c r="T805" s="24">
        <f>VLOOKUP(M805, KM!$A:$E, 5, 0)</f>
        <v>852</v>
      </c>
      <c r="U805" s="24">
        <f>VLOOKUP(N805, KM!$A:$E, 5, 0)</f>
        <v>4374</v>
      </c>
      <c r="V805" s="24">
        <f>VLOOKUP(H805, IMPOSTO!$A:$D, 4, 0)</f>
        <v>0.12</v>
      </c>
      <c r="W805" s="24">
        <f>VLOOKUP(I805, IMPOSTO!$A:$D, 4, 0)</f>
        <v>0.12</v>
      </c>
      <c r="X805" s="24">
        <f>VLOOKUP(J805, IMPOSTO!$A:$D, 4, 0)</f>
        <v>7.0000000000000007E-2</v>
      </c>
      <c r="Y805" s="24">
        <f>VLOOKUP(K805, IMPOSTO!$A:$D, 4, 0)</f>
        <v>0.12</v>
      </c>
      <c r="Z805" s="24">
        <f>VLOOKUP(L805, IMPOSTO!$A:$D, 4, 0)</f>
        <v>0.18</v>
      </c>
      <c r="AA805" s="24">
        <f>VLOOKUP(M805, IMPOSTO!$A:$D, 4, 0)</f>
        <v>0.12</v>
      </c>
      <c r="AB805" s="24">
        <f>VLOOKUP(N805, IMPOSTO!$A:$D, 4, 0)</f>
        <v>7.0000000000000007E-2</v>
      </c>
      <c r="AC805" s="25">
        <f t="shared" si="116"/>
        <v>4523.4102549095323</v>
      </c>
      <c r="AD805" s="25">
        <f t="shared" si="117"/>
        <v>4523.9784367277143</v>
      </c>
      <c r="AE805" s="25">
        <f t="shared" si="118"/>
        <v>4290.1086283014929</v>
      </c>
      <c r="AF805" s="25">
        <f t="shared" si="119"/>
        <v>4604.6602549095323</v>
      </c>
      <c r="AG805" s="25">
        <f t="shared" si="120"/>
        <v>4802.0744199029123</v>
      </c>
      <c r="AH805" s="25">
        <f t="shared" si="121"/>
        <v>4571.4784367277143</v>
      </c>
      <c r="AI805" s="25">
        <f t="shared" si="122"/>
        <v>4704.4097035703098</v>
      </c>
    </row>
    <row r="806" spans="1:35" ht="15.75" customHeight="1">
      <c r="A806" s="12" t="s">
        <v>412</v>
      </c>
      <c r="B806" s="12" t="s">
        <v>413</v>
      </c>
      <c r="C806" s="12" t="s">
        <v>414</v>
      </c>
      <c r="D806" s="12" t="s">
        <v>33</v>
      </c>
      <c r="E806" s="12" t="s">
        <v>27</v>
      </c>
      <c r="F806" s="13">
        <v>12.011628406569018</v>
      </c>
      <c r="G806" s="14">
        <v>1570.6312907288059</v>
      </c>
      <c r="H806" s="24" t="str">
        <f t="shared" si="115"/>
        <v>RJSP</v>
      </c>
      <c r="I806" s="24" t="str">
        <f t="shared" si="123"/>
        <v>RJMG</v>
      </c>
      <c r="J806" s="24" t="str">
        <f t="shared" si="123"/>
        <v>RJES</v>
      </c>
      <c r="K806" s="24" t="str">
        <f t="shared" si="123"/>
        <v>RJSC</v>
      </c>
      <c r="L806" s="24" t="str">
        <f t="shared" si="123"/>
        <v>RJRJ</v>
      </c>
      <c r="M806" s="24" t="str">
        <f t="shared" si="123"/>
        <v>RJPR</v>
      </c>
      <c r="N806" s="24" t="str">
        <f t="shared" si="123"/>
        <v>RJAM</v>
      </c>
      <c r="O806" s="24">
        <f>VLOOKUP(H806, KM!$A:$E, 5, 0)</f>
        <v>429</v>
      </c>
      <c r="P806" s="24">
        <f>VLOOKUP(I806, KM!$A:$E, 5, 0)</f>
        <v>434</v>
      </c>
      <c r="Q806" s="24">
        <f>VLOOKUP(J806, KM!$A:$E, 5, 0)</f>
        <v>521</v>
      </c>
      <c r="R806" s="24">
        <f>VLOOKUP(K806, KM!$A:$E, 5, 0)</f>
        <v>1144</v>
      </c>
      <c r="S806" s="24">
        <f>VLOOKUP(L806, KM!$A:$E, 5, 0)</f>
        <v>0</v>
      </c>
      <c r="T806" s="24">
        <f>VLOOKUP(M806, KM!$A:$E, 5, 0)</f>
        <v>852</v>
      </c>
      <c r="U806" s="24">
        <f>VLOOKUP(N806, KM!$A:$E, 5, 0)</f>
        <v>4374</v>
      </c>
      <c r="V806" s="24">
        <f>VLOOKUP(H806, IMPOSTO!$A:$D, 4, 0)</f>
        <v>0.12</v>
      </c>
      <c r="W806" s="24">
        <f>VLOOKUP(I806, IMPOSTO!$A:$D, 4, 0)</f>
        <v>0.12</v>
      </c>
      <c r="X806" s="24">
        <f>VLOOKUP(J806, IMPOSTO!$A:$D, 4, 0)</f>
        <v>7.0000000000000007E-2</v>
      </c>
      <c r="Y806" s="24">
        <f>VLOOKUP(K806, IMPOSTO!$A:$D, 4, 0)</f>
        <v>0.12</v>
      </c>
      <c r="Z806" s="24">
        <f>VLOOKUP(L806, IMPOSTO!$A:$D, 4, 0)</f>
        <v>0.18</v>
      </c>
      <c r="AA806" s="24">
        <f>VLOOKUP(M806, IMPOSTO!$A:$D, 4, 0)</f>
        <v>0.12</v>
      </c>
      <c r="AB806" s="24">
        <f>VLOOKUP(N806, IMPOSTO!$A:$D, 4, 0)</f>
        <v>7.0000000000000007E-2</v>
      </c>
      <c r="AC806" s="25">
        <f t="shared" si="116"/>
        <v>1833.5582849190978</v>
      </c>
      <c r="AD806" s="25">
        <f t="shared" si="117"/>
        <v>1834.1264667372795</v>
      </c>
      <c r="AE806" s="25">
        <f t="shared" si="118"/>
        <v>1744.872355622372</v>
      </c>
      <c r="AF806" s="25">
        <f t="shared" si="119"/>
        <v>1914.8082849190978</v>
      </c>
      <c r="AG806" s="25">
        <f t="shared" si="120"/>
        <v>1915.4040130839094</v>
      </c>
      <c r="AH806" s="25">
        <f t="shared" si="121"/>
        <v>1881.6264667372795</v>
      </c>
      <c r="AI806" s="25">
        <f t="shared" si="122"/>
        <v>2159.1734308911896</v>
      </c>
    </row>
    <row r="807" spans="1:35" ht="15.75" customHeight="1">
      <c r="A807" s="12" t="s">
        <v>599</v>
      </c>
      <c r="B807" s="12" t="s">
        <v>600</v>
      </c>
      <c r="C807" s="12" t="s">
        <v>232</v>
      </c>
      <c r="D807" s="12" t="s">
        <v>33</v>
      </c>
      <c r="E807" s="12" t="s">
        <v>27</v>
      </c>
      <c r="F807" s="13">
        <v>2</v>
      </c>
      <c r="G807" s="14">
        <v>176.505</v>
      </c>
      <c r="H807" s="24" t="str">
        <f t="shared" si="115"/>
        <v>RJSP</v>
      </c>
      <c r="I807" s="24" t="str">
        <f t="shared" si="123"/>
        <v>RJMG</v>
      </c>
      <c r="J807" s="24" t="str">
        <f t="shared" si="123"/>
        <v>RJES</v>
      </c>
      <c r="K807" s="24" t="str">
        <f t="shared" si="123"/>
        <v>RJSC</v>
      </c>
      <c r="L807" s="24" t="str">
        <f t="shared" si="123"/>
        <v>RJRJ</v>
      </c>
      <c r="M807" s="24" t="str">
        <f t="shared" si="123"/>
        <v>RJPR</v>
      </c>
      <c r="N807" s="24" t="str">
        <f t="shared" si="123"/>
        <v>RJAM</v>
      </c>
      <c r="O807" s="24">
        <f>VLOOKUP(H807, KM!$A:$E, 5, 0)</f>
        <v>429</v>
      </c>
      <c r="P807" s="24">
        <f>VLOOKUP(I807, KM!$A:$E, 5, 0)</f>
        <v>434</v>
      </c>
      <c r="Q807" s="24">
        <f>VLOOKUP(J807, KM!$A:$E, 5, 0)</f>
        <v>521</v>
      </c>
      <c r="R807" s="24">
        <f>VLOOKUP(K807, KM!$A:$E, 5, 0)</f>
        <v>1144</v>
      </c>
      <c r="S807" s="24">
        <f>VLOOKUP(L807, KM!$A:$E, 5, 0)</f>
        <v>0</v>
      </c>
      <c r="T807" s="24">
        <f>VLOOKUP(M807, KM!$A:$E, 5, 0)</f>
        <v>852</v>
      </c>
      <c r="U807" s="24">
        <f>VLOOKUP(N807, KM!$A:$E, 5, 0)</f>
        <v>4374</v>
      </c>
      <c r="V807" s="24">
        <f>VLOOKUP(H807, IMPOSTO!$A:$D, 4, 0)</f>
        <v>0.12</v>
      </c>
      <c r="W807" s="24">
        <f>VLOOKUP(I807, IMPOSTO!$A:$D, 4, 0)</f>
        <v>0.12</v>
      </c>
      <c r="X807" s="24">
        <f>VLOOKUP(J807, IMPOSTO!$A:$D, 4, 0)</f>
        <v>7.0000000000000007E-2</v>
      </c>
      <c r="Y807" s="24">
        <f>VLOOKUP(K807, IMPOSTO!$A:$D, 4, 0)</f>
        <v>0.12</v>
      </c>
      <c r="Z807" s="24">
        <f>VLOOKUP(L807, IMPOSTO!$A:$D, 4, 0)</f>
        <v>0.18</v>
      </c>
      <c r="AA807" s="24">
        <f>VLOOKUP(M807, IMPOSTO!$A:$D, 4, 0)</f>
        <v>0.12</v>
      </c>
      <c r="AB807" s="24">
        <f>VLOOKUP(N807, IMPOSTO!$A:$D, 4, 0)</f>
        <v>7.0000000000000007E-2</v>
      </c>
      <c r="AC807" s="25">
        <f t="shared" si="116"/>
        <v>249.32386363636363</v>
      </c>
      <c r="AD807" s="25">
        <f t="shared" si="117"/>
        <v>249.89204545454547</v>
      </c>
      <c r="AE807" s="25">
        <f t="shared" si="118"/>
        <v>245.81182795698925</v>
      </c>
      <c r="AF807" s="25">
        <f t="shared" si="119"/>
        <v>330.57386363636363</v>
      </c>
      <c r="AG807" s="25">
        <f t="shared" si="120"/>
        <v>215.24999999999997</v>
      </c>
      <c r="AH807" s="25">
        <f t="shared" si="121"/>
        <v>297.39204545454544</v>
      </c>
      <c r="AI807" s="25">
        <f t="shared" si="122"/>
        <v>660.11290322580646</v>
      </c>
    </row>
    <row r="808" spans="1:35" ht="15.75" customHeight="1">
      <c r="A808" s="12" t="s">
        <v>675</v>
      </c>
      <c r="B808" s="12" t="s">
        <v>676</v>
      </c>
      <c r="C808" s="12" t="s">
        <v>232</v>
      </c>
      <c r="D808" s="12" t="s">
        <v>33</v>
      </c>
      <c r="E808" s="12" t="s">
        <v>27</v>
      </c>
      <c r="F808" s="13">
        <v>2.2222222222222223</v>
      </c>
      <c r="G808" s="14">
        <v>187.32222222222222</v>
      </c>
      <c r="H808" s="24" t="str">
        <f t="shared" si="115"/>
        <v>RJSP</v>
      </c>
      <c r="I808" s="24" t="str">
        <f t="shared" si="123"/>
        <v>RJMG</v>
      </c>
      <c r="J808" s="24" t="str">
        <f t="shared" si="123"/>
        <v>RJES</v>
      </c>
      <c r="K808" s="24" t="str">
        <f t="shared" si="123"/>
        <v>RJSC</v>
      </c>
      <c r="L808" s="24" t="str">
        <f t="shared" si="123"/>
        <v>RJRJ</v>
      </c>
      <c r="M808" s="24" t="str">
        <f t="shared" si="123"/>
        <v>RJPR</v>
      </c>
      <c r="N808" s="24" t="str">
        <f t="shared" si="123"/>
        <v>RJAM</v>
      </c>
      <c r="O808" s="24">
        <f>VLOOKUP(H808, KM!$A:$E, 5, 0)</f>
        <v>429</v>
      </c>
      <c r="P808" s="24">
        <f>VLOOKUP(I808, KM!$A:$E, 5, 0)</f>
        <v>434</v>
      </c>
      <c r="Q808" s="24">
        <f>VLOOKUP(J808, KM!$A:$E, 5, 0)</f>
        <v>521</v>
      </c>
      <c r="R808" s="24">
        <f>VLOOKUP(K808, KM!$A:$E, 5, 0)</f>
        <v>1144</v>
      </c>
      <c r="S808" s="24">
        <f>VLOOKUP(L808, KM!$A:$E, 5, 0)</f>
        <v>0</v>
      </c>
      <c r="T808" s="24">
        <f>VLOOKUP(M808, KM!$A:$E, 5, 0)</f>
        <v>852</v>
      </c>
      <c r="U808" s="24">
        <f>VLOOKUP(N808, KM!$A:$E, 5, 0)</f>
        <v>4374</v>
      </c>
      <c r="V808" s="24">
        <f>VLOOKUP(H808, IMPOSTO!$A:$D, 4, 0)</f>
        <v>0.12</v>
      </c>
      <c r="W808" s="24">
        <f>VLOOKUP(I808, IMPOSTO!$A:$D, 4, 0)</f>
        <v>0.12</v>
      </c>
      <c r="X808" s="24">
        <f>VLOOKUP(J808, IMPOSTO!$A:$D, 4, 0)</f>
        <v>7.0000000000000007E-2</v>
      </c>
      <c r="Y808" s="24">
        <f>VLOOKUP(K808, IMPOSTO!$A:$D, 4, 0)</f>
        <v>0.12</v>
      </c>
      <c r="Z808" s="24">
        <f>VLOOKUP(L808, IMPOSTO!$A:$D, 4, 0)</f>
        <v>0.18</v>
      </c>
      <c r="AA808" s="24">
        <f>VLOOKUP(M808, IMPOSTO!$A:$D, 4, 0)</f>
        <v>0.12</v>
      </c>
      <c r="AB808" s="24">
        <f>VLOOKUP(N808, IMPOSTO!$A:$D, 4, 0)</f>
        <v>7.0000000000000007E-2</v>
      </c>
      <c r="AC808" s="25">
        <f t="shared" si="116"/>
        <v>261.61616161616161</v>
      </c>
      <c r="AD808" s="25">
        <f t="shared" si="117"/>
        <v>262.18434343434342</v>
      </c>
      <c r="AE808" s="25">
        <f t="shared" si="118"/>
        <v>257.44324970131424</v>
      </c>
      <c r="AF808" s="25">
        <f t="shared" si="119"/>
        <v>342.86616161616161</v>
      </c>
      <c r="AG808" s="25">
        <f t="shared" si="120"/>
        <v>228.44173441734415</v>
      </c>
      <c r="AH808" s="25">
        <f t="shared" si="121"/>
        <v>309.68434343434348</v>
      </c>
      <c r="AI808" s="25">
        <f t="shared" si="122"/>
        <v>671.74432497013152</v>
      </c>
    </row>
    <row r="809" spans="1:35" ht="15.75" customHeight="1">
      <c r="A809" s="12" t="s">
        <v>675</v>
      </c>
      <c r="B809" s="12" t="s">
        <v>676</v>
      </c>
      <c r="C809" s="12" t="s">
        <v>232</v>
      </c>
      <c r="D809" s="12" t="s">
        <v>33</v>
      </c>
      <c r="E809" s="12" t="s">
        <v>27</v>
      </c>
      <c r="F809" s="13">
        <v>2.7777777777777777</v>
      </c>
      <c r="G809" s="14">
        <v>228.84444444444446</v>
      </c>
      <c r="H809" s="24" t="str">
        <f t="shared" si="115"/>
        <v>RJSP</v>
      </c>
      <c r="I809" s="24" t="str">
        <f t="shared" si="123"/>
        <v>RJMG</v>
      </c>
      <c r="J809" s="24" t="str">
        <f t="shared" si="123"/>
        <v>RJES</v>
      </c>
      <c r="K809" s="24" t="str">
        <f t="shared" si="123"/>
        <v>RJSC</v>
      </c>
      <c r="L809" s="24" t="str">
        <f t="shared" si="123"/>
        <v>RJRJ</v>
      </c>
      <c r="M809" s="24" t="str">
        <f t="shared" si="123"/>
        <v>RJPR</v>
      </c>
      <c r="N809" s="24" t="str">
        <f t="shared" si="123"/>
        <v>RJAM</v>
      </c>
      <c r="O809" s="24">
        <f>VLOOKUP(H809, KM!$A:$E, 5, 0)</f>
        <v>429</v>
      </c>
      <c r="P809" s="24">
        <f>VLOOKUP(I809, KM!$A:$E, 5, 0)</f>
        <v>434</v>
      </c>
      <c r="Q809" s="24">
        <f>VLOOKUP(J809, KM!$A:$E, 5, 0)</f>
        <v>521</v>
      </c>
      <c r="R809" s="24">
        <f>VLOOKUP(K809, KM!$A:$E, 5, 0)</f>
        <v>1144</v>
      </c>
      <c r="S809" s="24">
        <f>VLOOKUP(L809, KM!$A:$E, 5, 0)</f>
        <v>0</v>
      </c>
      <c r="T809" s="24">
        <f>VLOOKUP(M809, KM!$A:$E, 5, 0)</f>
        <v>852</v>
      </c>
      <c r="U809" s="24">
        <f>VLOOKUP(N809, KM!$A:$E, 5, 0)</f>
        <v>4374</v>
      </c>
      <c r="V809" s="24">
        <f>VLOOKUP(H809, IMPOSTO!$A:$D, 4, 0)</f>
        <v>0.12</v>
      </c>
      <c r="W809" s="24">
        <f>VLOOKUP(I809, IMPOSTO!$A:$D, 4, 0)</f>
        <v>0.12</v>
      </c>
      <c r="X809" s="24">
        <f>VLOOKUP(J809, IMPOSTO!$A:$D, 4, 0)</f>
        <v>7.0000000000000007E-2</v>
      </c>
      <c r="Y809" s="24">
        <f>VLOOKUP(K809, IMPOSTO!$A:$D, 4, 0)</f>
        <v>0.12</v>
      </c>
      <c r="Z809" s="24">
        <f>VLOOKUP(L809, IMPOSTO!$A:$D, 4, 0)</f>
        <v>0.18</v>
      </c>
      <c r="AA809" s="24">
        <f>VLOOKUP(M809, IMPOSTO!$A:$D, 4, 0)</f>
        <v>0.12</v>
      </c>
      <c r="AB809" s="24">
        <f>VLOOKUP(N809, IMPOSTO!$A:$D, 4, 0)</f>
        <v>7.0000000000000007E-2</v>
      </c>
      <c r="AC809" s="25">
        <f t="shared" si="116"/>
        <v>308.80050505050508</v>
      </c>
      <c r="AD809" s="25">
        <f t="shared" si="117"/>
        <v>309.36868686868689</v>
      </c>
      <c r="AE809" s="25">
        <f t="shared" si="118"/>
        <v>302.09080047789729</v>
      </c>
      <c r="AF809" s="25">
        <f t="shared" si="119"/>
        <v>390.05050505050508</v>
      </c>
      <c r="AG809" s="25">
        <f t="shared" si="120"/>
        <v>279.07859078590786</v>
      </c>
      <c r="AH809" s="25">
        <f t="shared" si="121"/>
        <v>356.86868686868689</v>
      </c>
      <c r="AI809" s="25">
        <f t="shared" si="122"/>
        <v>716.39187574671462</v>
      </c>
    </row>
    <row r="810" spans="1:35" ht="15.75" customHeight="1">
      <c r="A810" s="12" t="s">
        <v>677</v>
      </c>
      <c r="B810" s="12" t="s">
        <v>678</v>
      </c>
      <c r="C810" s="12" t="s">
        <v>169</v>
      </c>
      <c r="D810" s="12" t="s">
        <v>33</v>
      </c>
      <c r="E810" s="12" t="s">
        <v>27</v>
      </c>
      <c r="F810" s="13">
        <v>6</v>
      </c>
      <c r="G810" s="14">
        <v>241.38000000000002</v>
      </c>
      <c r="H810" s="24" t="str">
        <f t="shared" si="115"/>
        <v>RJSP</v>
      </c>
      <c r="I810" s="24" t="str">
        <f t="shared" si="123"/>
        <v>RJMG</v>
      </c>
      <c r="J810" s="24" t="str">
        <f t="shared" si="123"/>
        <v>RJES</v>
      </c>
      <c r="K810" s="24" t="str">
        <f t="shared" si="123"/>
        <v>RJSC</v>
      </c>
      <c r="L810" s="24" t="str">
        <f t="shared" si="123"/>
        <v>RJRJ</v>
      </c>
      <c r="M810" s="24" t="str">
        <f t="shared" si="123"/>
        <v>RJPR</v>
      </c>
      <c r="N810" s="24" t="str">
        <f t="shared" si="123"/>
        <v>RJAM</v>
      </c>
      <c r="O810" s="24">
        <f>VLOOKUP(H810, KM!$A:$E, 5, 0)</f>
        <v>429</v>
      </c>
      <c r="P810" s="24">
        <f>VLOOKUP(I810, KM!$A:$E, 5, 0)</f>
        <v>434</v>
      </c>
      <c r="Q810" s="24">
        <f>VLOOKUP(J810, KM!$A:$E, 5, 0)</f>
        <v>521</v>
      </c>
      <c r="R810" s="24">
        <f>VLOOKUP(K810, KM!$A:$E, 5, 0)</f>
        <v>1144</v>
      </c>
      <c r="S810" s="24">
        <f>VLOOKUP(L810, KM!$A:$E, 5, 0)</f>
        <v>0</v>
      </c>
      <c r="T810" s="24">
        <f>VLOOKUP(M810, KM!$A:$E, 5, 0)</f>
        <v>852</v>
      </c>
      <c r="U810" s="24">
        <f>VLOOKUP(N810, KM!$A:$E, 5, 0)</f>
        <v>4374</v>
      </c>
      <c r="V810" s="24">
        <f>VLOOKUP(H810, IMPOSTO!$A:$D, 4, 0)</f>
        <v>0.12</v>
      </c>
      <c r="W810" s="24">
        <f>VLOOKUP(I810, IMPOSTO!$A:$D, 4, 0)</f>
        <v>0.12</v>
      </c>
      <c r="X810" s="24">
        <f>VLOOKUP(J810, IMPOSTO!$A:$D, 4, 0)</f>
        <v>7.0000000000000007E-2</v>
      </c>
      <c r="Y810" s="24">
        <f>VLOOKUP(K810, IMPOSTO!$A:$D, 4, 0)</f>
        <v>0.12</v>
      </c>
      <c r="Z810" s="24">
        <f>VLOOKUP(L810, IMPOSTO!$A:$D, 4, 0)</f>
        <v>0.18</v>
      </c>
      <c r="AA810" s="24">
        <f>VLOOKUP(M810, IMPOSTO!$A:$D, 4, 0)</f>
        <v>0.12</v>
      </c>
      <c r="AB810" s="24">
        <f>VLOOKUP(N810, IMPOSTO!$A:$D, 4, 0)</f>
        <v>7.0000000000000007E-2</v>
      </c>
      <c r="AC810" s="25">
        <f t="shared" si="116"/>
        <v>323.04545454545456</v>
      </c>
      <c r="AD810" s="25">
        <f t="shared" si="117"/>
        <v>323.61363636363637</v>
      </c>
      <c r="AE810" s="25">
        <f t="shared" si="118"/>
        <v>315.56989247311833</v>
      </c>
      <c r="AF810" s="25">
        <f t="shared" si="119"/>
        <v>404.29545454545456</v>
      </c>
      <c r="AG810" s="25">
        <f t="shared" si="120"/>
        <v>294.36585365853659</v>
      </c>
      <c r="AH810" s="25">
        <f t="shared" si="121"/>
        <v>371.11363636363643</v>
      </c>
      <c r="AI810" s="25">
        <f t="shared" si="122"/>
        <v>729.8709677419356</v>
      </c>
    </row>
    <row r="811" spans="1:35" ht="15.75" customHeight="1">
      <c r="A811" s="12" t="s">
        <v>475</v>
      </c>
      <c r="B811" s="12" t="s">
        <v>476</v>
      </c>
      <c r="C811" s="12" t="s">
        <v>232</v>
      </c>
      <c r="D811" s="12" t="s">
        <v>33</v>
      </c>
      <c r="E811" s="12" t="s">
        <v>27</v>
      </c>
      <c r="F811" s="13">
        <v>5</v>
      </c>
      <c r="G811" s="14">
        <v>371.89</v>
      </c>
      <c r="H811" s="24" t="str">
        <f t="shared" si="115"/>
        <v>RJSP</v>
      </c>
      <c r="I811" s="24" t="str">
        <f t="shared" si="123"/>
        <v>RJMG</v>
      </c>
      <c r="J811" s="24" t="str">
        <f t="shared" si="123"/>
        <v>RJES</v>
      </c>
      <c r="K811" s="24" t="str">
        <f t="shared" si="123"/>
        <v>RJSC</v>
      </c>
      <c r="L811" s="24" t="str">
        <f t="shared" si="123"/>
        <v>RJRJ</v>
      </c>
      <c r="M811" s="24" t="str">
        <f t="shared" si="123"/>
        <v>RJPR</v>
      </c>
      <c r="N811" s="24" t="str">
        <f t="shared" si="123"/>
        <v>RJAM</v>
      </c>
      <c r="O811" s="24">
        <f>VLOOKUP(H811, KM!$A:$E, 5, 0)</f>
        <v>429</v>
      </c>
      <c r="P811" s="24">
        <f>VLOOKUP(I811, KM!$A:$E, 5, 0)</f>
        <v>434</v>
      </c>
      <c r="Q811" s="24">
        <f>VLOOKUP(J811, KM!$A:$E, 5, 0)</f>
        <v>521</v>
      </c>
      <c r="R811" s="24">
        <f>VLOOKUP(K811, KM!$A:$E, 5, 0)</f>
        <v>1144</v>
      </c>
      <c r="S811" s="24">
        <f>VLOOKUP(L811, KM!$A:$E, 5, 0)</f>
        <v>0</v>
      </c>
      <c r="T811" s="24">
        <f>VLOOKUP(M811, KM!$A:$E, 5, 0)</f>
        <v>852</v>
      </c>
      <c r="U811" s="24">
        <f>VLOOKUP(N811, KM!$A:$E, 5, 0)</f>
        <v>4374</v>
      </c>
      <c r="V811" s="24">
        <f>VLOOKUP(H811, IMPOSTO!$A:$D, 4, 0)</f>
        <v>0.12</v>
      </c>
      <c r="W811" s="24">
        <f>VLOOKUP(I811, IMPOSTO!$A:$D, 4, 0)</f>
        <v>0.12</v>
      </c>
      <c r="X811" s="24">
        <f>VLOOKUP(J811, IMPOSTO!$A:$D, 4, 0)</f>
        <v>7.0000000000000007E-2</v>
      </c>
      <c r="Y811" s="24">
        <f>VLOOKUP(K811, IMPOSTO!$A:$D, 4, 0)</f>
        <v>0.12</v>
      </c>
      <c r="Z811" s="24">
        <f>VLOOKUP(L811, IMPOSTO!$A:$D, 4, 0)</f>
        <v>0.18</v>
      </c>
      <c r="AA811" s="24">
        <f>VLOOKUP(M811, IMPOSTO!$A:$D, 4, 0)</f>
        <v>0.12</v>
      </c>
      <c r="AB811" s="24">
        <f>VLOOKUP(N811, IMPOSTO!$A:$D, 4, 0)</f>
        <v>7.0000000000000007E-2</v>
      </c>
      <c r="AC811" s="25">
        <f t="shared" si="116"/>
        <v>471.35227272727269</v>
      </c>
      <c r="AD811" s="25">
        <f t="shared" si="117"/>
        <v>471.9204545454545</v>
      </c>
      <c r="AE811" s="25">
        <f t="shared" si="118"/>
        <v>455.90322580645164</v>
      </c>
      <c r="AF811" s="25">
        <f t="shared" si="119"/>
        <v>552.60227272727263</v>
      </c>
      <c r="AG811" s="25">
        <f t="shared" si="120"/>
        <v>453.52439024390236</v>
      </c>
      <c r="AH811" s="25">
        <f t="shared" si="121"/>
        <v>519.4204545454545</v>
      </c>
      <c r="AI811" s="25">
        <f t="shared" si="122"/>
        <v>870.20430107526886</v>
      </c>
    </row>
    <row r="812" spans="1:35" ht="15.75" customHeight="1">
      <c r="A812" s="12" t="s">
        <v>605</v>
      </c>
      <c r="B812" s="12" t="s">
        <v>606</v>
      </c>
      <c r="C812" s="12" t="s">
        <v>192</v>
      </c>
      <c r="D812" s="12" t="s">
        <v>33</v>
      </c>
      <c r="E812" s="12" t="s">
        <v>27</v>
      </c>
      <c r="F812" s="13">
        <v>3.333333333333333</v>
      </c>
      <c r="G812" s="14">
        <v>32.973333333333329</v>
      </c>
      <c r="H812" s="24" t="str">
        <f t="shared" si="115"/>
        <v>RJSP</v>
      </c>
      <c r="I812" s="24" t="str">
        <f t="shared" si="123"/>
        <v>RJMG</v>
      </c>
      <c r="J812" s="24" t="str">
        <f t="shared" si="123"/>
        <v>RJES</v>
      </c>
      <c r="K812" s="24" t="str">
        <f t="shared" si="123"/>
        <v>RJSC</v>
      </c>
      <c r="L812" s="24" t="str">
        <f t="shared" si="123"/>
        <v>RJRJ</v>
      </c>
      <c r="M812" s="24" t="str">
        <f t="shared" si="123"/>
        <v>RJPR</v>
      </c>
      <c r="N812" s="24" t="str">
        <f t="shared" si="123"/>
        <v>RJAM</v>
      </c>
      <c r="O812" s="24">
        <f>VLOOKUP(H812, KM!$A:$E, 5, 0)</f>
        <v>429</v>
      </c>
      <c r="P812" s="24">
        <f>VLOOKUP(I812, KM!$A:$E, 5, 0)</f>
        <v>434</v>
      </c>
      <c r="Q812" s="24">
        <f>VLOOKUP(J812, KM!$A:$E, 5, 0)</f>
        <v>521</v>
      </c>
      <c r="R812" s="24">
        <f>VLOOKUP(K812, KM!$A:$E, 5, 0)</f>
        <v>1144</v>
      </c>
      <c r="S812" s="24">
        <f>VLOOKUP(L812, KM!$A:$E, 5, 0)</f>
        <v>0</v>
      </c>
      <c r="T812" s="24">
        <f>VLOOKUP(M812, KM!$A:$E, 5, 0)</f>
        <v>852</v>
      </c>
      <c r="U812" s="24">
        <f>VLOOKUP(N812, KM!$A:$E, 5, 0)</f>
        <v>4374</v>
      </c>
      <c r="V812" s="24">
        <f>VLOOKUP(H812, IMPOSTO!$A:$D, 4, 0)</f>
        <v>0.12</v>
      </c>
      <c r="W812" s="24">
        <f>VLOOKUP(I812, IMPOSTO!$A:$D, 4, 0)</f>
        <v>0.12</v>
      </c>
      <c r="X812" s="24">
        <f>VLOOKUP(J812, IMPOSTO!$A:$D, 4, 0)</f>
        <v>7.0000000000000007E-2</v>
      </c>
      <c r="Y812" s="24">
        <f>VLOOKUP(K812, IMPOSTO!$A:$D, 4, 0)</f>
        <v>0.12</v>
      </c>
      <c r="Z812" s="24">
        <f>VLOOKUP(L812, IMPOSTO!$A:$D, 4, 0)</f>
        <v>0.18</v>
      </c>
      <c r="AA812" s="24">
        <f>VLOOKUP(M812, IMPOSTO!$A:$D, 4, 0)</f>
        <v>0.12</v>
      </c>
      <c r="AB812" s="24">
        <f>VLOOKUP(N812, IMPOSTO!$A:$D, 4, 0)</f>
        <v>7.0000000000000007E-2</v>
      </c>
      <c r="AC812" s="25">
        <f t="shared" si="116"/>
        <v>86.219696969696969</v>
      </c>
      <c r="AD812" s="25">
        <f t="shared" si="117"/>
        <v>86.787878787878796</v>
      </c>
      <c r="AE812" s="25">
        <f t="shared" si="118"/>
        <v>91.476702508960571</v>
      </c>
      <c r="AF812" s="25">
        <f t="shared" si="119"/>
        <v>167.46969696969697</v>
      </c>
      <c r="AG812" s="25">
        <f t="shared" si="120"/>
        <v>40.211382113821131</v>
      </c>
      <c r="AH812" s="25">
        <f t="shared" si="121"/>
        <v>134.28787878787878</v>
      </c>
      <c r="AI812" s="25">
        <f t="shared" si="122"/>
        <v>505.77777777777783</v>
      </c>
    </row>
    <row r="813" spans="1:35" ht="15.75" customHeight="1">
      <c r="A813" s="12" t="s">
        <v>679</v>
      </c>
      <c r="B813" s="12" t="s">
        <v>680</v>
      </c>
      <c r="C813" s="12" t="s">
        <v>122</v>
      </c>
      <c r="D813" s="12" t="s">
        <v>33</v>
      </c>
      <c r="E813" s="12" t="s">
        <v>27</v>
      </c>
      <c r="F813" s="13">
        <v>6271.0000000000009</v>
      </c>
      <c r="G813" s="14">
        <v>163206.13755942506</v>
      </c>
      <c r="H813" s="24" t="str">
        <f t="shared" si="115"/>
        <v>RJSP</v>
      </c>
      <c r="I813" s="24" t="str">
        <f t="shared" si="123"/>
        <v>RJMG</v>
      </c>
      <c r="J813" s="24" t="str">
        <f t="shared" si="123"/>
        <v>RJES</v>
      </c>
      <c r="K813" s="24" t="str">
        <f t="shared" si="123"/>
        <v>RJSC</v>
      </c>
      <c r="L813" s="24" t="str">
        <f t="shared" si="123"/>
        <v>RJRJ</v>
      </c>
      <c r="M813" s="24" t="str">
        <f t="shared" si="123"/>
        <v>RJPR</v>
      </c>
      <c r="N813" s="24" t="str">
        <f t="shared" si="123"/>
        <v>RJAM</v>
      </c>
      <c r="O813" s="24">
        <f>VLOOKUP(H813, KM!$A:$E, 5, 0)</f>
        <v>429</v>
      </c>
      <c r="P813" s="24">
        <f>VLOOKUP(I813, KM!$A:$E, 5, 0)</f>
        <v>434</v>
      </c>
      <c r="Q813" s="24">
        <f>VLOOKUP(J813, KM!$A:$E, 5, 0)</f>
        <v>521</v>
      </c>
      <c r="R813" s="24">
        <f>VLOOKUP(K813, KM!$A:$E, 5, 0)</f>
        <v>1144</v>
      </c>
      <c r="S813" s="24">
        <f>VLOOKUP(L813, KM!$A:$E, 5, 0)</f>
        <v>0</v>
      </c>
      <c r="T813" s="24">
        <f>VLOOKUP(M813, KM!$A:$E, 5, 0)</f>
        <v>852</v>
      </c>
      <c r="U813" s="24">
        <f>VLOOKUP(N813, KM!$A:$E, 5, 0)</f>
        <v>4374</v>
      </c>
      <c r="V813" s="24">
        <f>VLOOKUP(H813, IMPOSTO!$A:$D, 4, 0)</f>
        <v>0.12</v>
      </c>
      <c r="W813" s="24">
        <f>VLOOKUP(I813, IMPOSTO!$A:$D, 4, 0)</f>
        <v>0.12</v>
      </c>
      <c r="X813" s="24">
        <f>VLOOKUP(J813, IMPOSTO!$A:$D, 4, 0)</f>
        <v>7.0000000000000007E-2</v>
      </c>
      <c r="Y813" s="24">
        <f>VLOOKUP(K813, IMPOSTO!$A:$D, 4, 0)</f>
        <v>0.12</v>
      </c>
      <c r="Z813" s="24">
        <f>VLOOKUP(L813, IMPOSTO!$A:$D, 4, 0)</f>
        <v>0.18</v>
      </c>
      <c r="AA813" s="24">
        <f>VLOOKUP(M813, IMPOSTO!$A:$D, 4, 0)</f>
        <v>0.12</v>
      </c>
      <c r="AB813" s="24">
        <f>VLOOKUP(N813, IMPOSTO!$A:$D, 4, 0)</f>
        <v>7.0000000000000007E-2</v>
      </c>
      <c r="AC813" s="25">
        <f t="shared" si="116"/>
        <v>185510.2699538921</v>
      </c>
      <c r="AD813" s="25">
        <f t="shared" si="117"/>
        <v>185510.83813571028</v>
      </c>
      <c r="AE813" s="25">
        <f t="shared" si="118"/>
        <v>175546.4919993818</v>
      </c>
      <c r="AF813" s="25">
        <f t="shared" si="119"/>
        <v>185591.5199538921</v>
      </c>
      <c r="AG813" s="25">
        <f t="shared" si="120"/>
        <v>199031.87507246956</v>
      </c>
      <c r="AH813" s="25">
        <f t="shared" si="121"/>
        <v>185558.33813571031</v>
      </c>
      <c r="AI813" s="25">
        <f t="shared" si="122"/>
        <v>175960.7930746506</v>
      </c>
    </row>
    <row r="814" spans="1:35" ht="15.75" customHeight="1">
      <c r="A814" s="12" t="s">
        <v>233</v>
      </c>
      <c r="B814" s="12" t="s">
        <v>234</v>
      </c>
      <c r="C814" s="12" t="s">
        <v>232</v>
      </c>
      <c r="D814" s="12" t="s">
        <v>33</v>
      </c>
      <c r="E814" s="12" t="s">
        <v>27</v>
      </c>
      <c r="F814" s="13">
        <v>2.96</v>
      </c>
      <c r="G814" s="14">
        <v>116.33786666666668</v>
      </c>
      <c r="H814" s="24" t="str">
        <f t="shared" si="115"/>
        <v>RJSP</v>
      </c>
      <c r="I814" s="24" t="str">
        <f t="shared" si="123"/>
        <v>RJMG</v>
      </c>
      <c r="J814" s="24" t="str">
        <f t="shared" si="123"/>
        <v>RJES</v>
      </c>
      <c r="K814" s="24" t="str">
        <f t="shared" si="123"/>
        <v>RJSC</v>
      </c>
      <c r="L814" s="24" t="str">
        <f t="shared" si="123"/>
        <v>RJRJ</v>
      </c>
      <c r="M814" s="24" t="str">
        <f t="shared" si="123"/>
        <v>RJPR</v>
      </c>
      <c r="N814" s="24" t="str">
        <f t="shared" si="123"/>
        <v>RJAM</v>
      </c>
      <c r="O814" s="24">
        <f>VLOOKUP(H814, KM!$A:$E, 5, 0)</f>
        <v>429</v>
      </c>
      <c r="P814" s="24">
        <f>VLOOKUP(I814, KM!$A:$E, 5, 0)</f>
        <v>434</v>
      </c>
      <c r="Q814" s="24">
        <f>VLOOKUP(J814, KM!$A:$E, 5, 0)</f>
        <v>521</v>
      </c>
      <c r="R814" s="24">
        <f>VLOOKUP(K814, KM!$A:$E, 5, 0)</f>
        <v>1144</v>
      </c>
      <c r="S814" s="24">
        <f>VLOOKUP(L814, KM!$A:$E, 5, 0)</f>
        <v>0</v>
      </c>
      <c r="T814" s="24">
        <f>VLOOKUP(M814, KM!$A:$E, 5, 0)</f>
        <v>852</v>
      </c>
      <c r="U814" s="24">
        <f>VLOOKUP(N814, KM!$A:$E, 5, 0)</f>
        <v>4374</v>
      </c>
      <c r="V814" s="24">
        <f>VLOOKUP(H814, IMPOSTO!$A:$D, 4, 0)</f>
        <v>0.12</v>
      </c>
      <c r="W814" s="24">
        <f>VLOOKUP(I814, IMPOSTO!$A:$D, 4, 0)</f>
        <v>0.12</v>
      </c>
      <c r="X814" s="24">
        <f>VLOOKUP(J814, IMPOSTO!$A:$D, 4, 0)</f>
        <v>7.0000000000000007E-2</v>
      </c>
      <c r="Y814" s="24">
        <f>VLOOKUP(K814, IMPOSTO!$A:$D, 4, 0)</f>
        <v>0.12</v>
      </c>
      <c r="Z814" s="24">
        <f>VLOOKUP(L814, IMPOSTO!$A:$D, 4, 0)</f>
        <v>0.18</v>
      </c>
      <c r="AA814" s="24">
        <f>VLOOKUP(M814, IMPOSTO!$A:$D, 4, 0)</f>
        <v>0.12</v>
      </c>
      <c r="AB814" s="24">
        <f>VLOOKUP(N814, IMPOSTO!$A:$D, 4, 0)</f>
        <v>7.0000000000000007E-2</v>
      </c>
      <c r="AC814" s="25">
        <f t="shared" si="116"/>
        <v>180.95212121212123</v>
      </c>
      <c r="AD814" s="25">
        <f t="shared" si="117"/>
        <v>181.52030303030307</v>
      </c>
      <c r="AE814" s="25">
        <f t="shared" si="118"/>
        <v>181.11598566308245</v>
      </c>
      <c r="AF814" s="25">
        <f t="shared" si="119"/>
        <v>262.20212121212126</v>
      </c>
      <c r="AG814" s="25">
        <f t="shared" si="120"/>
        <v>141.87544715447154</v>
      </c>
      <c r="AH814" s="25">
        <f t="shared" si="121"/>
        <v>229.02030303030304</v>
      </c>
      <c r="AI814" s="25">
        <f t="shared" si="122"/>
        <v>595.41706093189975</v>
      </c>
    </row>
    <row r="815" spans="1:35" ht="15.75" customHeight="1">
      <c r="A815" s="12" t="s">
        <v>233</v>
      </c>
      <c r="B815" s="12" t="s">
        <v>234</v>
      </c>
      <c r="C815" s="12" t="s">
        <v>232</v>
      </c>
      <c r="D815" s="12" t="s">
        <v>33</v>
      </c>
      <c r="E815" s="12" t="s">
        <v>27</v>
      </c>
      <c r="F815" s="13">
        <v>17.266666666666666</v>
      </c>
      <c r="G815" s="14">
        <v>575.62133333333327</v>
      </c>
      <c r="H815" s="24" t="str">
        <f t="shared" si="115"/>
        <v>RJSP</v>
      </c>
      <c r="I815" s="24" t="str">
        <f t="shared" si="123"/>
        <v>RJMG</v>
      </c>
      <c r="J815" s="24" t="str">
        <f t="shared" si="123"/>
        <v>RJES</v>
      </c>
      <c r="K815" s="24" t="str">
        <f t="shared" si="123"/>
        <v>RJSC</v>
      </c>
      <c r="L815" s="24" t="str">
        <f t="shared" si="123"/>
        <v>RJRJ</v>
      </c>
      <c r="M815" s="24" t="str">
        <f t="shared" si="123"/>
        <v>RJPR</v>
      </c>
      <c r="N815" s="24" t="str">
        <f t="shared" si="123"/>
        <v>RJAM</v>
      </c>
      <c r="O815" s="24">
        <f>VLOOKUP(H815, KM!$A:$E, 5, 0)</f>
        <v>429</v>
      </c>
      <c r="P815" s="24">
        <f>VLOOKUP(I815, KM!$A:$E, 5, 0)</f>
        <v>434</v>
      </c>
      <c r="Q815" s="24">
        <f>VLOOKUP(J815, KM!$A:$E, 5, 0)</f>
        <v>521</v>
      </c>
      <c r="R815" s="24">
        <f>VLOOKUP(K815, KM!$A:$E, 5, 0)</f>
        <v>1144</v>
      </c>
      <c r="S815" s="24">
        <f>VLOOKUP(L815, KM!$A:$E, 5, 0)</f>
        <v>0</v>
      </c>
      <c r="T815" s="24">
        <f>VLOOKUP(M815, KM!$A:$E, 5, 0)</f>
        <v>852</v>
      </c>
      <c r="U815" s="24">
        <f>VLOOKUP(N815, KM!$A:$E, 5, 0)</f>
        <v>4374</v>
      </c>
      <c r="V815" s="24">
        <f>VLOOKUP(H815, IMPOSTO!$A:$D, 4, 0)</f>
        <v>0.12</v>
      </c>
      <c r="W815" s="24">
        <f>VLOOKUP(I815, IMPOSTO!$A:$D, 4, 0)</f>
        <v>0.12</v>
      </c>
      <c r="X815" s="24">
        <f>VLOOKUP(J815, IMPOSTO!$A:$D, 4, 0)</f>
        <v>7.0000000000000007E-2</v>
      </c>
      <c r="Y815" s="24">
        <f>VLOOKUP(K815, IMPOSTO!$A:$D, 4, 0)</f>
        <v>0.12</v>
      </c>
      <c r="Z815" s="24">
        <f>VLOOKUP(L815, IMPOSTO!$A:$D, 4, 0)</f>
        <v>0.18</v>
      </c>
      <c r="AA815" s="24">
        <f>VLOOKUP(M815, IMPOSTO!$A:$D, 4, 0)</f>
        <v>0.12</v>
      </c>
      <c r="AB815" s="24">
        <f>VLOOKUP(N815, IMPOSTO!$A:$D, 4, 0)</f>
        <v>7.0000000000000007E-2</v>
      </c>
      <c r="AC815" s="25">
        <f t="shared" si="116"/>
        <v>702.86515151515141</v>
      </c>
      <c r="AD815" s="25">
        <f t="shared" si="117"/>
        <v>703.43333333333328</v>
      </c>
      <c r="AE815" s="25">
        <f t="shared" si="118"/>
        <v>674.96917562724013</v>
      </c>
      <c r="AF815" s="25">
        <f t="shared" si="119"/>
        <v>784.11515151515141</v>
      </c>
      <c r="AG815" s="25">
        <f t="shared" si="120"/>
        <v>701.97723577235763</v>
      </c>
      <c r="AH815" s="25">
        <f t="shared" si="121"/>
        <v>750.93333333333328</v>
      </c>
      <c r="AI815" s="25">
        <f t="shared" si="122"/>
        <v>1089.2702508960574</v>
      </c>
    </row>
    <row r="816" spans="1:35" ht="15.75" customHeight="1">
      <c r="A816" s="12" t="s">
        <v>235</v>
      </c>
      <c r="B816" s="12" t="s">
        <v>236</v>
      </c>
      <c r="C816" s="12" t="s">
        <v>232</v>
      </c>
      <c r="D816" s="12" t="s">
        <v>33</v>
      </c>
      <c r="E816" s="12" t="s">
        <v>27</v>
      </c>
      <c r="F816" s="13">
        <v>5.625</v>
      </c>
      <c r="G816" s="14">
        <v>177.05250000000001</v>
      </c>
      <c r="H816" s="24" t="str">
        <f t="shared" si="115"/>
        <v>RJSP</v>
      </c>
      <c r="I816" s="24" t="str">
        <f t="shared" si="123"/>
        <v>RJMG</v>
      </c>
      <c r="J816" s="24" t="str">
        <f t="shared" si="123"/>
        <v>RJES</v>
      </c>
      <c r="K816" s="24" t="str">
        <f t="shared" si="123"/>
        <v>RJSC</v>
      </c>
      <c r="L816" s="24" t="str">
        <f t="shared" si="123"/>
        <v>RJRJ</v>
      </c>
      <c r="M816" s="24" t="str">
        <f t="shared" si="123"/>
        <v>RJPR</v>
      </c>
      <c r="N816" s="24" t="str">
        <f t="shared" si="123"/>
        <v>RJAM</v>
      </c>
      <c r="O816" s="24">
        <f>VLOOKUP(H816, KM!$A:$E, 5, 0)</f>
        <v>429</v>
      </c>
      <c r="P816" s="24">
        <f>VLOOKUP(I816, KM!$A:$E, 5, 0)</f>
        <v>434</v>
      </c>
      <c r="Q816" s="24">
        <f>VLOOKUP(J816, KM!$A:$E, 5, 0)</f>
        <v>521</v>
      </c>
      <c r="R816" s="24">
        <f>VLOOKUP(K816, KM!$A:$E, 5, 0)</f>
        <v>1144</v>
      </c>
      <c r="S816" s="24">
        <f>VLOOKUP(L816, KM!$A:$E, 5, 0)</f>
        <v>0</v>
      </c>
      <c r="T816" s="24">
        <f>VLOOKUP(M816, KM!$A:$E, 5, 0)</f>
        <v>852</v>
      </c>
      <c r="U816" s="24">
        <f>VLOOKUP(N816, KM!$A:$E, 5, 0)</f>
        <v>4374</v>
      </c>
      <c r="V816" s="24">
        <f>VLOOKUP(H816, IMPOSTO!$A:$D, 4, 0)</f>
        <v>0.12</v>
      </c>
      <c r="W816" s="24">
        <f>VLOOKUP(I816, IMPOSTO!$A:$D, 4, 0)</f>
        <v>0.12</v>
      </c>
      <c r="X816" s="24">
        <f>VLOOKUP(J816, IMPOSTO!$A:$D, 4, 0)</f>
        <v>7.0000000000000007E-2</v>
      </c>
      <c r="Y816" s="24">
        <f>VLOOKUP(K816, IMPOSTO!$A:$D, 4, 0)</f>
        <v>0.12</v>
      </c>
      <c r="Z816" s="24">
        <f>VLOOKUP(L816, IMPOSTO!$A:$D, 4, 0)</f>
        <v>0.18</v>
      </c>
      <c r="AA816" s="24">
        <f>VLOOKUP(M816, IMPOSTO!$A:$D, 4, 0)</f>
        <v>0.12</v>
      </c>
      <c r="AB816" s="24">
        <f>VLOOKUP(N816, IMPOSTO!$A:$D, 4, 0)</f>
        <v>7.0000000000000007E-2</v>
      </c>
      <c r="AC816" s="25">
        <f t="shared" si="116"/>
        <v>249.94602272727275</v>
      </c>
      <c r="AD816" s="25">
        <f t="shared" si="117"/>
        <v>250.51420454545456</v>
      </c>
      <c r="AE816" s="25">
        <f t="shared" si="118"/>
        <v>246.40053763440864</v>
      </c>
      <c r="AF816" s="25">
        <f t="shared" si="119"/>
        <v>331.19602272727269</v>
      </c>
      <c r="AG816" s="25">
        <f t="shared" si="120"/>
        <v>215.91768292682926</v>
      </c>
      <c r="AH816" s="25">
        <f t="shared" si="121"/>
        <v>298.01420454545456</v>
      </c>
      <c r="AI816" s="25">
        <f t="shared" si="122"/>
        <v>660.70161290322596</v>
      </c>
    </row>
    <row r="817" spans="1:35" ht="15.75" customHeight="1">
      <c r="A817" s="12" t="s">
        <v>237</v>
      </c>
      <c r="B817" s="12" t="s">
        <v>238</v>
      </c>
      <c r="C817" s="12" t="s">
        <v>223</v>
      </c>
      <c r="D817" s="12" t="s">
        <v>33</v>
      </c>
      <c r="E817" s="12" t="s">
        <v>27</v>
      </c>
      <c r="F817" s="13">
        <v>24.569444444444443</v>
      </c>
      <c r="G817" s="14">
        <v>900.54767361111101</v>
      </c>
      <c r="H817" s="24" t="str">
        <f t="shared" si="115"/>
        <v>RJSP</v>
      </c>
      <c r="I817" s="24" t="str">
        <f t="shared" si="123"/>
        <v>RJMG</v>
      </c>
      <c r="J817" s="24" t="str">
        <f t="shared" si="123"/>
        <v>RJES</v>
      </c>
      <c r="K817" s="24" t="str">
        <f t="shared" si="123"/>
        <v>RJSC</v>
      </c>
      <c r="L817" s="24" t="str">
        <f t="shared" si="123"/>
        <v>RJRJ</v>
      </c>
      <c r="M817" s="24" t="str">
        <f t="shared" si="123"/>
        <v>RJPR</v>
      </c>
      <c r="N817" s="24" t="str">
        <f t="shared" si="123"/>
        <v>RJAM</v>
      </c>
      <c r="O817" s="24">
        <f>VLOOKUP(H817, KM!$A:$E, 5, 0)</f>
        <v>429</v>
      </c>
      <c r="P817" s="24">
        <f>VLOOKUP(I817, KM!$A:$E, 5, 0)</f>
        <v>434</v>
      </c>
      <c r="Q817" s="24">
        <f>VLOOKUP(J817, KM!$A:$E, 5, 0)</f>
        <v>521</v>
      </c>
      <c r="R817" s="24">
        <f>VLOOKUP(K817, KM!$A:$E, 5, 0)</f>
        <v>1144</v>
      </c>
      <c r="S817" s="24">
        <f>VLOOKUP(L817, KM!$A:$E, 5, 0)</f>
        <v>0</v>
      </c>
      <c r="T817" s="24">
        <f>VLOOKUP(M817, KM!$A:$E, 5, 0)</f>
        <v>852</v>
      </c>
      <c r="U817" s="24">
        <f>VLOOKUP(N817, KM!$A:$E, 5, 0)</f>
        <v>4374</v>
      </c>
      <c r="V817" s="24">
        <f>VLOOKUP(H817, IMPOSTO!$A:$D, 4, 0)</f>
        <v>0.12</v>
      </c>
      <c r="W817" s="24">
        <f>VLOOKUP(I817, IMPOSTO!$A:$D, 4, 0)</f>
        <v>0.12</v>
      </c>
      <c r="X817" s="24">
        <f>VLOOKUP(J817, IMPOSTO!$A:$D, 4, 0)</f>
        <v>7.0000000000000007E-2</v>
      </c>
      <c r="Y817" s="24">
        <f>VLOOKUP(K817, IMPOSTO!$A:$D, 4, 0)</f>
        <v>0.12</v>
      </c>
      <c r="Z817" s="24">
        <f>VLOOKUP(L817, IMPOSTO!$A:$D, 4, 0)</f>
        <v>0.18</v>
      </c>
      <c r="AA817" s="24">
        <f>VLOOKUP(M817, IMPOSTO!$A:$D, 4, 0)</f>
        <v>0.12</v>
      </c>
      <c r="AB817" s="24">
        <f>VLOOKUP(N817, IMPOSTO!$A:$D, 4, 0)</f>
        <v>7.0000000000000007E-2</v>
      </c>
      <c r="AC817" s="25">
        <f t="shared" si="116"/>
        <v>1072.0996291035351</v>
      </c>
      <c r="AD817" s="25">
        <f t="shared" si="117"/>
        <v>1072.6678109217171</v>
      </c>
      <c r="AE817" s="25">
        <f t="shared" si="118"/>
        <v>1024.3523372162485</v>
      </c>
      <c r="AF817" s="25">
        <f t="shared" si="119"/>
        <v>1153.3496291035351</v>
      </c>
      <c r="AG817" s="25">
        <f t="shared" si="120"/>
        <v>1098.2288702574524</v>
      </c>
      <c r="AH817" s="25">
        <f t="shared" si="121"/>
        <v>1120.1678109217171</v>
      </c>
      <c r="AI817" s="25">
        <f t="shared" si="122"/>
        <v>1438.6534124850657</v>
      </c>
    </row>
    <row r="818" spans="1:35" ht="15.75" customHeight="1">
      <c r="A818" s="12" t="s">
        <v>481</v>
      </c>
      <c r="B818" s="12" t="s">
        <v>482</v>
      </c>
      <c r="C818" s="12" t="s">
        <v>81</v>
      </c>
      <c r="D818" s="12" t="s">
        <v>50</v>
      </c>
      <c r="E818" s="12" t="s">
        <v>27</v>
      </c>
      <c r="F818" s="13">
        <v>1.0598763523956725</v>
      </c>
      <c r="G818" s="14">
        <v>109.12791764892913</v>
      </c>
      <c r="H818" s="24" t="str">
        <f t="shared" si="115"/>
        <v>RJSP</v>
      </c>
      <c r="I818" s="24" t="str">
        <f t="shared" si="123"/>
        <v>RJMG</v>
      </c>
      <c r="J818" s="24" t="str">
        <f t="shared" si="123"/>
        <v>RJES</v>
      </c>
      <c r="K818" s="24" t="str">
        <f t="shared" si="123"/>
        <v>RJSC</v>
      </c>
      <c r="L818" s="24" t="str">
        <f t="shared" si="123"/>
        <v>RJRJ</v>
      </c>
      <c r="M818" s="24" t="str">
        <f t="shared" si="123"/>
        <v>RJPR</v>
      </c>
      <c r="N818" s="24" t="str">
        <f t="shared" si="123"/>
        <v>RJAM</v>
      </c>
      <c r="O818" s="24">
        <f>VLOOKUP(H818, KM!$A:$E, 5, 0)</f>
        <v>429</v>
      </c>
      <c r="P818" s="24">
        <f>VLOOKUP(I818, KM!$A:$E, 5, 0)</f>
        <v>434</v>
      </c>
      <c r="Q818" s="24">
        <f>VLOOKUP(J818, KM!$A:$E, 5, 0)</f>
        <v>521</v>
      </c>
      <c r="R818" s="24">
        <f>VLOOKUP(K818, KM!$A:$E, 5, 0)</f>
        <v>1144</v>
      </c>
      <c r="S818" s="24">
        <f>VLOOKUP(L818, KM!$A:$E, 5, 0)</f>
        <v>0</v>
      </c>
      <c r="T818" s="24">
        <f>VLOOKUP(M818, KM!$A:$E, 5, 0)</f>
        <v>852</v>
      </c>
      <c r="U818" s="24">
        <f>VLOOKUP(N818, KM!$A:$E, 5, 0)</f>
        <v>4374</v>
      </c>
      <c r="V818" s="24">
        <f>VLOOKUP(H818, IMPOSTO!$A:$D, 4, 0)</f>
        <v>0.12</v>
      </c>
      <c r="W818" s="24">
        <f>VLOOKUP(I818, IMPOSTO!$A:$D, 4, 0)</f>
        <v>0.12</v>
      </c>
      <c r="X818" s="24">
        <f>VLOOKUP(J818, IMPOSTO!$A:$D, 4, 0)</f>
        <v>7.0000000000000007E-2</v>
      </c>
      <c r="Y818" s="24">
        <f>VLOOKUP(K818, IMPOSTO!$A:$D, 4, 0)</f>
        <v>0.12</v>
      </c>
      <c r="Z818" s="24">
        <f>VLOOKUP(L818, IMPOSTO!$A:$D, 4, 0)</f>
        <v>0.18</v>
      </c>
      <c r="AA818" s="24">
        <f>VLOOKUP(M818, IMPOSTO!$A:$D, 4, 0)</f>
        <v>0.12</v>
      </c>
      <c r="AB818" s="24">
        <f>VLOOKUP(N818, IMPOSTO!$A:$D, 4, 0)</f>
        <v>7.0000000000000007E-2</v>
      </c>
      <c r="AC818" s="25">
        <f t="shared" si="116"/>
        <v>172.75899732832855</v>
      </c>
      <c r="AD818" s="25">
        <f t="shared" si="117"/>
        <v>173.32717914651039</v>
      </c>
      <c r="AE818" s="25">
        <f t="shared" si="118"/>
        <v>173.36335231067648</v>
      </c>
      <c r="AF818" s="25">
        <f t="shared" si="119"/>
        <v>254.00899732832855</v>
      </c>
      <c r="AG818" s="25">
        <f t="shared" si="120"/>
        <v>133.08282640113308</v>
      </c>
      <c r="AH818" s="25">
        <f t="shared" si="121"/>
        <v>220.82717914651039</v>
      </c>
      <c r="AI818" s="25">
        <f t="shared" si="122"/>
        <v>587.66442757949369</v>
      </c>
    </row>
    <row r="819" spans="1:35" ht="15.75" customHeight="1">
      <c r="A819" s="12" t="s">
        <v>346</v>
      </c>
      <c r="B819" s="12" t="s">
        <v>347</v>
      </c>
      <c r="C819" s="12" t="s">
        <v>259</v>
      </c>
      <c r="D819" s="12" t="s">
        <v>50</v>
      </c>
      <c r="E819" s="12" t="s">
        <v>27</v>
      </c>
      <c r="F819" s="13">
        <v>0.14885707410972088</v>
      </c>
      <c r="G819" s="14">
        <v>10.111420427333973</v>
      </c>
      <c r="H819" s="24" t="str">
        <f t="shared" si="115"/>
        <v>RJSP</v>
      </c>
      <c r="I819" s="24" t="str">
        <f t="shared" si="123"/>
        <v>RJMG</v>
      </c>
      <c r="J819" s="24" t="str">
        <f t="shared" si="123"/>
        <v>RJES</v>
      </c>
      <c r="K819" s="24" t="str">
        <f t="shared" si="123"/>
        <v>RJSC</v>
      </c>
      <c r="L819" s="24" t="str">
        <f t="shared" si="123"/>
        <v>RJRJ</v>
      </c>
      <c r="M819" s="24" t="str">
        <f t="shared" si="123"/>
        <v>RJPR</v>
      </c>
      <c r="N819" s="24" t="str">
        <f t="shared" si="123"/>
        <v>RJAM</v>
      </c>
      <c r="O819" s="24">
        <f>VLOOKUP(H819, KM!$A:$E, 5, 0)</f>
        <v>429</v>
      </c>
      <c r="P819" s="24">
        <f>VLOOKUP(I819, KM!$A:$E, 5, 0)</f>
        <v>434</v>
      </c>
      <c r="Q819" s="24">
        <f>VLOOKUP(J819, KM!$A:$E, 5, 0)</f>
        <v>521</v>
      </c>
      <c r="R819" s="24">
        <f>VLOOKUP(K819, KM!$A:$E, 5, 0)</f>
        <v>1144</v>
      </c>
      <c r="S819" s="24">
        <f>VLOOKUP(L819, KM!$A:$E, 5, 0)</f>
        <v>0</v>
      </c>
      <c r="T819" s="24">
        <f>VLOOKUP(M819, KM!$A:$E, 5, 0)</f>
        <v>852</v>
      </c>
      <c r="U819" s="24">
        <f>VLOOKUP(N819, KM!$A:$E, 5, 0)</f>
        <v>4374</v>
      </c>
      <c r="V819" s="24">
        <f>VLOOKUP(H819, IMPOSTO!$A:$D, 4, 0)</f>
        <v>0.12</v>
      </c>
      <c r="W819" s="24">
        <f>VLOOKUP(I819, IMPOSTO!$A:$D, 4, 0)</f>
        <v>0.12</v>
      </c>
      <c r="X819" s="24">
        <f>VLOOKUP(J819, IMPOSTO!$A:$D, 4, 0)</f>
        <v>7.0000000000000007E-2</v>
      </c>
      <c r="Y819" s="24">
        <f>VLOOKUP(K819, IMPOSTO!$A:$D, 4, 0)</f>
        <v>0.12</v>
      </c>
      <c r="Z819" s="24">
        <f>VLOOKUP(L819, IMPOSTO!$A:$D, 4, 0)</f>
        <v>0.18</v>
      </c>
      <c r="AA819" s="24">
        <f>VLOOKUP(M819, IMPOSTO!$A:$D, 4, 0)</f>
        <v>0.12</v>
      </c>
      <c r="AB819" s="24">
        <f>VLOOKUP(N819, IMPOSTO!$A:$D, 4, 0)</f>
        <v>7.0000000000000007E-2</v>
      </c>
      <c r="AC819" s="25">
        <f t="shared" si="116"/>
        <v>60.240250485606794</v>
      </c>
      <c r="AD819" s="25">
        <f t="shared" si="117"/>
        <v>60.808432303788614</v>
      </c>
      <c r="AE819" s="25">
        <f t="shared" si="118"/>
        <v>66.894000459498898</v>
      </c>
      <c r="AF819" s="25">
        <f t="shared" si="119"/>
        <v>141.49025048560679</v>
      </c>
      <c r="AG819" s="25">
        <f t="shared" si="120"/>
        <v>12.331000521138991</v>
      </c>
      <c r="AH819" s="25">
        <f t="shared" si="121"/>
        <v>108.30843230378861</v>
      </c>
      <c r="AI819" s="25">
        <f t="shared" si="122"/>
        <v>481.19507572831617</v>
      </c>
    </row>
    <row r="820" spans="1:35" ht="15.75" customHeight="1">
      <c r="A820" s="12" t="s">
        <v>616</v>
      </c>
      <c r="B820" s="12" t="s">
        <v>617</v>
      </c>
      <c r="C820" s="12" t="s">
        <v>135</v>
      </c>
      <c r="D820" s="12" t="s">
        <v>33</v>
      </c>
      <c r="E820" s="12" t="s">
        <v>27</v>
      </c>
      <c r="F820" s="13">
        <v>0.99990000000000001</v>
      </c>
      <c r="G820" s="14">
        <v>19.648035</v>
      </c>
      <c r="H820" s="24" t="str">
        <f t="shared" si="115"/>
        <v>RJSP</v>
      </c>
      <c r="I820" s="24" t="str">
        <f t="shared" si="123"/>
        <v>RJMG</v>
      </c>
      <c r="J820" s="24" t="str">
        <f t="shared" si="123"/>
        <v>RJES</v>
      </c>
      <c r="K820" s="24" t="str">
        <f t="shared" si="123"/>
        <v>RJSC</v>
      </c>
      <c r="L820" s="24" t="str">
        <f t="shared" si="123"/>
        <v>RJRJ</v>
      </c>
      <c r="M820" s="24" t="str">
        <f t="shared" si="123"/>
        <v>RJPR</v>
      </c>
      <c r="N820" s="24" t="str">
        <f t="shared" si="123"/>
        <v>RJAM</v>
      </c>
      <c r="O820" s="24">
        <f>VLOOKUP(H820, KM!$A:$E, 5, 0)</f>
        <v>429</v>
      </c>
      <c r="P820" s="24">
        <f>VLOOKUP(I820, KM!$A:$E, 5, 0)</f>
        <v>434</v>
      </c>
      <c r="Q820" s="24">
        <f>VLOOKUP(J820, KM!$A:$E, 5, 0)</f>
        <v>521</v>
      </c>
      <c r="R820" s="24">
        <f>VLOOKUP(K820, KM!$A:$E, 5, 0)</f>
        <v>1144</v>
      </c>
      <c r="S820" s="24">
        <f>VLOOKUP(L820, KM!$A:$E, 5, 0)</f>
        <v>0</v>
      </c>
      <c r="T820" s="24">
        <f>VLOOKUP(M820, KM!$A:$E, 5, 0)</f>
        <v>852</v>
      </c>
      <c r="U820" s="24">
        <f>VLOOKUP(N820, KM!$A:$E, 5, 0)</f>
        <v>4374</v>
      </c>
      <c r="V820" s="24">
        <f>VLOOKUP(H820, IMPOSTO!$A:$D, 4, 0)</f>
        <v>0.12</v>
      </c>
      <c r="W820" s="24">
        <f>VLOOKUP(I820, IMPOSTO!$A:$D, 4, 0)</f>
        <v>0.12</v>
      </c>
      <c r="X820" s="24">
        <f>VLOOKUP(J820, IMPOSTO!$A:$D, 4, 0)</f>
        <v>7.0000000000000007E-2</v>
      </c>
      <c r="Y820" s="24">
        <f>VLOOKUP(K820, IMPOSTO!$A:$D, 4, 0)</f>
        <v>0.12</v>
      </c>
      <c r="Z820" s="24">
        <f>VLOOKUP(L820, IMPOSTO!$A:$D, 4, 0)</f>
        <v>0.18</v>
      </c>
      <c r="AA820" s="24">
        <f>VLOOKUP(M820, IMPOSTO!$A:$D, 4, 0)</f>
        <v>0.12</v>
      </c>
      <c r="AB820" s="24">
        <f>VLOOKUP(N820, IMPOSTO!$A:$D, 4, 0)</f>
        <v>7.0000000000000007E-2</v>
      </c>
      <c r="AC820" s="25">
        <f t="shared" si="116"/>
        <v>71.077312500000005</v>
      </c>
      <c r="AD820" s="25">
        <f t="shared" si="117"/>
        <v>71.645494318181818</v>
      </c>
      <c r="AE820" s="25">
        <f t="shared" si="118"/>
        <v>77.1484247311828</v>
      </c>
      <c r="AF820" s="25">
        <f t="shared" si="119"/>
        <v>152.32731250000001</v>
      </c>
      <c r="AG820" s="25">
        <f t="shared" si="120"/>
        <v>23.961018292682926</v>
      </c>
      <c r="AH820" s="25">
        <f t="shared" si="121"/>
        <v>119.14549431818183</v>
      </c>
      <c r="AI820" s="25">
        <f t="shared" si="122"/>
        <v>491.44950000000006</v>
      </c>
    </row>
    <row r="821" spans="1:35" ht="15.75" customHeight="1">
      <c r="A821" s="12" t="s">
        <v>310</v>
      </c>
      <c r="B821" s="12" t="s">
        <v>311</v>
      </c>
      <c r="C821" s="12" t="s">
        <v>135</v>
      </c>
      <c r="D821" s="12" t="s">
        <v>33</v>
      </c>
      <c r="E821" s="12" t="s">
        <v>27</v>
      </c>
      <c r="F821" s="13">
        <v>0.99960000000000004</v>
      </c>
      <c r="G821" s="14">
        <v>34.126344000000003</v>
      </c>
      <c r="H821" s="24" t="str">
        <f t="shared" si="115"/>
        <v>RJSP</v>
      </c>
      <c r="I821" s="24" t="str">
        <f t="shared" si="123"/>
        <v>RJMG</v>
      </c>
      <c r="J821" s="24" t="str">
        <f t="shared" si="123"/>
        <v>RJES</v>
      </c>
      <c r="K821" s="24" t="str">
        <f t="shared" si="123"/>
        <v>RJSC</v>
      </c>
      <c r="L821" s="24" t="str">
        <f t="shared" si="123"/>
        <v>RJRJ</v>
      </c>
      <c r="M821" s="24" t="str">
        <f t="shared" si="123"/>
        <v>RJPR</v>
      </c>
      <c r="N821" s="24" t="str">
        <f t="shared" si="123"/>
        <v>RJAM</v>
      </c>
      <c r="O821" s="24">
        <f>VLOOKUP(H821, KM!$A:$E, 5, 0)</f>
        <v>429</v>
      </c>
      <c r="P821" s="24">
        <f>VLOOKUP(I821, KM!$A:$E, 5, 0)</f>
        <v>434</v>
      </c>
      <c r="Q821" s="24">
        <f>VLOOKUP(J821, KM!$A:$E, 5, 0)</f>
        <v>521</v>
      </c>
      <c r="R821" s="24">
        <f>VLOOKUP(K821, KM!$A:$E, 5, 0)</f>
        <v>1144</v>
      </c>
      <c r="S821" s="24">
        <f>VLOOKUP(L821, KM!$A:$E, 5, 0)</f>
        <v>0</v>
      </c>
      <c r="T821" s="24">
        <f>VLOOKUP(M821, KM!$A:$E, 5, 0)</f>
        <v>852</v>
      </c>
      <c r="U821" s="24">
        <f>VLOOKUP(N821, KM!$A:$E, 5, 0)</f>
        <v>4374</v>
      </c>
      <c r="V821" s="24">
        <f>VLOOKUP(H821, IMPOSTO!$A:$D, 4, 0)</f>
        <v>0.12</v>
      </c>
      <c r="W821" s="24">
        <f>VLOOKUP(I821, IMPOSTO!$A:$D, 4, 0)</f>
        <v>0.12</v>
      </c>
      <c r="X821" s="24">
        <f>VLOOKUP(J821, IMPOSTO!$A:$D, 4, 0)</f>
        <v>7.0000000000000007E-2</v>
      </c>
      <c r="Y821" s="24">
        <f>VLOOKUP(K821, IMPOSTO!$A:$D, 4, 0)</f>
        <v>0.12</v>
      </c>
      <c r="Z821" s="24">
        <f>VLOOKUP(L821, IMPOSTO!$A:$D, 4, 0)</f>
        <v>0.18</v>
      </c>
      <c r="AA821" s="24">
        <f>VLOOKUP(M821, IMPOSTO!$A:$D, 4, 0)</f>
        <v>0.12</v>
      </c>
      <c r="AB821" s="24">
        <f>VLOOKUP(N821, IMPOSTO!$A:$D, 4, 0)</f>
        <v>7.0000000000000007E-2</v>
      </c>
      <c r="AC821" s="25">
        <f t="shared" si="116"/>
        <v>87.529936363636367</v>
      </c>
      <c r="AD821" s="25">
        <f t="shared" si="117"/>
        <v>88.098118181818194</v>
      </c>
      <c r="AE821" s="25">
        <f t="shared" si="118"/>
        <v>92.716498924731198</v>
      </c>
      <c r="AF821" s="25">
        <f t="shared" si="119"/>
        <v>168.77993636363635</v>
      </c>
      <c r="AG821" s="25">
        <f t="shared" si="120"/>
        <v>41.61749268292683</v>
      </c>
      <c r="AH821" s="25">
        <f t="shared" si="121"/>
        <v>135.59811818181819</v>
      </c>
      <c r="AI821" s="25">
        <f t="shared" si="122"/>
        <v>507.01757419354846</v>
      </c>
    </row>
    <row r="822" spans="1:35" ht="15.75" customHeight="1">
      <c r="A822" s="12" t="s">
        <v>124</v>
      </c>
      <c r="B822" s="12" t="s">
        <v>125</v>
      </c>
      <c r="C822" s="12" t="s">
        <v>104</v>
      </c>
      <c r="D822" s="12" t="s">
        <v>33</v>
      </c>
      <c r="E822" s="12" t="s">
        <v>27</v>
      </c>
      <c r="F822" s="13">
        <v>5.9993999999999996</v>
      </c>
      <c r="G822" s="14">
        <v>51.744824999999999</v>
      </c>
      <c r="H822" s="24" t="str">
        <f t="shared" si="115"/>
        <v>RJSP</v>
      </c>
      <c r="I822" s="24" t="str">
        <f t="shared" si="123"/>
        <v>RJMG</v>
      </c>
      <c r="J822" s="24" t="str">
        <f t="shared" si="123"/>
        <v>RJES</v>
      </c>
      <c r="K822" s="24" t="str">
        <f t="shared" si="123"/>
        <v>RJSC</v>
      </c>
      <c r="L822" s="24" t="str">
        <f t="shared" si="123"/>
        <v>RJRJ</v>
      </c>
      <c r="M822" s="24" t="str">
        <f t="shared" si="123"/>
        <v>RJPR</v>
      </c>
      <c r="N822" s="24" t="str">
        <f t="shared" si="123"/>
        <v>RJAM</v>
      </c>
      <c r="O822" s="24">
        <f>VLOOKUP(H822, KM!$A:$E, 5, 0)</f>
        <v>429</v>
      </c>
      <c r="P822" s="24">
        <f>VLOOKUP(I822, KM!$A:$E, 5, 0)</f>
        <v>434</v>
      </c>
      <c r="Q822" s="24">
        <f>VLOOKUP(J822, KM!$A:$E, 5, 0)</f>
        <v>521</v>
      </c>
      <c r="R822" s="24">
        <f>VLOOKUP(K822, KM!$A:$E, 5, 0)</f>
        <v>1144</v>
      </c>
      <c r="S822" s="24">
        <f>VLOOKUP(L822, KM!$A:$E, 5, 0)</f>
        <v>0</v>
      </c>
      <c r="T822" s="24">
        <f>VLOOKUP(M822, KM!$A:$E, 5, 0)</f>
        <v>852</v>
      </c>
      <c r="U822" s="24">
        <f>VLOOKUP(N822, KM!$A:$E, 5, 0)</f>
        <v>4374</v>
      </c>
      <c r="V822" s="24">
        <f>VLOOKUP(H822, IMPOSTO!$A:$D, 4, 0)</f>
        <v>0.12</v>
      </c>
      <c r="W822" s="24">
        <f>VLOOKUP(I822, IMPOSTO!$A:$D, 4, 0)</f>
        <v>0.12</v>
      </c>
      <c r="X822" s="24">
        <f>VLOOKUP(J822, IMPOSTO!$A:$D, 4, 0)</f>
        <v>7.0000000000000007E-2</v>
      </c>
      <c r="Y822" s="24">
        <f>VLOOKUP(K822, IMPOSTO!$A:$D, 4, 0)</f>
        <v>0.12</v>
      </c>
      <c r="Z822" s="24">
        <f>VLOOKUP(L822, IMPOSTO!$A:$D, 4, 0)</f>
        <v>0.18</v>
      </c>
      <c r="AA822" s="24">
        <f>VLOOKUP(M822, IMPOSTO!$A:$D, 4, 0)</f>
        <v>0.12</v>
      </c>
      <c r="AB822" s="24">
        <f>VLOOKUP(N822, IMPOSTO!$A:$D, 4, 0)</f>
        <v>7.0000000000000007E-2</v>
      </c>
      <c r="AC822" s="25">
        <f t="shared" si="116"/>
        <v>107.5509375</v>
      </c>
      <c r="AD822" s="25">
        <f t="shared" si="117"/>
        <v>108.11911931818182</v>
      </c>
      <c r="AE822" s="25">
        <f t="shared" si="118"/>
        <v>111.66110215053764</v>
      </c>
      <c r="AF822" s="25">
        <f t="shared" si="119"/>
        <v>188.8009375</v>
      </c>
      <c r="AG822" s="25">
        <f t="shared" si="120"/>
        <v>63.103445121951211</v>
      </c>
      <c r="AH822" s="25">
        <f t="shared" si="121"/>
        <v>155.61911931818182</v>
      </c>
      <c r="AI822" s="25">
        <f t="shared" si="122"/>
        <v>525.96217741935493</v>
      </c>
    </row>
    <row r="823" spans="1:35" ht="15.75" customHeight="1">
      <c r="A823" s="12" t="s">
        <v>315</v>
      </c>
      <c r="B823" s="12" t="s">
        <v>316</v>
      </c>
      <c r="C823" s="12" t="s">
        <v>128</v>
      </c>
      <c r="D823" s="12" t="s">
        <v>33</v>
      </c>
      <c r="E823" s="12" t="s">
        <v>27</v>
      </c>
      <c r="F823" s="13">
        <v>2.9999999999999997E-4</v>
      </c>
      <c r="G823" s="14">
        <v>3.8183999999999996E-2</v>
      </c>
      <c r="H823" s="24" t="str">
        <f t="shared" si="115"/>
        <v>RJSP</v>
      </c>
      <c r="I823" s="24" t="str">
        <f t="shared" si="123"/>
        <v>RJMG</v>
      </c>
      <c r="J823" s="24" t="str">
        <f t="shared" si="123"/>
        <v>RJES</v>
      </c>
      <c r="K823" s="24" t="str">
        <f t="shared" si="123"/>
        <v>RJSC</v>
      </c>
      <c r="L823" s="24" t="str">
        <f t="shared" si="123"/>
        <v>RJRJ</v>
      </c>
      <c r="M823" s="24" t="str">
        <f t="shared" si="123"/>
        <v>RJPR</v>
      </c>
      <c r="N823" s="24" t="str">
        <f t="shared" si="123"/>
        <v>RJAM</v>
      </c>
      <c r="O823" s="24">
        <f>VLOOKUP(H823, KM!$A:$E, 5, 0)</f>
        <v>429</v>
      </c>
      <c r="P823" s="24">
        <f>VLOOKUP(I823, KM!$A:$E, 5, 0)</f>
        <v>434</v>
      </c>
      <c r="Q823" s="24">
        <f>VLOOKUP(J823, KM!$A:$E, 5, 0)</f>
        <v>521</v>
      </c>
      <c r="R823" s="24">
        <f>VLOOKUP(K823, KM!$A:$E, 5, 0)</f>
        <v>1144</v>
      </c>
      <c r="S823" s="24">
        <f>VLOOKUP(L823, KM!$A:$E, 5, 0)</f>
        <v>0</v>
      </c>
      <c r="T823" s="24">
        <f>VLOOKUP(M823, KM!$A:$E, 5, 0)</f>
        <v>852</v>
      </c>
      <c r="U823" s="24">
        <f>VLOOKUP(N823, KM!$A:$E, 5, 0)</f>
        <v>4374</v>
      </c>
      <c r="V823" s="24">
        <f>VLOOKUP(H823, IMPOSTO!$A:$D, 4, 0)</f>
        <v>0.12</v>
      </c>
      <c r="W823" s="24">
        <f>VLOOKUP(I823, IMPOSTO!$A:$D, 4, 0)</f>
        <v>0.12</v>
      </c>
      <c r="X823" s="24">
        <f>VLOOKUP(J823, IMPOSTO!$A:$D, 4, 0)</f>
        <v>7.0000000000000007E-2</v>
      </c>
      <c r="Y823" s="24">
        <f>VLOOKUP(K823, IMPOSTO!$A:$D, 4, 0)</f>
        <v>0.12</v>
      </c>
      <c r="Z823" s="24">
        <f>VLOOKUP(L823, IMPOSTO!$A:$D, 4, 0)</f>
        <v>0.18</v>
      </c>
      <c r="AA823" s="24">
        <f>VLOOKUP(M823, IMPOSTO!$A:$D, 4, 0)</f>
        <v>0.12</v>
      </c>
      <c r="AB823" s="24">
        <f>VLOOKUP(N823, IMPOSTO!$A:$D, 4, 0)</f>
        <v>7.0000000000000007E-2</v>
      </c>
      <c r="AC823" s="25">
        <f t="shared" si="116"/>
        <v>48.793390909090917</v>
      </c>
      <c r="AD823" s="25">
        <f t="shared" si="117"/>
        <v>49.361572727272737</v>
      </c>
      <c r="AE823" s="25">
        <f t="shared" si="118"/>
        <v>56.062563440860224</v>
      </c>
      <c r="AF823" s="25">
        <f t="shared" si="119"/>
        <v>130.0433909090909</v>
      </c>
      <c r="AG823" s="25">
        <f t="shared" si="120"/>
        <v>4.6565853658536577E-2</v>
      </c>
      <c r="AH823" s="25">
        <f t="shared" si="121"/>
        <v>96.86157272727273</v>
      </c>
      <c r="AI823" s="25">
        <f t="shared" si="122"/>
        <v>470.3636387096775</v>
      </c>
    </row>
    <row r="824" spans="1:35" ht="15.75" customHeight="1">
      <c r="A824" s="12" t="s">
        <v>500</v>
      </c>
      <c r="B824" s="12" t="s">
        <v>501</v>
      </c>
      <c r="C824" s="12" t="s">
        <v>128</v>
      </c>
      <c r="D824" s="12" t="s">
        <v>33</v>
      </c>
      <c r="E824" s="12" t="s">
        <v>27</v>
      </c>
      <c r="F824" s="13">
        <v>2.9999999999999997E-4</v>
      </c>
      <c r="G824" s="14">
        <v>4.5665999999999998E-2</v>
      </c>
      <c r="H824" s="24" t="str">
        <f t="shared" si="115"/>
        <v>RJSP</v>
      </c>
      <c r="I824" s="24" t="str">
        <f t="shared" si="123"/>
        <v>RJMG</v>
      </c>
      <c r="J824" s="24" t="str">
        <f t="shared" si="123"/>
        <v>RJES</v>
      </c>
      <c r="K824" s="24" t="str">
        <f t="shared" si="123"/>
        <v>RJSC</v>
      </c>
      <c r="L824" s="24" t="str">
        <f t="shared" si="123"/>
        <v>RJRJ</v>
      </c>
      <c r="M824" s="24" t="str">
        <f t="shared" si="123"/>
        <v>RJPR</v>
      </c>
      <c r="N824" s="24" t="str">
        <f t="shared" si="123"/>
        <v>RJAM</v>
      </c>
      <c r="O824" s="24">
        <f>VLOOKUP(H824, KM!$A:$E, 5, 0)</f>
        <v>429</v>
      </c>
      <c r="P824" s="24">
        <f>VLOOKUP(I824, KM!$A:$E, 5, 0)</f>
        <v>434</v>
      </c>
      <c r="Q824" s="24">
        <f>VLOOKUP(J824, KM!$A:$E, 5, 0)</f>
        <v>521</v>
      </c>
      <c r="R824" s="24">
        <f>VLOOKUP(K824, KM!$A:$E, 5, 0)</f>
        <v>1144</v>
      </c>
      <c r="S824" s="24">
        <f>VLOOKUP(L824, KM!$A:$E, 5, 0)</f>
        <v>0</v>
      </c>
      <c r="T824" s="24">
        <f>VLOOKUP(M824, KM!$A:$E, 5, 0)</f>
        <v>852</v>
      </c>
      <c r="U824" s="24">
        <f>VLOOKUP(N824, KM!$A:$E, 5, 0)</f>
        <v>4374</v>
      </c>
      <c r="V824" s="24">
        <f>VLOOKUP(H824, IMPOSTO!$A:$D, 4, 0)</f>
        <v>0.12</v>
      </c>
      <c r="W824" s="24">
        <f>VLOOKUP(I824, IMPOSTO!$A:$D, 4, 0)</f>
        <v>0.12</v>
      </c>
      <c r="X824" s="24">
        <f>VLOOKUP(J824, IMPOSTO!$A:$D, 4, 0)</f>
        <v>7.0000000000000007E-2</v>
      </c>
      <c r="Y824" s="24">
        <f>VLOOKUP(K824, IMPOSTO!$A:$D, 4, 0)</f>
        <v>0.12</v>
      </c>
      <c r="Z824" s="24">
        <f>VLOOKUP(L824, IMPOSTO!$A:$D, 4, 0)</f>
        <v>0.18</v>
      </c>
      <c r="AA824" s="24">
        <f>VLOOKUP(M824, IMPOSTO!$A:$D, 4, 0)</f>
        <v>0.12</v>
      </c>
      <c r="AB824" s="24">
        <f>VLOOKUP(N824, IMPOSTO!$A:$D, 4, 0)</f>
        <v>7.0000000000000007E-2</v>
      </c>
      <c r="AC824" s="25">
        <f t="shared" si="116"/>
        <v>48.801893181818187</v>
      </c>
      <c r="AD824" s="25">
        <f t="shared" si="117"/>
        <v>49.370075</v>
      </c>
      <c r="AE824" s="25">
        <f t="shared" si="118"/>
        <v>56.070608602150543</v>
      </c>
      <c r="AF824" s="25">
        <f t="shared" si="119"/>
        <v>130.05189318181817</v>
      </c>
      <c r="AG824" s="25">
        <f t="shared" si="120"/>
        <v>5.569024390243902E-2</v>
      </c>
      <c r="AH824" s="25">
        <f t="shared" si="121"/>
        <v>96.870075</v>
      </c>
      <c r="AI824" s="25">
        <f t="shared" si="122"/>
        <v>470.37168387096779</v>
      </c>
    </row>
    <row r="825" spans="1:35" ht="15.75" customHeight="1">
      <c r="A825" s="12" t="s">
        <v>251</v>
      </c>
      <c r="B825" s="12" t="s">
        <v>252</v>
      </c>
      <c r="C825" s="12" t="s">
        <v>122</v>
      </c>
      <c r="D825" s="12" t="s">
        <v>33</v>
      </c>
      <c r="E825" s="12" t="s">
        <v>27</v>
      </c>
      <c r="F825" s="13">
        <v>111.25349674245336</v>
      </c>
      <c r="G825" s="14">
        <v>796.57996721580821</v>
      </c>
      <c r="H825" s="24" t="str">
        <f t="shared" si="115"/>
        <v>RJSP</v>
      </c>
      <c r="I825" s="24" t="str">
        <f t="shared" si="123"/>
        <v>RJMG</v>
      </c>
      <c r="J825" s="24" t="str">
        <f t="shared" si="123"/>
        <v>RJES</v>
      </c>
      <c r="K825" s="24" t="str">
        <f t="shared" si="123"/>
        <v>RJSC</v>
      </c>
      <c r="L825" s="24" t="str">
        <f t="shared" si="123"/>
        <v>RJRJ</v>
      </c>
      <c r="M825" s="24" t="str">
        <f t="shared" si="123"/>
        <v>RJPR</v>
      </c>
      <c r="N825" s="24" t="str">
        <f t="shared" si="123"/>
        <v>RJAM</v>
      </c>
      <c r="O825" s="24">
        <f>VLOOKUP(H825, KM!$A:$E, 5, 0)</f>
        <v>429</v>
      </c>
      <c r="P825" s="24">
        <f>VLOOKUP(I825, KM!$A:$E, 5, 0)</f>
        <v>434</v>
      </c>
      <c r="Q825" s="24">
        <f>VLOOKUP(J825, KM!$A:$E, 5, 0)</f>
        <v>521</v>
      </c>
      <c r="R825" s="24">
        <f>VLOOKUP(K825, KM!$A:$E, 5, 0)</f>
        <v>1144</v>
      </c>
      <c r="S825" s="24">
        <f>VLOOKUP(L825, KM!$A:$E, 5, 0)</f>
        <v>0</v>
      </c>
      <c r="T825" s="24">
        <f>VLOOKUP(M825, KM!$A:$E, 5, 0)</f>
        <v>852</v>
      </c>
      <c r="U825" s="24">
        <f>VLOOKUP(N825, KM!$A:$E, 5, 0)</f>
        <v>4374</v>
      </c>
      <c r="V825" s="24">
        <f>VLOOKUP(H825, IMPOSTO!$A:$D, 4, 0)</f>
        <v>0.12</v>
      </c>
      <c r="W825" s="24">
        <f>VLOOKUP(I825, IMPOSTO!$A:$D, 4, 0)</f>
        <v>0.12</v>
      </c>
      <c r="X825" s="24">
        <f>VLOOKUP(J825, IMPOSTO!$A:$D, 4, 0)</f>
        <v>7.0000000000000007E-2</v>
      </c>
      <c r="Y825" s="24">
        <f>VLOOKUP(K825, IMPOSTO!$A:$D, 4, 0)</f>
        <v>0.12</v>
      </c>
      <c r="Z825" s="24">
        <f>VLOOKUP(L825, IMPOSTO!$A:$D, 4, 0)</f>
        <v>0.18</v>
      </c>
      <c r="AA825" s="24">
        <f>VLOOKUP(M825, IMPOSTO!$A:$D, 4, 0)</f>
        <v>0.12</v>
      </c>
      <c r="AB825" s="24">
        <f>VLOOKUP(N825, IMPOSTO!$A:$D, 4, 0)</f>
        <v>7.0000000000000007E-2</v>
      </c>
      <c r="AC825" s="25">
        <f t="shared" si="116"/>
        <v>953.95450819978203</v>
      </c>
      <c r="AD825" s="25">
        <f t="shared" si="117"/>
        <v>954.5226900179639</v>
      </c>
      <c r="AE825" s="25">
        <f t="shared" si="118"/>
        <v>912.5591045331272</v>
      </c>
      <c r="AF825" s="25">
        <f t="shared" si="119"/>
        <v>1035.2045081997819</v>
      </c>
      <c r="AG825" s="25">
        <f t="shared" si="120"/>
        <v>971.43898440952216</v>
      </c>
      <c r="AH825" s="25">
        <f t="shared" si="121"/>
        <v>1002.0226900179639</v>
      </c>
      <c r="AI825" s="25">
        <f t="shared" si="122"/>
        <v>1326.8601798019445</v>
      </c>
    </row>
    <row r="826" spans="1:35" ht="15.75" customHeight="1">
      <c r="A826" s="12" t="s">
        <v>251</v>
      </c>
      <c r="B826" s="12" t="s">
        <v>252</v>
      </c>
      <c r="C826" s="12" t="s">
        <v>122</v>
      </c>
      <c r="D826" s="12" t="s">
        <v>33</v>
      </c>
      <c r="E826" s="12" t="s">
        <v>27</v>
      </c>
      <c r="F826" s="13">
        <v>40.022065662586883</v>
      </c>
      <c r="G826" s="14">
        <v>271.82990624160209</v>
      </c>
      <c r="H826" s="24" t="str">
        <f t="shared" si="115"/>
        <v>RJSP</v>
      </c>
      <c r="I826" s="24" t="str">
        <f t="shared" si="123"/>
        <v>RJMG</v>
      </c>
      <c r="J826" s="24" t="str">
        <f t="shared" si="123"/>
        <v>RJES</v>
      </c>
      <c r="K826" s="24" t="str">
        <f t="shared" si="123"/>
        <v>RJSC</v>
      </c>
      <c r="L826" s="24" t="str">
        <f t="shared" si="123"/>
        <v>RJRJ</v>
      </c>
      <c r="M826" s="24" t="str">
        <f t="shared" si="123"/>
        <v>RJPR</v>
      </c>
      <c r="N826" s="24" t="str">
        <f t="shared" si="123"/>
        <v>RJAM</v>
      </c>
      <c r="O826" s="24">
        <f>VLOOKUP(H826, KM!$A:$E, 5, 0)</f>
        <v>429</v>
      </c>
      <c r="P826" s="24">
        <f>VLOOKUP(I826, KM!$A:$E, 5, 0)</f>
        <v>434</v>
      </c>
      <c r="Q826" s="24">
        <f>VLOOKUP(J826, KM!$A:$E, 5, 0)</f>
        <v>521</v>
      </c>
      <c r="R826" s="24">
        <f>VLOOKUP(K826, KM!$A:$E, 5, 0)</f>
        <v>1144</v>
      </c>
      <c r="S826" s="24">
        <f>VLOOKUP(L826, KM!$A:$E, 5, 0)</f>
        <v>0</v>
      </c>
      <c r="T826" s="24">
        <f>VLOOKUP(M826, KM!$A:$E, 5, 0)</f>
        <v>852</v>
      </c>
      <c r="U826" s="24">
        <f>VLOOKUP(N826, KM!$A:$E, 5, 0)</f>
        <v>4374</v>
      </c>
      <c r="V826" s="24">
        <f>VLOOKUP(H826, IMPOSTO!$A:$D, 4, 0)</f>
        <v>0.12</v>
      </c>
      <c r="W826" s="24">
        <f>VLOOKUP(I826, IMPOSTO!$A:$D, 4, 0)</f>
        <v>0.12</v>
      </c>
      <c r="X826" s="24">
        <f>VLOOKUP(J826, IMPOSTO!$A:$D, 4, 0)</f>
        <v>7.0000000000000007E-2</v>
      </c>
      <c r="Y826" s="24">
        <f>VLOOKUP(K826, IMPOSTO!$A:$D, 4, 0)</f>
        <v>0.12</v>
      </c>
      <c r="Z826" s="24">
        <f>VLOOKUP(L826, IMPOSTO!$A:$D, 4, 0)</f>
        <v>0.18</v>
      </c>
      <c r="AA826" s="24">
        <f>VLOOKUP(M826, IMPOSTO!$A:$D, 4, 0)</f>
        <v>0.12</v>
      </c>
      <c r="AB826" s="24">
        <f>VLOOKUP(N826, IMPOSTO!$A:$D, 4, 0)</f>
        <v>7.0000000000000007E-2</v>
      </c>
      <c r="AC826" s="25">
        <f t="shared" si="116"/>
        <v>357.64762072909326</v>
      </c>
      <c r="AD826" s="25">
        <f t="shared" si="117"/>
        <v>358.21580254727508</v>
      </c>
      <c r="AE826" s="25">
        <f t="shared" si="118"/>
        <v>348.31172714150767</v>
      </c>
      <c r="AF826" s="25">
        <f t="shared" si="119"/>
        <v>438.89762072909326</v>
      </c>
      <c r="AG826" s="25">
        <f t="shared" si="120"/>
        <v>331.49988566049035</v>
      </c>
      <c r="AH826" s="25">
        <f t="shared" si="121"/>
        <v>405.71580254727508</v>
      </c>
      <c r="AI826" s="25">
        <f t="shared" si="122"/>
        <v>762.61280241032489</v>
      </c>
    </row>
    <row r="827" spans="1:35" ht="15.75" customHeight="1">
      <c r="A827" s="12" t="s">
        <v>317</v>
      </c>
      <c r="B827" s="12" t="s">
        <v>318</v>
      </c>
      <c r="C827" s="12" t="s">
        <v>210</v>
      </c>
      <c r="D827" s="12" t="s">
        <v>33</v>
      </c>
      <c r="E827" s="12" t="s">
        <v>27</v>
      </c>
      <c r="F827" s="13">
        <v>9.042568552409552</v>
      </c>
      <c r="G827" s="14">
        <v>67.254202786703985</v>
      </c>
      <c r="H827" s="24" t="str">
        <f t="shared" si="115"/>
        <v>RJSP</v>
      </c>
      <c r="I827" s="24" t="str">
        <f t="shared" si="123"/>
        <v>RJMG</v>
      </c>
      <c r="J827" s="24" t="str">
        <f t="shared" si="123"/>
        <v>RJES</v>
      </c>
      <c r="K827" s="24" t="str">
        <f t="shared" si="123"/>
        <v>RJSC</v>
      </c>
      <c r="L827" s="24" t="str">
        <f t="shared" si="123"/>
        <v>RJRJ</v>
      </c>
      <c r="M827" s="24" t="str">
        <f t="shared" si="123"/>
        <v>RJPR</v>
      </c>
      <c r="N827" s="24" t="str">
        <f t="shared" si="123"/>
        <v>RJAM</v>
      </c>
      <c r="O827" s="24">
        <f>VLOOKUP(H827, KM!$A:$E, 5, 0)</f>
        <v>429</v>
      </c>
      <c r="P827" s="24">
        <f>VLOOKUP(I827, KM!$A:$E, 5, 0)</f>
        <v>434</v>
      </c>
      <c r="Q827" s="24">
        <f>VLOOKUP(J827, KM!$A:$E, 5, 0)</f>
        <v>521</v>
      </c>
      <c r="R827" s="24">
        <f>VLOOKUP(K827, KM!$A:$E, 5, 0)</f>
        <v>1144</v>
      </c>
      <c r="S827" s="24">
        <f>VLOOKUP(L827, KM!$A:$E, 5, 0)</f>
        <v>0</v>
      </c>
      <c r="T827" s="24">
        <f>VLOOKUP(M827, KM!$A:$E, 5, 0)</f>
        <v>852</v>
      </c>
      <c r="U827" s="24">
        <f>VLOOKUP(N827, KM!$A:$E, 5, 0)</f>
        <v>4374</v>
      </c>
      <c r="V827" s="24">
        <f>VLOOKUP(H827, IMPOSTO!$A:$D, 4, 0)</f>
        <v>0.12</v>
      </c>
      <c r="W827" s="24">
        <f>VLOOKUP(I827, IMPOSTO!$A:$D, 4, 0)</f>
        <v>0.12</v>
      </c>
      <c r="X827" s="24">
        <f>VLOOKUP(J827, IMPOSTO!$A:$D, 4, 0)</f>
        <v>7.0000000000000007E-2</v>
      </c>
      <c r="Y827" s="24">
        <f>VLOOKUP(K827, IMPOSTO!$A:$D, 4, 0)</f>
        <v>0.12</v>
      </c>
      <c r="Z827" s="24">
        <f>VLOOKUP(L827, IMPOSTO!$A:$D, 4, 0)</f>
        <v>0.18</v>
      </c>
      <c r="AA827" s="24">
        <f>VLOOKUP(M827, IMPOSTO!$A:$D, 4, 0)</f>
        <v>0.12</v>
      </c>
      <c r="AB827" s="24">
        <f>VLOOKUP(N827, IMPOSTO!$A:$D, 4, 0)</f>
        <v>7.0000000000000007E-2</v>
      </c>
      <c r="AC827" s="25">
        <f t="shared" si="116"/>
        <v>125.17523043943635</v>
      </c>
      <c r="AD827" s="25">
        <f t="shared" si="117"/>
        <v>125.74341225761817</v>
      </c>
      <c r="AE827" s="25">
        <f t="shared" si="118"/>
        <v>128.33785245882149</v>
      </c>
      <c r="AF827" s="25">
        <f t="shared" si="119"/>
        <v>206.42523043943635</v>
      </c>
      <c r="AG827" s="25">
        <f t="shared" si="120"/>
        <v>82.017320471590224</v>
      </c>
      <c r="AH827" s="25">
        <f t="shared" si="121"/>
        <v>173.24341225761819</v>
      </c>
      <c r="AI827" s="25">
        <f t="shared" si="122"/>
        <v>542.6389277276387</v>
      </c>
    </row>
    <row r="828" spans="1:35" ht="15.75" customHeight="1">
      <c r="A828" s="12" t="s">
        <v>87</v>
      </c>
      <c r="B828" s="12" t="s">
        <v>88</v>
      </c>
      <c r="C828" s="12" t="s">
        <v>89</v>
      </c>
      <c r="D828" s="12" t="s">
        <v>33</v>
      </c>
      <c r="E828" s="12" t="s">
        <v>27</v>
      </c>
      <c r="F828" s="13">
        <v>3.431759480859677</v>
      </c>
      <c r="G828" s="14">
        <v>20.744986061796752</v>
      </c>
      <c r="H828" s="24" t="str">
        <f t="shared" si="115"/>
        <v>RJSP</v>
      </c>
      <c r="I828" s="24" t="str">
        <f t="shared" si="123"/>
        <v>RJMG</v>
      </c>
      <c r="J828" s="24" t="str">
        <f t="shared" si="123"/>
        <v>RJES</v>
      </c>
      <c r="K828" s="24" t="str">
        <f t="shared" si="123"/>
        <v>RJSC</v>
      </c>
      <c r="L828" s="24" t="str">
        <f t="shared" si="123"/>
        <v>RJRJ</v>
      </c>
      <c r="M828" s="24" t="str">
        <f t="shared" si="123"/>
        <v>RJPR</v>
      </c>
      <c r="N828" s="24" t="str">
        <f t="shared" si="123"/>
        <v>RJAM</v>
      </c>
      <c r="O828" s="24">
        <f>VLOOKUP(H828, KM!$A:$E, 5, 0)</f>
        <v>429</v>
      </c>
      <c r="P828" s="24">
        <f>VLOOKUP(I828, KM!$A:$E, 5, 0)</f>
        <v>434</v>
      </c>
      <c r="Q828" s="24">
        <f>VLOOKUP(J828, KM!$A:$E, 5, 0)</f>
        <v>521</v>
      </c>
      <c r="R828" s="24">
        <f>VLOOKUP(K828, KM!$A:$E, 5, 0)</f>
        <v>1144</v>
      </c>
      <c r="S828" s="24">
        <f>VLOOKUP(L828, KM!$A:$E, 5, 0)</f>
        <v>0</v>
      </c>
      <c r="T828" s="24">
        <f>VLOOKUP(M828, KM!$A:$E, 5, 0)</f>
        <v>852</v>
      </c>
      <c r="U828" s="24">
        <f>VLOOKUP(N828, KM!$A:$E, 5, 0)</f>
        <v>4374</v>
      </c>
      <c r="V828" s="24">
        <f>VLOOKUP(H828, IMPOSTO!$A:$D, 4, 0)</f>
        <v>0.12</v>
      </c>
      <c r="W828" s="24">
        <f>VLOOKUP(I828, IMPOSTO!$A:$D, 4, 0)</f>
        <v>0.12</v>
      </c>
      <c r="X828" s="24">
        <f>VLOOKUP(J828, IMPOSTO!$A:$D, 4, 0)</f>
        <v>7.0000000000000007E-2</v>
      </c>
      <c r="Y828" s="24">
        <f>VLOOKUP(K828, IMPOSTO!$A:$D, 4, 0)</f>
        <v>0.12</v>
      </c>
      <c r="Z828" s="24">
        <f>VLOOKUP(L828, IMPOSTO!$A:$D, 4, 0)</f>
        <v>0.18</v>
      </c>
      <c r="AA828" s="24">
        <f>VLOOKUP(M828, IMPOSTO!$A:$D, 4, 0)</f>
        <v>0.12</v>
      </c>
      <c r="AB828" s="24">
        <f>VLOOKUP(N828, IMPOSTO!$A:$D, 4, 0)</f>
        <v>7.0000000000000007E-2</v>
      </c>
      <c r="AC828" s="25">
        <f t="shared" si="116"/>
        <v>72.323847797496313</v>
      </c>
      <c r="AD828" s="25">
        <f t="shared" si="117"/>
        <v>72.892029615678126</v>
      </c>
      <c r="AE828" s="25">
        <f t="shared" si="118"/>
        <v>78.327942001932001</v>
      </c>
      <c r="AF828" s="25">
        <f t="shared" si="119"/>
        <v>153.57384779749634</v>
      </c>
      <c r="AG828" s="25">
        <f t="shared" si="120"/>
        <v>25.298763489996038</v>
      </c>
      <c r="AH828" s="25">
        <f t="shared" si="121"/>
        <v>120.39202961567813</v>
      </c>
      <c r="AI828" s="25">
        <f t="shared" si="122"/>
        <v>492.62901727074927</v>
      </c>
    </row>
    <row r="829" spans="1:35" ht="15.75" customHeight="1">
      <c r="A829" s="12" t="s">
        <v>87</v>
      </c>
      <c r="B829" s="12" t="s">
        <v>88</v>
      </c>
      <c r="C829" s="12" t="s">
        <v>89</v>
      </c>
      <c r="D829" s="12" t="s">
        <v>33</v>
      </c>
      <c r="E829" s="12" t="s">
        <v>27</v>
      </c>
      <c r="F829" s="13">
        <v>18.206387140560814</v>
      </c>
      <c r="G829" s="14">
        <v>133.95609429912486</v>
      </c>
      <c r="H829" s="24" t="str">
        <f t="shared" si="115"/>
        <v>RJSP</v>
      </c>
      <c r="I829" s="24" t="str">
        <f t="shared" si="123"/>
        <v>RJMG</v>
      </c>
      <c r="J829" s="24" t="str">
        <f t="shared" si="123"/>
        <v>RJES</v>
      </c>
      <c r="K829" s="24" t="str">
        <f t="shared" si="123"/>
        <v>RJSC</v>
      </c>
      <c r="L829" s="24" t="str">
        <f t="shared" si="123"/>
        <v>RJRJ</v>
      </c>
      <c r="M829" s="24" t="str">
        <f t="shared" si="123"/>
        <v>RJPR</v>
      </c>
      <c r="N829" s="24" t="str">
        <f t="shared" si="123"/>
        <v>RJAM</v>
      </c>
      <c r="O829" s="24">
        <f>VLOOKUP(H829, KM!$A:$E, 5, 0)</f>
        <v>429</v>
      </c>
      <c r="P829" s="24">
        <f>VLOOKUP(I829, KM!$A:$E, 5, 0)</f>
        <v>434</v>
      </c>
      <c r="Q829" s="24">
        <f>VLOOKUP(J829, KM!$A:$E, 5, 0)</f>
        <v>521</v>
      </c>
      <c r="R829" s="24">
        <f>VLOOKUP(K829, KM!$A:$E, 5, 0)</f>
        <v>1144</v>
      </c>
      <c r="S829" s="24">
        <f>VLOOKUP(L829, KM!$A:$E, 5, 0)</f>
        <v>0</v>
      </c>
      <c r="T829" s="24">
        <f>VLOOKUP(M829, KM!$A:$E, 5, 0)</f>
        <v>852</v>
      </c>
      <c r="U829" s="24">
        <f>VLOOKUP(N829, KM!$A:$E, 5, 0)</f>
        <v>4374</v>
      </c>
      <c r="V829" s="24">
        <f>VLOOKUP(H829, IMPOSTO!$A:$D, 4, 0)</f>
        <v>0.12</v>
      </c>
      <c r="W829" s="24">
        <f>VLOOKUP(I829, IMPOSTO!$A:$D, 4, 0)</f>
        <v>0.12</v>
      </c>
      <c r="X829" s="24">
        <f>VLOOKUP(J829, IMPOSTO!$A:$D, 4, 0)</f>
        <v>7.0000000000000007E-2</v>
      </c>
      <c r="Y829" s="24">
        <f>VLOOKUP(K829, IMPOSTO!$A:$D, 4, 0)</f>
        <v>0.12</v>
      </c>
      <c r="Z829" s="24">
        <f>VLOOKUP(L829, IMPOSTO!$A:$D, 4, 0)</f>
        <v>0.18</v>
      </c>
      <c r="AA829" s="24">
        <f>VLOOKUP(M829, IMPOSTO!$A:$D, 4, 0)</f>
        <v>0.12</v>
      </c>
      <c r="AB829" s="24">
        <f>VLOOKUP(N829, IMPOSTO!$A:$D, 4, 0)</f>
        <v>7.0000000000000007E-2</v>
      </c>
      <c r="AC829" s="25">
        <f t="shared" si="116"/>
        <v>200.9728344308237</v>
      </c>
      <c r="AD829" s="25">
        <f t="shared" si="117"/>
        <v>201.54101624900554</v>
      </c>
      <c r="AE829" s="25">
        <f t="shared" si="118"/>
        <v>200.06031645067191</v>
      </c>
      <c r="AF829" s="25">
        <f t="shared" si="119"/>
        <v>282.2228344308237</v>
      </c>
      <c r="AG829" s="25">
        <f t="shared" si="120"/>
        <v>163.36109060868884</v>
      </c>
      <c r="AH829" s="25">
        <f t="shared" si="121"/>
        <v>249.04101624900551</v>
      </c>
      <c r="AI829" s="25">
        <f t="shared" si="122"/>
        <v>614.36139171948912</v>
      </c>
    </row>
    <row r="830" spans="1:35" ht="15.75" customHeight="1">
      <c r="A830" s="12" t="s">
        <v>90</v>
      </c>
      <c r="B830" s="12" t="s">
        <v>91</v>
      </c>
      <c r="C830" s="12" t="s">
        <v>63</v>
      </c>
      <c r="D830" s="12" t="s">
        <v>33</v>
      </c>
      <c r="E830" s="12" t="s">
        <v>27</v>
      </c>
      <c r="F830" s="13">
        <v>1.2689686818307595</v>
      </c>
      <c r="G830" s="14">
        <v>27.417928808088789</v>
      </c>
      <c r="H830" s="24" t="str">
        <f t="shared" si="115"/>
        <v>RJSP</v>
      </c>
      <c r="I830" s="24" t="str">
        <f t="shared" si="123"/>
        <v>RJMG</v>
      </c>
      <c r="J830" s="24" t="str">
        <f t="shared" si="123"/>
        <v>RJES</v>
      </c>
      <c r="K830" s="24" t="str">
        <f t="shared" si="123"/>
        <v>RJSC</v>
      </c>
      <c r="L830" s="24" t="str">
        <f t="shared" si="123"/>
        <v>RJRJ</v>
      </c>
      <c r="M830" s="24" t="str">
        <f t="shared" si="123"/>
        <v>RJPR</v>
      </c>
      <c r="N830" s="24" t="str">
        <f t="shared" si="123"/>
        <v>RJAM</v>
      </c>
      <c r="O830" s="24">
        <f>VLOOKUP(H830, KM!$A:$E, 5, 0)</f>
        <v>429</v>
      </c>
      <c r="P830" s="24">
        <f>VLOOKUP(I830, KM!$A:$E, 5, 0)</f>
        <v>434</v>
      </c>
      <c r="Q830" s="24">
        <f>VLOOKUP(J830, KM!$A:$E, 5, 0)</f>
        <v>521</v>
      </c>
      <c r="R830" s="24">
        <f>VLOOKUP(K830, KM!$A:$E, 5, 0)</f>
        <v>1144</v>
      </c>
      <c r="S830" s="24">
        <f>VLOOKUP(L830, KM!$A:$E, 5, 0)</f>
        <v>0</v>
      </c>
      <c r="T830" s="24">
        <f>VLOOKUP(M830, KM!$A:$E, 5, 0)</f>
        <v>852</v>
      </c>
      <c r="U830" s="24">
        <f>VLOOKUP(N830, KM!$A:$E, 5, 0)</f>
        <v>4374</v>
      </c>
      <c r="V830" s="24">
        <f>VLOOKUP(H830, IMPOSTO!$A:$D, 4, 0)</f>
        <v>0.12</v>
      </c>
      <c r="W830" s="24">
        <f>VLOOKUP(I830, IMPOSTO!$A:$D, 4, 0)</f>
        <v>0.12</v>
      </c>
      <c r="X830" s="24">
        <f>VLOOKUP(J830, IMPOSTO!$A:$D, 4, 0)</f>
        <v>7.0000000000000007E-2</v>
      </c>
      <c r="Y830" s="24">
        <f>VLOOKUP(K830, IMPOSTO!$A:$D, 4, 0)</f>
        <v>0.12</v>
      </c>
      <c r="Z830" s="24">
        <f>VLOOKUP(L830, IMPOSTO!$A:$D, 4, 0)</f>
        <v>0.18</v>
      </c>
      <c r="AA830" s="24">
        <f>VLOOKUP(M830, IMPOSTO!$A:$D, 4, 0)</f>
        <v>0.12</v>
      </c>
      <c r="AB830" s="24">
        <f>VLOOKUP(N830, IMPOSTO!$A:$D, 4, 0)</f>
        <v>7.0000000000000007E-2</v>
      </c>
      <c r="AC830" s="25">
        <f t="shared" si="116"/>
        <v>79.906737281919078</v>
      </c>
      <c r="AD830" s="25">
        <f t="shared" si="117"/>
        <v>80.474919100100905</v>
      </c>
      <c r="AE830" s="25">
        <f t="shared" si="118"/>
        <v>85.503149256009451</v>
      </c>
      <c r="AF830" s="25">
        <f t="shared" si="119"/>
        <v>161.15673728191908</v>
      </c>
      <c r="AG830" s="25">
        <f t="shared" si="120"/>
        <v>33.436498546449741</v>
      </c>
      <c r="AH830" s="25">
        <f t="shared" si="121"/>
        <v>127.97491910010091</v>
      </c>
      <c r="AI830" s="25">
        <f t="shared" si="122"/>
        <v>499.80422452482674</v>
      </c>
    </row>
    <row r="831" spans="1:35" ht="15.75" customHeight="1">
      <c r="A831" s="12" t="s">
        <v>150</v>
      </c>
      <c r="B831" s="12" t="s">
        <v>151</v>
      </c>
      <c r="C831" s="12" t="s">
        <v>69</v>
      </c>
      <c r="D831" s="12" t="s">
        <v>33</v>
      </c>
      <c r="E831" s="12" t="s">
        <v>27</v>
      </c>
      <c r="F831" s="13">
        <v>1530.4</v>
      </c>
      <c r="G831" s="14">
        <v>24718.2</v>
      </c>
      <c r="H831" s="24" t="str">
        <f t="shared" si="115"/>
        <v>RJSP</v>
      </c>
      <c r="I831" s="24" t="str">
        <f t="shared" si="123"/>
        <v>RJMG</v>
      </c>
      <c r="J831" s="24" t="str">
        <f t="shared" si="123"/>
        <v>RJES</v>
      </c>
      <c r="K831" s="24" t="str">
        <f t="shared" si="123"/>
        <v>RJSC</v>
      </c>
      <c r="L831" s="24" t="str">
        <f t="shared" si="123"/>
        <v>RJRJ</v>
      </c>
      <c r="M831" s="24" t="str">
        <f t="shared" si="123"/>
        <v>RJPR</v>
      </c>
      <c r="N831" s="24" t="str">
        <f t="shared" si="123"/>
        <v>RJAM</v>
      </c>
      <c r="O831" s="24">
        <f>VLOOKUP(H831, KM!$A:$E, 5, 0)</f>
        <v>429</v>
      </c>
      <c r="P831" s="24">
        <f>VLOOKUP(I831, KM!$A:$E, 5, 0)</f>
        <v>434</v>
      </c>
      <c r="Q831" s="24">
        <f>VLOOKUP(J831, KM!$A:$E, 5, 0)</f>
        <v>521</v>
      </c>
      <c r="R831" s="24">
        <f>VLOOKUP(K831, KM!$A:$E, 5, 0)</f>
        <v>1144</v>
      </c>
      <c r="S831" s="24">
        <f>VLOOKUP(L831, KM!$A:$E, 5, 0)</f>
        <v>0</v>
      </c>
      <c r="T831" s="24">
        <f>VLOOKUP(M831, KM!$A:$E, 5, 0)</f>
        <v>852</v>
      </c>
      <c r="U831" s="24">
        <f>VLOOKUP(N831, KM!$A:$E, 5, 0)</f>
        <v>4374</v>
      </c>
      <c r="V831" s="24">
        <f>VLOOKUP(H831, IMPOSTO!$A:$D, 4, 0)</f>
        <v>0.12</v>
      </c>
      <c r="W831" s="24">
        <f>VLOOKUP(I831, IMPOSTO!$A:$D, 4, 0)</f>
        <v>0.12</v>
      </c>
      <c r="X831" s="24">
        <f>VLOOKUP(J831, IMPOSTO!$A:$D, 4, 0)</f>
        <v>7.0000000000000007E-2</v>
      </c>
      <c r="Y831" s="24">
        <f>VLOOKUP(K831, IMPOSTO!$A:$D, 4, 0)</f>
        <v>0.12</v>
      </c>
      <c r="Z831" s="24">
        <f>VLOOKUP(L831, IMPOSTO!$A:$D, 4, 0)</f>
        <v>0.18</v>
      </c>
      <c r="AA831" s="24">
        <f>VLOOKUP(M831, IMPOSTO!$A:$D, 4, 0)</f>
        <v>0.12</v>
      </c>
      <c r="AB831" s="24">
        <f>VLOOKUP(N831, IMPOSTO!$A:$D, 4, 0)</f>
        <v>7.0000000000000007E-2</v>
      </c>
      <c r="AC831" s="25">
        <f t="shared" si="116"/>
        <v>28137.61363636364</v>
      </c>
      <c r="AD831" s="25">
        <f t="shared" si="117"/>
        <v>28138.18181818182</v>
      </c>
      <c r="AE831" s="25">
        <f t="shared" si="118"/>
        <v>26634.731182795698</v>
      </c>
      <c r="AF831" s="25">
        <f t="shared" si="119"/>
        <v>28218.86363636364</v>
      </c>
      <c r="AG831" s="25">
        <f t="shared" si="120"/>
        <v>30144.146341463413</v>
      </c>
      <c r="AH831" s="25">
        <f t="shared" si="121"/>
        <v>28185.68181818182</v>
      </c>
      <c r="AI831" s="25">
        <f t="shared" si="122"/>
        <v>27049.032258064519</v>
      </c>
    </row>
    <row r="832" spans="1:35" ht="15.75" customHeight="1">
      <c r="A832" s="12" t="s">
        <v>681</v>
      </c>
      <c r="B832" s="12" t="s">
        <v>682</v>
      </c>
      <c r="C832" s="12" t="s">
        <v>119</v>
      </c>
      <c r="D832" s="12" t="s">
        <v>33</v>
      </c>
      <c r="E832" s="12" t="s">
        <v>27</v>
      </c>
      <c r="F832" s="13">
        <v>50</v>
      </c>
      <c r="G832" s="14">
        <v>84.28</v>
      </c>
      <c r="H832" s="24" t="str">
        <f t="shared" si="115"/>
        <v>RJSP</v>
      </c>
      <c r="I832" s="24" t="str">
        <f t="shared" si="123"/>
        <v>RJMG</v>
      </c>
      <c r="J832" s="24" t="str">
        <f t="shared" si="123"/>
        <v>RJES</v>
      </c>
      <c r="K832" s="24" t="str">
        <f t="shared" si="123"/>
        <v>RJSC</v>
      </c>
      <c r="L832" s="24" t="str">
        <f t="shared" si="123"/>
        <v>RJRJ</v>
      </c>
      <c r="M832" s="24" t="str">
        <f t="shared" si="123"/>
        <v>RJPR</v>
      </c>
      <c r="N832" s="24" t="str">
        <f t="shared" si="123"/>
        <v>RJAM</v>
      </c>
      <c r="O832" s="24">
        <f>VLOOKUP(H832, KM!$A:$E, 5, 0)</f>
        <v>429</v>
      </c>
      <c r="P832" s="24">
        <f>VLOOKUP(I832, KM!$A:$E, 5, 0)</f>
        <v>434</v>
      </c>
      <c r="Q832" s="24">
        <f>VLOOKUP(J832, KM!$A:$E, 5, 0)</f>
        <v>521</v>
      </c>
      <c r="R832" s="24">
        <f>VLOOKUP(K832, KM!$A:$E, 5, 0)</f>
        <v>1144</v>
      </c>
      <c r="S832" s="24">
        <f>VLOOKUP(L832, KM!$A:$E, 5, 0)</f>
        <v>0</v>
      </c>
      <c r="T832" s="24">
        <f>VLOOKUP(M832, KM!$A:$E, 5, 0)</f>
        <v>852</v>
      </c>
      <c r="U832" s="24">
        <f>VLOOKUP(N832, KM!$A:$E, 5, 0)</f>
        <v>4374</v>
      </c>
      <c r="V832" s="24">
        <f>VLOOKUP(H832, IMPOSTO!$A:$D, 4, 0)</f>
        <v>0.12</v>
      </c>
      <c r="W832" s="24">
        <f>VLOOKUP(I832, IMPOSTO!$A:$D, 4, 0)</f>
        <v>0.12</v>
      </c>
      <c r="X832" s="24">
        <f>VLOOKUP(J832, IMPOSTO!$A:$D, 4, 0)</f>
        <v>7.0000000000000007E-2</v>
      </c>
      <c r="Y832" s="24">
        <f>VLOOKUP(K832, IMPOSTO!$A:$D, 4, 0)</f>
        <v>0.12</v>
      </c>
      <c r="Z832" s="24">
        <f>VLOOKUP(L832, IMPOSTO!$A:$D, 4, 0)</f>
        <v>0.18</v>
      </c>
      <c r="AA832" s="24">
        <f>VLOOKUP(M832, IMPOSTO!$A:$D, 4, 0)</f>
        <v>0.12</v>
      </c>
      <c r="AB832" s="24">
        <f>VLOOKUP(N832, IMPOSTO!$A:$D, 4, 0)</f>
        <v>7.0000000000000007E-2</v>
      </c>
      <c r="AC832" s="25">
        <f t="shared" si="116"/>
        <v>144.52272727272728</v>
      </c>
      <c r="AD832" s="25">
        <f t="shared" si="117"/>
        <v>145.09090909090909</v>
      </c>
      <c r="AE832" s="25">
        <f t="shared" si="118"/>
        <v>146.64516129032259</v>
      </c>
      <c r="AF832" s="25">
        <f t="shared" si="119"/>
        <v>225.77272727272728</v>
      </c>
      <c r="AG832" s="25">
        <f t="shared" si="120"/>
        <v>102.78048780487805</v>
      </c>
      <c r="AH832" s="25">
        <f t="shared" si="121"/>
        <v>192.59090909090912</v>
      </c>
      <c r="AI832" s="25">
        <f t="shared" si="122"/>
        <v>560.94623655913995</v>
      </c>
    </row>
    <row r="833" spans="1:35" ht="15.75" customHeight="1">
      <c r="A833" s="12" t="s">
        <v>618</v>
      </c>
      <c r="B833" s="12" t="s">
        <v>619</v>
      </c>
      <c r="C833" s="12" t="s">
        <v>232</v>
      </c>
      <c r="D833" s="12" t="s">
        <v>33</v>
      </c>
      <c r="E833" s="12" t="s">
        <v>27</v>
      </c>
      <c r="F833" s="13">
        <v>5.4510295876449479E-3</v>
      </c>
      <c r="G833" s="14">
        <v>0.24132996409679444</v>
      </c>
      <c r="H833" s="24" t="str">
        <f t="shared" si="115"/>
        <v>RJSP</v>
      </c>
      <c r="I833" s="24" t="str">
        <f t="shared" si="123"/>
        <v>RJMG</v>
      </c>
      <c r="J833" s="24" t="str">
        <f t="shared" ref="I833:N896" si="124">$E833 &amp; J$17</f>
        <v>RJES</v>
      </c>
      <c r="K833" s="24" t="str">
        <f t="shared" si="124"/>
        <v>RJSC</v>
      </c>
      <c r="L833" s="24" t="str">
        <f t="shared" si="124"/>
        <v>RJRJ</v>
      </c>
      <c r="M833" s="24" t="str">
        <f t="shared" si="124"/>
        <v>RJPR</v>
      </c>
      <c r="N833" s="24" t="str">
        <f t="shared" si="124"/>
        <v>RJAM</v>
      </c>
      <c r="O833" s="24">
        <f>VLOOKUP(H833, KM!$A:$E, 5, 0)</f>
        <v>429</v>
      </c>
      <c r="P833" s="24">
        <f>VLOOKUP(I833, KM!$A:$E, 5, 0)</f>
        <v>434</v>
      </c>
      <c r="Q833" s="24">
        <f>VLOOKUP(J833, KM!$A:$E, 5, 0)</f>
        <v>521</v>
      </c>
      <c r="R833" s="24">
        <f>VLOOKUP(K833, KM!$A:$E, 5, 0)</f>
        <v>1144</v>
      </c>
      <c r="S833" s="24">
        <f>VLOOKUP(L833, KM!$A:$E, 5, 0)</f>
        <v>0</v>
      </c>
      <c r="T833" s="24">
        <f>VLOOKUP(M833, KM!$A:$E, 5, 0)</f>
        <v>852</v>
      </c>
      <c r="U833" s="24">
        <f>VLOOKUP(N833, KM!$A:$E, 5, 0)</f>
        <v>4374</v>
      </c>
      <c r="V833" s="24">
        <f>VLOOKUP(H833, IMPOSTO!$A:$D, 4, 0)</f>
        <v>0.12</v>
      </c>
      <c r="W833" s="24">
        <f>VLOOKUP(I833, IMPOSTO!$A:$D, 4, 0)</f>
        <v>0.12</v>
      </c>
      <c r="X833" s="24">
        <f>VLOOKUP(J833, IMPOSTO!$A:$D, 4, 0)</f>
        <v>7.0000000000000007E-2</v>
      </c>
      <c r="Y833" s="24">
        <f>VLOOKUP(K833, IMPOSTO!$A:$D, 4, 0)</f>
        <v>0.12</v>
      </c>
      <c r="Z833" s="24">
        <f>VLOOKUP(L833, IMPOSTO!$A:$D, 4, 0)</f>
        <v>0.18</v>
      </c>
      <c r="AA833" s="24">
        <f>VLOOKUP(M833, IMPOSTO!$A:$D, 4, 0)</f>
        <v>0.12</v>
      </c>
      <c r="AB833" s="24">
        <f>VLOOKUP(N833, IMPOSTO!$A:$D, 4, 0)</f>
        <v>7.0000000000000007E-2</v>
      </c>
      <c r="AC833" s="25">
        <f t="shared" si="116"/>
        <v>49.02423859556454</v>
      </c>
      <c r="AD833" s="25">
        <f t="shared" si="117"/>
        <v>49.59242041374636</v>
      </c>
      <c r="AE833" s="25">
        <f t="shared" si="118"/>
        <v>56.280999961394407</v>
      </c>
      <c r="AF833" s="25">
        <f t="shared" si="119"/>
        <v>130.27423859556455</v>
      </c>
      <c r="AG833" s="25">
        <f t="shared" si="120"/>
        <v>0.29430483426438342</v>
      </c>
      <c r="AH833" s="25">
        <f t="shared" si="121"/>
        <v>97.092420413746353</v>
      </c>
      <c r="AI833" s="25">
        <f t="shared" si="122"/>
        <v>470.58207523021167</v>
      </c>
    </row>
    <row r="834" spans="1:35" ht="15.75" customHeight="1">
      <c r="A834" s="12" t="s">
        <v>300</v>
      </c>
      <c r="B834" s="12" t="s">
        <v>301</v>
      </c>
      <c r="C834" s="12" t="s">
        <v>232</v>
      </c>
      <c r="D834" s="12" t="s">
        <v>33</v>
      </c>
      <c r="E834" s="12" t="s">
        <v>27</v>
      </c>
      <c r="F834" s="13">
        <v>0.57612698777929772</v>
      </c>
      <c r="G834" s="14">
        <v>2.9925789175219517</v>
      </c>
      <c r="H834" s="24" t="str">
        <f t="shared" si="115"/>
        <v>RJSP</v>
      </c>
      <c r="I834" s="24" t="str">
        <f t="shared" si="124"/>
        <v>RJMG</v>
      </c>
      <c r="J834" s="24" t="str">
        <f t="shared" si="124"/>
        <v>RJES</v>
      </c>
      <c r="K834" s="24" t="str">
        <f t="shared" si="124"/>
        <v>RJSC</v>
      </c>
      <c r="L834" s="24" t="str">
        <f t="shared" si="124"/>
        <v>RJRJ</v>
      </c>
      <c r="M834" s="24" t="str">
        <f t="shared" si="124"/>
        <v>RJPR</v>
      </c>
      <c r="N834" s="24" t="str">
        <f t="shared" si="124"/>
        <v>RJAM</v>
      </c>
      <c r="O834" s="24">
        <f>VLOOKUP(H834, KM!$A:$E, 5, 0)</f>
        <v>429</v>
      </c>
      <c r="P834" s="24">
        <f>VLOOKUP(I834, KM!$A:$E, 5, 0)</f>
        <v>434</v>
      </c>
      <c r="Q834" s="24">
        <f>VLOOKUP(J834, KM!$A:$E, 5, 0)</f>
        <v>521</v>
      </c>
      <c r="R834" s="24">
        <f>VLOOKUP(K834, KM!$A:$E, 5, 0)</f>
        <v>1144</v>
      </c>
      <c r="S834" s="24">
        <f>VLOOKUP(L834, KM!$A:$E, 5, 0)</f>
        <v>0</v>
      </c>
      <c r="T834" s="24">
        <f>VLOOKUP(M834, KM!$A:$E, 5, 0)</f>
        <v>852</v>
      </c>
      <c r="U834" s="24">
        <f>VLOOKUP(N834, KM!$A:$E, 5, 0)</f>
        <v>4374</v>
      </c>
      <c r="V834" s="24">
        <f>VLOOKUP(H834, IMPOSTO!$A:$D, 4, 0)</f>
        <v>0.12</v>
      </c>
      <c r="W834" s="24">
        <f>VLOOKUP(I834, IMPOSTO!$A:$D, 4, 0)</f>
        <v>0.12</v>
      </c>
      <c r="X834" s="24">
        <f>VLOOKUP(J834, IMPOSTO!$A:$D, 4, 0)</f>
        <v>7.0000000000000007E-2</v>
      </c>
      <c r="Y834" s="24">
        <f>VLOOKUP(K834, IMPOSTO!$A:$D, 4, 0)</f>
        <v>0.12</v>
      </c>
      <c r="Z834" s="24">
        <f>VLOOKUP(L834, IMPOSTO!$A:$D, 4, 0)</f>
        <v>0.18</v>
      </c>
      <c r="AA834" s="24">
        <f>VLOOKUP(M834, IMPOSTO!$A:$D, 4, 0)</f>
        <v>0.12</v>
      </c>
      <c r="AB834" s="24">
        <f>VLOOKUP(N834, IMPOSTO!$A:$D, 4, 0)</f>
        <v>7.0000000000000007E-2</v>
      </c>
      <c r="AC834" s="25">
        <f t="shared" si="116"/>
        <v>52.150657860820409</v>
      </c>
      <c r="AD834" s="25">
        <f t="shared" si="117"/>
        <v>52.71883967900223</v>
      </c>
      <c r="AE834" s="25">
        <f t="shared" si="118"/>
        <v>59.23933216937845</v>
      </c>
      <c r="AF834" s="25">
        <f t="shared" si="119"/>
        <v>133.40065786082042</v>
      </c>
      <c r="AG834" s="25">
        <f t="shared" si="120"/>
        <v>3.6494864847828676</v>
      </c>
      <c r="AH834" s="25">
        <f t="shared" si="121"/>
        <v>100.21883967900223</v>
      </c>
      <c r="AI834" s="25">
        <f t="shared" si="122"/>
        <v>473.5404074381957</v>
      </c>
    </row>
    <row r="835" spans="1:35" ht="15.75" customHeight="1">
      <c r="A835" s="12" t="s">
        <v>612</v>
      </c>
      <c r="B835" s="12" t="s">
        <v>613</v>
      </c>
      <c r="C835" s="12" t="s">
        <v>169</v>
      </c>
      <c r="D835" s="12" t="s">
        <v>33</v>
      </c>
      <c r="E835" s="12" t="s">
        <v>27</v>
      </c>
      <c r="F835" s="13">
        <v>8.4793906816737419</v>
      </c>
      <c r="G835" s="14">
        <v>4.7176688969360061</v>
      </c>
      <c r="H835" s="24" t="str">
        <f t="shared" si="115"/>
        <v>RJSP</v>
      </c>
      <c r="I835" s="24" t="str">
        <f t="shared" si="124"/>
        <v>RJMG</v>
      </c>
      <c r="J835" s="24" t="str">
        <f t="shared" si="124"/>
        <v>RJES</v>
      </c>
      <c r="K835" s="24" t="str">
        <f t="shared" si="124"/>
        <v>RJSC</v>
      </c>
      <c r="L835" s="24" t="str">
        <f t="shared" si="124"/>
        <v>RJRJ</v>
      </c>
      <c r="M835" s="24" t="str">
        <f t="shared" si="124"/>
        <v>RJPR</v>
      </c>
      <c r="N835" s="24" t="str">
        <f t="shared" si="124"/>
        <v>RJAM</v>
      </c>
      <c r="O835" s="24">
        <f>VLOOKUP(H835, KM!$A:$E, 5, 0)</f>
        <v>429</v>
      </c>
      <c r="P835" s="24">
        <f>VLOOKUP(I835, KM!$A:$E, 5, 0)</f>
        <v>434</v>
      </c>
      <c r="Q835" s="24">
        <f>VLOOKUP(J835, KM!$A:$E, 5, 0)</f>
        <v>521</v>
      </c>
      <c r="R835" s="24">
        <f>VLOOKUP(K835, KM!$A:$E, 5, 0)</f>
        <v>1144</v>
      </c>
      <c r="S835" s="24">
        <f>VLOOKUP(L835, KM!$A:$E, 5, 0)</f>
        <v>0</v>
      </c>
      <c r="T835" s="24">
        <f>VLOOKUP(M835, KM!$A:$E, 5, 0)</f>
        <v>852</v>
      </c>
      <c r="U835" s="24">
        <f>VLOOKUP(N835, KM!$A:$E, 5, 0)</f>
        <v>4374</v>
      </c>
      <c r="V835" s="24">
        <f>VLOOKUP(H835, IMPOSTO!$A:$D, 4, 0)</f>
        <v>0.12</v>
      </c>
      <c r="W835" s="24">
        <f>VLOOKUP(I835, IMPOSTO!$A:$D, 4, 0)</f>
        <v>0.12</v>
      </c>
      <c r="X835" s="24">
        <f>VLOOKUP(J835, IMPOSTO!$A:$D, 4, 0)</f>
        <v>7.0000000000000007E-2</v>
      </c>
      <c r="Y835" s="24">
        <f>VLOOKUP(K835, IMPOSTO!$A:$D, 4, 0)</f>
        <v>0.12</v>
      </c>
      <c r="Z835" s="24">
        <f>VLOOKUP(L835, IMPOSTO!$A:$D, 4, 0)</f>
        <v>0.18</v>
      </c>
      <c r="AA835" s="24">
        <f>VLOOKUP(M835, IMPOSTO!$A:$D, 4, 0)</f>
        <v>0.12</v>
      </c>
      <c r="AB835" s="24">
        <f>VLOOKUP(N835, IMPOSTO!$A:$D, 4, 0)</f>
        <v>7.0000000000000007E-2</v>
      </c>
      <c r="AC835" s="25">
        <f t="shared" si="116"/>
        <v>54.110987382881831</v>
      </c>
      <c r="AD835" s="25">
        <f t="shared" si="117"/>
        <v>54.679169201063651</v>
      </c>
      <c r="AE835" s="25">
        <f t="shared" si="118"/>
        <v>61.094267631113986</v>
      </c>
      <c r="AF835" s="25">
        <f t="shared" si="119"/>
        <v>135.36098738288183</v>
      </c>
      <c r="AG835" s="25">
        <f t="shared" si="120"/>
        <v>5.7532547523609825</v>
      </c>
      <c r="AH835" s="25">
        <f t="shared" si="121"/>
        <v>102.17916920106364</v>
      </c>
      <c r="AI835" s="25">
        <f t="shared" si="122"/>
        <v>475.39534289993128</v>
      </c>
    </row>
    <row r="836" spans="1:35" ht="15.75" customHeight="1">
      <c r="A836" s="12" t="s">
        <v>268</v>
      </c>
      <c r="B836" s="12" t="s">
        <v>269</v>
      </c>
      <c r="C836" s="12" t="s">
        <v>169</v>
      </c>
      <c r="D836" s="12" t="s">
        <v>33</v>
      </c>
      <c r="E836" s="12" t="s">
        <v>27</v>
      </c>
      <c r="F836" s="13">
        <v>26.509048543387422</v>
      </c>
      <c r="G836" s="14">
        <v>27.343853345035384</v>
      </c>
      <c r="H836" s="24" t="str">
        <f t="shared" si="115"/>
        <v>RJSP</v>
      </c>
      <c r="I836" s="24" t="str">
        <f t="shared" si="124"/>
        <v>RJMG</v>
      </c>
      <c r="J836" s="24" t="str">
        <f t="shared" si="124"/>
        <v>RJES</v>
      </c>
      <c r="K836" s="24" t="str">
        <f t="shared" si="124"/>
        <v>RJSC</v>
      </c>
      <c r="L836" s="24" t="str">
        <f t="shared" si="124"/>
        <v>RJRJ</v>
      </c>
      <c r="M836" s="24" t="str">
        <f t="shared" si="124"/>
        <v>RJPR</v>
      </c>
      <c r="N836" s="24" t="str">
        <f t="shared" si="124"/>
        <v>RJAM</v>
      </c>
      <c r="O836" s="24">
        <f>VLOOKUP(H836, KM!$A:$E, 5, 0)</f>
        <v>429</v>
      </c>
      <c r="P836" s="24">
        <f>VLOOKUP(I836, KM!$A:$E, 5, 0)</f>
        <v>434</v>
      </c>
      <c r="Q836" s="24">
        <f>VLOOKUP(J836, KM!$A:$E, 5, 0)</f>
        <v>521</v>
      </c>
      <c r="R836" s="24">
        <f>VLOOKUP(K836, KM!$A:$E, 5, 0)</f>
        <v>1144</v>
      </c>
      <c r="S836" s="24">
        <f>VLOOKUP(L836, KM!$A:$E, 5, 0)</f>
        <v>0</v>
      </c>
      <c r="T836" s="24">
        <f>VLOOKUP(M836, KM!$A:$E, 5, 0)</f>
        <v>852</v>
      </c>
      <c r="U836" s="24">
        <f>VLOOKUP(N836, KM!$A:$E, 5, 0)</f>
        <v>4374</v>
      </c>
      <c r="V836" s="24">
        <f>VLOOKUP(H836, IMPOSTO!$A:$D, 4, 0)</f>
        <v>0.12</v>
      </c>
      <c r="W836" s="24">
        <f>VLOOKUP(I836, IMPOSTO!$A:$D, 4, 0)</f>
        <v>0.12</v>
      </c>
      <c r="X836" s="24">
        <f>VLOOKUP(J836, IMPOSTO!$A:$D, 4, 0)</f>
        <v>7.0000000000000007E-2</v>
      </c>
      <c r="Y836" s="24">
        <f>VLOOKUP(K836, IMPOSTO!$A:$D, 4, 0)</f>
        <v>0.12</v>
      </c>
      <c r="Z836" s="24">
        <f>VLOOKUP(L836, IMPOSTO!$A:$D, 4, 0)</f>
        <v>0.18</v>
      </c>
      <c r="AA836" s="24">
        <f>VLOOKUP(M836, IMPOSTO!$A:$D, 4, 0)</f>
        <v>0.12</v>
      </c>
      <c r="AB836" s="24">
        <f>VLOOKUP(N836, IMPOSTO!$A:$D, 4, 0)</f>
        <v>7.0000000000000007E-2</v>
      </c>
      <c r="AC836" s="25">
        <f t="shared" si="116"/>
        <v>79.822560619358399</v>
      </c>
      <c r="AD836" s="25">
        <f t="shared" si="117"/>
        <v>80.390742437540212</v>
      </c>
      <c r="AE836" s="25">
        <f t="shared" si="118"/>
        <v>85.423498220468176</v>
      </c>
      <c r="AF836" s="25">
        <f t="shared" si="119"/>
        <v>161.07256061935843</v>
      </c>
      <c r="AG836" s="25">
        <f t="shared" si="120"/>
        <v>33.346162615896809</v>
      </c>
      <c r="AH836" s="25">
        <f t="shared" si="121"/>
        <v>127.89074243754021</v>
      </c>
      <c r="AI836" s="25">
        <f t="shared" si="122"/>
        <v>499.72457348928543</v>
      </c>
    </row>
    <row r="837" spans="1:35" ht="15.75" customHeight="1">
      <c r="A837" s="12" t="s">
        <v>270</v>
      </c>
      <c r="B837" s="12" t="s">
        <v>271</v>
      </c>
      <c r="C837" s="12" t="s">
        <v>163</v>
      </c>
      <c r="D837" s="12" t="s">
        <v>33</v>
      </c>
      <c r="E837" s="12" t="s">
        <v>27</v>
      </c>
      <c r="F837" s="13">
        <v>111143.64891142382</v>
      </c>
      <c r="G837" s="14">
        <v>2450.0999937807205</v>
      </c>
      <c r="H837" s="24" t="str">
        <f t="shared" ref="H837:H900" si="125">$E837 &amp; H$17</f>
        <v>RJSP</v>
      </c>
      <c r="I837" s="24" t="str">
        <f t="shared" si="124"/>
        <v>RJMG</v>
      </c>
      <c r="J837" s="24" t="str">
        <f t="shared" si="124"/>
        <v>RJES</v>
      </c>
      <c r="K837" s="24" t="str">
        <f t="shared" si="124"/>
        <v>RJSC</v>
      </c>
      <c r="L837" s="24" t="str">
        <f t="shared" si="124"/>
        <v>RJRJ</v>
      </c>
      <c r="M837" s="24" t="str">
        <f t="shared" si="124"/>
        <v>RJPR</v>
      </c>
      <c r="N837" s="24" t="str">
        <f t="shared" si="124"/>
        <v>RJAM</v>
      </c>
      <c r="O837" s="24">
        <f>VLOOKUP(H837, KM!$A:$E, 5, 0)</f>
        <v>429</v>
      </c>
      <c r="P837" s="24">
        <f>VLOOKUP(I837, KM!$A:$E, 5, 0)</f>
        <v>434</v>
      </c>
      <c r="Q837" s="24">
        <f>VLOOKUP(J837, KM!$A:$E, 5, 0)</f>
        <v>521</v>
      </c>
      <c r="R837" s="24">
        <f>VLOOKUP(K837, KM!$A:$E, 5, 0)</f>
        <v>1144</v>
      </c>
      <c r="S837" s="24">
        <f>VLOOKUP(L837, KM!$A:$E, 5, 0)</f>
        <v>0</v>
      </c>
      <c r="T837" s="24">
        <f>VLOOKUP(M837, KM!$A:$E, 5, 0)</f>
        <v>852</v>
      </c>
      <c r="U837" s="24">
        <f>VLOOKUP(N837, KM!$A:$E, 5, 0)</f>
        <v>4374</v>
      </c>
      <c r="V837" s="24">
        <f>VLOOKUP(H837, IMPOSTO!$A:$D, 4, 0)</f>
        <v>0.12</v>
      </c>
      <c r="W837" s="24">
        <f>VLOOKUP(I837, IMPOSTO!$A:$D, 4, 0)</f>
        <v>0.12</v>
      </c>
      <c r="X837" s="24">
        <f>VLOOKUP(J837, IMPOSTO!$A:$D, 4, 0)</f>
        <v>7.0000000000000007E-2</v>
      </c>
      <c r="Y837" s="24">
        <f>VLOOKUP(K837, IMPOSTO!$A:$D, 4, 0)</f>
        <v>0.12</v>
      </c>
      <c r="Z837" s="24">
        <f>VLOOKUP(L837, IMPOSTO!$A:$D, 4, 0)</f>
        <v>0.18</v>
      </c>
      <c r="AA837" s="24">
        <f>VLOOKUP(M837, IMPOSTO!$A:$D, 4, 0)</f>
        <v>0.12</v>
      </c>
      <c r="AB837" s="24">
        <f>VLOOKUP(N837, IMPOSTO!$A:$D, 4, 0)</f>
        <v>7.0000000000000007E-2</v>
      </c>
      <c r="AC837" s="25">
        <f t="shared" si="116"/>
        <v>2832.9545383871823</v>
      </c>
      <c r="AD837" s="25">
        <f t="shared" si="117"/>
        <v>2833.5227202053643</v>
      </c>
      <c r="AE837" s="25">
        <f t="shared" si="118"/>
        <v>2690.5376277212049</v>
      </c>
      <c r="AF837" s="25">
        <f t="shared" si="119"/>
        <v>2914.2045383871823</v>
      </c>
      <c r="AG837" s="25">
        <f t="shared" si="120"/>
        <v>2987.9268216838054</v>
      </c>
      <c r="AH837" s="25">
        <f t="shared" si="121"/>
        <v>2881.0227202053638</v>
      </c>
      <c r="AI837" s="25">
        <f t="shared" si="122"/>
        <v>3104.8387029900223</v>
      </c>
    </row>
    <row r="838" spans="1:35" ht="15.75" customHeight="1">
      <c r="A838" s="12" t="s">
        <v>490</v>
      </c>
      <c r="B838" s="12" t="s">
        <v>491</v>
      </c>
      <c r="C838" s="12" t="s">
        <v>163</v>
      </c>
      <c r="D838" s="12" t="s">
        <v>33</v>
      </c>
      <c r="E838" s="12" t="s">
        <v>27</v>
      </c>
      <c r="F838" s="13">
        <v>5454</v>
      </c>
      <c r="G838" s="14">
        <v>102.93</v>
      </c>
      <c r="H838" s="24" t="str">
        <f t="shared" si="125"/>
        <v>RJSP</v>
      </c>
      <c r="I838" s="24" t="str">
        <f t="shared" si="124"/>
        <v>RJMG</v>
      </c>
      <c r="J838" s="24" t="str">
        <f t="shared" si="124"/>
        <v>RJES</v>
      </c>
      <c r="K838" s="24" t="str">
        <f t="shared" si="124"/>
        <v>RJSC</v>
      </c>
      <c r="L838" s="24" t="str">
        <f t="shared" si="124"/>
        <v>RJRJ</v>
      </c>
      <c r="M838" s="24" t="str">
        <f t="shared" si="124"/>
        <v>RJPR</v>
      </c>
      <c r="N838" s="24" t="str">
        <f t="shared" si="124"/>
        <v>RJAM</v>
      </c>
      <c r="O838" s="24">
        <f>VLOOKUP(H838, KM!$A:$E, 5, 0)</f>
        <v>429</v>
      </c>
      <c r="P838" s="24">
        <f>VLOOKUP(I838, KM!$A:$E, 5, 0)</f>
        <v>434</v>
      </c>
      <c r="Q838" s="24">
        <f>VLOOKUP(J838, KM!$A:$E, 5, 0)</f>
        <v>521</v>
      </c>
      <c r="R838" s="24">
        <f>VLOOKUP(K838, KM!$A:$E, 5, 0)</f>
        <v>1144</v>
      </c>
      <c r="S838" s="24">
        <f>VLOOKUP(L838, KM!$A:$E, 5, 0)</f>
        <v>0</v>
      </c>
      <c r="T838" s="24">
        <f>VLOOKUP(M838, KM!$A:$E, 5, 0)</f>
        <v>852</v>
      </c>
      <c r="U838" s="24">
        <f>VLOOKUP(N838, KM!$A:$E, 5, 0)</f>
        <v>4374</v>
      </c>
      <c r="V838" s="24">
        <f>VLOOKUP(H838, IMPOSTO!$A:$D, 4, 0)</f>
        <v>0.12</v>
      </c>
      <c r="W838" s="24">
        <f>VLOOKUP(I838, IMPOSTO!$A:$D, 4, 0)</f>
        <v>0.12</v>
      </c>
      <c r="X838" s="24">
        <f>VLOOKUP(J838, IMPOSTO!$A:$D, 4, 0)</f>
        <v>7.0000000000000007E-2</v>
      </c>
      <c r="Y838" s="24">
        <f>VLOOKUP(K838, IMPOSTO!$A:$D, 4, 0)</f>
        <v>0.12</v>
      </c>
      <c r="Z838" s="24">
        <f>VLOOKUP(L838, IMPOSTO!$A:$D, 4, 0)</f>
        <v>0.18</v>
      </c>
      <c r="AA838" s="24">
        <f>VLOOKUP(M838, IMPOSTO!$A:$D, 4, 0)</f>
        <v>0.12</v>
      </c>
      <c r="AB838" s="24">
        <f>VLOOKUP(N838, IMPOSTO!$A:$D, 4, 0)</f>
        <v>7.0000000000000007E-2</v>
      </c>
      <c r="AC838" s="25">
        <f t="shared" si="116"/>
        <v>165.71590909090909</v>
      </c>
      <c r="AD838" s="25">
        <f t="shared" si="117"/>
        <v>166.28409090909093</v>
      </c>
      <c r="AE838" s="25">
        <f t="shared" si="118"/>
        <v>166.69892473118281</v>
      </c>
      <c r="AF838" s="25">
        <f t="shared" si="119"/>
        <v>246.96590909090909</v>
      </c>
      <c r="AG838" s="25">
        <f t="shared" si="120"/>
        <v>125.52439024390243</v>
      </c>
      <c r="AH838" s="25">
        <f t="shared" si="121"/>
        <v>213.78409090909091</v>
      </c>
      <c r="AI838" s="25">
        <f t="shared" si="122"/>
        <v>581.00000000000011</v>
      </c>
    </row>
    <row r="839" spans="1:35" ht="15.75" customHeight="1">
      <c r="A839" s="12" t="s">
        <v>325</v>
      </c>
      <c r="B839" s="12" t="s">
        <v>326</v>
      </c>
      <c r="C839" s="12" t="s">
        <v>283</v>
      </c>
      <c r="D839" s="12" t="s">
        <v>33</v>
      </c>
      <c r="E839" s="12" t="s">
        <v>27</v>
      </c>
      <c r="F839" s="13">
        <v>2.3999999999999998E-3</v>
      </c>
      <c r="G839" s="14">
        <v>4.7123999999999999E-2</v>
      </c>
      <c r="H839" s="24" t="str">
        <f t="shared" si="125"/>
        <v>RJSP</v>
      </c>
      <c r="I839" s="24" t="str">
        <f t="shared" si="124"/>
        <v>RJMG</v>
      </c>
      <c r="J839" s="24" t="str">
        <f t="shared" si="124"/>
        <v>RJES</v>
      </c>
      <c r="K839" s="24" t="str">
        <f t="shared" si="124"/>
        <v>RJSC</v>
      </c>
      <c r="L839" s="24" t="str">
        <f t="shared" si="124"/>
        <v>RJRJ</v>
      </c>
      <c r="M839" s="24" t="str">
        <f t="shared" si="124"/>
        <v>RJPR</v>
      </c>
      <c r="N839" s="24" t="str">
        <f t="shared" si="124"/>
        <v>RJAM</v>
      </c>
      <c r="O839" s="24">
        <f>VLOOKUP(H839, KM!$A:$E, 5, 0)</f>
        <v>429</v>
      </c>
      <c r="P839" s="24">
        <f>VLOOKUP(I839, KM!$A:$E, 5, 0)</f>
        <v>434</v>
      </c>
      <c r="Q839" s="24">
        <f>VLOOKUP(J839, KM!$A:$E, 5, 0)</f>
        <v>521</v>
      </c>
      <c r="R839" s="24">
        <f>VLOOKUP(K839, KM!$A:$E, 5, 0)</f>
        <v>1144</v>
      </c>
      <c r="S839" s="24">
        <f>VLOOKUP(L839, KM!$A:$E, 5, 0)</f>
        <v>0</v>
      </c>
      <c r="T839" s="24">
        <f>VLOOKUP(M839, KM!$A:$E, 5, 0)</f>
        <v>852</v>
      </c>
      <c r="U839" s="24">
        <f>VLOOKUP(N839, KM!$A:$E, 5, 0)</f>
        <v>4374</v>
      </c>
      <c r="V839" s="24">
        <f>VLOOKUP(H839, IMPOSTO!$A:$D, 4, 0)</f>
        <v>0.12</v>
      </c>
      <c r="W839" s="24">
        <f>VLOOKUP(I839, IMPOSTO!$A:$D, 4, 0)</f>
        <v>0.12</v>
      </c>
      <c r="X839" s="24">
        <f>VLOOKUP(J839, IMPOSTO!$A:$D, 4, 0)</f>
        <v>7.0000000000000007E-2</v>
      </c>
      <c r="Y839" s="24">
        <f>VLOOKUP(K839, IMPOSTO!$A:$D, 4, 0)</f>
        <v>0.12</v>
      </c>
      <c r="Z839" s="24">
        <f>VLOOKUP(L839, IMPOSTO!$A:$D, 4, 0)</f>
        <v>0.18</v>
      </c>
      <c r="AA839" s="24">
        <f>VLOOKUP(M839, IMPOSTO!$A:$D, 4, 0)</f>
        <v>0.12</v>
      </c>
      <c r="AB839" s="24">
        <f>VLOOKUP(N839, IMPOSTO!$A:$D, 4, 0)</f>
        <v>7.0000000000000007E-2</v>
      </c>
      <c r="AC839" s="25">
        <f t="shared" si="116"/>
        <v>48.803550000000001</v>
      </c>
      <c r="AD839" s="25">
        <f t="shared" si="117"/>
        <v>49.371731818181821</v>
      </c>
      <c r="AE839" s="25">
        <f t="shared" si="118"/>
        <v>56.072176344086024</v>
      </c>
      <c r="AF839" s="25">
        <f t="shared" si="119"/>
        <v>130.05355</v>
      </c>
      <c r="AG839" s="25">
        <f t="shared" si="120"/>
        <v>5.7468292682926823E-2</v>
      </c>
      <c r="AH839" s="25">
        <f t="shared" si="121"/>
        <v>96.871731818181814</v>
      </c>
      <c r="AI839" s="25">
        <f t="shared" si="122"/>
        <v>470.37325161290329</v>
      </c>
    </row>
    <row r="840" spans="1:35" ht="15.75" customHeight="1">
      <c r="A840" s="12" t="s">
        <v>357</v>
      </c>
      <c r="B840" s="12" t="s">
        <v>358</v>
      </c>
      <c r="C840" s="12" t="s">
        <v>278</v>
      </c>
      <c r="D840" s="12" t="s">
        <v>33</v>
      </c>
      <c r="E840" s="12" t="s">
        <v>27</v>
      </c>
      <c r="F840" s="13">
        <v>0.12400000000000001</v>
      </c>
      <c r="G840" s="14">
        <v>6.3414400000000004</v>
      </c>
      <c r="H840" s="24" t="str">
        <f t="shared" si="125"/>
        <v>RJSP</v>
      </c>
      <c r="I840" s="24" t="str">
        <f t="shared" si="124"/>
        <v>RJMG</v>
      </c>
      <c r="J840" s="24" t="str">
        <f t="shared" si="124"/>
        <v>RJES</v>
      </c>
      <c r="K840" s="24" t="str">
        <f t="shared" si="124"/>
        <v>RJSC</v>
      </c>
      <c r="L840" s="24" t="str">
        <f t="shared" si="124"/>
        <v>RJRJ</v>
      </c>
      <c r="M840" s="24" t="str">
        <f t="shared" si="124"/>
        <v>RJPR</v>
      </c>
      <c r="N840" s="24" t="str">
        <f t="shared" si="124"/>
        <v>RJAM</v>
      </c>
      <c r="O840" s="24">
        <f>VLOOKUP(H840, KM!$A:$E, 5, 0)</f>
        <v>429</v>
      </c>
      <c r="P840" s="24">
        <f>VLOOKUP(I840, KM!$A:$E, 5, 0)</f>
        <v>434</v>
      </c>
      <c r="Q840" s="24">
        <f>VLOOKUP(J840, KM!$A:$E, 5, 0)</f>
        <v>521</v>
      </c>
      <c r="R840" s="24">
        <f>VLOOKUP(K840, KM!$A:$E, 5, 0)</f>
        <v>1144</v>
      </c>
      <c r="S840" s="24">
        <f>VLOOKUP(L840, KM!$A:$E, 5, 0)</f>
        <v>0</v>
      </c>
      <c r="T840" s="24">
        <f>VLOOKUP(M840, KM!$A:$E, 5, 0)</f>
        <v>852</v>
      </c>
      <c r="U840" s="24">
        <f>VLOOKUP(N840, KM!$A:$E, 5, 0)</f>
        <v>4374</v>
      </c>
      <c r="V840" s="24">
        <f>VLOOKUP(H840, IMPOSTO!$A:$D, 4, 0)</f>
        <v>0.12</v>
      </c>
      <c r="W840" s="24">
        <f>VLOOKUP(I840, IMPOSTO!$A:$D, 4, 0)</f>
        <v>0.12</v>
      </c>
      <c r="X840" s="24">
        <f>VLOOKUP(J840, IMPOSTO!$A:$D, 4, 0)</f>
        <v>7.0000000000000007E-2</v>
      </c>
      <c r="Y840" s="24">
        <f>VLOOKUP(K840, IMPOSTO!$A:$D, 4, 0)</f>
        <v>0.12</v>
      </c>
      <c r="Z840" s="24">
        <f>VLOOKUP(L840, IMPOSTO!$A:$D, 4, 0)</f>
        <v>0.18</v>
      </c>
      <c r="AA840" s="24">
        <f>VLOOKUP(M840, IMPOSTO!$A:$D, 4, 0)</f>
        <v>0.12</v>
      </c>
      <c r="AB840" s="24">
        <f>VLOOKUP(N840, IMPOSTO!$A:$D, 4, 0)</f>
        <v>7.0000000000000007E-2</v>
      </c>
      <c r="AC840" s="25">
        <f t="shared" si="116"/>
        <v>55.956181818181825</v>
      </c>
      <c r="AD840" s="25">
        <f t="shared" si="117"/>
        <v>56.524363636363638</v>
      </c>
      <c r="AE840" s="25">
        <f t="shared" si="118"/>
        <v>62.840258064516135</v>
      </c>
      <c r="AF840" s="25">
        <f t="shared" si="119"/>
        <v>137.20618181818182</v>
      </c>
      <c r="AG840" s="25">
        <f t="shared" si="120"/>
        <v>7.7334634146341461</v>
      </c>
      <c r="AH840" s="25">
        <f t="shared" si="121"/>
        <v>104.02436363636365</v>
      </c>
      <c r="AI840" s="25">
        <f t="shared" si="122"/>
        <v>477.14133333333336</v>
      </c>
    </row>
    <row r="841" spans="1:35" ht="15.75" customHeight="1">
      <c r="A841" s="12" t="s">
        <v>620</v>
      </c>
      <c r="B841" s="12" t="s">
        <v>621</v>
      </c>
      <c r="C841" s="12" t="s">
        <v>265</v>
      </c>
      <c r="D841" s="12" t="s">
        <v>50</v>
      </c>
      <c r="E841" s="12" t="s">
        <v>27</v>
      </c>
      <c r="F841" s="13">
        <v>8.0000000000000004E-4</v>
      </c>
      <c r="G841" s="14">
        <v>2.8500000000000001E-2</v>
      </c>
      <c r="H841" s="24" t="str">
        <f t="shared" si="125"/>
        <v>RJSP</v>
      </c>
      <c r="I841" s="24" t="str">
        <f t="shared" si="124"/>
        <v>RJMG</v>
      </c>
      <c r="J841" s="24" t="str">
        <f t="shared" si="124"/>
        <v>RJES</v>
      </c>
      <c r="K841" s="24" t="str">
        <f t="shared" si="124"/>
        <v>RJSC</v>
      </c>
      <c r="L841" s="24" t="str">
        <f t="shared" si="124"/>
        <v>RJRJ</v>
      </c>
      <c r="M841" s="24" t="str">
        <f t="shared" si="124"/>
        <v>RJPR</v>
      </c>
      <c r="N841" s="24" t="str">
        <f t="shared" si="124"/>
        <v>RJAM</v>
      </c>
      <c r="O841" s="24">
        <f>VLOOKUP(H841, KM!$A:$E, 5, 0)</f>
        <v>429</v>
      </c>
      <c r="P841" s="24">
        <f>VLOOKUP(I841, KM!$A:$E, 5, 0)</f>
        <v>434</v>
      </c>
      <c r="Q841" s="24">
        <f>VLOOKUP(J841, KM!$A:$E, 5, 0)</f>
        <v>521</v>
      </c>
      <c r="R841" s="24">
        <f>VLOOKUP(K841, KM!$A:$E, 5, 0)</f>
        <v>1144</v>
      </c>
      <c r="S841" s="24">
        <f>VLOOKUP(L841, KM!$A:$E, 5, 0)</f>
        <v>0</v>
      </c>
      <c r="T841" s="24">
        <f>VLOOKUP(M841, KM!$A:$E, 5, 0)</f>
        <v>852</v>
      </c>
      <c r="U841" s="24">
        <f>VLOOKUP(N841, KM!$A:$E, 5, 0)</f>
        <v>4374</v>
      </c>
      <c r="V841" s="24">
        <f>VLOOKUP(H841, IMPOSTO!$A:$D, 4, 0)</f>
        <v>0.12</v>
      </c>
      <c r="W841" s="24">
        <f>VLOOKUP(I841, IMPOSTO!$A:$D, 4, 0)</f>
        <v>0.12</v>
      </c>
      <c r="X841" s="24">
        <f>VLOOKUP(J841, IMPOSTO!$A:$D, 4, 0)</f>
        <v>7.0000000000000007E-2</v>
      </c>
      <c r="Y841" s="24">
        <f>VLOOKUP(K841, IMPOSTO!$A:$D, 4, 0)</f>
        <v>0.12</v>
      </c>
      <c r="Z841" s="24">
        <f>VLOOKUP(L841, IMPOSTO!$A:$D, 4, 0)</f>
        <v>0.18</v>
      </c>
      <c r="AA841" s="24">
        <f>VLOOKUP(M841, IMPOSTO!$A:$D, 4, 0)</f>
        <v>0.12</v>
      </c>
      <c r="AB841" s="24">
        <f>VLOOKUP(N841, IMPOSTO!$A:$D, 4, 0)</f>
        <v>7.0000000000000007E-2</v>
      </c>
      <c r="AC841" s="25">
        <f t="shared" si="116"/>
        <v>48.78238636363637</v>
      </c>
      <c r="AD841" s="25">
        <f t="shared" si="117"/>
        <v>49.35056818181819</v>
      </c>
      <c r="AE841" s="25">
        <f t="shared" si="118"/>
        <v>56.052150537634418</v>
      </c>
      <c r="AF841" s="25">
        <f t="shared" si="119"/>
        <v>130.03238636363636</v>
      </c>
      <c r="AG841" s="25">
        <f t="shared" si="120"/>
        <v>3.4756097560975606E-2</v>
      </c>
      <c r="AH841" s="25">
        <f t="shared" si="121"/>
        <v>96.850568181818176</v>
      </c>
      <c r="AI841" s="25">
        <f t="shared" si="122"/>
        <v>470.35322580645169</v>
      </c>
    </row>
    <row r="842" spans="1:35" ht="15.75" customHeight="1">
      <c r="A842" s="12" t="s">
        <v>361</v>
      </c>
      <c r="B842" s="12" t="s">
        <v>362</v>
      </c>
      <c r="C842" s="12" t="s">
        <v>262</v>
      </c>
      <c r="D842" s="12" t="s">
        <v>33</v>
      </c>
      <c r="E842" s="12" t="s">
        <v>27</v>
      </c>
      <c r="F842" s="13">
        <v>4.1999999999999997E-3</v>
      </c>
      <c r="G842" s="14">
        <v>9.0881000000000003E-2</v>
      </c>
      <c r="H842" s="24" t="str">
        <f t="shared" si="125"/>
        <v>RJSP</v>
      </c>
      <c r="I842" s="24" t="str">
        <f t="shared" si="124"/>
        <v>RJMG</v>
      </c>
      <c r="J842" s="24" t="str">
        <f t="shared" si="124"/>
        <v>RJES</v>
      </c>
      <c r="K842" s="24" t="str">
        <f t="shared" si="124"/>
        <v>RJSC</v>
      </c>
      <c r="L842" s="24" t="str">
        <f t="shared" si="124"/>
        <v>RJRJ</v>
      </c>
      <c r="M842" s="24" t="str">
        <f t="shared" si="124"/>
        <v>RJPR</v>
      </c>
      <c r="N842" s="24" t="str">
        <f t="shared" si="124"/>
        <v>RJAM</v>
      </c>
      <c r="O842" s="24">
        <f>VLOOKUP(H842, KM!$A:$E, 5, 0)</f>
        <v>429</v>
      </c>
      <c r="P842" s="24">
        <f>VLOOKUP(I842, KM!$A:$E, 5, 0)</f>
        <v>434</v>
      </c>
      <c r="Q842" s="24">
        <f>VLOOKUP(J842, KM!$A:$E, 5, 0)</f>
        <v>521</v>
      </c>
      <c r="R842" s="24">
        <f>VLOOKUP(K842, KM!$A:$E, 5, 0)</f>
        <v>1144</v>
      </c>
      <c r="S842" s="24">
        <f>VLOOKUP(L842, KM!$A:$E, 5, 0)</f>
        <v>0</v>
      </c>
      <c r="T842" s="24">
        <f>VLOOKUP(M842, KM!$A:$E, 5, 0)</f>
        <v>852</v>
      </c>
      <c r="U842" s="24">
        <f>VLOOKUP(N842, KM!$A:$E, 5, 0)</f>
        <v>4374</v>
      </c>
      <c r="V842" s="24">
        <f>VLOOKUP(H842, IMPOSTO!$A:$D, 4, 0)</f>
        <v>0.12</v>
      </c>
      <c r="W842" s="24">
        <f>VLOOKUP(I842, IMPOSTO!$A:$D, 4, 0)</f>
        <v>0.12</v>
      </c>
      <c r="X842" s="24">
        <f>VLOOKUP(J842, IMPOSTO!$A:$D, 4, 0)</f>
        <v>7.0000000000000007E-2</v>
      </c>
      <c r="Y842" s="24">
        <f>VLOOKUP(K842, IMPOSTO!$A:$D, 4, 0)</f>
        <v>0.12</v>
      </c>
      <c r="Z842" s="24">
        <f>VLOOKUP(L842, IMPOSTO!$A:$D, 4, 0)</f>
        <v>0.18</v>
      </c>
      <c r="AA842" s="24">
        <f>VLOOKUP(M842, IMPOSTO!$A:$D, 4, 0)</f>
        <v>0.12</v>
      </c>
      <c r="AB842" s="24">
        <f>VLOOKUP(N842, IMPOSTO!$A:$D, 4, 0)</f>
        <v>7.0000000000000007E-2</v>
      </c>
      <c r="AC842" s="25">
        <f t="shared" si="116"/>
        <v>48.853273863636375</v>
      </c>
      <c r="AD842" s="25">
        <f t="shared" si="117"/>
        <v>49.421455681818195</v>
      </c>
      <c r="AE842" s="25">
        <f t="shared" si="118"/>
        <v>56.119226881720436</v>
      </c>
      <c r="AF842" s="25">
        <f t="shared" si="119"/>
        <v>130.10327386363636</v>
      </c>
      <c r="AG842" s="25">
        <f t="shared" si="120"/>
        <v>0.11083048780487804</v>
      </c>
      <c r="AH842" s="25">
        <f t="shared" si="121"/>
        <v>96.921455681818173</v>
      </c>
      <c r="AI842" s="25">
        <f t="shared" si="122"/>
        <v>470.42030215053774</v>
      </c>
    </row>
    <row r="843" spans="1:35" ht="15.75" customHeight="1">
      <c r="A843" s="12" t="s">
        <v>504</v>
      </c>
      <c r="B843" s="12" t="s">
        <v>505</v>
      </c>
      <c r="C843" s="12" t="s">
        <v>135</v>
      </c>
      <c r="D843" s="12" t="s">
        <v>33</v>
      </c>
      <c r="E843" s="12" t="s">
        <v>27</v>
      </c>
      <c r="F843" s="13">
        <v>3.8E-3</v>
      </c>
      <c r="G843" s="14">
        <v>3.2793999999999997E-2</v>
      </c>
      <c r="H843" s="24" t="str">
        <f t="shared" si="125"/>
        <v>RJSP</v>
      </c>
      <c r="I843" s="24" t="str">
        <f t="shared" si="124"/>
        <v>RJMG</v>
      </c>
      <c r="J843" s="24" t="str">
        <f t="shared" si="124"/>
        <v>RJES</v>
      </c>
      <c r="K843" s="24" t="str">
        <f t="shared" si="124"/>
        <v>RJSC</v>
      </c>
      <c r="L843" s="24" t="str">
        <f t="shared" si="124"/>
        <v>RJRJ</v>
      </c>
      <c r="M843" s="24" t="str">
        <f t="shared" si="124"/>
        <v>RJPR</v>
      </c>
      <c r="N843" s="24" t="str">
        <f t="shared" si="124"/>
        <v>RJAM</v>
      </c>
      <c r="O843" s="24">
        <f>VLOOKUP(H843, KM!$A:$E, 5, 0)</f>
        <v>429</v>
      </c>
      <c r="P843" s="24">
        <f>VLOOKUP(I843, KM!$A:$E, 5, 0)</f>
        <v>434</v>
      </c>
      <c r="Q843" s="24">
        <f>VLOOKUP(J843, KM!$A:$E, 5, 0)</f>
        <v>521</v>
      </c>
      <c r="R843" s="24">
        <f>VLOOKUP(K843, KM!$A:$E, 5, 0)</f>
        <v>1144</v>
      </c>
      <c r="S843" s="24">
        <f>VLOOKUP(L843, KM!$A:$E, 5, 0)</f>
        <v>0</v>
      </c>
      <c r="T843" s="24">
        <f>VLOOKUP(M843, KM!$A:$E, 5, 0)</f>
        <v>852</v>
      </c>
      <c r="U843" s="24">
        <f>VLOOKUP(N843, KM!$A:$E, 5, 0)</f>
        <v>4374</v>
      </c>
      <c r="V843" s="24">
        <f>VLOOKUP(H843, IMPOSTO!$A:$D, 4, 0)</f>
        <v>0.12</v>
      </c>
      <c r="W843" s="24">
        <f>VLOOKUP(I843, IMPOSTO!$A:$D, 4, 0)</f>
        <v>0.12</v>
      </c>
      <c r="X843" s="24">
        <f>VLOOKUP(J843, IMPOSTO!$A:$D, 4, 0)</f>
        <v>7.0000000000000007E-2</v>
      </c>
      <c r="Y843" s="24">
        <f>VLOOKUP(K843, IMPOSTO!$A:$D, 4, 0)</f>
        <v>0.12</v>
      </c>
      <c r="Z843" s="24">
        <f>VLOOKUP(L843, IMPOSTO!$A:$D, 4, 0)</f>
        <v>0.18</v>
      </c>
      <c r="AA843" s="24">
        <f>VLOOKUP(M843, IMPOSTO!$A:$D, 4, 0)</f>
        <v>0.12</v>
      </c>
      <c r="AB843" s="24">
        <f>VLOOKUP(N843, IMPOSTO!$A:$D, 4, 0)</f>
        <v>7.0000000000000007E-2</v>
      </c>
      <c r="AC843" s="25">
        <f t="shared" si="116"/>
        <v>48.78726590909092</v>
      </c>
      <c r="AD843" s="25">
        <f t="shared" si="117"/>
        <v>49.35544772727274</v>
      </c>
      <c r="AE843" s="25">
        <f t="shared" si="118"/>
        <v>56.056767741935495</v>
      </c>
      <c r="AF843" s="25">
        <f t="shared" si="119"/>
        <v>130.03726590909091</v>
      </c>
      <c r="AG843" s="25">
        <f t="shared" si="120"/>
        <v>3.9992682926829261E-2</v>
      </c>
      <c r="AH843" s="25">
        <f t="shared" si="121"/>
        <v>96.855447727272718</v>
      </c>
      <c r="AI843" s="25">
        <f t="shared" si="122"/>
        <v>470.35784301075279</v>
      </c>
    </row>
    <row r="844" spans="1:35" ht="15.75" customHeight="1">
      <c r="A844" s="12" t="s">
        <v>622</v>
      </c>
      <c r="B844" s="12" t="s">
        <v>623</v>
      </c>
      <c r="C844" s="12" t="s">
        <v>259</v>
      </c>
      <c r="D844" s="12" t="s">
        <v>50</v>
      </c>
      <c r="E844" s="12" t="s">
        <v>27</v>
      </c>
      <c r="F844" s="13">
        <v>2.9999999999999997E-4</v>
      </c>
      <c r="G844" s="14">
        <v>1.1139E-2</v>
      </c>
      <c r="H844" s="24" t="str">
        <f t="shared" si="125"/>
        <v>RJSP</v>
      </c>
      <c r="I844" s="24" t="str">
        <f t="shared" si="124"/>
        <v>RJMG</v>
      </c>
      <c r="J844" s="24" t="str">
        <f t="shared" si="124"/>
        <v>RJES</v>
      </c>
      <c r="K844" s="24" t="str">
        <f t="shared" si="124"/>
        <v>RJSC</v>
      </c>
      <c r="L844" s="24" t="str">
        <f t="shared" si="124"/>
        <v>RJRJ</v>
      </c>
      <c r="M844" s="24" t="str">
        <f t="shared" si="124"/>
        <v>RJPR</v>
      </c>
      <c r="N844" s="24" t="str">
        <f t="shared" si="124"/>
        <v>RJAM</v>
      </c>
      <c r="O844" s="24">
        <f>VLOOKUP(H844, KM!$A:$E, 5, 0)</f>
        <v>429</v>
      </c>
      <c r="P844" s="24">
        <f>VLOOKUP(I844, KM!$A:$E, 5, 0)</f>
        <v>434</v>
      </c>
      <c r="Q844" s="24">
        <f>VLOOKUP(J844, KM!$A:$E, 5, 0)</f>
        <v>521</v>
      </c>
      <c r="R844" s="24">
        <f>VLOOKUP(K844, KM!$A:$E, 5, 0)</f>
        <v>1144</v>
      </c>
      <c r="S844" s="24">
        <f>VLOOKUP(L844, KM!$A:$E, 5, 0)</f>
        <v>0</v>
      </c>
      <c r="T844" s="24">
        <f>VLOOKUP(M844, KM!$A:$E, 5, 0)</f>
        <v>852</v>
      </c>
      <c r="U844" s="24">
        <f>VLOOKUP(N844, KM!$A:$E, 5, 0)</f>
        <v>4374</v>
      </c>
      <c r="V844" s="24">
        <f>VLOOKUP(H844, IMPOSTO!$A:$D, 4, 0)</f>
        <v>0.12</v>
      </c>
      <c r="W844" s="24">
        <f>VLOOKUP(I844, IMPOSTO!$A:$D, 4, 0)</f>
        <v>0.12</v>
      </c>
      <c r="X844" s="24">
        <f>VLOOKUP(J844, IMPOSTO!$A:$D, 4, 0)</f>
        <v>7.0000000000000007E-2</v>
      </c>
      <c r="Y844" s="24">
        <f>VLOOKUP(K844, IMPOSTO!$A:$D, 4, 0)</f>
        <v>0.12</v>
      </c>
      <c r="Z844" s="24">
        <f>VLOOKUP(L844, IMPOSTO!$A:$D, 4, 0)</f>
        <v>0.18</v>
      </c>
      <c r="AA844" s="24">
        <f>VLOOKUP(M844, IMPOSTO!$A:$D, 4, 0)</f>
        <v>0.12</v>
      </c>
      <c r="AB844" s="24">
        <f>VLOOKUP(N844, IMPOSTO!$A:$D, 4, 0)</f>
        <v>7.0000000000000007E-2</v>
      </c>
      <c r="AC844" s="25">
        <f t="shared" si="116"/>
        <v>48.76265795454546</v>
      </c>
      <c r="AD844" s="25">
        <f t="shared" si="117"/>
        <v>49.33083977272728</v>
      </c>
      <c r="AE844" s="25">
        <f t="shared" si="118"/>
        <v>56.03348279569893</v>
      </c>
      <c r="AF844" s="25">
        <f t="shared" si="119"/>
        <v>130.01265795454546</v>
      </c>
      <c r="AG844" s="25">
        <f t="shared" si="120"/>
        <v>1.3584146341463413E-2</v>
      </c>
      <c r="AH844" s="25">
        <f t="shared" si="121"/>
        <v>96.830839772727273</v>
      </c>
      <c r="AI844" s="25">
        <f t="shared" si="122"/>
        <v>470.33455806451622</v>
      </c>
    </row>
    <row r="845" spans="1:35" ht="15.75" customHeight="1">
      <c r="A845" s="12" t="s">
        <v>30</v>
      </c>
      <c r="B845" s="12" t="s">
        <v>31</v>
      </c>
      <c r="C845" s="12" t="s">
        <v>32</v>
      </c>
      <c r="D845" s="12" t="s">
        <v>33</v>
      </c>
      <c r="E845" s="12" t="s">
        <v>27</v>
      </c>
      <c r="F845" s="13">
        <v>3.0000000000000003E-4</v>
      </c>
      <c r="G845" s="14">
        <v>7.9399999999999991E-3</v>
      </c>
      <c r="H845" s="24" t="str">
        <f t="shared" si="125"/>
        <v>RJSP</v>
      </c>
      <c r="I845" s="24" t="str">
        <f t="shared" si="124"/>
        <v>RJMG</v>
      </c>
      <c r="J845" s="24" t="str">
        <f t="shared" si="124"/>
        <v>RJES</v>
      </c>
      <c r="K845" s="24" t="str">
        <f t="shared" si="124"/>
        <v>RJSC</v>
      </c>
      <c r="L845" s="24" t="str">
        <f t="shared" si="124"/>
        <v>RJRJ</v>
      </c>
      <c r="M845" s="24" t="str">
        <f t="shared" si="124"/>
        <v>RJPR</v>
      </c>
      <c r="N845" s="24" t="str">
        <f t="shared" si="124"/>
        <v>RJAM</v>
      </c>
      <c r="O845" s="24">
        <f>VLOOKUP(H845, KM!$A:$E, 5, 0)</f>
        <v>429</v>
      </c>
      <c r="P845" s="24">
        <f>VLOOKUP(I845, KM!$A:$E, 5, 0)</f>
        <v>434</v>
      </c>
      <c r="Q845" s="24">
        <f>VLOOKUP(J845, KM!$A:$E, 5, 0)</f>
        <v>521</v>
      </c>
      <c r="R845" s="24">
        <f>VLOOKUP(K845, KM!$A:$E, 5, 0)</f>
        <v>1144</v>
      </c>
      <c r="S845" s="24">
        <f>VLOOKUP(L845, KM!$A:$E, 5, 0)</f>
        <v>0</v>
      </c>
      <c r="T845" s="24">
        <f>VLOOKUP(M845, KM!$A:$E, 5, 0)</f>
        <v>852</v>
      </c>
      <c r="U845" s="24">
        <f>VLOOKUP(N845, KM!$A:$E, 5, 0)</f>
        <v>4374</v>
      </c>
      <c r="V845" s="24">
        <f>VLOOKUP(H845, IMPOSTO!$A:$D, 4, 0)</f>
        <v>0.12</v>
      </c>
      <c r="W845" s="24">
        <f>VLOOKUP(I845, IMPOSTO!$A:$D, 4, 0)</f>
        <v>0.12</v>
      </c>
      <c r="X845" s="24">
        <f>VLOOKUP(J845, IMPOSTO!$A:$D, 4, 0)</f>
        <v>7.0000000000000007E-2</v>
      </c>
      <c r="Y845" s="24">
        <f>VLOOKUP(K845, IMPOSTO!$A:$D, 4, 0)</f>
        <v>0.12</v>
      </c>
      <c r="Z845" s="24">
        <f>VLOOKUP(L845, IMPOSTO!$A:$D, 4, 0)</f>
        <v>0.18</v>
      </c>
      <c r="AA845" s="24">
        <f>VLOOKUP(M845, IMPOSTO!$A:$D, 4, 0)</f>
        <v>0.12</v>
      </c>
      <c r="AB845" s="24">
        <f>VLOOKUP(N845, IMPOSTO!$A:$D, 4, 0)</f>
        <v>7.0000000000000007E-2</v>
      </c>
      <c r="AC845" s="25">
        <f t="shared" si="116"/>
        <v>48.759022727272729</v>
      </c>
      <c r="AD845" s="25">
        <f t="shared" si="117"/>
        <v>49.327204545454549</v>
      </c>
      <c r="AE845" s="25">
        <f t="shared" si="118"/>
        <v>56.030043010752692</v>
      </c>
      <c r="AF845" s="25">
        <f t="shared" si="119"/>
        <v>130.00902272727274</v>
      </c>
      <c r="AG845" s="25">
        <f t="shared" si="120"/>
        <v>9.6829268292682909E-3</v>
      </c>
      <c r="AH845" s="25">
        <f t="shared" si="121"/>
        <v>96.827204545454549</v>
      </c>
      <c r="AI845" s="25">
        <f t="shared" si="122"/>
        <v>470.33111827956998</v>
      </c>
    </row>
    <row r="846" spans="1:35" ht="15.75" customHeight="1">
      <c r="A846" s="12" t="s">
        <v>508</v>
      </c>
      <c r="B846" s="12" t="s">
        <v>509</v>
      </c>
      <c r="C846" s="12" t="s">
        <v>140</v>
      </c>
      <c r="D846" s="12" t="s">
        <v>33</v>
      </c>
      <c r="E846" s="12" t="s">
        <v>27</v>
      </c>
      <c r="F846" s="13">
        <v>1.9E-3</v>
      </c>
      <c r="G846" s="14">
        <v>0.117325</v>
      </c>
      <c r="H846" s="24" t="str">
        <f t="shared" si="125"/>
        <v>RJSP</v>
      </c>
      <c r="I846" s="24" t="str">
        <f t="shared" si="124"/>
        <v>RJMG</v>
      </c>
      <c r="J846" s="24" t="str">
        <f t="shared" si="124"/>
        <v>RJES</v>
      </c>
      <c r="K846" s="24" t="str">
        <f t="shared" si="124"/>
        <v>RJSC</v>
      </c>
      <c r="L846" s="24" t="str">
        <f t="shared" si="124"/>
        <v>RJRJ</v>
      </c>
      <c r="M846" s="24" t="str">
        <f t="shared" si="124"/>
        <v>RJPR</v>
      </c>
      <c r="N846" s="24" t="str">
        <f t="shared" si="124"/>
        <v>RJAM</v>
      </c>
      <c r="O846" s="24">
        <f>VLOOKUP(H846, KM!$A:$E, 5, 0)</f>
        <v>429</v>
      </c>
      <c r="P846" s="24">
        <f>VLOOKUP(I846, KM!$A:$E, 5, 0)</f>
        <v>434</v>
      </c>
      <c r="Q846" s="24">
        <f>VLOOKUP(J846, KM!$A:$E, 5, 0)</f>
        <v>521</v>
      </c>
      <c r="R846" s="24">
        <f>VLOOKUP(K846, KM!$A:$E, 5, 0)</f>
        <v>1144</v>
      </c>
      <c r="S846" s="24">
        <f>VLOOKUP(L846, KM!$A:$E, 5, 0)</f>
        <v>0</v>
      </c>
      <c r="T846" s="24">
        <f>VLOOKUP(M846, KM!$A:$E, 5, 0)</f>
        <v>852</v>
      </c>
      <c r="U846" s="24">
        <f>VLOOKUP(N846, KM!$A:$E, 5, 0)</f>
        <v>4374</v>
      </c>
      <c r="V846" s="24">
        <f>VLOOKUP(H846, IMPOSTO!$A:$D, 4, 0)</f>
        <v>0.12</v>
      </c>
      <c r="W846" s="24">
        <f>VLOOKUP(I846, IMPOSTO!$A:$D, 4, 0)</f>
        <v>0.12</v>
      </c>
      <c r="X846" s="24">
        <f>VLOOKUP(J846, IMPOSTO!$A:$D, 4, 0)</f>
        <v>7.0000000000000007E-2</v>
      </c>
      <c r="Y846" s="24">
        <f>VLOOKUP(K846, IMPOSTO!$A:$D, 4, 0)</f>
        <v>0.12</v>
      </c>
      <c r="Z846" s="24">
        <f>VLOOKUP(L846, IMPOSTO!$A:$D, 4, 0)</f>
        <v>0.18</v>
      </c>
      <c r="AA846" s="24">
        <f>VLOOKUP(M846, IMPOSTO!$A:$D, 4, 0)</f>
        <v>0.12</v>
      </c>
      <c r="AB846" s="24">
        <f>VLOOKUP(N846, IMPOSTO!$A:$D, 4, 0)</f>
        <v>7.0000000000000007E-2</v>
      </c>
      <c r="AC846" s="25">
        <f t="shared" si="116"/>
        <v>48.88332386363637</v>
      </c>
      <c r="AD846" s="25">
        <f t="shared" si="117"/>
        <v>49.45150568181819</v>
      </c>
      <c r="AE846" s="25">
        <f t="shared" si="118"/>
        <v>56.147661290322588</v>
      </c>
      <c r="AF846" s="25">
        <f t="shared" si="119"/>
        <v>130.13332386363635</v>
      </c>
      <c r="AG846" s="25">
        <f t="shared" si="120"/>
        <v>0.14307926829268292</v>
      </c>
      <c r="AH846" s="25">
        <f t="shared" si="121"/>
        <v>96.951505681818176</v>
      </c>
      <c r="AI846" s="25">
        <f t="shared" si="122"/>
        <v>470.44873655913983</v>
      </c>
    </row>
    <row r="847" spans="1:35" ht="15.75" customHeight="1">
      <c r="A847" s="12" t="s">
        <v>514</v>
      </c>
      <c r="B847" s="12" t="s">
        <v>515</v>
      </c>
      <c r="C847" s="12" t="s">
        <v>283</v>
      </c>
      <c r="D847" s="12" t="s">
        <v>33</v>
      </c>
      <c r="E847" s="12" t="s">
        <v>27</v>
      </c>
      <c r="F847" s="13">
        <v>0.252</v>
      </c>
      <c r="G847" s="14">
        <v>7.3401719999999999</v>
      </c>
      <c r="H847" s="24" t="str">
        <f t="shared" si="125"/>
        <v>RJSP</v>
      </c>
      <c r="I847" s="24" t="str">
        <f t="shared" si="124"/>
        <v>RJMG</v>
      </c>
      <c r="J847" s="24" t="str">
        <f t="shared" si="124"/>
        <v>RJES</v>
      </c>
      <c r="K847" s="24" t="str">
        <f t="shared" si="124"/>
        <v>RJSC</v>
      </c>
      <c r="L847" s="24" t="str">
        <f t="shared" si="124"/>
        <v>RJRJ</v>
      </c>
      <c r="M847" s="24" t="str">
        <f t="shared" si="124"/>
        <v>RJPR</v>
      </c>
      <c r="N847" s="24" t="str">
        <f t="shared" si="124"/>
        <v>RJAM</v>
      </c>
      <c r="O847" s="24">
        <f>VLOOKUP(H847, KM!$A:$E, 5, 0)</f>
        <v>429</v>
      </c>
      <c r="P847" s="24">
        <f>VLOOKUP(I847, KM!$A:$E, 5, 0)</f>
        <v>434</v>
      </c>
      <c r="Q847" s="24">
        <f>VLOOKUP(J847, KM!$A:$E, 5, 0)</f>
        <v>521</v>
      </c>
      <c r="R847" s="24">
        <f>VLOOKUP(K847, KM!$A:$E, 5, 0)</f>
        <v>1144</v>
      </c>
      <c r="S847" s="24">
        <f>VLOOKUP(L847, KM!$A:$E, 5, 0)</f>
        <v>0</v>
      </c>
      <c r="T847" s="24">
        <f>VLOOKUP(M847, KM!$A:$E, 5, 0)</f>
        <v>852</v>
      </c>
      <c r="U847" s="24">
        <f>VLOOKUP(N847, KM!$A:$E, 5, 0)</f>
        <v>4374</v>
      </c>
      <c r="V847" s="24">
        <f>VLOOKUP(H847, IMPOSTO!$A:$D, 4, 0)</f>
        <v>0.12</v>
      </c>
      <c r="W847" s="24">
        <f>VLOOKUP(I847, IMPOSTO!$A:$D, 4, 0)</f>
        <v>0.12</v>
      </c>
      <c r="X847" s="24">
        <f>VLOOKUP(J847, IMPOSTO!$A:$D, 4, 0)</f>
        <v>7.0000000000000007E-2</v>
      </c>
      <c r="Y847" s="24">
        <f>VLOOKUP(K847, IMPOSTO!$A:$D, 4, 0)</f>
        <v>0.12</v>
      </c>
      <c r="Z847" s="24">
        <f>VLOOKUP(L847, IMPOSTO!$A:$D, 4, 0)</f>
        <v>0.18</v>
      </c>
      <c r="AA847" s="24">
        <f>VLOOKUP(M847, IMPOSTO!$A:$D, 4, 0)</f>
        <v>0.12</v>
      </c>
      <c r="AB847" s="24">
        <f>VLOOKUP(N847, IMPOSTO!$A:$D, 4, 0)</f>
        <v>7.0000000000000007E-2</v>
      </c>
      <c r="AC847" s="25">
        <f t="shared" si="116"/>
        <v>57.091104545454556</v>
      </c>
      <c r="AD847" s="25">
        <f t="shared" si="117"/>
        <v>57.659286363636376</v>
      </c>
      <c r="AE847" s="25">
        <f t="shared" si="118"/>
        <v>63.914163440860221</v>
      </c>
      <c r="AF847" s="25">
        <f t="shared" si="119"/>
        <v>138.34110454545456</v>
      </c>
      <c r="AG847" s="25">
        <f t="shared" si="120"/>
        <v>8.9514292682926815</v>
      </c>
      <c r="AH847" s="25">
        <f t="shared" si="121"/>
        <v>105.15928636363635</v>
      </c>
      <c r="AI847" s="25">
        <f t="shared" si="122"/>
        <v>478.21523870967746</v>
      </c>
    </row>
    <row r="848" spans="1:35" ht="15.75" customHeight="1">
      <c r="A848" s="12" t="s">
        <v>251</v>
      </c>
      <c r="B848" s="12" t="s">
        <v>252</v>
      </c>
      <c r="C848" s="12" t="s">
        <v>122</v>
      </c>
      <c r="D848" s="12" t="s">
        <v>33</v>
      </c>
      <c r="E848" s="12" t="s">
        <v>27</v>
      </c>
      <c r="F848" s="13">
        <v>0</v>
      </c>
      <c r="G848" s="14">
        <v>0</v>
      </c>
      <c r="H848" s="24" t="str">
        <f t="shared" si="125"/>
        <v>RJSP</v>
      </c>
      <c r="I848" s="24" t="str">
        <f t="shared" si="124"/>
        <v>RJMG</v>
      </c>
      <c r="J848" s="24" t="str">
        <f t="shared" si="124"/>
        <v>RJES</v>
      </c>
      <c r="K848" s="24" t="str">
        <f t="shared" si="124"/>
        <v>RJSC</v>
      </c>
      <c r="L848" s="24" t="str">
        <f t="shared" si="124"/>
        <v>RJRJ</v>
      </c>
      <c r="M848" s="24" t="str">
        <f t="shared" si="124"/>
        <v>RJPR</v>
      </c>
      <c r="N848" s="24" t="str">
        <f t="shared" si="124"/>
        <v>RJAM</v>
      </c>
      <c r="O848" s="24">
        <f>VLOOKUP(H848, KM!$A:$E, 5, 0)</f>
        <v>429</v>
      </c>
      <c r="P848" s="24">
        <f>VLOOKUP(I848, KM!$A:$E, 5, 0)</f>
        <v>434</v>
      </c>
      <c r="Q848" s="24">
        <f>VLOOKUP(J848, KM!$A:$E, 5, 0)</f>
        <v>521</v>
      </c>
      <c r="R848" s="24">
        <f>VLOOKUP(K848, KM!$A:$E, 5, 0)</f>
        <v>1144</v>
      </c>
      <c r="S848" s="24">
        <f>VLOOKUP(L848, KM!$A:$E, 5, 0)</f>
        <v>0</v>
      </c>
      <c r="T848" s="24">
        <f>VLOOKUP(M848, KM!$A:$E, 5, 0)</f>
        <v>852</v>
      </c>
      <c r="U848" s="24">
        <f>VLOOKUP(N848, KM!$A:$E, 5, 0)</f>
        <v>4374</v>
      </c>
      <c r="V848" s="24">
        <f>VLOOKUP(H848, IMPOSTO!$A:$D, 4, 0)</f>
        <v>0.12</v>
      </c>
      <c r="W848" s="24">
        <f>VLOOKUP(I848, IMPOSTO!$A:$D, 4, 0)</f>
        <v>0.12</v>
      </c>
      <c r="X848" s="24">
        <f>VLOOKUP(J848, IMPOSTO!$A:$D, 4, 0)</f>
        <v>7.0000000000000007E-2</v>
      </c>
      <c r="Y848" s="24">
        <f>VLOOKUP(K848, IMPOSTO!$A:$D, 4, 0)</f>
        <v>0.12</v>
      </c>
      <c r="Z848" s="24">
        <f>VLOOKUP(L848, IMPOSTO!$A:$D, 4, 0)</f>
        <v>0.18</v>
      </c>
      <c r="AA848" s="24">
        <f>VLOOKUP(M848, IMPOSTO!$A:$D, 4, 0)</f>
        <v>0.12</v>
      </c>
      <c r="AB848" s="24">
        <f>VLOOKUP(N848, IMPOSTO!$A:$D, 4, 0)</f>
        <v>7.0000000000000007E-2</v>
      </c>
      <c r="AC848" s="25">
        <f t="shared" si="116"/>
        <v>48.750000000000007</v>
      </c>
      <c r="AD848" s="25">
        <f t="shared" si="117"/>
        <v>49.318181818181827</v>
      </c>
      <c r="AE848" s="25">
        <f t="shared" si="118"/>
        <v>56.021505376344088</v>
      </c>
      <c r="AF848" s="25">
        <f t="shared" si="119"/>
        <v>130</v>
      </c>
      <c r="AG848" s="25">
        <f t="shared" si="120"/>
        <v>0</v>
      </c>
      <c r="AH848" s="25">
        <f t="shared" si="121"/>
        <v>96.818181818181827</v>
      </c>
      <c r="AI848" s="25">
        <f t="shared" si="122"/>
        <v>470.32258064516134</v>
      </c>
    </row>
    <row r="849" spans="1:35" ht="15.75" customHeight="1">
      <c r="A849" s="12" t="s">
        <v>317</v>
      </c>
      <c r="B849" s="12" t="s">
        <v>318</v>
      </c>
      <c r="C849" s="12" t="s">
        <v>210</v>
      </c>
      <c r="D849" s="12" t="s">
        <v>33</v>
      </c>
      <c r="E849" s="12" t="s">
        <v>27</v>
      </c>
      <c r="F849" s="13">
        <v>0</v>
      </c>
      <c r="G849" s="14">
        <v>0</v>
      </c>
      <c r="H849" s="24" t="str">
        <f t="shared" si="125"/>
        <v>RJSP</v>
      </c>
      <c r="I849" s="24" t="str">
        <f t="shared" si="124"/>
        <v>RJMG</v>
      </c>
      <c r="J849" s="24" t="str">
        <f t="shared" si="124"/>
        <v>RJES</v>
      </c>
      <c r="K849" s="24" t="str">
        <f t="shared" si="124"/>
        <v>RJSC</v>
      </c>
      <c r="L849" s="24" t="str">
        <f t="shared" si="124"/>
        <v>RJRJ</v>
      </c>
      <c r="M849" s="24" t="str">
        <f t="shared" si="124"/>
        <v>RJPR</v>
      </c>
      <c r="N849" s="24" t="str">
        <f t="shared" si="124"/>
        <v>RJAM</v>
      </c>
      <c r="O849" s="24">
        <f>VLOOKUP(H849, KM!$A:$E, 5, 0)</f>
        <v>429</v>
      </c>
      <c r="P849" s="24">
        <f>VLOOKUP(I849, KM!$A:$E, 5, 0)</f>
        <v>434</v>
      </c>
      <c r="Q849" s="24">
        <f>VLOOKUP(J849, KM!$A:$E, 5, 0)</f>
        <v>521</v>
      </c>
      <c r="R849" s="24">
        <f>VLOOKUP(K849, KM!$A:$E, 5, 0)</f>
        <v>1144</v>
      </c>
      <c r="S849" s="24">
        <f>VLOOKUP(L849, KM!$A:$E, 5, 0)</f>
        <v>0</v>
      </c>
      <c r="T849" s="24">
        <f>VLOOKUP(M849, KM!$A:$E, 5, 0)</f>
        <v>852</v>
      </c>
      <c r="U849" s="24">
        <f>VLOOKUP(N849, KM!$A:$E, 5, 0)</f>
        <v>4374</v>
      </c>
      <c r="V849" s="24">
        <f>VLOOKUP(H849, IMPOSTO!$A:$D, 4, 0)</f>
        <v>0.12</v>
      </c>
      <c r="W849" s="24">
        <f>VLOOKUP(I849, IMPOSTO!$A:$D, 4, 0)</f>
        <v>0.12</v>
      </c>
      <c r="X849" s="24">
        <f>VLOOKUP(J849, IMPOSTO!$A:$D, 4, 0)</f>
        <v>7.0000000000000007E-2</v>
      </c>
      <c r="Y849" s="24">
        <f>VLOOKUP(K849, IMPOSTO!$A:$D, 4, 0)</f>
        <v>0.12</v>
      </c>
      <c r="Z849" s="24">
        <f>VLOOKUP(L849, IMPOSTO!$A:$D, 4, 0)</f>
        <v>0.18</v>
      </c>
      <c r="AA849" s="24">
        <f>VLOOKUP(M849, IMPOSTO!$A:$D, 4, 0)</f>
        <v>0.12</v>
      </c>
      <c r="AB849" s="24">
        <f>VLOOKUP(N849, IMPOSTO!$A:$D, 4, 0)</f>
        <v>7.0000000000000007E-2</v>
      </c>
      <c r="AC849" s="25">
        <f t="shared" si="116"/>
        <v>48.750000000000007</v>
      </c>
      <c r="AD849" s="25">
        <f t="shared" si="117"/>
        <v>49.318181818181827</v>
      </c>
      <c r="AE849" s="25">
        <f t="shared" si="118"/>
        <v>56.021505376344088</v>
      </c>
      <c r="AF849" s="25">
        <f t="shared" si="119"/>
        <v>130</v>
      </c>
      <c r="AG849" s="25">
        <f t="shared" si="120"/>
        <v>0</v>
      </c>
      <c r="AH849" s="25">
        <f t="shared" si="121"/>
        <v>96.818181818181827</v>
      </c>
      <c r="AI849" s="25">
        <f t="shared" si="122"/>
        <v>470.32258064516134</v>
      </c>
    </row>
    <row r="850" spans="1:35" ht="15.75" customHeight="1">
      <c r="A850" s="12" t="s">
        <v>70</v>
      </c>
      <c r="B850" s="12" t="s">
        <v>71</v>
      </c>
      <c r="C850" s="12" t="s">
        <v>54</v>
      </c>
      <c r="D850" s="12" t="s">
        <v>33</v>
      </c>
      <c r="E850" s="12" t="s">
        <v>27</v>
      </c>
      <c r="F850" s="13">
        <v>0.02</v>
      </c>
      <c r="G850" s="14">
        <v>0.27365200000000001</v>
      </c>
      <c r="H850" s="24" t="str">
        <f t="shared" si="125"/>
        <v>RJSP</v>
      </c>
      <c r="I850" s="24" t="str">
        <f t="shared" si="124"/>
        <v>RJMG</v>
      </c>
      <c r="J850" s="24" t="str">
        <f t="shared" si="124"/>
        <v>RJES</v>
      </c>
      <c r="K850" s="24" t="str">
        <f t="shared" si="124"/>
        <v>RJSC</v>
      </c>
      <c r="L850" s="24" t="str">
        <f t="shared" si="124"/>
        <v>RJRJ</v>
      </c>
      <c r="M850" s="24" t="str">
        <f t="shared" si="124"/>
        <v>RJPR</v>
      </c>
      <c r="N850" s="24" t="str">
        <f t="shared" si="124"/>
        <v>RJAM</v>
      </c>
      <c r="O850" s="24">
        <f>VLOOKUP(H850, KM!$A:$E, 5, 0)</f>
        <v>429</v>
      </c>
      <c r="P850" s="24">
        <f>VLOOKUP(I850, KM!$A:$E, 5, 0)</f>
        <v>434</v>
      </c>
      <c r="Q850" s="24">
        <f>VLOOKUP(J850, KM!$A:$E, 5, 0)</f>
        <v>521</v>
      </c>
      <c r="R850" s="24">
        <f>VLOOKUP(K850, KM!$A:$E, 5, 0)</f>
        <v>1144</v>
      </c>
      <c r="S850" s="24">
        <f>VLOOKUP(L850, KM!$A:$E, 5, 0)</f>
        <v>0</v>
      </c>
      <c r="T850" s="24">
        <f>VLOOKUP(M850, KM!$A:$E, 5, 0)</f>
        <v>852</v>
      </c>
      <c r="U850" s="24">
        <f>VLOOKUP(N850, KM!$A:$E, 5, 0)</f>
        <v>4374</v>
      </c>
      <c r="V850" s="24">
        <f>VLOOKUP(H850, IMPOSTO!$A:$D, 4, 0)</f>
        <v>0.12</v>
      </c>
      <c r="W850" s="24">
        <f>VLOOKUP(I850, IMPOSTO!$A:$D, 4, 0)</f>
        <v>0.12</v>
      </c>
      <c r="X850" s="24">
        <f>VLOOKUP(J850, IMPOSTO!$A:$D, 4, 0)</f>
        <v>7.0000000000000007E-2</v>
      </c>
      <c r="Y850" s="24">
        <f>VLOOKUP(K850, IMPOSTO!$A:$D, 4, 0)</f>
        <v>0.12</v>
      </c>
      <c r="Z850" s="24">
        <f>VLOOKUP(L850, IMPOSTO!$A:$D, 4, 0)</f>
        <v>0.18</v>
      </c>
      <c r="AA850" s="24">
        <f>VLOOKUP(M850, IMPOSTO!$A:$D, 4, 0)</f>
        <v>0.12</v>
      </c>
      <c r="AB850" s="24">
        <f>VLOOKUP(N850, IMPOSTO!$A:$D, 4, 0)</f>
        <v>7.0000000000000007E-2</v>
      </c>
      <c r="AC850" s="25">
        <f t="shared" si="116"/>
        <v>49.06096818181819</v>
      </c>
      <c r="AD850" s="25">
        <f t="shared" si="117"/>
        <v>49.629150000000003</v>
      </c>
      <c r="AE850" s="25">
        <f t="shared" si="118"/>
        <v>56.31575483870968</v>
      </c>
      <c r="AF850" s="25">
        <f t="shared" si="119"/>
        <v>130.3109681818182</v>
      </c>
      <c r="AG850" s="25">
        <f t="shared" si="120"/>
        <v>0.3337219512195122</v>
      </c>
      <c r="AH850" s="25">
        <f t="shared" si="121"/>
        <v>97.129149999999996</v>
      </c>
      <c r="AI850" s="25">
        <f t="shared" si="122"/>
        <v>470.61683010752699</v>
      </c>
    </row>
    <row r="851" spans="1:35" ht="15.75" customHeight="1">
      <c r="A851" s="12" t="s">
        <v>117</v>
      </c>
      <c r="B851" s="12" t="s">
        <v>485</v>
      </c>
      <c r="C851" s="12" t="s">
        <v>119</v>
      </c>
      <c r="D851" s="12" t="s">
        <v>33</v>
      </c>
      <c r="E851" s="12" t="s">
        <v>27</v>
      </c>
      <c r="F851" s="13">
        <v>0</v>
      </c>
      <c r="G851" s="14">
        <v>0</v>
      </c>
      <c r="H851" s="24" t="str">
        <f t="shared" si="125"/>
        <v>RJSP</v>
      </c>
      <c r="I851" s="24" t="str">
        <f t="shared" si="124"/>
        <v>RJMG</v>
      </c>
      <c r="J851" s="24" t="str">
        <f t="shared" si="124"/>
        <v>RJES</v>
      </c>
      <c r="K851" s="24" t="str">
        <f t="shared" si="124"/>
        <v>RJSC</v>
      </c>
      <c r="L851" s="24" t="str">
        <f t="shared" si="124"/>
        <v>RJRJ</v>
      </c>
      <c r="M851" s="24" t="str">
        <f t="shared" si="124"/>
        <v>RJPR</v>
      </c>
      <c r="N851" s="24" t="str">
        <f t="shared" si="124"/>
        <v>RJAM</v>
      </c>
      <c r="O851" s="24">
        <f>VLOOKUP(H851, KM!$A:$E, 5, 0)</f>
        <v>429</v>
      </c>
      <c r="P851" s="24">
        <f>VLOOKUP(I851, KM!$A:$E, 5, 0)</f>
        <v>434</v>
      </c>
      <c r="Q851" s="24">
        <f>VLOOKUP(J851, KM!$A:$E, 5, 0)</f>
        <v>521</v>
      </c>
      <c r="R851" s="24">
        <f>VLOOKUP(K851, KM!$A:$E, 5, 0)</f>
        <v>1144</v>
      </c>
      <c r="S851" s="24">
        <f>VLOOKUP(L851, KM!$A:$E, 5, 0)</f>
        <v>0</v>
      </c>
      <c r="T851" s="24">
        <f>VLOOKUP(M851, KM!$A:$E, 5, 0)</f>
        <v>852</v>
      </c>
      <c r="U851" s="24">
        <f>VLOOKUP(N851, KM!$A:$E, 5, 0)</f>
        <v>4374</v>
      </c>
      <c r="V851" s="24">
        <f>VLOOKUP(H851, IMPOSTO!$A:$D, 4, 0)</f>
        <v>0.12</v>
      </c>
      <c r="W851" s="24">
        <f>VLOOKUP(I851, IMPOSTO!$A:$D, 4, 0)</f>
        <v>0.12</v>
      </c>
      <c r="X851" s="24">
        <f>VLOOKUP(J851, IMPOSTO!$A:$D, 4, 0)</f>
        <v>7.0000000000000007E-2</v>
      </c>
      <c r="Y851" s="24">
        <f>VLOOKUP(K851, IMPOSTO!$A:$D, 4, 0)</f>
        <v>0.12</v>
      </c>
      <c r="Z851" s="24">
        <f>VLOOKUP(L851, IMPOSTO!$A:$D, 4, 0)</f>
        <v>0.18</v>
      </c>
      <c r="AA851" s="24">
        <f>VLOOKUP(M851, IMPOSTO!$A:$D, 4, 0)</f>
        <v>0.12</v>
      </c>
      <c r="AB851" s="24">
        <f>VLOOKUP(N851, IMPOSTO!$A:$D, 4, 0)</f>
        <v>7.0000000000000007E-2</v>
      </c>
      <c r="AC851" s="25">
        <f t="shared" ref="AC851:AC914" si="126">($G851 + O851 * $AE$5) / (1 - V851)</f>
        <v>48.750000000000007</v>
      </c>
      <c r="AD851" s="25">
        <f t="shared" ref="AD851:AD914" si="127">($G851 + P851 * $AE$5) / (1 - W851)</f>
        <v>49.318181818181827</v>
      </c>
      <c r="AE851" s="25">
        <f t="shared" ref="AE851:AE914" si="128">($G851 + Q851 * $AE$5) / (1 - X851)</f>
        <v>56.021505376344088</v>
      </c>
      <c r="AF851" s="25">
        <f t="shared" ref="AF851:AF914" si="129">($G851 + R851 * $AE$5) / (1 - Y851)</f>
        <v>130</v>
      </c>
      <c r="AG851" s="25">
        <f t="shared" ref="AG851:AG914" si="130">($G851 + S851 * $AE$5) / (1 - Z851)</f>
        <v>0</v>
      </c>
      <c r="AH851" s="25">
        <f t="shared" ref="AH851:AH914" si="131">($G851 + T851 * $AE$5) / (1 - AA851)</f>
        <v>96.818181818181827</v>
      </c>
      <c r="AI851" s="25">
        <f t="shared" ref="AI851:AI914" si="132">($G851 + U851 * $AE$5) / (1 - AB851)</f>
        <v>470.32258064516134</v>
      </c>
    </row>
    <row r="852" spans="1:35" ht="15.75" customHeight="1">
      <c r="A852" s="12" t="s">
        <v>607</v>
      </c>
      <c r="B852" s="12" t="s">
        <v>608</v>
      </c>
      <c r="C852" s="12" t="s">
        <v>609</v>
      </c>
      <c r="D852" s="12" t="s">
        <v>33</v>
      </c>
      <c r="E852" s="12" t="s">
        <v>27</v>
      </c>
      <c r="F852" s="13">
        <v>0</v>
      </c>
      <c r="G852" s="14">
        <v>0</v>
      </c>
      <c r="H852" s="24" t="str">
        <f t="shared" si="125"/>
        <v>RJSP</v>
      </c>
      <c r="I852" s="24" t="str">
        <f t="shared" si="124"/>
        <v>RJMG</v>
      </c>
      <c r="J852" s="24" t="str">
        <f t="shared" si="124"/>
        <v>RJES</v>
      </c>
      <c r="K852" s="24" t="str">
        <f t="shared" si="124"/>
        <v>RJSC</v>
      </c>
      <c r="L852" s="24" t="str">
        <f t="shared" si="124"/>
        <v>RJRJ</v>
      </c>
      <c r="M852" s="24" t="str">
        <f t="shared" si="124"/>
        <v>RJPR</v>
      </c>
      <c r="N852" s="24" t="str">
        <f t="shared" si="124"/>
        <v>RJAM</v>
      </c>
      <c r="O852" s="24">
        <f>VLOOKUP(H852, KM!$A:$E, 5, 0)</f>
        <v>429</v>
      </c>
      <c r="P852" s="24">
        <f>VLOOKUP(I852, KM!$A:$E, 5, 0)</f>
        <v>434</v>
      </c>
      <c r="Q852" s="24">
        <f>VLOOKUP(J852, KM!$A:$E, 5, 0)</f>
        <v>521</v>
      </c>
      <c r="R852" s="24">
        <f>VLOOKUP(K852, KM!$A:$E, 5, 0)</f>
        <v>1144</v>
      </c>
      <c r="S852" s="24">
        <f>VLOOKUP(L852, KM!$A:$E, 5, 0)</f>
        <v>0</v>
      </c>
      <c r="T852" s="24">
        <f>VLOOKUP(M852, KM!$A:$E, 5, 0)</f>
        <v>852</v>
      </c>
      <c r="U852" s="24">
        <f>VLOOKUP(N852, KM!$A:$E, 5, 0)</f>
        <v>4374</v>
      </c>
      <c r="V852" s="24">
        <f>VLOOKUP(H852, IMPOSTO!$A:$D, 4, 0)</f>
        <v>0.12</v>
      </c>
      <c r="W852" s="24">
        <f>VLOOKUP(I852, IMPOSTO!$A:$D, 4, 0)</f>
        <v>0.12</v>
      </c>
      <c r="X852" s="24">
        <f>VLOOKUP(J852, IMPOSTO!$A:$D, 4, 0)</f>
        <v>7.0000000000000007E-2</v>
      </c>
      <c r="Y852" s="24">
        <f>VLOOKUP(K852, IMPOSTO!$A:$D, 4, 0)</f>
        <v>0.12</v>
      </c>
      <c r="Z852" s="24">
        <f>VLOOKUP(L852, IMPOSTO!$A:$D, 4, 0)</f>
        <v>0.18</v>
      </c>
      <c r="AA852" s="24">
        <f>VLOOKUP(M852, IMPOSTO!$A:$D, 4, 0)</f>
        <v>0.12</v>
      </c>
      <c r="AB852" s="24">
        <f>VLOOKUP(N852, IMPOSTO!$A:$D, 4, 0)</f>
        <v>7.0000000000000007E-2</v>
      </c>
      <c r="AC852" s="25">
        <f t="shared" si="126"/>
        <v>48.750000000000007</v>
      </c>
      <c r="AD852" s="25">
        <f t="shared" si="127"/>
        <v>49.318181818181827</v>
      </c>
      <c r="AE852" s="25">
        <f t="shared" si="128"/>
        <v>56.021505376344088</v>
      </c>
      <c r="AF852" s="25">
        <f t="shared" si="129"/>
        <v>130</v>
      </c>
      <c r="AG852" s="25">
        <f t="shared" si="130"/>
        <v>0</v>
      </c>
      <c r="AH852" s="25">
        <f t="shared" si="131"/>
        <v>96.818181818181827</v>
      </c>
      <c r="AI852" s="25">
        <f t="shared" si="132"/>
        <v>470.32258064516134</v>
      </c>
    </row>
    <row r="853" spans="1:35" ht="15.75" customHeight="1">
      <c r="A853" s="12" t="s">
        <v>94</v>
      </c>
      <c r="B853" s="12" t="s">
        <v>95</v>
      </c>
      <c r="C853" s="12" t="s">
        <v>78</v>
      </c>
      <c r="D853" s="12" t="s">
        <v>33</v>
      </c>
      <c r="E853" s="12" t="s">
        <v>27</v>
      </c>
      <c r="F853" s="13">
        <v>0</v>
      </c>
      <c r="G853" s="14">
        <v>0</v>
      </c>
      <c r="H853" s="24" t="str">
        <f t="shared" si="125"/>
        <v>RJSP</v>
      </c>
      <c r="I853" s="24" t="str">
        <f t="shared" si="124"/>
        <v>RJMG</v>
      </c>
      <c r="J853" s="24" t="str">
        <f t="shared" si="124"/>
        <v>RJES</v>
      </c>
      <c r="K853" s="24" t="str">
        <f t="shared" si="124"/>
        <v>RJSC</v>
      </c>
      <c r="L853" s="24" t="str">
        <f t="shared" si="124"/>
        <v>RJRJ</v>
      </c>
      <c r="M853" s="24" t="str">
        <f t="shared" si="124"/>
        <v>RJPR</v>
      </c>
      <c r="N853" s="24" t="str">
        <f t="shared" si="124"/>
        <v>RJAM</v>
      </c>
      <c r="O853" s="24">
        <f>VLOOKUP(H853, KM!$A:$E, 5, 0)</f>
        <v>429</v>
      </c>
      <c r="P853" s="24">
        <f>VLOOKUP(I853, KM!$A:$E, 5, 0)</f>
        <v>434</v>
      </c>
      <c r="Q853" s="24">
        <f>VLOOKUP(J853, KM!$A:$E, 5, 0)</f>
        <v>521</v>
      </c>
      <c r="R853" s="24">
        <f>VLOOKUP(K853, KM!$A:$E, 5, 0)</f>
        <v>1144</v>
      </c>
      <c r="S853" s="24">
        <f>VLOOKUP(L853, KM!$A:$E, 5, 0)</f>
        <v>0</v>
      </c>
      <c r="T853" s="24">
        <f>VLOOKUP(M853, KM!$A:$E, 5, 0)</f>
        <v>852</v>
      </c>
      <c r="U853" s="24">
        <f>VLOOKUP(N853, KM!$A:$E, 5, 0)</f>
        <v>4374</v>
      </c>
      <c r="V853" s="24">
        <f>VLOOKUP(H853, IMPOSTO!$A:$D, 4, 0)</f>
        <v>0.12</v>
      </c>
      <c r="W853" s="24">
        <f>VLOOKUP(I853, IMPOSTO!$A:$D, 4, 0)</f>
        <v>0.12</v>
      </c>
      <c r="X853" s="24">
        <f>VLOOKUP(J853, IMPOSTO!$A:$D, 4, 0)</f>
        <v>7.0000000000000007E-2</v>
      </c>
      <c r="Y853" s="24">
        <f>VLOOKUP(K853, IMPOSTO!$A:$D, 4, 0)</f>
        <v>0.12</v>
      </c>
      <c r="Z853" s="24">
        <f>VLOOKUP(L853, IMPOSTO!$A:$D, 4, 0)</f>
        <v>0.18</v>
      </c>
      <c r="AA853" s="24">
        <f>VLOOKUP(M853, IMPOSTO!$A:$D, 4, 0)</f>
        <v>0.12</v>
      </c>
      <c r="AB853" s="24">
        <f>VLOOKUP(N853, IMPOSTO!$A:$D, 4, 0)</f>
        <v>7.0000000000000007E-2</v>
      </c>
      <c r="AC853" s="25">
        <f t="shared" si="126"/>
        <v>48.750000000000007</v>
      </c>
      <c r="AD853" s="25">
        <f t="shared" si="127"/>
        <v>49.318181818181827</v>
      </c>
      <c r="AE853" s="25">
        <f t="shared" si="128"/>
        <v>56.021505376344088</v>
      </c>
      <c r="AF853" s="25">
        <f t="shared" si="129"/>
        <v>130</v>
      </c>
      <c r="AG853" s="25">
        <f t="shared" si="130"/>
        <v>0</v>
      </c>
      <c r="AH853" s="25">
        <f t="shared" si="131"/>
        <v>96.818181818181827</v>
      </c>
      <c r="AI853" s="25">
        <f t="shared" si="132"/>
        <v>470.32258064516134</v>
      </c>
    </row>
    <row r="854" spans="1:35" ht="15.75" customHeight="1">
      <c r="A854" s="12" t="s">
        <v>263</v>
      </c>
      <c r="B854" s="12" t="s">
        <v>264</v>
      </c>
      <c r="C854" s="12" t="s">
        <v>265</v>
      </c>
      <c r="D854" s="12" t="s">
        <v>50</v>
      </c>
      <c r="E854" s="12" t="s">
        <v>27</v>
      </c>
      <c r="F854" s="13">
        <v>0</v>
      </c>
      <c r="G854" s="14">
        <v>0</v>
      </c>
      <c r="H854" s="24" t="str">
        <f t="shared" si="125"/>
        <v>RJSP</v>
      </c>
      <c r="I854" s="24" t="str">
        <f t="shared" si="124"/>
        <v>RJMG</v>
      </c>
      <c r="J854" s="24" t="str">
        <f t="shared" si="124"/>
        <v>RJES</v>
      </c>
      <c r="K854" s="24" t="str">
        <f t="shared" si="124"/>
        <v>RJSC</v>
      </c>
      <c r="L854" s="24" t="str">
        <f t="shared" si="124"/>
        <v>RJRJ</v>
      </c>
      <c r="M854" s="24" t="str">
        <f t="shared" si="124"/>
        <v>RJPR</v>
      </c>
      <c r="N854" s="24" t="str">
        <f t="shared" si="124"/>
        <v>RJAM</v>
      </c>
      <c r="O854" s="24">
        <f>VLOOKUP(H854, KM!$A:$E, 5, 0)</f>
        <v>429</v>
      </c>
      <c r="P854" s="24">
        <f>VLOOKUP(I854, KM!$A:$E, 5, 0)</f>
        <v>434</v>
      </c>
      <c r="Q854" s="24">
        <f>VLOOKUP(J854, KM!$A:$E, 5, 0)</f>
        <v>521</v>
      </c>
      <c r="R854" s="24">
        <f>VLOOKUP(K854, KM!$A:$E, 5, 0)</f>
        <v>1144</v>
      </c>
      <c r="S854" s="24">
        <f>VLOOKUP(L854, KM!$A:$E, 5, 0)</f>
        <v>0</v>
      </c>
      <c r="T854" s="24">
        <f>VLOOKUP(M854, KM!$A:$E, 5, 0)</f>
        <v>852</v>
      </c>
      <c r="U854" s="24">
        <f>VLOOKUP(N854, KM!$A:$E, 5, 0)</f>
        <v>4374</v>
      </c>
      <c r="V854" s="24">
        <f>VLOOKUP(H854, IMPOSTO!$A:$D, 4, 0)</f>
        <v>0.12</v>
      </c>
      <c r="W854" s="24">
        <f>VLOOKUP(I854, IMPOSTO!$A:$D, 4, 0)</f>
        <v>0.12</v>
      </c>
      <c r="X854" s="24">
        <f>VLOOKUP(J854, IMPOSTO!$A:$D, 4, 0)</f>
        <v>7.0000000000000007E-2</v>
      </c>
      <c r="Y854" s="24">
        <f>VLOOKUP(K854, IMPOSTO!$A:$D, 4, 0)</f>
        <v>0.12</v>
      </c>
      <c r="Z854" s="24">
        <f>VLOOKUP(L854, IMPOSTO!$A:$D, 4, 0)</f>
        <v>0.18</v>
      </c>
      <c r="AA854" s="24">
        <f>VLOOKUP(M854, IMPOSTO!$A:$D, 4, 0)</f>
        <v>0.12</v>
      </c>
      <c r="AB854" s="24">
        <f>VLOOKUP(N854, IMPOSTO!$A:$D, 4, 0)</f>
        <v>7.0000000000000007E-2</v>
      </c>
      <c r="AC854" s="25">
        <f t="shared" si="126"/>
        <v>48.750000000000007</v>
      </c>
      <c r="AD854" s="25">
        <f t="shared" si="127"/>
        <v>49.318181818181827</v>
      </c>
      <c r="AE854" s="25">
        <f t="shared" si="128"/>
        <v>56.021505376344088</v>
      </c>
      <c r="AF854" s="25">
        <f t="shared" si="129"/>
        <v>130</v>
      </c>
      <c r="AG854" s="25">
        <f t="shared" si="130"/>
        <v>0</v>
      </c>
      <c r="AH854" s="25">
        <f t="shared" si="131"/>
        <v>96.818181818181827</v>
      </c>
      <c r="AI854" s="25">
        <f t="shared" si="132"/>
        <v>470.32258064516134</v>
      </c>
    </row>
    <row r="855" spans="1:35" ht="15.75" customHeight="1">
      <c r="A855" s="12" t="s">
        <v>266</v>
      </c>
      <c r="B855" s="12" t="s">
        <v>267</v>
      </c>
      <c r="C855" s="12" t="s">
        <v>169</v>
      </c>
      <c r="D855" s="12" t="s">
        <v>33</v>
      </c>
      <c r="E855" s="12" t="s">
        <v>27</v>
      </c>
      <c r="F855" s="13">
        <v>0</v>
      </c>
      <c r="G855" s="14">
        <v>0</v>
      </c>
      <c r="H855" s="24" t="str">
        <f t="shared" si="125"/>
        <v>RJSP</v>
      </c>
      <c r="I855" s="24" t="str">
        <f t="shared" si="124"/>
        <v>RJMG</v>
      </c>
      <c r="J855" s="24" t="str">
        <f t="shared" si="124"/>
        <v>RJES</v>
      </c>
      <c r="K855" s="24" t="str">
        <f t="shared" si="124"/>
        <v>RJSC</v>
      </c>
      <c r="L855" s="24" t="str">
        <f t="shared" si="124"/>
        <v>RJRJ</v>
      </c>
      <c r="M855" s="24" t="str">
        <f t="shared" si="124"/>
        <v>RJPR</v>
      </c>
      <c r="N855" s="24" t="str">
        <f t="shared" si="124"/>
        <v>RJAM</v>
      </c>
      <c r="O855" s="24">
        <f>VLOOKUP(H855, KM!$A:$E, 5, 0)</f>
        <v>429</v>
      </c>
      <c r="P855" s="24">
        <f>VLOOKUP(I855, KM!$A:$E, 5, 0)</f>
        <v>434</v>
      </c>
      <c r="Q855" s="24">
        <f>VLOOKUP(J855, KM!$A:$E, 5, 0)</f>
        <v>521</v>
      </c>
      <c r="R855" s="24">
        <f>VLOOKUP(K855, KM!$A:$E, 5, 0)</f>
        <v>1144</v>
      </c>
      <c r="S855" s="24">
        <f>VLOOKUP(L855, KM!$A:$E, 5, 0)</f>
        <v>0</v>
      </c>
      <c r="T855" s="24">
        <f>VLOOKUP(M855, KM!$A:$E, 5, 0)</f>
        <v>852</v>
      </c>
      <c r="U855" s="24">
        <f>VLOOKUP(N855, KM!$A:$E, 5, 0)</f>
        <v>4374</v>
      </c>
      <c r="V855" s="24">
        <f>VLOOKUP(H855, IMPOSTO!$A:$D, 4, 0)</f>
        <v>0.12</v>
      </c>
      <c r="W855" s="24">
        <f>VLOOKUP(I855, IMPOSTO!$A:$D, 4, 0)</f>
        <v>0.12</v>
      </c>
      <c r="X855" s="24">
        <f>VLOOKUP(J855, IMPOSTO!$A:$D, 4, 0)</f>
        <v>7.0000000000000007E-2</v>
      </c>
      <c r="Y855" s="24">
        <f>VLOOKUP(K855, IMPOSTO!$A:$D, 4, 0)</f>
        <v>0.12</v>
      </c>
      <c r="Z855" s="24">
        <f>VLOOKUP(L855, IMPOSTO!$A:$D, 4, 0)</f>
        <v>0.18</v>
      </c>
      <c r="AA855" s="24">
        <f>VLOOKUP(M855, IMPOSTO!$A:$D, 4, 0)</f>
        <v>0.12</v>
      </c>
      <c r="AB855" s="24">
        <f>VLOOKUP(N855, IMPOSTO!$A:$D, 4, 0)</f>
        <v>7.0000000000000007E-2</v>
      </c>
      <c r="AC855" s="25">
        <f t="shared" si="126"/>
        <v>48.750000000000007</v>
      </c>
      <c r="AD855" s="25">
        <f t="shared" si="127"/>
        <v>49.318181818181827</v>
      </c>
      <c r="AE855" s="25">
        <f t="shared" si="128"/>
        <v>56.021505376344088</v>
      </c>
      <c r="AF855" s="25">
        <f t="shared" si="129"/>
        <v>130</v>
      </c>
      <c r="AG855" s="25">
        <f t="shared" si="130"/>
        <v>0</v>
      </c>
      <c r="AH855" s="25">
        <f t="shared" si="131"/>
        <v>96.818181818181827</v>
      </c>
      <c r="AI855" s="25">
        <f t="shared" si="132"/>
        <v>470.32258064516134</v>
      </c>
    </row>
    <row r="856" spans="1:35" ht="15.75" customHeight="1">
      <c r="A856" s="12" t="s">
        <v>488</v>
      </c>
      <c r="B856" s="12" t="s">
        <v>489</v>
      </c>
      <c r="C856" s="12" t="s">
        <v>160</v>
      </c>
      <c r="D856" s="12" t="s">
        <v>33</v>
      </c>
      <c r="E856" s="12" t="s">
        <v>27</v>
      </c>
      <c r="F856" s="13">
        <v>271.01231276124832</v>
      </c>
      <c r="G856" s="14">
        <v>6.213180367184667</v>
      </c>
      <c r="H856" s="24" t="str">
        <f t="shared" si="125"/>
        <v>RJSP</v>
      </c>
      <c r="I856" s="24" t="str">
        <f t="shared" si="124"/>
        <v>RJMG</v>
      </c>
      <c r="J856" s="24" t="str">
        <f t="shared" si="124"/>
        <v>RJES</v>
      </c>
      <c r="K856" s="24" t="str">
        <f t="shared" si="124"/>
        <v>RJSC</v>
      </c>
      <c r="L856" s="24" t="str">
        <f t="shared" si="124"/>
        <v>RJRJ</v>
      </c>
      <c r="M856" s="24" t="str">
        <f t="shared" si="124"/>
        <v>RJPR</v>
      </c>
      <c r="N856" s="24" t="str">
        <f t="shared" si="124"/>
        <v>RJAM</v>
      </c>
      <c r="O856" s="24">
        <f>VLOOKUP(H856, KM!$A:$E, 5, 0)</f>
        <v>429</v>
      </c>
      <c r="P856" s="24">
        <f>VLOOKUP(I856, KM!$A:$E, 5, 0)</f>
        <v>434</v>
      </c>
      <c r="Q856" s="24">
        <f>VLOOKUP(J856, KM!$A:$E, 5, 0)</f>
        <v>521</v>
      </c>
      <c r="R856" s="24">
        <f>VLOOKUP(K856, KM!$A:$E, 5, 0)</f>
        <v>1144</v>
      </c>
      <c r="S856" s="24">
        <f>VLOOKUP(L856, KM!$A:$E, 5, 0)</f>
        <v>0</v>
      </c>
      <c r="T856" s="24">
        <f>VLOOKUP(M856, KM!$A:$E, 5, 0)</f>
        <v>852</v>
      </c>
      <c r="U856" s="24">
        <f>VLOOKUP(N856, KM!$A:$E, 5, 0)</f>
        <v>4374</v>
      </c>
      <c r="V856" s="24">
        <f>VLOOKUP(H856, IMPOSTO!$A:$D, 4, 0)</f>
        <v>0.12</v>
      </c>
      <c r="W856" s="24">
        <f>VLOOKUP(I856, IMPOSTO!$A:$D, 4, 0)</f>
        <v>0.12</v>
      </c>
      <c r="X856" s="24">
        <f>VLOOKUP(J856, IMPOSTO!$A:$D, 4, 0)</f>
        <v>7.0000000000000007E-2</v>
      </c>
      <c r="Y856" s="24">
        <f>VLOOKUP(K856, IMPOSTO!$A:$D, 4, 0)</f>
        <v>0.12</v>
      </c>
      <c r="Z856" s="24">
        <f>VLOOKUP(L856, IMPOSTO!$A:$D, 4, 0)</f>
        <v>0.18</v>
      </c>
      <c r="AA856" s="24">
        <f>VLOOKUP(M856, IMPOSTO!$A:$D, 4, 0)</f>
        <v>0.12</v>
      </c>
      <c r="AB856" s="24">
        <f>VLOOKUP(N856, IMPOSTO!$A:$D, 4, 0)</f>
        <v>7.0000000000000007E-2</v>
      </c>
      <c r="AC856" s="25">
        <f t="shared" si="126"/>
        <v>55.810432235437133</v>
      </c>
      <c r="AD856" s="25">
        <f t="shared" si="127"/>
        <v>56.378614053618946</v>
      </c>
      <c r="AE856" s="25">
        <f t="shared" si="128"/>
        <v>62.702344480843735</v>
      </c>
      <c r="AF856" s="25">
        <f t="shared" si="129"/>
        <v>137.06043223543713</v>
      </c>
      <c r="AG856" s="25">
        <f t="shared" si="130"/>
        <v>7.5770492282739834</v>
      </c>
      <c r="AH856" s="25">
        <f t="shared" si="131"/>
        <v>103.87861405361893</v>
      </c>
      <c r="AI856" s="25">
        <f t="shared" si="132"/>
        <v>477.00341974966102</v>
      </c>
    </row>
    <row r="857" spans="1:35" ht="15.75" customHeight="1">
      <c r="A857" s="12" t="s">
        <v>268</v>
      </c>
      <c r="B857" s="12" t="s">
        <v>269</v>
      </c>
      <c r="C857" s="12" t="s">
        <v>169</v>
      </c>
      <c r="D857" s="12" t="s">
        <v>33</v>
      </c>
      <c r="E857" s="12" t="s">
        <v>27</v>
      </c>
      <c r="F857" s="13">
        <v>0</v>
      </c>
      <c r="G857" s="14">
        <v>0</v>
      </c>
      <c r="H857" s="24" t="str">
        <f t="shared" si="125"/>
        <v>RJSP</v>
      </c>
      <c r="I857" s="24" t="str">
        <f t="shared" si="124"/>
        <v>RJMG</v>
      </c>
      <c r="J857" s="24" t="str">
        <f t="shared" si="124"/>
        <v>RJES</v>
      </c>
      <c r="K857" s="24" t="str">
        <f t="shared" si="124"/>
        <v>RJSC</v>
      </c>
      <c r="L857" s="24" t="str">
        <f t="shared" si="124"/>
        <v>RJRJ</v>
      </c>
      <c r="M857" s="24" t="str">
        <f t="shared" si="124"/>
        <v>RJPR</v>
      </c>
      <c r="N857" s="24" t="str">
        <f t="shared" si="124"/>
        <v>RJAM</v>
      </c>
      <c r="O857" s="24">
        <f>VLOOKUP(H857, KM!$A:$E, 5, 0)</f>
        <v>429</v>
      </c>
      <c r="P857" s="24">
        <f>VLOOKUP(I857, KM!$A:$E, 5, 0)</f>
        <v>434</v>
      </c>
      <c r="Q857" s="24">
        <f>VLOOKUP(J857, KM!$A:$E, 5, 0)</f>
        <v>521</v>
      </c>
      <c r="R857" s="24">
        <f>VLOOKUP(K857, KM!$A:$E, 5, 0)</f>
        <v>1144</v>
      </c>
      <c r="S857" s="24">
        <f>VLOOKUP(L857, KM!$A:$E, 5, 0)</f>
        <v>0</v>
      </c>
      <c r="T857" s="24">
        <f>VLOOKUP(M857, KM!$A:$E, 5, 0)</f>
        <v>852</v>
      </c>
      <c r="U857" s="24">
        <f>VLOOKUP(N857, KM!$A:$E, 5, 0)</f>
        <v>4374</v>
      </c>
      <c r="V857" s="24">
        <f>VLOOKUP(H857, IMPOSTO!$A:$D, 4, 0)</f>
        <v>0.12</v>
      </c>
      <c r="W857" s="24">
        <f>VLOOKUP(I857, IMPOSTO!$A:$D, 4, 0)</f>
        <v>0.12</v>
      </c>
      <c r="X857" s="24">
        <f>VLOOKUP(J857, IMPOSTO!$A:$D, 4, 0)</f>
        <v>7.0000000000000007E-2</v>
      </c>
      <c r="Y857" s="24">
        <f>VLOOKUP(K857, IMPOSTO!$A:$D, 4, 0)</f>
        <v>0.12</v>
      </c>
      <c r="Z857" s="24">
        <f>VLOOKUP(L857, IMPOSTO!$A:$D, 4, 0)</f>
        <v>0.18</v>
      </c>
      <c r="AA857" s="24">
        <f>VLOOKUP(M857, IMPOSTO!$A:$D, 4, 0)</f>
        <v>0.12</v>
      </c>
      <c r="AB857" s="24">
        <f>VLOOKUP(N857, IMPOSTO!$A:$D, 4, 0)</f>
        <v>7.0000000000000007E-2</v>
      </c>
      <c r="AC857" s="25">
        <f t="shared" si="126"/>
        <v>48.750000000000007</v>
      </c>
      <c r="AD857" s="25">
        <f t="shared" si="127"/>
        <v>49.318181818181827</v>
      </c>
      <c r="AE857" s="25">
        <f t="shared" si="128"/>
        <v>56.021505376344088</v>
      </c>
      <c r="AF857" s="25">
        <f t="shared" si="129"/>
        <v>130</v>
      </c>
      <c r="AG857" s="25">
        <f t="shared" si="130"/>
        <v>0</v>
      </c>
      <c r="AH857" s="25">
        <f t="shared" si="131"/>
        <v>96.818181818181827</v>
      </c>
      <c r="AI857" s="25">
        <f t="shared" si="132"/>
        <v>470.32258064516134</v>
      </c>
    </row>
    <row r="858" spans="1:35" ht="15.75" customHeight="1">
      <c r="A858" s="12" t="s">
        <v>272</v>
      </c>
      <c r="B858" s="12" t="s">
        <v>273</v>
      </c>
      <c r="C858" s="12" t="s">
        <v>181</v>
      </c>
      <c r="D858" s="12" t="s">
        <v>33</v>
      </c>
      <c r="E858" s="12" t="s">
        <v>27</v>
      </c>
      <c r="F858" s="13">
        <v>1.4521005415268944E-2</v>
      </c>
      <c r="G858" s="14">
        <v>8.7939208794868724E-3</v>
      </c>
      <c r="H858" s="24" t="str">
        <f t="shared" si="125"/>
        <v>RJSP</v>
      </c>
      <c r="I858" s="24" t="str">
        <f t="shared" si="124"/>
        <v>RJMG</v>
      </c>
      <c r="J858" s="24" t="str">
        <f t="shared" si="124"/>
        <v>RJES</v>
      </c>
      <c r="K858" s="24" t="str">
        <f t="shared" si="124"/>
        <v>RJSC</v>
      </c>
      <c r="L858" s="24" t="str">
        <f t="shared" si="124"/>
        <v>RJRJ</v>
      </c>
      <c r="M858" s="24" t="str">
        <f t="shared" si="124"/>
        <v>RJPR</v>
      </c>
      <c r="N858" s="24" t="str">
        <f t="shared" si="124"/>
        <v>RJAM</v>
      </c>
      <c r="O858" s="24">
        <f>VLOOKUP(H858, KM!$A:$E, 5, 0)</f>
        <v>429</v>
      </c>
      <c r="P858" s="24">
        <f>VLOOKUP(I858, KM!$A:$E, 5, 0)</f>
        <v>434</v>
      </c>
      <c r="Q858" s="24">
        <f>VLOOKUP(J858, KM!$A:$E, 5, 0)</f>
        <v>521</v>
      </c>
      <c r="R858" s="24">
        <f>VLOOKUP(K858, KM!$A:$E, 5, 0)</f>
        <v>1144</v>
      </c>
      <c r="S858" s="24">
        <f>VLOOKUP(L858, KM!$A:$E, 5, 0)</f>
        <v>0</v>
      </c>
      <c r="T858" s="24">
        <f>VLOOKUP(M858, KM!$A:$E, 5, 0)</f>
        <v>852</v>
      </c>
      <c r="U858" s="24">
        <f>VLOOKUP(N858, KM!$A:$E, 5, 0)</f>
        <v>4374</v>
      </c>
      <c r="V858" s="24">
        <f>VLOOKUP(H858, IMPOSTO!$A:$D, 4, 0)</f>
        <v>0.12</v>
      </c>
      <c r="W858" s="24">
        <f>VLOOKUP(I858, IMPOSTO!$A:$D, 4, 0)</f>
        <v>0.12</v>
      </c>
      <c r="X858" s="24">
        <f>VLOOKUP(J858, IMPOSTO!$A:$D, 4, 0)</f>
        <v>7.0000000000000007E-2</v>
      </c>
      <c r="Y858" s="24">
        <f>VLOOKUP(K858, IMPOSTO!$A:$D, 4, 0)</f>
        <v>0.12</v>
      </c>
      <c r="Z858" s="24">
        <f>VLOOKUP(L858, IMPOSTO!$A:$D, 4, 0)</f>
        <v>0.18</v>
      </c>
      <c r="AA858" s="24">
        <f>VLOOKUP(M858, IMPOSTO!$A:$D, 4, 0)</f>
        <v>0.12</v>
      </c>
      <c r="AB858" s="24">
        <f>VLOOKUP(N858, IMPOSTO!$A:$D, 4, 0)</f>
        <v>7.0000000000000007E-2</v>
      </c>
      <c r="AC858" s="25">
        <f t="shared" si="126"/>
        <v>48.759993091908512</v>
      </c>
      <c r="AD858" s="25">
        <f t="shared" si="127"/>
        <v>49.328174910090326</v>
      </c>
      <c r="AE858" s="25">
        <f t="shared" si="128"/>
        <v>56.030961205246761</v>
      </c>
      <c r="AF858" s="25">
        <f t="shared" si="129"/>
        <v>130.00999309190851</v>
      </c>
      <c r="AG858" s="25">
        <f t="shared" si="130"/>
        <v>1.0724293755471796E-2</v>
      </c>
      <c r="AH858" s="25">
        <f t="shared" si="131"/>
        <v>96.828174910090326</v>
      </c>
      <c r="AI858" s="25">
        <f t="shared" si="132"/>
        <v>470.33203647406407</v>
      </c>
    </row>
    <row r="859" spans="1:35" ht="15.75" customHeight="1">
      <c r="A859" s="12" t="s">
        <v>361</v>
      </c>
      <c r="B859" s="12" t="s">
        <v>362</v>
      </c>
      <c r="C859" s="12" t="s">
        <v>262</v>
      </c>
      <c r="D859" s="12" t="s">
        <v>33</v>
      </c>
      <c r="E859" s="12" t="s">
        <v>27</v>
      </c>
      <c r="F859" s="13">
        <v>0</v>
      </c>
      <c r="G859" s="14">
        <v>0</v>
      </c>
      <c r="H859" s="24" t="str">
        <f t="shared" si="125"/>
        <v>RJSP</v>
      </c>
      <c r="I859" s="24" t="str">
        <f t="shared" si="124"/>
        <v>RJMG</v>
      </c>
      <c r="J859" s="24" t="str">
        <f t="shared" si="124"/>
        <v>RJES</v>
      </c>
      <c r="K859" s="24" t="str">
        <f t="shared" si="124"/>
        <v>RJSC</v>
      </c>
      <c r="L859" s="24" t="str">
        <f t="shared" si="124"/>
        <v>RJRJ</v>
      </c>
      <c r="M859" s="24" t="str">
        <f t="shared" si="124"/>
        <v>RJPR</v>
      </c>
      <c r="N859" s="24" t="str">
        <f t="shared" si="124"/>
        <v>RJAM</v>
      </c>
      <c r="O859" s="24">
        <f>VLOOKUP(H859, KM!$A:$E, 5, 0)</f>
        <v>429</v>
      </c>
      <c r="P859" s="24">
        <f>VLOOKUP(I859, KM!$A:$E, 5, 0)</f>
        <v>434</v>
      </c>
      <c r="Q859" s="24">
        <f>VLOOKUP(J859, KM!$A:$E, 5, 0)</f>
        <v>521</v>
      </c>
      <c r="R859" s="24">
        <f>VLOOKUP(K859, KM!$A:$E, 5, 0)</f>
        <v>1144</v>
      </c>
      <c r="S859" s="24">
        <f>VLOOKUP(L859, KM!$A:$E, 5, 0)</f>
        <v>0</v>
      </c>
      <c r="T859" s="24">
        <f>VLOOKUP(M859, KM!$A:$E, 5, 0)</f>
        <v>852</v>
      </c>
      <c r="U859" s="24">
        <f>VLOOKUP(N859, KM!$A:$E, 5, 0)</f>
        <v>4374</v>
      </c>
      <c r="V859" s="24">
        <f>VLOOKUP(H859, IMPOSTO!$A:$D, 4, 0)</f>
        <v>0.12</v>
      </c>
      <c r="W859" s="24">
        <f>VLOOKUP(I859, IMPOSTO!$A:$D, 4, 0)</f>
        <v>0.12</v>
      </c>
      <c r="X859" s="24">
        <f>VLOOKUP(J859, IMPOSTO!$A:$D, 4, 0)</f>
        <v>7.0000000000000007E-2</v>
      </c>
      <c r="Y859" s="24">
        <f>VLOOKUP(K859, IMPOSTO!$A:$D, 4, 0)</f>
        <v>0.12</v>
      </c>
      <c r="Z859" s="24">
        <f>VLOOKUP(L859, IMPOSTO!$A:$D, 4, 0)</f>
        <v>0.18</v>
      </c>
      <c r="AA859" s="24">
        <f>VLOOKUP(M859, IMPOSTO!$A:$D, 4, 0)</f>
        <v>0.12</v>
      </c>
      <c r="AB859" s="24">
        <f>VLOOKUP(N859, IMPOSTO!$A:$D, 4, 0)</f>
        <v>7.0000000000000007E-2</v>
      </c>
      <c r="AC859" s="25">
        <f t="shared" si="126"/>
        <v>48.750000000000007</v>
      </c>
      <c r="AD859" s="25">
        <f t="shared" si="127"/>
        <v>49.318181818181827</v>
      </c>
      <c r="AE859" s="25">
        <f t="shared" si="128"/>
        <v>56.021505376344088</v>
      </c>
      <c r="AF859" s="25">
        <f t="shared" si="129"/>
        <v>130</v>
      </c>
      <c r="AG859" s="25">
        <f t="shared" si="130"/>
        <v>0</v>
      </c>
      <c r="AH859" s="25">
        <f t="shared" si="131"/>
        <v>96.818181818181827</v>
      </c>
      <c r="AI859" s="25">
        <f t="shared" si="132"/>
        <v>470.32258064516134</v>
      </c>
    </row>
    <row r="860" spans="1:35" ht="15.75" customHeight="1">
      <c r="A860" s="12" t="s">
        <v>494</v>
      </c>
      <c r="B860" s="12" t="s">
        <v>495</v>
      </c>
      <c r="C860" s="12" t="s">
        <v>192</v>
      </c>
      <c r="D860" s="12" t="s">
        <v>50</v>
      </c>
      <c r="E860" s="12" t="s">
        <v>27</v>
      </c>
      <c r="F860" s="13">
        <v>0.46589999999999998</v>
      </c>
      <c r="G860" s="14">
        <v>5.0363790000000002</v>
      </c>
      <c r="H860" s="24" t="str">
        <f t="shared" si="125"/>
        <v>RJSP</v>
      </c>
      <c r="I860" s="24" t="str">
        <f t="shared" si="124"/>
        <v>RJMG</v>
      </c>
      <c r="J860" s="24" t="str">
        <f t="shared" si="124"/>
        <v>RJES</v>
      </c>
      <c r="K860" s="24" t="str">
        <f t="shared" si="124"/>
        <v>RJSC</v>
      </c>
      <c r="L860" s="24" t="str">
        <f t="shared" si="124"/>
        <v>RJRJ</v>
      </c>
      <c r="M860" s="24" t="str">
        <f t="shared" si="124"/>
        <v>RJPR</v>
      </c>
      <c r="N860" s="24" t="str">
        <f t="shared" si="124"/>
        <v>RJAM</v>
      </c>
      <c r="O860" s="24">
        <f>VLOOKUP(H860, KM!$A:$E, 5, 0)</f>
        <v>429</v>
      </c>
      <c r="P860" s="24">
        <f>VLOOKUP(I860, KM!$A:$E, 5, 0)</f>
        <v>434</v>
      </c>
      <c r="Q860" s="24">
        <f>VLOOKUP(J860, KM!$A:$E, 5, 0)</f>
        <v>521</v>
      </c>
      <c r="R860" s="24">
        <f>VLOOKUP(K860, KM!$A:$E, 5, 0)</f>
        <v>1144</v>
      </c>
      <c r="S860" s="24">
        <f>VLOOKUP(L860, KM!$A:$E, 5, 0)</f>
        <v>0</v>
      </c>
      <c r="T860" s="24">
        <f>VLOOKUP(M860, KM!$A:$E, 5, 0)</f>
        <v>852</v>
      </c>
      <c r="U860" s="24">
        <f>VLOOKUP(N860, KM!$A:$E, 5, 0)</f>
        <v>4374</v>
      </c>
      <c r="V860" s="24">
        <f>VLOOKUP(H860, IMPOSTO!$A:$D, 4, 0)</f>
        <v>0.12</v>
      </c>
      <c r="W860" s="24">
        <f>VLOOKUP(I860, IMPOSTO!$A:$D, 4, 0)</f>
        <v>0.12</v>
      </c>
      <c r="X860" s="24">
        <f>VLOOKUP(J860, IMPOSTO!$A:$D, 4, 0)</f>
        <v>7.0000000000000007E-2</v>
      </c>
      <c r="Y860" s="24">
        <f>VLOOKUP(K860, IMPOSTO!$A:$D, 4, 0)</f>
        <v>0.12</v>
      </c>
      <c r="Z860" s="24">
        <f>VLOOKUP(L860, IMPOSTO!$A:$D, 4, 0)</f>
        <v>0.18</v>
      </c>
      <c r="AA860" s="24">
        <f>VLOOKUP(M860, IMPOSTO!$A:$D, 4, 0)</f>
        <v>0.12</v>
      </c>
      <c r="AB860" s="24">
        <f>VLOOKUP(N860, IMPOSTO!$A:$D, 4, 0)</f>
        <v>7.0000000000000007E-2</v>
      </c>
      <c r="AC860" s="25">
        <f t="shared" si="126"/>
        <v>54.473157954545457</v>
      </c>
      <c r="AD860" s="25">
        <f t="shared" si="127"/>
        <v>55.041339772727277</v>
      </c>
      <c r="AE860" s="25">
        <f t="shared" si="128"/>
        <v>61.436966666666677</v>
      </c>
      <c r="AF860" s="25">
        <f t="shared" si="129"/>
        <v>135.72315795454546</v>
      </c>
      <c r="AG860" s="25">
        <f t="shared" si="130"/>
        <v>6.1419256097560977</v>
      </c>
      <c r="AH860" s="25">
        <f t="shared" si="131"/>
        <v>102.54133977272727</v>
      </c>
      <c r="AI860" s="25">
        <f t="shared" si="132"/>
        <v>475.73804193548398</v>
      </c>
    </row>
    <row r="861" spans="1:35" ht="15.75" customHeight="1">
      <c r="A861" s="12" t="s">
        <v>30</v>
      </c>
      <c r="B861" s="12" t="s">
        <v>31</v>
      </c>
      <c r="C861" s="12" t="s">
        <v>32</v>
      </c>
      <c r="D861" s="12" t="s">
        <v>33</v>
      </c>
      <c r="E861" s="12" t="s">
        <v>27</v>
      </c>
      <c r="F861" s="13">
        <v>1.7784</v>
      </c>
      <c r="G861" s="14">
        <v>47.06832</v>
      </c>
      <c r="H861" s="24" t="str">
        <f t="shared" si="125"/>
        <v>RJSP</v>
      </c>
      <c r="I861" s="24" t="str">
        <f t="shared" si="124"/>
        <v>RJMG</v>
      </c>
      <c r="J861" s="24" t="str">
        <f t="shared" si="124"/>
        <v>RJES</v>
      </c>
      <c r="K861" s="24" t="str">
        <f t="shared" si="124"/>
        <v>RJSC</v>
      </c>
      <c r="L861" s="24" t="str">
        <f t="shared" si="124"/>
        <v>RJRJ</v>
      </c>
      <c r="M861" s="24" t="str">
        <f t="shared" si="124"/>
        <v>RJPR</v>
      </c>
      <c r="N861" s="24" t="str">
        <f t="shared" si="124"/>
        <v>RJAM</v>
      </c>
      <c r="O861" s="24">
        <f>VLOOKUP(H861, KM!$A:$E, 5, 0)</f>
        <v>429</v>
      </c>
      <c r="P861" s="24">
        <f>VLOOKUP(I861, KM!$A:$E, 5, 0)</f>
        <v>434</v>
      </c>
      <c r="Q861" s="24">
        <f>VLOOKUP(J861, KM!$A:$E, 5, 0)</f>
        <v>521</v>
      </c>
      <c r="R861" s="24">
        <f>VLOOKUP(K861, KM!$A:$E, 5, 0)</f>
        <v>1144</v>
      </c>
      <c r="S861" s="24">
        <f>VLOOKUP(L861, KM!$A:$E, 5, 0)</f>
        <v>0</v>
      </c>
      <c r="T861" s="24">
        <f>VLOOKUP(M861, KM!$A:$E, 5, 0)</f>
        <v>852</v>
      </c>
      <c r="U861" s="24">
        <f>VLOOKUP(N861, KM!$A:$E, 5, 0)</f>
        <v>4374</v>
      </c>
      <c r="V861" s="24">
        <f>VLOOKUP(H861, IMPOSTO!$A:$D, 4, 0)</f>
        <v>0.12</v>
      </c>
      <c r="W861" s="24">
        <f>VLOOKUP(I861, IMPOSTO!$A:$D, 4, 0)</f>
        <v>0.12</v>
      </c>
      <c r="X861" s="24">
        <f>VLOOKUP(J861, IMPOSTO!$A:$D, 4, 0)</f>
        <v>7.0000000000000007E-2</v>
      </c>
      <c r="Y861" s="24">
        <f>VLOOKUP(K861, IMPOSTO!$A:$D, 4, 0)</f>
        <v>0.12</v>
      </c>
      <c r="Z861" s="24">
        <f>VLOOKUP(L861, IMPOSTO!$A:$D, 4, 0)</f>
        <v>0.18</v>
      </c>
      <c r="AA861" s="24">
        <f>VLOOKUP(M861, IMPOSTO!$A:$D, 4, 0)</f>
        <v>0.12</v>
      </c>
      <c r="AB861" s="24">
        <f>VLOOKUP(N861, IMPOSTO!$A:$D, 4, 0)</f>
        <v>7.0000000000000007E-2</v>
      </c>
      <c r="AC861" s="25">
        <f t="shared" si="126"/>
        <v>102.23672727272728</v>
      </c>
      <c r="AD861" s="25">
        <f t="shared" si="127"/>
        <v>102.80490909090909</v>
      </c>
      <c r="AE861" s="25">
        <f t="shared" si="128"/>
        <v>106.63260215053764</v>
      </c>
      <c r="AF861" s="25">
        <f t="shared" si="129"/>
        <v>183.48672727272728</v>
      </c>
      <c r="AG861" s="25">
        <f t="shared" si="130"/>
        <v>57.400390243902436</v>
      </c>
      <c r="AH861" s="25">
        <f t="shared" si="131"/>
        <v>150.30490909090912</v>
      </c>
      <c r="AI861" s="25">
        <f t="shared" si="132"/>
        <v>520.93367741935492</v>
      </c>
    </row>
    <row r="862" spans="1:35" ht="15.75" customHeight="1">
      <c r="A862" s="12" t="s">
        <v>683</v>
      </c>
      <c r="B862" s="12" t="s">
        <v>684</v>
      </c>
      <c r="C862" s="12" t="s">
        <v>299</v>
      </c>
      <c r="D862" s="12" t="s">
        <v>33</v>
      </c>
      <c r="E862" s="12" t="s">
        <v>27</v>
      </c>
      <c r="F862" s="13">
        <v>109</v>
      </c>
      <c r="G862" s="14">
        <v>1120.42</v>
      </c>
      <c r="H862" s="24" t="str">
        <f t="shared" si="125"/>
        <v>RJSP</v>
      </c>
      <c r="I862" s="24" t="str">
        <f t="shared" si="124"/>
        <v>RJMG</v>
      </c>
      <c r="J862" s="24" t="str">
        <f t="shared" si="124"/>
        <v>RJES</v>
      </c>
      <c r="K862" s="24" t="str">
        <f t="shared" si="124"/>
        <v>RJSC</v>
      </c>
      <c r="L862" s="24" t="str">
        <f t="shared" si="124"/>
        <v>RJRJ</v>
      </c>
      <c r="M862" s="24" t="str">
        <f t="shared" si="124"/>
        <v>RJPR</v>
      </c>
      <c r="N862" s="24" t="str">
        <f t="shared" si="124"/>
        <v>RJAM</v>
      </c>
      <c r="O862" s="24">
        <f>VLOOKUP(H862, KM!$A:$E, 5, 0)</f>
        <v>429</v>
      </c>
      <c r="P862" s="24">
        <f>VLOOKUP(I862, KM!$A:$E, 5, 0)</f>
        <v>434</v>
      </c>
      <c r="Q862" s="24">
        <f>VLOOKUP(J862, KM!$A:$E, 5, 0)</f>
        <v>521</v>
      </c>
      <c r="R862" s="24">
        <f>VLOOKUP(K862, KM!$A:$E, 5, 0)</f>
        <v>1144</v>
      </c>
      <c r="S862" s="24">
        <f>VLOOKUP(L862, KM!$A:$E, 5, 0)</f>
        <v>0</v>
      </c>
      <c r="T862" s="24">
        <f>VLOOKUP(M862, KM!$A:$E, 5, 0)</f>
        <v>852</v>
      </c>
      <c r="U862" s="24">
        <f>VLOOKUP(N862, KM!$A:$E, 5, 0)</f>
        <v>4374</v>
      </c>
      <c r="V862" s="24">
        <f>VLOOKUP(H862, IMPOSTO!$A:$D, 4, 0)</f>
        <v>0.12</v>
      </c>
      <c r="W862" s="24">
        <f>VLOOKUP(I862, IMPOSTO!$A:$D, 4, 0)</f>
        <v>0.12</v>
      </c>
      <c r="X862" s="24">
        <f>VLOOKUP(J862, IMPOSTO!$A:$D, 4, 0)</f>
        <v>7.0000000000000007E-2</v>
      </c>
      <c r="Y862" s="24">
        <f>VLOOKUP(K862, IMPOSTO!$A:$D, 4, 0)</f>
        <v>0.12</v>
      </c>
      <c r="Z862" s="24">
        <f>VLOOKUP(L862, IMPOSTO!$A:$D, 4, 0)</f>
        <v>0.18</v>
      </c>
      <c r="AA862" s="24">
        <f>VLOOKUP(M862, IMPOSTO!$A:$D, 4, 0)</f>
        <v>0.12</v>
      </c>
      <c r="AB862" s="24">
        <f>VLOOKUP(N862, IMPOSTO!$A:$D, 4, 0)</f>
        <v>7.0000000000000007E-2</v>
      </c>
      <c r="AC862" s="25">
        <f t="shared" si="126"/>
        <v>1321.9545454545457</v>
      </c>
      <c r="AD862" s="25">
        <f t="shared" si="127"/>
        <v>1322.5227272727275</v>
      </c>
      <c r="AE862" s="25">
        <f t="shared" si="128"/>
        <v>1260.7741935483871</v>
      </c>
      <c r="AF862" s="25">
        <f t="shared" si="129"/>
        <v>1403.2045454545457</v>
      </c>
      <c r="AG862" s="25">
        <f t="shared" si="130"/>
        <v>1366.3658536585365</v>
      </c>
      <c r="AH862" s="25">
        <f t="shared" si="131"/>
        <v>1370.0227272727275</v>
      </c>
      <c r="AI862" s="25">
        <f t="shared" si="132"/>
        <v>1675.0752688172047</v>
      </c>
    </row>
    <row r="863" spans="1:35" ht="15.75" customHeight="1">
      <c r="A863" s="12" t="s">
        <v>532</v>
      </c>
      <c r="B863" s="12" t="s">
        <v>533</v>
      </c>
      <c r="C863" s="12" t="s">
        <v>333</v>
      </c>
      <c r="D863" s="12" t="s">
        <v>33</v>
      </c>
      <c r="E863" s="12" t="s">
        <v>27</v>
      </c>
      <c r="F863" s="13">
        <v>53</v>
      </c>
      <c r="G863" s="14">
        <v>539.49</v>
      </c>
      <c r="H863" s="24" t="str">
        <f t="shared" si="125"/>
        <v>RJSP</v>
      </c>
      <c r="I863" s="24" t="str">
        <f t="shared" si="124"/>
        <v>RJMG</v>
      </c>
      <c r="J863" s="24" t="str">
        <f t="shared" si="124"/>
        <v>RJES</v>
      </c>
      <c r="K863" s="24" t="str">
        <f t="shared" si="124"/>
        <v>RJSC</v>
      </c>
      <c r="L863" s="24" t="str">
        <f t="shared" si="124"/>
        <v>RJRJ</v>
      </c>
      <c r="M863" s="24" t="str">
        <f t="shared" si="124"/>
        <v>RJPR</v>
      </c>
      <c r="N863" s="24" t="str">
        <f t="shared" si="124"/>
        <v>RJAM</v>
      </c>
      <c r="O863" s="24">
        <f>VLOOKUP(H863, KM!$A:$E, 5, 0)</f>
        <v>429</v>
      </c>
      <c r="P863" s="24">
        <f>VLOOKUP(I863, KM!$A:$E, 5, 0)</f>
        <v>434</v>
      </c>
      <c r="Q863" s="24">
        <f>VLOOKUP(J863, KM!$A:$E, 5, 0)</f>
        <v>521</v>
      </c>
      <c r="R863" s="24">
        <f>VLOOKUP(K863, KM!$A:$E, 5, 0)</f>
        <v>1144</v>
      </c>
      <c r="S863" s="24">
        <f>VLOOKUP(L863, KM!$A:$E, 5, 0)</f>
        <v>0</v>
      </c>
      <c r="T863" s="24">
        <f>VLOOKUP(M863, KM!$A:$E, 5, 0)</f>
        <v>852</v>
      </c>
      <c r="U863" s="24">
        <f>VLOOKUP(N863, KM!$A:$E, 5, 0)</f>
        <v>4374</v>
      </c>
      <c r="V863" s="24">
        <f>VLOOKUP(H863, IMPOSTO!$A:$D, 4, 0)</f>
        <v>0.12</v>
      </c>
      <c r="W863" s="24">
        <f>VLOOKUP(I863, IMPOSTO!$A:$D, 4, 0)</f>
        <v>0.12</v>
      </c>
      <c r="X863" s="24">
        <f>VLOOKUP(J863, IMPOSTO!$A:$D, 4, 0)</f>
        <v>7.0000000000000007E-2</v>
      </c>
      <c r="Y863" s="24">
        <f>VLOOKUP(K863, IMPOSTO!$A:$D, 4, 0)</f>
        <v>0.12</v>
      </c>
      <c r="Z863" s="24">
        <f>VLOOKUP(L863, IMPOSTO!$A:$D, 4, 0)</f>
        <v>0.18</v>
      </c>
      <c r="AA863" s="24">
        <f>VLOOKUP(M863, IMPOSTO!$A:$D, 4, 0)</f>
        <v>0.12</v>
      </c>
      <c r="AB863" s="24">
        <f>VLOOKUP(N863, IMPOSTO!$A:$D, 4, 0)</f>
        <v>7.0000000000000007E-2</v>
      </c>
      <c r="AC863" s="25">
        <f t="shared" si="126"/>
        <v>661.80681818181813</v>
      </c>
      <c r="AD863" s="25">
        <f t="shared" si="127"/>
        <v>662.375</v>
      </c>
      <c r="AE863" s="25">
        <f t="shared" si="128"/>
        <v>636.11827956989259</v>
      </c>
      <c r="AF863" s="25">
        <f t="shared" si="129"/>
        <v>743.05681818181813</v>
      </c>
      <c r="AG863" s="25">
        <f t="shared" si="130"/>
        <v>657.91463414634143</v>
      </c>
      <c r="AH863" s="25">
        <f t="shared" si="131"/>
        <v>709.87500000000011</v>
      </c>
      <c r="AI863" s="25">
        <f t="shared" si="132"/>
        <v>1050.4193548387098</v>
      </c>
    </row>
    <row r="864" spans="1:35" ht="15.75" customHeight="1">
      <c r="A864" s="12" t="s">
        <v>685</v>
      </c>
      <c r="B864" s="12" t="s">
        <v>686</v>
      </c>
      <c r="C864" s="12" t="s">
        <v>192</v>
      </c>
      <c r="D864" s="12" t="s">
        <v>33</v>
      </c>
      <c r="E864" s="12" t="s">
        <v>27</v>
      </c>
      <c r="F864" s="13">
        <v>10</v>
      </c>
      <c r="G864" s="14">
        <v>19.170000000000002</v>
      </c>
      <c r="H864" s="24" t="str">
        <f t="shared" si="125"/>
        <v>RJSP</v>
      </c>
      <c r="I864" s="24" t="str">
        <f t="shared" si="124"/>
        <v>RJMG</v>
      </c>
      <c r="J864" s="24" t="str">
        <f t="shared" si="124"/>
        <v>RJES</v>
      </c>
      <c r="K864" s="24" t="str">
        <f t="shared" si="124"/>
        <v>RJSC</v>
      </c>
      <c r="L864" s="24" t="str">
        <f t="shared" si="124"/>
        <v>RJRJ</v>
      </c>
      <c r="M864" s="24" t="str">
        <f t="shared" si="124"/>
        <v>RJPR</v>
      </c>
      <c r="N864" s="24" t="str">
        <f t="shared" si="124"/>
        <v>RJAM</v>
      </c>
      <c r="O864" s="24">
        <f>VLOOKUP(H864, KM!$A:$E, 5, 0)</f>
        <v>429</v>
      </c>
      <c r="P864" s="24">
        <f>VLOOKUP(I864, KM!$A:$E, 5, 0)</f>
        <v>434</v>
      </c>
      <c r="Q864" s="24">
        <f>VLOOKUP(J864, KM!$A:$E, 5, 0)</f>
        <v>521</v>
      </c>
      <c r="R864" s="24">
        <f>VLOOKUP(K864, KM!$A:$E, 5, 0)</f>
        <v>1144</v>
      </c>
      <c r="S864" s="24">
        <f>VLOOKUP(L864, KM!$A:$E, 5, 0)</f>
        <v>0</v>
      </c>
      <c r="T864" s="24">
        <f>VLOOKUP(M864, KM!$A:$E, 5, 0)</f>
        <v>852</v>
      </c>
      <c r="U864" s="24">
        <f>VLOOKUP(N864, KM!$A:$E, 5, 0)</f>
        <v>4374</v>
      </c>
      <c r="V864" s="24">
        <f>VLOOKUP(H864, IMPOSTO!$A:$D, 4, 0)</f>
        <v>0.12</v>
      </c>
      <c r="W864" s="24">
        <f>VLOOKUP(I864, IMPOSTO!$A:$D, 4, 0)</f>
        <v>0.12</v>
      </c>
      <c r="X864" s="24">
        <f>VLOOKUP(J864, IMPOSTO!$A:$D, 4, 0)</f>
        <v>7.0000000000000007E-2</v>
      </c>
      <c r="Y864" s="24">
        <f>VLOOKUP(K864, IMPOSTO!$A:$D, 4, 0)</f>
        <v>0.12</v>
      </c>
      <c r="Z864" s="24">
        <f>VLOOKUP(L864, IMPOSTO!$A:$D, 4, 0)</f>
        <v>0.18</v>
      </c>
      <c r="AA864" s="24">
        <f>VLOOKUP(M864, IMPOSTO!$A:$D, 4, 0)</f>
        <v>0.12</v>
      </c>
      <c r="AB864" s="24">
        <f>VLOOKUP(N864, IMPOSTO!$A:$D, 4, 0)</f>
        <v>7.0000000000000007E-2</v>
      </c>
      <c r="AC864" s="25">
        <f t="shared" si="126"/>
        <v>70.534090909090921</v>
      </c>
      <c r="AD864" s="25">
        <f t="shared" si="127"/>
        <v>71.102272727272734</v>
      </c>
      <c r="AE864" s="25">
        <f t="shared" si="128"/>
        <v>76.634408602150557</v>
      </c>
      <c r="AF864" s="25">
        <f t="shared" si="129"/>
        <v>151.78409090909091</v>
      </c>
      <c r="AG864" s="25">
        <f t="shared" si="130"/>
        <v>23.378048780487806</v>
      </c>
      <c r="AH864" s="25">
        <f t="shared" si="131"/>
        <v>118.60227272727273</v>
      </c>
      <c r="AI864" s="25">
        <f t="shared" si="132"/>
        <v>490.9354838709678</v>
      </c>
    </row>
    <row r="865" spans="1:35" ht="15.75" customHeight="1">
      <c r="A865" s="12" t="s">
        <v>687</v>
      </c>
      <c r="B865" s="12" t="s">
        <v>688</v>
      </c>
      <c r="C865" s="12" t="s">
        <v>689</v>
      </c>
      <c r="D865" s="12" t="s">
        <v>50</v>
      </c>
      <c r="E865" s="12" t="s">
        <v>27</v>
      </c>
      <c r="F865" s="13">
        <v>1</v>
      </c>
      <c r="G865" s="14">
        <v>6.57</v>
      </c>
      <c r="H865" s="24" t="str">
        <f t="shared" si="125"/>
        <v>RJSP</v>
      </c>
      <c r="I865" s="24" t="str">
        <f t="shared" si="124"/>
        <v>RJMG</v>
      </c>
      <c r="J865" s="24" t="str">
        <f t="shared" si="124"/>
        <v>RJES</v>
      </c>
      <c r="K865" s="24" t="str">
        <f t="shared" si="124"/>
        <v>RJSC</v>
      </c>
      <c r="L865" s="24" t="str">
        <f t="shared" si="124"/>
        <v>RJRJ</v>
      </c>
      <c r="M865" s="24" t="str">
        <f t="shared" si="124"/>
        <v>RJPR</v>
      </c>
      <c r="N865" s="24" t="str">
        <f t="shared" si="124"/>
        <v>RJAM</v>
      </c>
      <c r="O865" s="24">
        <f>VLOOKUP(H865, KM!$A:$E, 5, 0)</f>
        <v>429</v>
      </c>
      <c r="P865" s="24">
        <f>VLOOKUP(I865, KM!$A:$E, 5, 0)</f>
        <v>434</v>
      </c>
      <c r="Q865" s="24">
        <f>VLOOKUP(J865, KM!$A:$E, 5, 0)</f>
        <v>521</v>
      </c>
      <c r="R865" s="24">
        <f>VLOOKUP(K865, KM!$A:$E, 5, 0)</f>
        <v>1144</v>
      </c>
      <c r="S865" s="24">
        <f>VLOOKUP(L865, KM!$A:$E, 5, 0)</f>
        <v>0</v>
      </c>
      <c r="T865" s="24">
        <f>VLOOKUP(M865, KM!$A:$E, 5, 0)</f>
        <v>852</v>
      </c>
      <c r="U865" s="24">
        <f>VLOOKUP(N865, KM!$A:$E, 5, 0)</f>
        <v>4374</v>
      </c>
      <c r="V865" s="24">
        <f>VLOOKUP(H865, IMPOSTO!$A:$D, 4, 0)</f>
        <v>0.12</v>
      </c>
      <c r="W865" s="24">
        <f>VLOOKUP(I865, IMPOSTO!$A:$D, 4, 0)</f>
        <v>0.12</v>
      </c>
      <c r="X865" s="24">
        <f>VLOOKUP(J865, IMPOSTO!$A:$D, 4, 0)</f>
        <v>7.0000000000000007E-2</v>
      </c>
      <c r="Y865" s="24">
        <f>VLOOKUP(K865, IMPOSTO!$A:$D, 4, 0)</f>
        <v>0.12</v>
      </c>
      <c r="Z865" s="24">
        <f>VLOOKUP(L865, IMPOSTO!$A:$D, 4, 0)</f>
        <v>0.18</v>
      </c>
      <c r="AA865" s="24">
        <f>VLOOKUP(M865, IMPOSTO!$A:$D, 4, 0)</f>
        <v>0.12</v>
      </c>
      <c r="AB865" s="24">
        <f>VLOOKUP(N865, IMPOSTO!$A:$D, 4, 0)</f>
        <v>7.0000000000000007E-2</v>
      </c>
      <c r="AC865" s="25">
        <f t="shared" si="126"/>
        <v>56.215909090909101</v>
      </c>
      <c r="AD865" s="25">
        <f t="shared" si="127"/>
        <v>56.784090909090914</v>
      </c>
      <c r="AE865" s="25">
        <f t="shared" si="128"/>
        <v>63.086021505376351</v>
      </c>
      <c r="AF865" s="25">
        <f t="shared" si="129"/>
        <v>137.46590909090909</v>
      </c>
      <c r="AG865" s="25">
        <f t="shared" si="130"/>
        <v>8.0121951219512191</v>
      </c>
      <c r="AH865" s="25">
        <f t="shared" si="131"/>
        <v>104.28409090909092</v>
      </c>
      <c r="AI865" s="25">
        <f t="shared" si="132"/>
        <v>477.38709677419359</v>
      </c>
    </row>
    <row r="866" spans="1:35" ht="15.75" customHeight="1">
      <c r="A866" s="12" t="s">
        <v>690</v>
      </c>
      <c r="B866" s="12" t="s">
        <v>691</v>
      </c>
      <c r="C866" s="12" t="s">
        <v>192</v>
      </c>
      <c r="D866" s="12" t="s">
        <v>33</v>
      </c>
      <c r="E866" s="12" t="s">
        <v>27</v>
      </c>
      <c r="F866" s="13">
        <v>5</v>
      </c>
      <c r="G866" s="14">
        <v>18.150000000000002</v>
      </c>
      <c r="H866" s="24" t="str">
        <f t="shared" si="125"/>
        <v>RJSP</v>
      </c>
      <c r="I866" s="24" t="str">
        <f t="shared" si="124"/>
        <v>RJMG</v>
      </c>
      <c r="J866" s="24" t="str">
        <f t="shared" si="124"/>
        <v>RJES</v>
      </c>
      <c r="K866" s="24" t="str">
        <f t="shared" si="124"/>
        <v>RJSC</v>
      </c>
      <c r="L866" s="24" t="str">
        <f t="shared" si="124"/>
        <v>RJRJ</v>
      </c>
      <c r="M866" s="24" t="str">
        <f t="shared" si="124"/>
        <v>RJPR</v>
      </c>
      <c r="N866" s="24" t="str">
        <f t="shared" si="124"/>
        <v>RJAM</v>
      </c>
      <c r="O866" s="24">
        <f>VLOOKUP(H866, KM!$A:$E, 5, 0)</f>
        <v>429</v>
      </c>
      <c r="P866" s="24">
        <f>VLOOKUP(I866, KM!$A:$E, 5, 0)</f>
        <v>434</v>
      </c>
      <c r="Q866" s="24">
        <f>VLOOKUP(J866, KM!$A:$E, 5, 0)</f>
        <v>521</v>
      </c>
      <c r="R866" s="24">
        <f>VLOOKUP(K866, KM!$A:$E, 5, 0)</f>
        <v>1144</v>
      </c>
      <c r="S866" s="24">
        <f>VLOOKUP(L866, KM!$A:$E, 5, 0)</f>
        <v>0</v>
      </c>
      <c r="T866" s="24">
        <f>VLOOKUP(M866, KM!$A:$E, 5, 0)</f>
        <v>852</v>
      </c>
      <c r="U866" s="24">
        <f>VLOOKUP(N866, KM!$A:$E, 5, 0)</f>
        <v>4374</v>
      </c>
      <c r="V866" s="24">
        <f>VLOOKUP(H866, IMPOSTO!$A:$D, 4, 0)</f>
        <v>0.12</v>
      </c>
      <c r="W866" s="24">
        <f>VLOOKUP(I866, IMPOSTO!$A:$D, 4, 0)</f>
        <v>0.12</v>
      </c>
      <c r="X866" s="24">
        <f>VLOOKUP(J866, IMPOSTO!$A:$D, 4, 0)</f>
        <v>7.0000000000000007E-2</v>
      </c>
      <c r="Y866" s="24">
        <f>VLOOKUP(K866, IMPOSTO!$A:$D, 4, 0)</f>
        <v>0.12</v>
      </c>
      <c r="Z866" s="24">
        <f>VLOOKUP(L866, IMPOSTO!$A:$D, 4, 0)</f>
        <v>0.18</v>
      </c>
      <c r="AA866" s="24">
        <f>VLOOKUP(M866, IMPOSTO!$A:$D, 4, 0)</f>
        <v>0.12</v>
      </c>
      <c r="AB866" s="24">
        <f>VLOOKUP(N866, IMPOSTO!$A:$D, 4, 0)</f>
        <v>7.0000000000000007E-2</v>
      </c>
      <c r="AC866" s="25">
        <f t="shared" si="126"/>
        <v>69.375000000000014</v>
      </c>
      <c r="AD866" s="25">
        <f t="shared" si="127"/>
        <v>69.943181818181827</v>
      </c>
      <c r="AE866" s="25">
        <f t="shared" si="128"/>
        <v>75.537634408602159</v>
      </c>
      <c r="AF866" s="25">
        <f t="shared" si="129"/>
        <v>150.625</v>
      </c>
      <c r="AG866" s="25">
        <f t="shared" si="130"/>
        <v>22.134146341463417</v>
      </c>
      <c r="AH866" s="25">
        <f t="shared" si="131"/>
        <v>117.44318181818183</v>
      </c>
      <c r="AI866" s="25">
        <f t="shared" si="132"/>
        <v>489.83870967741939</v>
      </c>
    </row>
    <row r="867" spans="1:35" ht="15.75" customHeight="1">
      <c r="A867" s="12" t="s">
        <v>692</v>
      </c>
      <c r="B867" s="12" t="s">
        <v>693</v>
      </c>
      <c r="C867" s="12" t="s">
        <v>662</v>
      </c>
      <c r="D867" s="12" t="s">
        <v>33</v>
      </c>
      <c r="E867" s="12" t="s">
        <v>27</v>
      </c>
      <c r="F867" s="13">
        <v>187</v>
      </c>
      <c r="G867" s="14">
        <v>1133.78</v>
      </c>
      <c r="H867" s="24" t="str">
        <f t="shared" si="125"/>
        <v>RJSP</v>
      </c>
      <c r="I867" s="24" t="str">
        <f t="shared" si="124"/>
        <v>RJMG</v>
      </c>
      <c r="J867" s="24" t="str">
        <f t="shared" si="124"/>
        <v>RJES</v>
      </c>
      <c r="K867" s="24" t="str">
        <f t="shared" si="124"/>
        <v>RJSC</v>
      </c>
      <c r="L867" s="24" t="str">
        <f t="shared" si="124"/>
        <v>RJRJ</v>
      </c>
      <c r="M867" s="24" t="str">
        <f t="shared" si="124"/>
        <v>RJPR</v>
      </c>
      <c r="N867" s="24" t="str">
        <f t="shared" si="124"/>
        <v>RJAM</v>
      </c>
      <c r="O867" s="24">
        <f>VLOOKUP(H867, KM!$A:$E, 5, 0)</f>
        <v>429</v>
      </c>
      <c r="P867" s="24">
        <f>VLOOKUP(I867, KM!$A:$E, 5, 0)</f>
        <v>434</v>
      </c>
      <c r="Q867" s="24">
        <f>VLOOKUP(J867, KM!$A:$E, 5, 0)</f>
        <v>521</v>
      </c>
      <c r="R867" s="24">
        <f>VLOOKUP(K867, KM!$A:$E, 5, 0)</f>
        <v>1144</v>
      </c>
      <c r="S867" s="24">
        <f>VLOOKUP(L867, KM!$A:$E, 5, 0)</f>
        <v>0</v>
      </c>
      <c r="T867" s="24">
        <f>VLOOKUP(M867, KM!$A:$E, 5, 0)</f>
        <v>852</v>
      </c>
      <c r="U867" s="24">
        <f>VLOOKUP(N867, KM!$A:$E, 5, 0)</f>
        <v>4374</v>
      </c>
      <c r="V867" s="24">
        <f>VLOOKUP(H867, IMPOSTO!$A:$D, 4, 0)</f>
        <v>0.12</v>
      </c>
      <c r="W867" s="24">
        <f>VLOOKUP(I867, IMPOSTO!$A:$D, 4, 0)</f>
        <v>0.12</v>
      </c>
      <c r="X867" s="24">
        <f>VLOOKUP(J867, IMPOSTO!$A:$D, 4, 0)</f>
        <v>7.0000000000000007E-2</v>
      </c>
      <c r="Y867" s="24">
        <f>VLOOKUP(K867, IMPOSTO!$A:$D, 4, 0)</f>
        <v>0.12</v>
      </c>
      <c r="Z867" s="24">
        <f>VLOOKUP(L867, IMPOSTO!$A:$D, 4, 0)</f>
        <v>0.18</v>
      </c>
      <c r="AA867" s="24">
        <f>VLOOKUP(M867, IMPOSTO!$A:$D, 4, 0)</f>
        <v>0.12</v>
      </c>
      <c r="AB867" s="24">
        <f>VLOOKUP(N867, IMPOSTO!$A:$D, 4, 0)</f>
        <v>7.0000000000000007E-2</v>
      </c>
      <c r="AC867" s="25">
        <f t="shared" si="126"/>
        <v>1337.1363636363637</v>
      </c>
      <c r="AD867" s="25">
        <f t="shared" si="127"/>
        <v>1337.7045454545455</v>
      </c>
      <c r="AE867" s="25">
        <f t="shared" si="128"/>
        <v>1275.1397849462364</v>
      </c>
      <c r="AF867" s="25">
        <f t="shared" si="129"/>
        <v>1418.3863636363637</v>
      </c>
      <c r="AG867" s="25">
        <f t="shared" si="130"/>
        <v>1382.6585365853657</v>
      </c>
      <c r="AH867" s="25">
        <f t="shared" si="131"/>
        <v>1385.2045454545455</v>
      </c>
      <c r="AI867" s="25">
        <f t="shared" si="132"/>
        <v>1689.440860215054</v>
      </c>
    </row>
    <row r="868" spans="1:35" ht="15.75" customHeight="1">
      <c r="A868" s="12" t="s">
        <v>317</v>
      </c>
      <c r="B868" s="12" t="s">
        <v>318</v>
      </c>
      <c r="C868" s="12" t="s">
        <v>210</v>
      </c>
      <c r="D868" s="12" t="s">
        <v>33</v>
      </c>
      <c r="E868" s="12" t="s">
        <v>27</v>
      </c>
      <c r="F868" s="13">
        <v>15061.905018796842</v>
      </c>
      <c r="G868" s="14">
        <v>112023.08377505332</v>
      </c>
      <c r="H868" s="24" t="str">
        <f t="shared" si="125"/>
        <v>RJSP</v>
      </c>
      <c r="I868" s="24" t="str">
        <f t="shared" si="124"/>
        <v>RJMG</v>
      </c>
      <c r="J868" s="24" t="str">
        <f t="shared" si="124"/>
        <v>RJES</v>
      </c>
      <c r="K868" s="24" t="str">
        <f t="shared" si="124"/>
        <v>RJSC</v>
      </c>
      <c r="L868" s="24" t="str">
        <f t="shared" si="124"/>
        <v>RJRJ</v>
      </c>
      <c r="M868" s="24" t="str">
        <f t="shared" si="124"/>
        <v>RJPR</v>
      </c>
      <c r="N868" s="24" t="str">
        <f t="shared" si="124"/>
        <v>RJAM</v>
      </c>
      <c r="O868" s="24">
        <f>VLOOKUP(H868, KM!$A:$E, 5, 0)</f>
        <v>429</v>
      </c>
      <c r="P868" s="24">
        <f>VLOOKUP(I868, KM!$A:$E, 5, 0)</f>
        <v>434</v>
      </c>
      <c r="Q868" s="24">
        <f>VLOOKUP(J868, KM!$A:$E, 5, 0)</f>
        <v>521</v>
      </c>
      <c r="R868" s="24">
        <f>VLOOKUP(K868, KM!$A:$E, 5, 0)</f>
        <v>1144</v>
      </c>
      <c r="S868" s="24">
        <f>VLOOKUP(L868, KM!$A:$E, 5, 0)</f>
        <v>0</v>
      </c>
      <c r="T868" s="24">
        <f>VLOOKUP(M868, KM!$A:$E, 5, 0)</f>
        <v>852</v>
      </c>
      <c r="U868" s="24">
        <f>VLOOKUP(N868, KM!$A:$E, 5, 0)</f>
        <v>4374</v>
      </c>
      <c r="V868" s="24">
        <f>VLOOKUP(H868, IMPOSTO!$A:$D, 4, 0)</f>
        <v>0.12</v>
      </c>
      <c r="W868" s="24">
        <f>VLOOKUP(I868, IMPOSTO!$A:$D, 4, 0)</f>
        <v>0.12</v>
      </c>
      <c r="X868" s="24">
        <f>VLOOKUP(J868, IMPOSTO!$A:$D, 4, 0)</f>
        <v>7.0000000000000007E-2</v>
      </c>
      <c r="Y868" s="24">
        <f>VLOOKUP(K868, IMPOSTO!$A:$D, 4, 0)</f>
        <v>0.12</v>
      </c>
      <c r="Z868" s="24">
        <f>VLOOKUP(L868, IMPOSTO!$A:$D, 4, 0)</f>
        <v>0.18</v>
      </c>
      <c r="AA868" s="24">
        <f>VLOOKUP(M868, IMPOSTO!$A:$D, 4, 0)</f>
        <v>0.12</v>
      </c>
      <c r="AB868" s="24">
        <f>VLOOKUP(N868, IMPOSTO!$A:$D, 4, 0)</f>
        <v>7.0000000000000007E-2</v>
      </c>
      <c r="AC868" s="25">
        <f t="shared" si="126"/>
        <v>127347.70883528786</v>
      </c>
      <c r="AD868" s="25">
        <f t="shared" si="127"/>
        <v>127348.27701710604</v>
      </c>
      <c r="AE868" s="25">
        <f t="shared" si="128"/>
        <v>120510.95029575628</v>
      </c>
      <c r="AF868" s="25">
        <f t="shared" si="129"/>
        <v>127428.95883528786</v>
      </c>
      <c r="AG868" s="25">
        <f t="shared" si="130"/>
        <v>136613.51679884552</v>
      </c>
      <c r="AH868" s="25">
        <f t="shared" si="131"/>
        <v>127395.77701710604</v>
      </c>
      <c r="AI868" s="25">
        <f t="shared" si="132"/>
        <v>120925.25137102508</v>
      </c>
    </row>
    <row r="869" spans="1:35" ht="15.75" customHeight="1">
      <c r="A869" s="12" t="s">
        <v>87</v>
      </c>
      <c r="B869" s="12" t="s">
        <v>88</v>
      </c>
      <c r="C869" s="12" t="s">
        <v>89</v>
      </c>
      <c r="D869" s="12" t="s">
        <v>33</v>
      </c>
      <c r="E869" s="12" t="s">
        <v>27</v>
      </c>
      <c r="F869" s="13">
        <v>35.949600000000004</v>
      </c>
      <c r="G869" s="14">
        <v>330.60650200000003</v>
      </c>
      <c r="H869" s="24" t="str">
        <f t="shared" si="125"/>
        <v>RJSP</v>
      </c>
      <c r="I869" s="24" t="str">
        <f t="shared" si="124"/>
        <v>RJMG</v>
      </c>
      <c r="J869" s="24" t="str">
        <f t="shared" si="124"/>
        <v>RJES</v>
      </c>
      <c r="K869" s="24" t="str">
        <f t="shared" si="124"/>
        <v>RJSC</v>
      </c>
      <c r="L869" s="24" t="str">
        <f t="shared" si="124"/>
        <v>RJRJ</v>
      </c>
      <c r="M869" s="24" t="str">
        <f t="shared" si="124"/>
        <v>RJPR</v>
      </c>
      <c r="N869" s="24" t="str">
        <f t="shared" si="124"/>
        <v>RJAM</v>
      </c>
      <c r="O869" s="24">
        <f>VLOOKUP(H869, KM!$A:$E, 5, 0)</f>
        <v>429</v>
      </c>
      <c r="P869" s="24">
        <f>VLOOKUP(I869, KM!$A:$E, 5, 0)</f>
        <v>434</v>
      </c>
      <c r="Q869" s="24">
        <f>VLOOKUP(J869, KM!$A:$E, 5, 0)</f>
        <v>521</v>
      </c>
      <c r="R869" s="24">
        <f>VLOOKUP(K869, KM!$A:$E, 5, 0)</f>
        <v>1144</v>
      </c>
      <c r="S869" s="24">
        <f>VLOOKUP(L869, KM!$A:$E, 5, 0)</f>
        <v>0</v>
      </c>
      <c r="T869" s="24">
        <f>VLOOKUP(M869, KM!$A:$E, 5, 0)</f>
        <v>852</v>
      </c>
      <c r="U869" s="24">
        <f>VLOOKUP(N869, KM!$A:$E, 5, 0)</f>
        <v>4374</v>
      </c>
      <c r="V869" s="24">
        <f>VLOOKUP(H869, IMPOSTO!$A:$D, 4, 0)</f>
        <v>0.12</v>
      </c>
      <c r="W869" s="24">
        <f>VLOOKUP(I869, IMPOSTO!$A:$D, 4, 0)</f>
        <v>0.12</v>
      </c>
      <c r="X869" s="24">
        <f>VLOOKUP(J869, IMPOSTO!$A:$D, 4, 0)</f>
        <v>7.0000000000000007E-2</v>
      </c>
      <c r="Y869" s="24">
        <f>VLOOKUP(K869, IMPOSTO!$A:$D, 4, 0)</f>
        <v>0.12</v>
      </c>
      <c r="Z869" s="24">
        <f>VLOOKUP(L869, IMPOSTO!$A:$D, 4, 0)</f>
        <v>0.18</v>
      </c>
      <c r="AA869" s="24">
        <f>VLOOKUP(M869, IMPOSTO!$A:$D, 4, 0)</f>
        <v>0.12</v>
      </c>
      <c r="AB869" s="24">
        <f>VLOOKUP(N869, IMPOSTO!$A:$D, 4, 0)</f>
        <v>7.0000000000000007E-2</v>
      </c>
      <c r="AC869" s="25">
        <f t="shared" si="126"/>
        <v>424.4392068181819</v>
      </c>
      <c r="AD869" s="25">
        <f t="shared" si="127"/>
        <v>425.00738863636371</v>
      </c>
      <c r="AE869" s="25">
        <f t="shared" si="128"/>
        <v>411.51236774193558</v>
      </c>
      <c r="AF869" s="25">
        <f t="shared" si="129"/>
        <v>505.6892068181819</v>
      </c>
      <c r="AG869" s="25">
        <f t="shared" si="130"/>
        <v>403.17866097560977</v>
      </c>
      <c r="AH869" s="25">
        <f t="shared" si="131"/>
        <v>472.50738863636366</v>
      </c>
      <c r="AI869" s="25">
        <f t="shared" si="132"/>
        <v>825.81344301075285</v>
      </c>
    </row>
    <row r="870" spans="1:35" ht="15.75" customHeight="1">
      <c r="A870" s="12" t="s">
        <v>483</v>
      </c>
      <c r="B870" s="12" t="s">
        <v>484</v>
      </c>
      <c r="C870" s="12" t="s">
        <v>69</v>
      </c>
      <c r="D870" s="12" t="s">
        <v>33</v>
      </c>
      <c r="E870" s="12" t="s">
        <v>27</v>
      </c>
      <c r="F870" s="13">
        <v>200.09990000000005</v>
      </c>
      <c r="G870" s="14">
        <v>3298.1501000000003</v>
      </c>
      <c r="H870" s="24" t="str">
        <f t="shared" si="125"/>
        <v>RJSP</v>
      </c>
      <c r="I870" s="24" t="str">
        <f t="shared" si="124"/>
        <v>RJMG</v>
      </c>
      <c r="J870" s="24" t="str">
        <f t="shared" si="124"/>
        <v>RJES</v>
      </c>
      <c r="K870" s="24" t="str">
        <f t="shared" si="124"/>
        <v>RJSC</v>
      </c>
      <c r="L870" s="24" t="str">
        <f t="shared" si="124"/>
        <v>RJRJ</v>
      </c>
      <c r="M870" s="24" t="str">
        <f t="shared" si="124"/>
        <v>RJPR</v>
      </c>
      <c r="N870" s="24" t="str">
        <f t="shared" si="124"/>
        <v>RJAM</v>
      </c>
      <c r="O870" s="24">
        <f>VLOOKUP(H870, KM!$A:$E, 5, 0)</f>
        <v>429</v>
      </c>
      <c r="P870" s="24">
        <f>VLOOKUP(I870, KM!$A:$E, 5, 0)</f>
        <v>434</v>
      </c>
      <c r="Q870" s="24">
        <f>VLOOKUP(J870, KM!$A:$E, 5, 0)</f>
        <v>521</v>
      </c>
      <c r="R870" s="24">
        <f>VLOOKUP(K870, KM!$A:$E, 5, 0)</f>
        <v>1144</v>
      </c>
      <c r="S870" s="24">
        <f>VLOOKUP(L870, KM!$A:$E, 5, 0)</f>
        <v>0</v>
      </c>
      <c r="T870" s="24">
        <f>VLOOKUP(M870, KM!$A:$E, 5, 0)</f>
        <v>852</v>
      </c>
      <c r="U870" s="24">
        <f>VLOOKUP(N870, KM!$A:$E, 5, 0)</f>
        <v>4374</v>
      </c>
      <c r="V870" s="24">
        <f>VLOOKUP(H870, IMPOSTO!$A:$D, 4, 0)</f>
        <v>0.12</v>
      </c>
      <c r="W870" s="24">
        <f>VLOOKUP(I870, IMPOSTO!$A:$D, 4, 0)</f>
        <v>0.12</v>
      </c>
      <c r="X870" s="24">
        <f>VLOOKUP(J870, IMPOSTO!$A:$D, 4, 0)</f>
        <v>7.0000000000000007E-2</v>
      </c>
      <c r="Y870" s="24">
        <f>VLOOKUP(K870, IMPOSTO!$A:$D, 4, 0)</f>
        <v>0.12</v>
      </c>
      <c r="Z870" s="24">
        <f>VLOOKUP(L870, IMPOSTO!$A:$D, 4, 0)</f>
        <v>0.18</v>
      </c>
      <c r="AA870" s="24">
        <f>VLOOKUP(M870, IMPOSTO!$A:$D, 4, 0)</f>
        <v>0.12</v>
      </c>
      <c r="AB870" s="24">
        <f>VLOOKUP(N870, IMPOSTO!$A:$D, 4, 0)</f>
        <v>7.0000000000000007E-2</v>
      </c>
      <c r="AC870" s="25">
        <f t="shared" si="126"/>
        <v>3796.6478409090914</v>
      </c>
      <c r="AD870" s="25">
        <f t="shared" si="127"/>
        <v>3797.216022727273</v>
      </c>
      <c r="AE870" s="25">
        <f t="shared" si="128"/>
        <v>3602.4194623655917</v>
      </c>
      <c r="AF870" s="25">
        <f t="shared" si="129"/>
        <v>3877.8978409090914</v>
      </c>
      <c r="AG870" s="25">
        <f t="shared" si="130"/>
        <v>4022.1342682926829</v>
      </c>
      <c r="AH870" s="25">
        <f t="shared" si="131"/>
        <v>3844.716022727273</v>
      </c>
      <c r="AI870" s="25">
        <f t="shared" si="132"/>
        <v>4016.7205376344091</v>
      </c>
    </row>
    <row r="871" spans="1:35" ht="15.75" customHeight="1">
      <c r="A871" s="12" t="s">
        <v>70</v>
      </c>
      <c r="B871" s="12" t="s">
        <v>71</v>
      </c>
      <c r="C871" s="12" t="s">
        <v>54</v>
      </c>
      <c r="D871" s="12" t="s">
        <v>33</v>
      </c>
      <c r="E871" s="12" t="s">
        <v>27</v>
      </c>
      <c r="F871" s="13">
        <v>199.88</v>
      </c>
      <c r="G871" s="14">
        <v>2734.8780879999999</v>
      </c>
      <c r="H871" s="24" t="str">
        <f t="shared" si="125"/>
        <v>RJSP</v>
      </c>
      <c r="I871" s="24" t="str">
        <f t="shared" si="124"/>
        <v>RJMG</v>
      </c>
      <c r="J871" s="24" t="str">
        <f t="shared" si="124"/>
        <v>RJES</v>
      </c>
      <c r="K871" s="24" t="str">
        <f t="shared" si="124"/>
        <v>RJSC</v>
      </c>
      <c r="L871" s="24" t="str">
        <f t="shared" si="124"/>
        <v>RJRJ</v>
      </c>
      <c r="M871" s="24" t="str">
        <f t="shared" si="124"/>
        <v>RJPR</v>
      </c>
      <c r="N871" s="24" t="str">
        <f t="shared" si="124"/>
        <v>RJAM</v>
      </c>
      <c r="O871" s="24">
        <f>VLOOKUP(H871, KM!$A:$E, 5, 0)</f>
        <v>429</v>
      </c>
      <c r="P871" s="24">
        <f>VLOOKUP(I871, KM!$A:$E, 5, 0)</f>
        <v>434</v>
      </c>
      <c r="Q871" s="24">
        <f>VLOOKUP(J871, KM!$A:$E, 5, 0)</f>
        <v>521</v>
      </c>
      <c r="R871" s="24">
        <f>VLOOKUP(K871, KM!$A:$E, 5, 0)</f>
        <v>1144</v>
      </c>
      <c r="S871" s="24">
        <f>VLOOKUP(L871, KM!$A:$E, 5, 0)</f>
        <v>0</v>
      </c>
      <c r="T871" s="24">
        <f>VLOOKUP(M871, KM!$A:$E, 5, 0)</f>
        <v>852</v>
      </c>
      <c r="U871" s="24">
        <f>VLOOKUP(N871, KM!$A:$E, 5, 0)</f>
        <v>4374</v>
      </c>
      <c r="V871" s="24">
        <f>VLOOKUP(H871, IMPOSTO!$A:$D, 4, 0)</f>
        <v>0.12</v>
      </c>
      <c r="W871" s="24">
        <f>VLOOKUP(I871, IMPOSTO!$A:$D, 4, 0)</f>
        <v>0.12</v>
      </c>
      <c r="X871" s="24">
        <f>VLOOKUP(J871, IMPOSTO!$A:$D, 4, 0)</f>
        <v>7.0000000000000007E-2</v>
      </c>
      <c r="Y871" s="24">
        <f>VLOOKUP(K871, IMPOSTO!$A:$D, 4, 0)</f>
        <v>0.12</v>
      </c>
      <c r="Z871" s="24">
        <f>VLOOKUP(L871, IMPOSTO!$A:$D, 4, 0)</f>
        <v>0.18</v>
      </c>
      <c r="AA871" s="24">
        <f>VLOOKUP(M871, IMPOSTO!$A:$D, 4, 0)</f>
        <v>0.12</v>
      </c>
      <c r="AB871" s="24">
        <f>VLOOKUP(N871, IMPOSTO!$A:$D, 4, 0)</f>
        <v>7.0000000000000007E-2</v>
      </c>
      <c r="AC871" s="25">
        <f t="shared" si="126"/>
        <v>3156.5660090909091</v>
      </c>
      <c r="AD871" s="25">
        <f t="shared" si="127"/>
        <v>3157.1341909090911</v>
      </c>
      <c r="AE871" s="25">
        <f t="shared" si="128"/>
        <v>2996.7506322580643</v>
      </c>
      <c r="AF871" s="25">
        <f t="shared" si="129"/>
        <v>3237.8160090909091</v>
      </c>
      <c r="AG871" s="25">
        <f t="shared" si="130"/>
        <v>3335.2171804878044</v>
      </c>
      <c r="AH871" s="25">
        <f t="shared" si="131"/>
        <v>3204.6341909090906</v>
      </c>
      <c r="AI871" s="25">
        <f t="shared" si="132"/>
        <v>3411.0517075268822</v>
      </c>
    </row>
    <row r="872" spans="1:35" ht="15.75" customHeight="1">
      <c r="A872" s="12" t="s">
        <v>92</v>
      </c>
      <c r="B872" s="12" t="s">
        <v>93</v>
      </c>
      <c r="C872" s="12" t="s">
        <v>86</v>
      </c>
      <c r="D872" s="12" t="s">
        <v>33</v>
      </c>
      <c r="E872" s="12" t="s">
        <v>27</v>
      </c>
      <c r="F872" s="13">
        <v>270.42735874126328</v>
      </c>
      <c r="G872" s="14">
        <v>8954.2529975870129</v>
      </c>
      <c r="H872" s="24" t="str">
        <f t="shared" si="125"/>
        <v>RJSP</v>
      </c>
      <c r="I872" s="24" t="str">
        <f t="shared" si="124"/>
        <v>RJMG</v>
      </c>
      <c r="J872" s="24" t="str">
        <f t="shared" si="124"/>
        <v>RJES</v>
      </c>
      <c r="K872" s="24" t="str">
        <f t="shared" si="124"/>
        <v>RJSC</v>
      </c>
      <c r="L872" s="24" t="str">
        <f t="shared" si="124"/>
        <v>RJRJ</v>
      </c>
      <c r="M872" s="24" t="str">
        <f t="shared" si="124"/>
        <v>RJPR</v>
      </c>
      <c r="N872" s="24" t="str">
        <f t="shared" si="124"/>
        <v>RJAM</v>
      </c>
      <c r="O872" s="24">
        <f>VLOOKUP(H872, KM!$A:$E, 5, 0)</f>
        <v>429</v>
      </c>
      <c r="P872" s="24">
        <f>VLOOKUP(I872, KM!$A:$E, 5, 0)</f>
        <v>434</v>
      </c>
      <c r="Q872" s="24">
        <f>VLOOKUP(J872, KM!$A:$E, 5, 0)</f>
        <v>521</v>
      </c>
      <c r="R872" s="24">
        <f>VLOOKUP(K872, KM!$A:$E, 5, 0)</f>
        <v>1144</v>
      </c>
      <c r="S872" s="24">
        <f>VLOOKUP(L872, KM!$A:$E, 5, 0)</f>
        <v>0</v>
      </c>
      <c r="T872" s="24">
        <f>VLOOKUP(M872, KM!$A:$E, 5, 0)</f>
        <v>852</v>
      </c>
      <c r="U872" s="24">
        <f>VLOOKUP(N872, KM!$A:$E, 5, 0)</f>
        <v>4374</v>
      </c>
      <c r="V872" s="24">
        <f>VLOOKUP(H872, IMPOSTO!$A:$D, 4, 0)</f>
        <v>0.12</v>
      </c>
      <c r="W872" s="24">
        <f>VLOOKUP(I872, IMPOSTO!$A:$D, 4, 0)</f>
        <v>0.12</v>
      </c>
      <c r="X872" s="24">
        <f>VLOOKUP(J872, IMPOSTO!$A:$D, 4, 0)</f>
        <v>7.0000000000000007E-2</v>
      </c>
      <c r="Y872" s="24">
        <f>VLOOKUP(K872, IMPOSTO!$A:$D, 4, 0)</f>
        <v>0.12</v>
      </c>
      <c r="Z872" s="24">
        <f>VLOOKUP(L872, IMPOSTO!$A:$D, 4, 0)</f>
        <v>0.18</v>
      </c>
      <c r="AA872" s="24">
        <f>VLOOKUP(M872, IMPOSTO!$A:$D, 4, 0)</f>
        <v>0.12</v>
      </c>
      <c r="AB872" s="24">
        <f>VLOOKUP(N872, IMPOSTO!$A:$D, 4, 0)</f>
        <v>7.0000000000000007E-2</v>
      </c>
      <c r="AC872" s="25">
        <f t="shared" si="126"/>
        <v>10224.037497257968</v>
      </c>
      <c r="AD872" s="25">
        <f t="shared" si="127"/>
        <v>10224.60567907615</v>
      </c>
      <c r="AE872" s="25">
        <f t="shared" si="128"/>
        <v>9684.2505350398005</v>
      </c>
      <c r="AF872" s="25">
        <f t="shared" si="129"/>
        <v>10305.287497257968</v>
      </c>
      <c r="AG872" s="25">
        <f t="shared" si="130"/>
        <v>10919.820728764649</v>
      </c>
      <c r="AH872" s="25">
        <f t="shared" si="131"/>
        <v>10272.105679076152</v>
      </c>
      <c r="AI872" s="25">
        <f t="shared" si="132"/>
        <v>10098.551610308616</v>
      </c>
    </row>
    <row r="873" spans="1:35" ht="15.75" customHeight="1">
      <c r="A873" s="12" t="s">
        <v>486</v>
      </c>
      <c r="B873" s="12" t="s">
        <v>487</v>
      </c>
      <c r="C873" s="12" t="s">
        <v>299</v>
      </c>
      <c r="D873" s="12" t="s">
        <v>33</v>
      </c>
      <c r="E873" s="12" t="s">
        <v>27</v>
      </c>
      <c r="F873" s="13">
        <v>3014.8111563099642</v>
      </c>
      <c r="G873" s="14">
        <v>228619.17299701803</v>
      </c>
      <c r="H873" s="24" t="str">
        <f t="shared" si="125"/>
        <v>RJSP</v>
      </c>
      <c r="I873" s="24" t="str">
        <f t="shared" si="124"/>
        <v>RJMG</v>
      </c>
      <c r="J873" s="24" t="str">
        <f t="shared" si="124"/>
        <v>RJES</v>
      </c>
      <c r="K873" s="24" t="str">
        <f t="shared" si="124"/>
        <v>RJSC</v>
      </c>
      <c r="L873" s="24" t="str">
        <f t="shared" si="124"/>
        <v>RJRJ</v>
      </c>
      <c r="M873" s="24" t="str">
        <f t="shared" si="124"/>
        <v>RJPR</v>
      </c>
      <c r="N873" s="24" t="str">
        <f t="shared" si="124"/>
        <v>RJAM</v>
      </c>
      <c r="O873" s="24">
        <f>VLOOKUP(H873, KM!$A:$E, 5, 0)</f>
        <v>429</v>
      </c>
      <c r="P873" s="24">
        <f>VLOOKUP(I873, KM!$A:$E, 5, 0)</f>
        <v>434</v>
      </c>
      <c r="Q873" s="24">
        <f>VLOOKUP(J873, KM!$A:$E, 5, 0)</f>
        <v>521</v>
      </c>
      <c r="R873" s="24">
        <f>VLOOKUP(K873, KM!$A:$E, 5, 0)</f>
        <v>1144</v>
      </c>
      <c r="S873" s="24">
        <f>VLOOKUP(L873, KM!$A:$E, 5, 0)</f>
        <v>0</v>
      </c>
      <c r="T873" s="24">
        <f>VLOOKUP(M873, KM!$A:$E, 5, 0)</f>
        <v>852</v>
      </c>
      <c r="U873" s="24">
        <f>VLOOKUP(N873, KM!$A:$E, 5, 0)</f>
        <v>4374</v>
      </c>
      <c r="V873" s="24">
        <f>VLOOKUP(H873, IMPOSTO!$A:$D, 4, 0)</f>
        <v>0.12</v>
      </c>
      <c r="W873" s="24">
        <f>VLOOKUP(I873, IMPOSTO!$A:$D, 4, 0)</f>
        <v>0.12</v>
      </c>
      <c r="X873" s="24">
        <f>VLOOKUP(J873, IMPOSTO!$A:$D, 4, 0)</f>
        <v>7.0000000000000007E-2</v>
      </c>
      <c r="Y873" s="24">
        <f>VLOOKUP(K873, IMPOSTO!$A:$D, 4, 0)</f>
        <v>0.12</v>
      </c>
      <c r="Z873" s="24">
        <f>VLOOKUP(L873, IMPOSTO!$A:$D, 4, 0)</f>
        <v>0.18</v>
      </c>
      <c r="AA873" s="24">
        <f>VLOOKUP(M873, IMPOSTO!$A:$D, 4, 0)</f>
        <v>0.12</v>
      </c>
      <c r="AB873" s="24">
        <f>VLOOKUP(N873, IMPOSTO!$A:$D, 4, 0)</f>
        <v>7.0000000000000007E-2</v>
      </c>
      <c r="AC873" s="25">
        <f t="shared" si="126"/>
        <v>259843.26476933865</v>
      </c>
      <c r="AD873" s="25">
        <f t="shared" si="127"/>
        <v>259843.83295115686</v>
      </c>
      <c r="AE873" s="25">
        <f t="shared" si="128"/>
        <v>245883.08924410545</v>
      </c>
      <c r="AF873" s="25">
        <f t="shared" si="129"/>
        <v>259924.51476933865</v>
      </c>
      <c r="AG873" s="25">
        <f t="shared" si="130"/>
        <v>278803.86950855854</v>
      </c>
      <c r="AH873" s="25">
        <f t="shared" si="131"/>
        <v>259891.33295115686</v>
      </c>
      <c r="AI873" s="25">
        <f t="shared" si="132"/>
        <v>246297.39031937424</v>
      </c>
    </row>
    <row r="874" spans="1:35" ht="15.75" customHeight="1">
      <c r="A874" s="12" t="s">
        <v>94</v>
      </c>
      <c r="B874" s="12" t="s">
        <v>95</v>
      </c>
      <c r="C874" s="12" t="s">
        <v>78</v>
      </c>
      <c r="D874" s="12" t="s">
        <v>33</v>
      </c>
      <c r="E874" s="12" t="s">
        <v>27</v>
      </c>
      <c r="F874" s="13">
        <v>16834.948</v>
      </c>
      <c r="G874" s="14">
        <v>25504.986207999998</v>
      </c>
      <c r="H874" s="24" t="str">
        <f t="shared" si="125"/>
        <v>RJSP</v>
      </c>
      <c r="I874" s="24" t="str">
        <f t="shared" si="124"/>
        <v>RJMG</v>
      </c>
      <c r="J874" s="24" t="str">
        <f t="shared" si="124"/>
        <v>RJES</v>
      </c>
      <c r="K874" s="24" t="str">
        <f t="shared" si="124"/>
        <v>RJSC</v>
      </c>
      <c r="L874" s="24" t="str">
        <f t="shared" si="124"/>
        <v>RJRJ</v>
      </c>
      <c r="M874" s="24" t="str">
        <f t="shared" si="124"/>
        <v>RJPR</v>
      </c>
      <c r="N874" s="24" t="str">
        <f t="shared" si="124"/>
        <v>RJAM</v>
      </c>
      <c r="O874" s="24">
        <f>VLOOKUP(H874, KM!$A:$E, 5, 0)</f>
        <v>429</v>
      </c>
      <c r="P874" s="24">
        <f>VLOOKUP(I874, KM!$A:$E, 5, 0)</f>
        <v>434</v>
      </c>
      <c r="Q874" s="24">
        <f>VLOOKUP(J874, KM!$A:$E, 5, 0)</f>
        <v>521</v>
      </c>
      <c r="R874" s="24">
        <f>VLOOKUP(K874, KM!$A:$E, 5, 0)</f>
        <v>1144</v>
      </c>
      <c r="S874" s="24">
        <f>VLOOKUP(L874, KM!$A:$E, 5, 0)</f>
        <v>0</v>
      </c>
      <c r="T874" s="24">
        <f>VLOOKUP(M874, KM!$A:$E, 5, 0)</f>
        <v>852</v>
      </c>
      <c r="U874" s="24">
        <f>VLOOKUP(N874, KM!$A:$E, 5, 0)</f>
        <v>4374</v>
      </c>
      <c r="V874" s="24">
        <f>VLOOKUP(H874, IMPOSTO!$A:$D, 4, 0)</f>
        <v>0.12</v>
      </c>
      <c r="W874" s="24">
        <f>VLOOKUP(I874, IMPOSTO!$A:$D, 4, 0)</f>
        <v>0.12</v>
      </c>
      <c r="X874" s="24">
        <f>VLOOKUP(J874, IMPOSTO!$A:$D, 4, 0)</f>
        <v>7.0000000000000007E-2</v>
      </c>
      <c r="Y874" s="24">
        <f>VLOOKUP(K874, IMPOSTO!$A:$D, 4, 0)</f>
        <v>0.12</v>
      </c>
      <c r="Z874" s="24">
        <f>VLOOKUP(L874, IMPOSTO!$A:$D, 4, 0)</f>
        <v>0.18</v>
      </c>
      <c r="AA874" s="24">
        <f>VLOOKUP(M874, IMPOSTO!$A:$D, 4, 0)</f>
        <v>0.12</v>
      </c>
      <c r="AB874" s="24">
        <f>VLOOKUP(N874, IMPOSTO!$A:$D, 4, 0)</f>
        <v>7.0000000000000007E-2</v>
      </c>
      <c r="AC874" s="25">
        <f t="shared" si="126"/>
        <v>29031.688872727271</v>
      </c>
      <c r="AD874" s="25">
        <f t="shared" si="127"/>
        <v>29032.257054545455</v>
      </c>
      <c r="AE874" s="25">
        <f t="shared" si="128"/>
        <v>27480.737858064516</v>
      </c>
      <c r="AF874" s="25">
        <f t="shared" si="129"/>
        <v>29112.938872727271</v>
      </c>
      <c r="AG874" s="25">
        <f t="shared" si="130"/>
        <v>31103.641717073166</v>
      </c>
      <c r="AH874" s="25">
        <f t="shared" si="131"/>
        <v>29079.757054545455</v>
      </c>
      <c r="AI874" s="25">
        <f t="shared" si="132"/>
        <v>27895.038933333337</v>
      </c>
    </row>
    <row r="875" spans="1:35" ht="15.75" customHeight="1">
      <c r="A875" s="12" t="s">
        <v>263</v>
      </c>
      <c r="B875" s="12" t="s">
        <v>264</v>
      </c>
      <c r="C875" s="12" t="s">
        <v>265</v>
      </c>
      <c r="D875" s="12" t="s">
        <v>50</v>
      </c>
      <c r="E875" s="12" t="s">
        <v>27</v>
      </c>
      <c r="F875" s="13">
        <v>35.9604</v>
      </c>
      <c r="G875" s="14">
        <v>360.28325199999995</v>
      </c>
      <c r="H875" s="24" t="str">
        <f t="shared" si="125"/>
        <v>RJSP</v>
      </c>
      <c r="I875" s="24" t="str">
        <f t="shared" si="124"/>
        <v>RJMG</v>
      </c>
      <c r="J875" s="24" t="str">
        <f t="shared" si="124"/>
        <v>RJES</v>
      </c>
      <c r="K875" s="24" t="str">
        <f t="shared" si="124"/>
        <v>RJSC</v>
      </c>
      <c r="L875" s="24" t="str">
        <f t="shared" si="124"/>
        <v>RJRJ</v>
      </c>
      <c r="M875" s="24" t="str">
        <f t="shared" ref="I875:N938" si="133">$E875 &amp; M$17</f>
        <v>RJPR</v>
      </c>
      <c r="N875" s="24" t="str">
        <f t="shared" si="133"/>
        <v>RJAM</v>
      </c>
      <c r="O875" s="24">
        <f>VLOOKUP(H875, KM!$A:$E, 5, 0)</f>
        <v>429</v>
      </c>
      <c r="P875" s="24">
        <f>VLOOKUP(I875, KM!$A:$E, 5, 0)</f>
        <v>434</v>
      </c>
      <c r="Q875" s="24">
        <f>VLOOKUP(J875, KM!$A:$E, 5, 0)</f>
        <v>521</v>
      </c>
      <c r="R875" s="24">
        <f>VLOOKUP(K875, KM!$A:$E, 5, 0)</f>
        <v>1144</v>
      </c>
      <c r="S875" s="24">
        <f>VLOOKUP(L875, KM!$A:$E, 5, 0)</f>
        <v>0</v>
      </c>
      <c r="T875" s="24">
        <f>VLOOKUP(M875, KM!$A:$E, 5, 0)</f>
        <v>852</v>
      </c>
      <c r="U875" s="24">
        <f>VLOOKUP(N875, KM!$A:$E, 5, 0)</f>
        <v>4374</v>
      </c>
      <c r="V875" s="24">
        <f>VLOOKUP(H875, IMPOSTO!$A:$D, 4, 0)</f>
        <v>0.12</v>
      </c>
      <c r="W875" s="24">
        <f>VLOOKUP(I875, IMPOSTO!$A:$D, 4, 0)</f>
        <v>0.12</v>
      </c>
      <c r="X875" s="24">
        <f>VLOOKUP(J875, IMPOSTO!$A:$D, 4, 0)</f>
        <v>7.0000000000000007E-2</v>
      </c>
      <c r="Y875" s="24">
        <f>VLOOKUP(K875, IMPOSTO!$A:$D, 4, 0)</f>
        <v>0.12</v>
      </c>
      <c r="Z875" s="24">
        <f>VLOOKUP(L875, IMPOSTO!$A:$D, 4, 0)</f>
        <v>0.18</v>
      </c>
      <c r="AA875" s="24">
        <f>VLOOKUP(M875, IMPOSTO!$A:$D, 4, 0)</f>
        <v>0.12</v>
      </c>
      <c r="AB875" s="24">
        <f>VLOOKUP(N875, IMPOSTO!$A:$D, 4, 0)</f>
        <v>7.0000000000000007E-2</v>
      </c>
      <c r="AC875" s="25">
        <f t="shared" si="126"/>
        <v>458.16278636363626</v>
      </c>
      <c r="AD875" s="25">
        <f t="shared" si="127"/>
        <v>458.73096818181807</v>
      </c>
      <c r="AE875" s="25">
        <f t="shared" si="128"/>
        <v>443.42285161290323</v>
      </c>
      <c r="AF875" s="25">
        <f t="shared" si="129"/>
        <v>539.41278636363631</v>
      </c>
      <c r="AG875" s="25">
        <f t="shared" si="130"/>
        <v>439.36981951219502</v>
      </c>
      <c r="AH875" s="25">
        <f t="shared" si="131"/>
        <v>506.23096818181813</v>
      </c>
      <c r="AI875" s="25">
        <f t="shared" si="132"/>
        <v>857.72392688172056</v>
      </c>
    </row>
    <row r="876" spans="1:35" ht="15.75" customHeight="1">
      <c r="A876" s="12" t="s">
        <v>266</v>
      </c>
      <c r="B876" s="12" t="s">
        <v>267</v>
      </c>
      <c r="C876" s="12" t="s">
        <v>169</v>
      </c>
      <c r="D876" s="12" t="s">
        <v>33</v>
      </c>
      <c r="E876" s="12" t="s">
        <v>27</v>
      </c>
      <c r="F876" s="13">
        <v>14166.521727009336</v>
      </c>
      <c r="G876" s="14">
        <v>21164.282699398078</v>
      </c>
      <c r="H876" s="24" t="str">
        <f t="shared" si="125"/>
        <v>RJSP</v>
      </c>
      <c r="I876" s="24" t="str">
        <f t="shared" si="133"/>
        <v>RJMG</v>
      </c>
      <c r="J876" s="24" t="str">
        <f t="shared" si="133"/>
        <v>RJES</v>
      </c>
      <c r="K876" s="24" t="str">
        <f t="shared" si="133"/>
        <v>RJSC</v>
      </c>
      <c r="L876" s="24" t="str">
        <f t="shared" si="133"/>
        <v>RJRJ</v>
      </c>
      <c r="M876" s="24" t="str">
        <f t="shared" si="133"/>
        <v>RJPR</v>
      </c>
      <c r="N876" s="24" t="str">
        <f t="shared" si="133"/>
        <v>RJAM</v>
      </c>
      <c r="O876" s="24">
        <f>VLOOKUP(H876, KM!$A:$E, 5, 0)</f>
        <v>429</v>
      </c>
      <c r="P876" s="24">
        <f>VLOOKUP(I876, KM!$A:$E, 5, 0)</f>
        <v>434</v>
      </c>
      <c r="Q876" s="24">
        <f>VLOOKUP(J876, KM!$A:$E, 5, 0)</f>
        <v>521</v>
      </c>
      <c r="R876" s="24">
        <f>VLOOKUP(K876, KM!$A:$E, 5, 0)</f>
        <v>1144</v>
      </c>
      <c r="S876" s="24">
        <f>VLOOKUP(L876, KM!$A:$E, 5, 0)</f>
        <v>0</v>
      </c>
      <c r="T876" s="24">
        <f>VLOOKUP(M876, KM!$A:$E, 5, 0)</f>
        <v>852</v>
      </c>
      <c r="U876" s="24">
        <f>VLOOKUP(N876, KM!$A:$E, 5, 0)</f>
        <v>4374</v>
      </c>
      <c r="V876" s="24">
        <f>VLOOKUP(H876, IMPOSTO!$A:$D, 4, 0)</f>
        <v>0.12</v>
      </c>
      <c r="W876" s="24">
        <f>VLOOKUP(I876, IMPOSTO!$A:$D, 4, 0)</f>
        <v>0.12</v>
      </c>
      <c r="X876" s="24">
        <f>VLOOKUP(J876, IMPOSTO!$A:$D, 4, 0)</f>
        <v>7.0000000000000007E-2</v>
      </c>
      <c r="Y876" s="24">
        <f>VLOOKUP(K876, IMPOSTO!$A:$D, 4, 0)</f>
        <v>0.12</v>
      </c>
      <c r="Z876" s="24">
        <f>VLOOKUP(L876, IMPOSTO!$A:$D, 4, 0)</f>
        <v>0.18</v>
      </c>
      <c r="AA876" s="24">
        <f>VLOOKUP(M876, IMPOSTO!$A:$D, 4, 0)</f>
        <v>0.12</v>
      </c>
      <c r="AB876" s="24">
        <f>VLOOKUP(N876, IMPOSTO!$A:$D, 4, 0)</f>
        <v>7.0000000000000007E-2</v>
      </c>
      <c r="AC876" s="25">
        <f t="shared" si="126"/>
        <v>24099.071249315999</v>
      </c>
      <c r="AD876" s="25">
        <f t="shared" si="127"/>
        <v>24099.639431134183</v>
      </c>
      <c r="AE876" s="25">
        <f t="shared" si="128"/>
        <v>22813.314730535567</v>
      </c>
      <c r="AF876" s="25">
        <f t="shared" si="129"/>
        <v>24180.321249315999</v>
      </c>
      <c r="AG876" s="25">
        <f t="shared" si="130"/>
        <v>25810.100852924483</v>
      </c>
      <c r="AH876" s="25">
        <f t="shared" si="131"/>
        <v>24147.139431134179</v>
      </c>
      <c r="AI876" s="25">
        <f t="shared" si="132"/>
        <v>23227.615805804387</v>
      </c>
    </row>
    <row r="877" spans="1:35" ht="15.75" customHeight="1">
      <c r="A877" s="12" t="s">
        <v>612</v>
      </c>
      <c r="B877" s="12" t="s">
        <v>613</v>
      </c>
      <c r="C877" s="12" t="s">
        <v>169</v>
      </c>
      <c r="D877" s="12" t="s">
        <v>33</v>
      </c>
      <c r="E877" s="12" t="s">
        <v>27</v>
      </c>
      <c r="F877" s="13">
        <v>92367.139699467225</v>
      </c>
      <c r="G877" s="14">
        <v>52746.826551152015</v>
      </c>
      <c r="H877" s="24" t="str">
        <f t="shared" si="125"/>
        <v>RJSP</v>
      </c>
      <c r="I877" s="24" t="str">
        <f t="shared" si="133"/>
        <v>RJMG</v>
      </c>
      <c r="J877" s="24" t="str">
        <f t="shared" si="133"/>
        <v>RJES</v>
      </c>
      <c r="K877" s="24" t="str">
        <f t="shared" si="133"/>
        <v>RJSC</v>
      </c>
      <c r="L877" s="24" t="str">
        <f t="shared" si="133"/>
        <v>RJRJ</v>
      </c>
      <c r="M877" s="24" t="str">
        <f t="shared" si="133"/>
        <v>RJPR</v>
      </c>
      <c r="N877" s="24" t="str">
        <f t="shared" si="133"/>
        <v>RJAM</v>
      </c>
      <c r="O877" s="24">
        <f>VLOOKUP(H877, KM!$A:$E, 5, 0)</f>
        <v>429</v>
      </c>
      <c r="P877" s="24">
        <f>VLOOKUP(I877, KM!$A:$E, 5, 0)</f>
        <v>434</v>
      </c>
      <c r="Q877" s="24">
        <f>VLOOKUP(J877, KM!$A:$E, 5, 0)</f>
        <v>521</v>
      </c>
      <c r="R877" s="24">
        <f>VLOOKUP(K877, KM!$A:$E, 5, 0)</f>
        <v>1144</v>
      </c>
      <c r="S877" s="24">
        <f>VLOOKUP(L877, KM!$A:$E, 5, 0)</f>
        <v>0</v>
      </c>
      <c r="T877" s="24">
        <f>VLOOKUP(M877, KM!$A:$E, 5, 0)</f>
        <v>852</v>
      </c>
      <c r="U877" s="24">
        <f>VLOOKUP(N877, KM!$A:$E, 5, 0)</f>
        <v>4374</v>
      </c>
      <c r="V877" s="24">
        <f>VLOOKUP(H877, IMPOSTO!$A:$D, 4, 0)</f>
        <v>0.12</v>
      </c>
      <c r="W877" s="24">
        <f>VLOOKUP(I877, IMPOSTO!$A:$D, 4, 0)</f>
        <v>0.12</v>
      </c>
      <c r="X877" s="24">
        <f>VLOOKUP(J877, IMPOSTO!$A:$D, 4, 0)</f>
        <v>7.0000000000000007E-2</v>
      </c>
      <c r="Y877" s="24">
        <f>VLOOKUP(K877, IMPOSTO!$A:$D, 4, 0)</f>
        <v>0.12</v>
      </c>
      <c r="Z877" s="24">
        <f>VLOOKUP(L877, IMPOSTO!$A:$D, 4, 0)</f>
        <v>0.18</v>
      </c>
      <c r="AA877" s="24">
        <f>VLOOKUP(M877, IMPOSTO!$A:$D, 4, 0)</f>
        <v>0.12</v>
      </c>
      <c r="AB877" s="24">
        <f>VLOOKUP(N877, IMPOSTO!$A:$D, 4, 0)</f>
        <v>7.0000000000000007E-2</v>
      </c>
      <c r="AC877" s="25">
        <f t="shared" si="126"/>
        <v>59988.32562630911</v>
      </c>
      <c r="AD877" s="25">
        <f t="shared" si="127"/>
        <v>59988.893808127294</v>
      </c>
      <c r="AE877" s="25">
        <f t="shared" si="128"/>
        <v>56773.039302313999</v>
      </c>
      <c r="AF877" s="25">
        <f t="shared" si="129"/>
        <v>60069.57562630911</v>
      </c>
      <c r="AG877" s="25">
        <f t="shared" si="130"/>
        <v>64325.39823311221</v>
      </c>
      <c r="AH877" s="25">
        <f t="shared" si="131"/>
        <v>60036.393808127286</v>
      </c>
      <c r="AI877" s="25">
        <f t="shared" si="132"/>
        <v>57187.340377582819</v>
      </c>
    </row>
    <row r="878" spans="1:35" ht="15.75" customHeight="1">
      <c r="A878" s="12" t="s">
        <v>612</v>
      </c>
      <c r="B878" s="12" t="s">
        <v>613</v>
      </c>
      <c r="C878" s="12" t="s">
        <v>169</v>
      </c>
      <c r="D878" s="12" t="s">
        <v>33</v>
      </c>
      <c r="E878" s="12" t="s">
        <v>27</v>
      </c>
      <c r="F878" s="13">
        <v>37581.722508219624</v>
      </c>
      <c r="G878" s="14">
        <v>21745.198909762912</v>
      </c>
      <c r="H878" s="24" t="str">
        <f t="shared" si="125"/>
        <v>RJSP</v>
      </c>
      <c r="I878" s="24" t="str">
        <f t="shared" si="133"/>
        <v>RJMG</v>
      </c>
      <c r="J878" s="24" t="str">
        <f t="shared" si="133"/>
        <v>RJES</v>
      </c>
      <c r="K878" s="24" t="str">
        <f t="shared" si="133"/>
        <v>RJSC</v>
      </c>
      <c r="L878" s="24" t="str">
        <f t="shared" si="133"/>
        <v>RJRJ</v>
      </c>
      <c r="M878" s="24" t="str">
        <f t="shared" si="133"/>
        <v>RJPR</v>
      </c>
      <c r="N878" s="24" t="str">
        <f t="shared" si="133"/>
        <v>RJAM</v>
      </c>
      <c r="O878" s="24">
        <f>VLOOKUP(H878, KM!$A:$E, 5, 0)</f>
        <v>429</v>
      </c>
      <c r="P878" s="24">
        <f>VLOOKUP(I878, KM!$A:$E, 5, 0)</f>
        <v>434</v>
      </c>
      <c r="Q878" s="24">
        <f>VLOOKUP(J878, KM!$A:$E, 5, 0)</f>
        <v>521</v>
      </c>
      <c r="R878" s="24">
        <f>VLOOKUP(K878, KM!$A:$E, 5, 0)</f>
        <v>1144</v>
      </c>
      <c r="S878" s="24">
        <f>VLOOKUP(L878, KM!$A:$E, 5, 0)</f>
        <v>0</v>
      </c>
      <c r="T878" s="24">
        <f>VLOOKUP(M878, KM!$A:$E, 5, 0)</f>
        <v>852</v>
      </c>
      <c r="U878" s="24">
        <f>VLOOKUP(N878, KM!$A:$E, 5, 0)</f>
        <v>4374</v>
      </c>
      <c r="V878" s="24">
        <f>VLOOKUP(H878, IMPOSTO!$A:$D, 4, 0)</f>
        <v>0.12</v>
      </c>
      <c r="W878" s="24">
        <f>VLOOKUP(I878, IMPOSTO!$A:$D, 4, 0)</f>
        <v>0.12</v>
      </c>
      <c r="X878" s="24">
        <f>VLOOKUP(J878, IMPOSTO!$A:$D, 4, 0)</f>
        <v>7.0000000000000007E-2</v>
      </c>
      <c r="Y878" s="24">
        <f>VLOOKUP(K878, IMPOSTO!$A:$D, 4, 0)</f>
        <v>0.12</v>
      </c>
      <c r="Z878" s="24">
        <f>VLOOKUP(L878, IMPOSTO!$A:$D, 4, 0)</f>
        <v>0.18</v>
      </c>
      <c r="AA878" s="24">
        <f>VLOOKUP(M878, IMPOSTO!$A:$D, 4, 0)</f>
        <v>0.12</v>
      </c>
      <c r="AB878" s="24">
        <f>VLOOKUP(N878, IMPOSTO!$A:$D, 4, 0)</f>
        <v>7.0000000000000007E-2</v>
      </c>
      <c r="AC878" s="25">
        <f t="shared" si="126"/>
        <v>24759.203306548767</v>
      </c>
      <c r="AD878" s="25">
        <f t="shared" si="127"/>
        <v>24759.771488366947</v>
      </c>
      <c r="AE878" s="25">
        <f t="shared" si="128"/>
        <v>23437.955816949368</v>
      </c>
      <c r="AF878" s="25">
        <f t="shared" si="129"/>
        <v>24840.453306548767</v>
      </c>
      <c r="AG878" s="25">
        <f t="shared" si="130"/>
        <v>26518.535255808427</v>
      </c>
      <c r="AH878" s="25">
        <f t="shared" si="131"/>
        <v>24807.271488366947</v>
      </c>
      <c r="AI878" s="25">
        <f t="shared" si="132"/>
        <v>23852.256892218189</v>
      </c>
    </row>
    <row r="879" spans="1:35" ht="15.75" customHeight="1">
      <c r="A879" s="12" t="s">
        <v>488</v>
      </c>
      <c r="B879" s="12" t="s">
        <v>489</v>
      </c>
      <c r="C879" s="12" t="s">
        <v>160</v>
      </c>
      <c r="D879" s="12" t="s">
        <v>33</v>
      </c>
      <c r="E879" s="12" t="s">
        <v>27</v>
      </c>
      <c r="F879" s="13">
        <v>198403.59730063056</v>
      </c>
      <c r="G879" s="14">
        <v>4548.5657938097756</v>
      </c>
      <c r="H879" s="24" t="str">
        <f t="shared" si="125"/>
        <v>RJSP</v>
      </c>
      <c r="I879" s="24" t="str">
        <f t="shared" si="133"/>
        <v>RJMG</v>
      </c>
      <c r="J879" s="24" t="str">
        <f t="shared" si="133"/>
        <v>RJES</v>
      </c>
      <c r="K879" s="24" t="str">
        <f t="shared" si="133"/>
        <v>RJSC</v>
      </c>
      <c r="L879" s="24" t="str">
        <f t="shared" si="133"/>
        <v>RJRJ</v>
      </c>
      <c r="M879" s="24" t="str">
        <f t="shared" si="133"/>
        <v>RJPR</v>
      </c>
      <c r="N879" s="24" t="str">
        <f t="shared" si="133"/>
        <v>RJAM</v>
      </c>
      <c r="O879" s="24">
        <f>VLOOKUP(H879, KM!$A:$E, 5, 0)</f>
        <v>429</v>
      </c>
      <c r="P879" s="24">
        <f>VLOOKUP(I879, KM!$A:$E, 5, 0)</f>
        <v>434</v>
      </c>
      <c r="Q879" s="24">
        <f>VLOOKUP(J879, KM!$A:$E, 5, 0)</f>
        <v>521</v>
      </c>
      <c r="R879" s="24">
        <f>VLOOKUP(K879, KM!$A:$E, 5, 0)</f>
        <v>1144</v>
      </c>
      <c r="S879" s="24">
        <f>VLOOKUP(L879, KM!$A:$E, 5, 0)</f>
        <v>0</v>
      </c>
      <c r="T879" s="24">
        <f>VLOOKUP(M879, KM!$A:$E, 5, 0)</f>
        <v>852</v>
      </c>
      <c r="U879" s="24">
        <f>VLOOKUP(N879, KM!$A:$E, 5, 0)</f>
        <v>4374</v>
      </c>
      <c r="V879" s="24">
        <f>VLOOKUP(H879, IMPOSTO!$A:$D, 4, 0)</f>
        <v>0.12</v>
      </c>
      <c r="W879" s="24">
        <f>VLOOKUP(I879, IMPOSTO!$A:$D, 4, 0)</f>
        <v>0.12</v>
      </c>
      <c r="X879" s="24">
        <f>VLOOKUP(J879, IMPOSTO!$A:$D, 4, 0)</f>
        <v>7.0000000000000007E-2</v>
      </c>
      <c r="Y879" s="24">
        <f>VLOOKUP(K879, IMPOSTO!$A:$D, 4, 0)</f>
        <v>0.12</v>
      </c>
      <c r="Z879" s="24">
        <f>VLOOKUP(L879, IMPOSTO!$A:$D, 4, 0)</f>
        <v>0.18</v>
      </c>
      <c r="AA879" s="24">
        <f>VLOOKUP(M879, IMPOSTO!$A:$D, 4, 0)</f>
        <v>0.12</v>
      </c>
      <c r="AB879" s="24">
        <f>VLOOKUP(N879, IMPOSTO!$A:$D, 4, 0)</f>
        <v>7.0000000000000007E-2</v>
      </c>
      <c r="AC879" s="25">
        <f t="shared" si="126"/>
        <v>5217.5747656929261</v>
      </c>
      <c r="AD879" s="25">
        <f t="shared" si="127"/>
        <v>5218.1429475111081</v>
      </c>
      <c r="AE879" s="25">
        <f t="shared" si="128"/>
        <v>4946.9524664621249</v>
      </c>
      <c r="AF879" s="25">
        <f t="shared" si="129"/>
        <v>5298.8247656929261</v>
      </c>
      <c r="AG879" s="25">
        <f t="shared" si="130"/>
        <v>5547.03145586558</v>
      </c>
      <c r="AH879" s="25">
        <f t="shared" si="131"/>
        <v>5265.6429475111081</v>
      </c>
      <c r="AI879" s="25">
        <f t="shared" si="132"/>
        <v>5361.2535417309418</v>
      </c>
    </row>
    <row r="880" spans="1:35" ht="15.75" customHeight="1">
      <c r="A880" s="12" t="s">
        <v>268</v>
      </c>
      <c r="B880" s="12" t="s">
        <v>269</v>
      </c>
      <c r="C880" s="12" t="s">
        <v>169</v>
      </c>
      <c r="D880" s="12" t="s">
        <v>33</v>
      </c>
      <c r="E880" s="12" t="s">
        <v>27</v>
      </c>
      <c r="F880" s="13">
        <v>23225.385588945064</v>
      </c>
      <c r="G880" s="14">
        <v>25548.067104708443</v>
      </c>
      <c r="H880" s="24" t="str">
        <f t="shared" si="125"/>
        <v>RJSP</v>
      </c>
      <c r="I880" s="24" t="str">
        <f t="shared" si="133"/>
        <v>RJMG</v>
      </c>
      <c r="J880" s="24" t="str">
        <f t="shared" si="133"/>
        <v>RJES</v>
      </c>
      <c r="K880" s="24" t="str">
        <f t="shared" si="133"/>
        <v>RJSC</v>
      </c>
      <c r="L880" s="24" t="str">
        <f t="shared" si="133"/>
        <v>RJRJ</v>
      </c>
      <c r="M880" s="24" t="str">
        <f t="shared" si="133"/>
        <v>RJPR</v>
      </c>
      <c r="N880" s="24" t="str">
        <f t="shared" si="133"/>
        <v>RJAM</v>
      </c>
      <c r="O880" s="24">
        <f>VLOOKUP(H880, KM!$A:$E, 5, 0)</f>
        <v>429</v>
      </c>
      <c r="P880" s="24">
        <f>VLOOKUP(I880, KM!$A:$E, 5, 0)</f>
        <v>434</v>
      </c>
      <c r="Q880" s="24">
        <f>VLOOKUP(J880, KM!$A:$E, 5, 0)</f>
        <v>521</v>
      </c>
      <c r="R880" s="24">
        <f>VLOOKUP(K880, KM!$A:$E, 5, 0)</f>
        <v>1144</v>
      </c>
      <c r="S880" s="24">
        <f>VLOOKUP(L880, KM!$A:$E, 5, 0)</f>
        <v>0</v>
      </c>
      <c r="T880" s="24">
        <f>VLOOKUP(M880, KM!$A:$E, 5, 0)</f>
        <v>852</v>
      </c>
      <c r="U880" s="24">
        <f>VLOOKUP(N880, KM!$A:$E, 5, 0)</f>
        <v>4374</v>
      </c>
      <c r="V880" s="24">
        <f>VLOOKUP(H880, IMPOSTO!$A:$D, 4, 0)</f>
        <v>0.12</v>
      </c>
      <c r="W880" s="24">
        <f>VLOOKUP(I880, IMPOSTO!$A:$D, 4, 0)</f>
        <v>0.12</v>
      </c>
      <c r="X880" s="24">
        <f>VLOOKUP(J880, IMPOSTO!$A:$D, 4, 0)</f>
        <v>7.0000000000000007E-2</v>
      </c>
      <c r="Y880" s="24">
        <f>VLOOKUP(K880, IMPOSTO!$A:$D, 4, 0)</f>
        <v>0.12</v>
      </c>
      <c r="Z880" s="24">
        <f>VLOOKUP(L880, IMPOSTO!$A:$D, 4, 0)</f>
        <v>0.18</v>
      </c>
      <c r="AA880" s="24">
        <f>VLOOKUP(M880, IMPOSTO!$A:$D, 4, 0)</f>
        <v>0.12</v>
      </c>
      <c r="AB880" s="24">
        <f>VLOOKUP(N880, IMPOSTO!$A:$D, 4, 0)</f>
        <v>7.0000000000000007E-2</v>
      </c>
      <c r="AC880" s="25">
        <f t="shared" si="126"/>
        <v>29080.644437168688</v>
      </c>
      <c r="AD880" s="25">
        <f t="shared" si="127"/>
        <v>29081.212618986869</v>
      </c>
      <c r="AE880" s="25">
        <f t="shared" si="128"/>
        <v>27527.061402912306</v>
      </c>
      <c r="AF880" s="25">
        <f t="shared" si="129"/>
        <v>29161.894437168688</v>
      </c>
      <c r="AG880" s="25">
        <f t="shared" si="130"/>
        <v>31156.179395985902</v>
      </c>
      <c r="AH880" s="25">
        <f t="shared" si="131"/>
        <v>29128.712618986869</v>
      </c>
      <c r="AI880" s="25">
        <f t="shared" si="132"/>
        <v>27941.362478181127</v>
      </c>
    </row>
    <row r="881" spans="1:35" ht="15.75" customHeight="1">
      <c r="A881" s="12" t="s">
        <v>268</v>
      </c>
      <c r="B881" s="12" t="s">
        <v>269</v>
      </c>
      <c r="C881" s="12" t="s">
        <v>169</v>
      </c>
      <c r="D881" s="12" t="s">
        <v>33</v>
      </c>
      <c r="E881" s="12" t="s">
        <v>27</v>
      </c>
      <c r="F881" s="13">
        <v>8066.8518862460323</v>
      </c>
      <c r="G881" s="14">
        <v>8219.6115118387424</v>
      </c>
      <c r="H881" s="24" t="str">
        <f t="shared" si="125"/>
        <v>RJSP</v>
      </c>
      <c r="I881" s="24" t="str">
        <f t="shared" si="133"/>
        <v>RJMG</v>
      </c>
      <c r="J881" s="24" t="str">
        <f t="shared" si="133"/>
        <v>RJES</v>
      </c>
      <c r="K881" s="24" t="str">
        <f t="shared" si="133"/>
        <v>RJSC</v>
      </c>
      <c r="L881" s="24" t="str">
        <f t="shared" si="133"/>
        <v>RJRJ</v>
      </c>
      <c r="M881" s="24" t="str">
        <f t="shared" si="133"/>
        <v>RJPR</v>
      </c>
      <c r="N881" s="24" t="str">
        <f t="shared" si="133"/>
        <v>RJAM</v>
      </c>
      <c r="O881" s="24">
        <f>VLOOKUP(H881, KM!$A:$E, 5, 0)</f>
        <v>429</v>
      </c>
      <c r="P881" s="24">
        <f>VLOOKUP(I881, KM!$A:$E, 5, 0)</f>
        <v>434</v>
      </c>
      <c r="Q881" s="24">
        <f>VLOOKUP(J881, KM!$A:$E, 5, 0)</f>
        <v>521</v>
      </c>
      <c r="R881" s="24">
        <f>VLOOKUP(K881, KM!$A:$E, 5, 0)</f>
        <v>1144</v>
      </c>
      <c r="S881" s="24">
        <f>VLOOKUP(L881, KM!$A:$E, 5, 0)</f>
        <v>0</v>
      </c>
      <c r="T881" s="24">
        <f>VLOOKUP(M881, KM!$A:$E, 5, 0)</f>
        <v>852</v>
      </c>
      <c r="U881" s="24">
        <f>VLOOKUP(N881, KM!$A:$E, 5, 0)</f>
        <v>4374</v>
      </c>
      <c r="V881" s="24">
        <f>VLOOKUP(H881, IMPOSTO!$A:$D, 4, 0)</f>
        <v>0.12</v>
      </c>
      <c r="W881" s="24">
        <f>VLOOKUP(I881, IMPOSTO!$A:$D, 4, 0)</f>
        <v>0.12</v>
      </c>
      <c r="X881" s="24">
        <f>VLOOKUP(J881, IMPOSTO!$A:$D, 4, 0)</f>
        <v>7.0000000000000007E-2</v>
      </c>
      <c r="Y881" s="24">
        <f>VLOOKUP(K881, IMPOSTO!$A:$D, 4, 0)</f>
        <v>0.12</v>
      </c>
      <c r="Z881" s="24">
        <f>VLOOKUP(L881, IMPOSTO!$A:$D, 4, 0)</f>
        <v>0.18</v>
      </c>
      <c r="AA881" s="24">
        <f>VLOOKUP(M881, IMPOSTO!$A:$D, 4, 0)</f>
        <v>0.12</v>
      </c>
      <c r="AB881" s="24">
        <f>VLOOKUP(N881, IMPOSTO!$A:$D, 4, 0)</f>
        <v>7.0000000000000007E-2</v>
      </c>
      <c r="AC881" s="25">
        <f t="shared" si="126"/>
        <v>9389.2176270894797</v>
      </c>
      <c r="AD881" s="25">
        <f t="shared" si="127"/>
        <v>9389.7858089076617</v>
      </c>
      <c r="AE881" s="25">
        <f t="shared" si="128"/>
        <v>8894.3134535900463</v>
      </c>
      <c r="AF881" s="25">
        <f t="shared" si="129"/>
        <v>9470.4676270894797</v>
      </c>
      <c r="AG881" s="25">
        <f t="shared" si="130"/>
        <v>10023.916477852124</v>
      </c>
      <c r="AH881" s="25">
        <f t="shared" si="131"/>
        <v>9437.2858089076635</v>
      </c>
      <c r="AI881" s="25">
        <f t="shared" si="132"/>
        <v>9308.6145288588632</v>
      </c>
    </row>
    <row r="882" spans="1:35" ht="15.75" customHeight="1">
      <c r="A882" s="12" t="s">
        <v>272</v>
      </c>
      <c r="B882" s="12" t="s">
        <v>273</v>
      </c>
      <c r="C882" s="12" t="s">
        <v>181</v>
      </c>
      <c r="D882" s="12" t="s">
        <v>33</v>
      </c>
      <c r="E882" s="12" t="s">
        <v>27</v>
      </c>
      <c r="F882" s="13">
        <v>143.16259238913651</v>
      </c>
      <c r="G882" s="14">
        <v>86.699265950861061</v>
      </c>
      <c r="H882" s="24" t="str">
        <f t="shared" si="125"/>
        <v>RJSP</v>
      </c>
      <c r="I882" s="24" t="str">
        <f t="shared" si="133"/>
        <v>RJMG</v>
      </c>
      <c r="J882" s="24" t="str">
        <f t="shared" si="133"/>
        <v>RJES</v>
      </c>
      <c r="K882" s="24" t="str">
        <f t="shared" si="133"/>
        <v>RJSC</v>
      </c>
      <c r="L882" s="24" t="str">
        <f t="shared" si="133"/>
        <v>RJRJ</v>
      </c>
      <c r="M882" s="24" t="str">
        <f t="shared" si="133"/>
        <v>RJPR</v>
      </c>
      <c r="N882" s="24" t="str">
        <f t="shared" si="133"/>
        <v>RJAM</v>
      </c>
      <c r="O882" s="24">
        <f>VLOOKUP(H882, KM!$A:$E, 5, 0)</f>
        <v>429</v>
      </c>
      <c r="P882" s="24">
        <f>VLOOKUP(I882, KM!$A:$E, 5, 0)</f>
        <v>434</v>
      </c>
      <c r="Q882" s="24">
        <f>VLOOKUP(J882, KM!$A:$E, 5, 0)</f>
        <v>521</v>
      </c>
      <c r="R882" s="24">
        <f>VLOOKUP(K882, KM!$A:$E, 5, 0)</f>
        <v>1144</v>
      </c>
      <c r="S882" s="24">
        <f>VLOOKUP(L882, KM!$A:$E, 5, 0)</f>
        <v>0</v>
      </c>
      <c r="T882" s="24">
        <f>VLOOKUP(M882, KM!$A:$E, 5, 0)</f>
        <v>852</v>
      </c>
      <c r="U882" s="24">
        <f>VLOOKUP(N882, KM!$A:$E, 5, 0)</f>
        <v>4374</v>
      </c>
      <c r="V882" s="24">
        <f>VLOOKUP(H882, IMPOSTO!$A:$D, 4, 0)</f>
        <v>0.12</v>
      </c>
      <c r="W882" s="24">
        <f>VLOOKUP(I882, IMPOSTO!$A:$D, 4, 0)</f>
        <v>0.12</v>
      </c>
      <c r="X882" s="24">
        <f>VLOOKUP(J882, IMPOSTO!$A:$D, 4, 0)</f>
        <v>7.0000000000000007E-2</v>
      </c>
      <c r="Y882" s="24">
        <f>VLOOKUP(K882, IMPOSTO!$A:$D, 4, 0)</f>
        <v>0.12</v>
      </c>
      <c r="Z882" s="24">
        <f>VLOOKUP(L882, IMPOSTO!$A:$D, 4, 0)</f>
        <v>0.18</v>
      </c>
      <c r="AA882" s="24">
        <f>VLOOKUP(M882, IMPOSTO!$A:$D, 4, 0)</f>
        <v>0.12</v>
      </c>
      <c r="AB882" s="24">
        <f>VLOOKUP(N882, IMPOSTO!$A:$D, 4, 0)</f>
        <v>7.0000000000000007E-2</v>
      </c>
      <c r="AC882" s="25">
        <f t="shared" si="126"/>
        <v>147.27189312597849</v>
      </c>
      <c r="AD882" s="25">
        <f t="shared" si="127"/>
        <v>147.84007494416031</v>
      </c>
      <c r="AE882" s="25">
        <f t="shared" si="128"/>
        <v>149.2465225278076</v>
      </c>
      <c r="AF882" s="25">
        <f t="shared" si="129"/>
        <v>228.52189312597849</v>
      </c>
      <c r="AG882" s="25">
        <f t="shared" si="130"/>
        <v>105.7308121351964</v>
      </c>
      <c r="AH882" s="25">
        <f t="shared" si="131"/>
        <v>195.34007494416031</v>
      </c>
      <c r="AI882" s="25">
        <f t="shared" si="132"/>
        <v>563.54759779662481</v>
      </c>
    </row>
    <row r="883" spans="1:35" ht="15.75" customHeight="1">
      <c r="A883" s="12" t="s">
        <v>306</v>
      </c>
      <c r="B883" s="12" t="s">
        <v>307</v>
      </c>
      <c r="C883" s="12" t="s">
        <v>163</v>
      </c>
      <c r="D883" s="12" t="s">
        <v>33</v>
      </c>
      <c r="E883" s="12" t="s">
        <v>27</v>
      </c>
      <c r="F883" s="13">
        <v>642644.15830015845</v>
      </c>
      <c r="G883" s="14">
        <v>28942.574432304842</v>
      </c>
      <c r="H883" s="24" t="str">
        <f t="shared" si="125"/>
        <v>RJSP</v>
      </c>
      <c r="I883" s="24" t="str">
        <f t="shared" si="133"/>
        <v>RJMG</v>
      </c>
      <c r="J883" s="24" t="str">
        <f t="shared" si="133"/>
        <v>RJES</v>
      </c>
      <c r="K883" s="24" t="str">
        <f t="shared" si="133"/>
        <v>RJSC</v>
      </c>
      <c r="L883" s="24" t="str">
        <f t="shared" si="133"/>
        <v>RJRJ</v>
      </c>
      <c r="M883" s="24" t="str">
        <f t="shared" si="133"/>
        <v>RJPR</v>
      </c>
      <c r="N883" s="24" t="str">
        <f t="shared" si="133"/>
        <v>RJAM</v>
      </c>
      <c r="O883" s="24">
        <f>VLOOKUP(H883, KM!$A:$E, 5, 0)</f>
        <v>429</v>
      </c>
      <c r="P883" s="24">
        <f>VLOOKUP(I883, KM!$A:$E, 5, 0)</f>
        <v>434</v>
      </c>
      <c r="Q883" s="24">
        <f>VLOOKUP(J883, KM!$A:$E, 5, 0)</f>
        <v>521</v>
      </c>
      <c r="R883" s="24">
        <f>VLOOKUP(K883, KM!$A:$E, 5, 0)</f>
        <v>1144</v>
      </c>
      <c r="S883" s="24">
        <f>VLOOKUP(L883, KM!$A:$E, 5, 0)</f>
        <v>0</v>
      </c>
      <c r="T883" s="24">
        <f>VLOOKUP(M883, KM!$A:$E, 5, 0)</f>
        <v>852</v>
      </c>
      <c r="U883" s="24">
        <f>VLOOKUP(N883, KM!$A:$E, 5, 0)</f>
        <v>4374</v>
      </c>
      <c r="V883" s="24">
        <f>VLOOKUP(H883, IMPOSTO!$A:$D, 4, 0)</f>
        <v>0.12</v>
      </c>
      <c r="W883" s="24">
        <f>VLOOKUP(I883, IMPOSTO!$A:$D, 4, 0)</f>
        <v>0.12</v>
      </c>
      <c r="X883" s="24">
        <f>VLOOKUP(J883, IMPOSTO!$A:$D, 4, 0)</f>
        <v>7.0000000000000007E-2</v>
      </c>
      <c r="Y883" s="24">
        <f>VLOOKUP(K883, IMPOSTO!$A:$D, 4, 0)</f>
        <v>0.12</v>
      </c>
      <c r="Z883" s="24">
        <f>VLOOKUP(L883, IMPOSTO!$A:$D, 4, 0)</f>
        <v>0.18</v>
      </c>
      <c r="AA883" s="24">
        <f>VLOOKUP(M883, IMPOSTO!$A:$D, 4, 0)</f>
        <v>0.12</v>
      </c>
      <c r="AB883" s="24">
        <f>VLOOKUP(N883, IMPOSTO!$A:$D, 4, 0)</f>
        <v>7.0000000000000007E-2</v>
      </c>
      <c r="AC883" s="25">
        <f t="shared" si="126"/>
        <v>32938.039127619137</v>
      </c>
      <c r="AD883" s="25">
        <f t="shared" si="127"/>
        <v>32938.607309437321</v>
      </c>
      <c r="AE883" s="25">
        <f t="shared" si="128"/>
        <v>31177.069282048218</v>
      </c>
      <c r="AF883" s="25">
        <f t="shared" si="129"/>
        <v>33019.289127619137</v>
      </c>
      <c r="AG883" s="25">
        <f t="shared" si="130"/>
        <v>35295.822478420538</v>
      </c>
      <c r="AH883" s="25">
        <f t="shared" si="131"/>
        <v>32986.107309437321</v>
      </c>
      <c r="AI883" s="25">
        <f t="shared" si="132"/>
        <v>31591.370357317039</v>
      </c>
    </row>
    <row r="884" spans="1:35" ht="15.75" customHeight="1">
      <c r="A884" s="12" t="s">
        <v>281</v>
      </c>
      <c r="B884" s="12" t="s">
        <v>282</v>
      </c>
      <c r="C884" s="12" t="s">
        <v>283</v>
      </c>
      <c r="D884" s="12" t="s">
        <v>33</v>
      </c>
      <c r="E884" s="12" t="s">
        <v>27</v>
      </c>
      <c r="F884" s="13">
        <v>24.987500000000001</v>
      </c>
      <c r="G884" s="14">
        <v>851.08424500000001</v>
      </c>
      <c r="H884" s="24" t="str">
        <f t="shared" si="125"/>
        <v>RJSP</v>
      </c>
      <c r="I884" s="24" t="str">
        <f t="shared" si="133"/>
        <v>RJMG</v>
      </c>
      <c r="J884" s="24" t="str">
        <f t="shared" si="133"/>
        <v>RJES</v>
      </c>
      <c r="K884" s="24" t="str">
        <f t="shared" si="133"/>
        <v>RJSC</v>
      </c>
      <c r="L884" s="24" t="str">
        <f t="shared" si="133"/>
        <v>RJRJ</v>
      </c>
      <c r="M884" s="24" t="str">
        <f t="shared" si="133"/>
        <v>RJPR</v>
      </c>
      <c r="N884" s="24" t="str">
        <f t="shared" si="133"/>
        <v>RJAM</v>
      </c>
      <c r="O884" s="24">
        <f>VLOOKUP(H884, KM!$A:$E, 5, 0)</f>
        <v>429</v>
      </c>
      <c r="P884" s="24">
        <f>VLOOKUP(I884, KM!$A:$E, 5, 0)</f>
        <v>434</v>
      </c>
      <c r="Q884" s="24">
        <f>VLOOKUP(J884, KM!$A:$E, 5, 0)</f>
        <v>521</v>
      </c>
      <c r="R884" s="24">
        <f>VLOOKUP(K884, KM!$A:$E, 5, 0)</f>
        <v>1144</v>
      </c>
      <c r="S884" s="24">
        <f>VLOOKUP(L884, KM!$A:$E, 5, 0)</f>
        <v>0</v>
      </c>
      <c r="T884" s="24">
        <f>VLOOKUP(M884, KM!$A:$E, 5, 0)</f>
        <v>852</v>
      </c>
      <c r="U884" s="24">
        <f>VLOOKUP(N884, KM!$A:$E, 5, 0)</f>
        <v>4374</v>
      </c>
      <c r="V884" s="24">
        <f>VLOOKUP(H884, IMPOSTO!$A:$D, 4, 0)</f>
        <v>0.12</v>
      </c>
      <c r="W884" s="24">
        <f>VLOOKUP(I884, IMPOSTO!$A:$D, 4, 0)</f>
        <v>0.12</v>
      </c>
      <c r="X884" s="24">
        <f>VLOOKUP(J884, IMPOSTO!$A:$D, 4, 0)</f>
        <v>7.0000000000000007E-2</v>
      </c>
      <c r="Y884" s="24">
        <f>VLOOKUP(K884, IMPOSTO!$A:$D, 4, 0)</f>
        <v>0.12</v>
      </c>
      <c r="Z884" s="24">
        <f>VLOOKUP(L884, IMPOSTO!$A:$D, 4, 0)</f>
        <v>0.18</v>
      </c>
      <c r="AA884" s="24">
        <f>VLOOKUP(M884, IMPOSTO!$A:$D, 4, 0)</f>
        <v>0.12</v>
      </c>
      <c r="AB884" s="24">
        <f>VLOOKUP(N884, IMPOSTO!$A:$D, 4, 0)</f>
        <v>7.0000000000000007E-2</v>
      </c>
      <c r="AC884" s="25">
        <f t="shared" si="126"/>
        <v>1015.8911875</v>
      </c>
      <c r="AD884" s="25">
        <f t="shared" si="127"/>
        <v>1016.4593693181818</v>
      </c>
      <c r="AE884" s="25">
        <f t="shared" si="128"/>
        <v>971.16585483870983</v>
      </c>
      <c r="AF884" s="25">
        <f t="shared" si="129"/>
        <v>1097.1411874999999</v>
      </c>
      <c r="AG884" s="25">
        <f t="shared" si="130"/>
        <v>1037.9076158536584</v>
      </c>
      <c r="AH884" s="25">
        <f t="shared" si="131"/>
        <v>1063.9593693181819</v>
      </c>
      <c r="AI884" s="25">
        <f t="shared" si="132"/>
        <v>1385.4669301075271</v>
      </c>
    </row>
    <row r="885" spans="1:35" ht="15.75" customHeight="1">
      <c r="A885" s="12" t="s">
        <v>492</v>
      </c>
      <c r="B885" s="12" t="s">
        <v>493</v>
      </c>
      <c r="C885" s="12" t="s">
        <v>283</v>
      </c>
      <c r="D885" s="12" t="s">
        <v>33</v>
      </c>
      <c r="E885" s="12" t="s">
        <v>27</v>
      </c>
      <c r="F885" s="13">
        <v>0.99860000000000004</v>
      </c>
      <c r="G885" s="14">
        <v>19.522629999999999</v>
      </c>
      <c r="H885" s="24" t="str">
        <f t="shared" si="125"/>
        <v>RJSP</v>
      </c>
      <c r="I885" s="24" t="str">
        <f t="shared" si="133"/>
        <v>RJMG</v>
      </c>
      <c r="J885" s="24" t="str">
        <f t="shared" si="133"/>
        <v>RJES</v>
      </c>
      <c r="K885" s="24" t="str">
        <f t="shared" si="133"/>
        <v>RJSC</v>
      </c>
      <c r="L885" s="24" t="str">
        <f t="shared" si="133"/>
        <v>RJRJ</v>
      </c>
      <c r="M885" s="24" t="str">
        <f t="shared" si="133"/>
        <v>RJPR</v>
      </c>
      <c r="N885" s="24" t="str">
        <f t="shared" si="133"/>
        <v>RJAM</v>
      </c>
      <c r="O885" s="24">
        <f>VLOOKUP(H885, KM!$A:$E, 5, 0)</f>
        <v>429</v>
      </c>
      <c r="P885" s="24">
        <f>VLOOKUP(I885, KM!$A:$E, 5, 0)</f>
        <v>434</v>
      </c>
      <c r="Q885" s="24">
        <f>VLOOKUP(J885, KM!$A:$E, 5, 0)</f>
        <v>521</v>
      </c>
      <c r="R885" s="24">
        <f>VLOOKUP(K885, KM!$A:$E, 5, 0)</f>
        <v>1144</v>
      </c>
      <c r="S885" s="24">
        <f>VLOOKUP(L885, KM!$A:$E, 5, 0)</f>
        <v>0</v>
      </c>
      <c r="T885" s="24">
        <f>VLOOKUP(M885, KM!$A:$E, 5, 0)</f>
        <v>852</v>
      </c>
      <c r="U885" s="24">
        <f>VLOOKUP(N885, KM!$A:$E, 5, 0)</f>
        <v>4374</v>
      </c>
      <c r="V885" s="24">
        <f>VLOOKUP(H885, IMPOSTO!$A:$D, 4, 0)</f>
        <v>0.12</v>
      </c>
      <c r="W885" s="24">
        <f>VLOOKUP(I885, IMPOSTO!$A:$D, 4, 0)</f>
        <v>0.12</v>
      </c>
      <c r="X885" s="24">
        <f>VLOOKUP(J885, IMPOSTO!$A:$D, 4, 0)</f>
        <v>7.0000000000000007E-2</v>
      </c>
      <c r="Y885" s="24">
        <f>VLOOKUP(K885, IMPOSTO!$A:$D, 4, 0)</f>
        <v>0.12</v>
      </c>
      <c r="Z885" s="24">
        <f>VLOOKUP(L885, IMPOSTO!$A:$D, 4, 0)</f>
        <v>0.18</v>
      </c>
      <c r="AA885" s="24">
        <f>VLOOKUP(M885, IMPOSTO!$A:$D, 4, 0)</f>
        <v>0.12</v>
      </c>
      <c r="AB885" s="24">
        <f>VLOOKUP(N885, IMPOSTO!$A:$D, 4, 0)</f>
        <v>7.0000000000000007E-2</v>
      </c>
      <c r="AC885" s="25">
        <f t="shared" si="126"/>
        <v>70.934806818181826</v>
      </c>
      <c r="AD885" s="25">
        <f t="shared" si="127"/>
        <v>71.502988636363639</v>
      </c>
      <c r="AE885" s="25">
        <f t="shared" si="128"/>
        <v>77.013580645161298</v>
      </c>
      <c r="AF885" s="25">
        <f t="shared" si="129"/>
        <v>152.18480681818181</v>
      </c>
      <c r="AG885" s="25">
        <f t="shared" si="130"/>
        <v>23.808085365853657</v>
      </c>
      <c r="AH885" s="25">
        <f t="shared" si="131"/>
        <v>119.00298863636365</v>
      </c>
      <c r="AI885" s="25">
        <f t="shared" si="132"/>
        <v>491.31465591397858</v>
      </c>
    </row>
    <row r="886" spans="1:35" ht="15.75" customHeight="1">
      <c r="A886" s="12" t="s">
        <v>58</v>
      </c>
      <c r="B886" s="12" t="s">
        <v>59</v>
      </c>
      <c r="C886" s="12" t="s">
        <v>60</v>
      </c>
      <c r="D886" s="12" t="s">
        <v>50</v>
      </c>
      <c r="E886" s="12" t="s">
        <v>27</v>
      </c>
      <c r="F886" s="13">
        <v>0.99909999999999999</v>
      </c>
      <c r="G886" s="14">
        <v>38.335466999999994</v>
      </c>
      <c r="H886" s="24" t="str">
        <f t="shared" si="125"/>
        <v>RJSP</v>
      </c>
      <c r="I886" s="24" t="str">
        <f t="shared" si="133"/>
        <v>RJMG</v>
      </c>
      <c r="J886" s="24" t="str">
        <f t="shared" si="133"/>
        <v>RJES</v>
      </c>
      <c r="K886" s="24" t="str">
        <f t="shared" si="133"/>
        <v>RJSC</v>
      </c>
      <c r="L886" s="24" t="str">
        <f t="shared" si="133"/>
        <v>RJRJ</v>
      </c>
      <c r="M886" s="24" t="str">
        <f t="shared" si="133"/>
        <v>RJPR</v>
      </c>
      <c r="N886" s="24" t="str">
        <f t="shared" si="133"/>
        <v>RJAM</v>
      </c>
      <c r="O886" s="24">
        <f>VLOOKUP(H886, KM!$A:$E, 5, 0)</f>
        <v>429</v>
      </c>
      <c r="P886" s="24">
        <f>VLOOKUP(I886, KM!$A:$E, 5, 0)</f>
        <v>434</v>
      </c>
      <c r="Q886" s="24">
        <f>VLOOKUP(J886, KM!$A:$E, 5, 0)</f>
        <v>521</v>
      </c>
      <c r="R886" s="24">
        <f>VLOOKUP(K886, KM!$A:$E, 5, 0)</f>
        <v>1144</v>
      </c>
      <c r="S886" s="24">
        <f>VLOOKUP(L886, KM!$A:$E, 5, 0)</f>
        <v>0</v>
      </c>
      <c r="T886" s="24">
        <f>VLOOKUP(M886, KM!$A:$E, 5, 0)</f>
        <v>852</v>
      </c>
      <c r="U886" s="24">
        <f>VLOOKUP(N886, KM!$A:$E, 5, 0)</f>
        <v>4374</v>
      </c>
      <c r="V886" s="24">
        <f>VLOOKUP(H886, IMPOSTO!$A:$D, 4, 0)</f>
        <v>0.12</v>
      </c>
      <c r="W886" s="24">
        <f>VLOOKUP(I886, IMPOSTO!$A:$D, 4, 0)</f>
        <v>0.12</v>
      </c>
      <c r="X886" s="24">
        <f>VLOOKUP(J886, IMPOSTO!$A:$D, 4, 0)</f>
        <v>7.0000000000000007E-2</v>
      </c>
      <c r="Y886" s="24">
        <f>VLOOKUP(K886, IMPOSTO!$A:$D, 4, 0)</f>
        <v>0.12</v>
      </c>
      <c r="Z886" s="24">
        <f>VLOOKUP(L886, IMPOSTO!$A:$D, 4, 0)</f>
        <v>0.18</v>
      </c>
      <c r="AA886" s="24">
        <f>VLOOKUP(M886, IMPOSTO!$A:$D, 4, 0)</f>
        <v>0.12</v>
      </c>
      <c r="AB886" s="24">
        <f>VLOOKUP(N886, IMPOSTO!$A:$D, 4, 0)</f>
        <v>7.0000000000000007E-2</v>
      </c>
      <c r="AC886" s="25">
        <f t="shared" si="126"/>
        <v>92.313030681818177</v>
      </c>
      <c r="AD886" s="25">
        <f t="shared" si="127"/>
        <v>92.881212500000004</v>
      </c>
      <c r="AE886" s="25">
        <f t="shared" si="128"/>
        <v>97.242437634408603</v>
      </c>
      <c r="AF886" s="25">
        <f t="shared" si="129"/>
        <v>173.56303068181819</v>
      </c>
      <c r="AG886" s="25">
        <f t="shared" si="130"/>
        <v>46.750569512195113</v>
      </c>
      <c r="AH886" s="25">
        <f t="shared" si="131"/>
        <v>140.3812125</v>
      </c>
      <c r="AI886" s="25">
        <f t="shared" si="132"/>
        <v>511.54351290322586</v>
      </c>
    </row>
    <row r="887" spans="1:35" ht="15.75" customHeight="1">
      <c r="A887" s="12" t="s">
        <v>494</v>
      </c>
      <c r="B887" s="12" t="s">
        <v>495</v>
      </c>
      <c r="C887" s="12" t="s">
        <v>192</v>
      </c>
      <c r="D887" s="12" t="s">
        <v>50</v>
      </c>
      <c r="E887" s="12" t="s">
        <v>27</v>
      </c>
      <c r="F887" s="13">
        <v>2.298</v>
      </c>
      <c r="G887" s="14">
        <v>24.841380000000001</v>
      </c>
      <c r="H887" s="24" t="str">
        <f t="shared" si="125"/>
        <v>RJSP</v>
      </c>
      <c r="I887" s="24" t="str">
        <f t="shared" si="133"/>
        <v>RJMG</v>
      </c>
      <c r="J887" s="24" t="str">
        <f t="shared" si="133"/>
        <v>RJES</v>
      </c>
      <c r="K887" s="24" t="str">
        <f t="shared" si="133"/>
        <v>RJSC</v>
      </c>
      <c r="L887" s="24" t="str">
        <f t="shared" si="133"/>
        <v>RJRJ</v>
      </c>
      <c r="M887" s="24" t="str">
        <f t="shared" si="133"/>
        <v>RJPR</v>
      </c>
      <c r="N887" s="24" t="str">
        <f t="shared" si="133"/>
        <v>RJAM</v>
      </c>
      <c r="O887" s="24">
        <f>VLOOKUP(H887, KM!$A:$E, 5, 0)</f>
        <v>429</v>
      </c>
      <c r="P887" s="24">
        <f>VLOOKUP(I887, KM!$A:$E, 5, 0)</f>
        <v>434</v>
      </c>
      <c r="Q887" s="24">
        <f>VLOOKUP(J887, KM!$A:$E, 5, 0)</f>
        <v>521</v>
      </c>
      <c r="R887" s="24">
        <f>VLOOKUP(K887, KM!$A:$E, 5, 0)</f>
        <v>1144</v>
      </c>
      <c r="S887" s="24">
        <f>VLOOKUP(L887, KM!$A:$E, 5, 0)</f>
        <v>0</v>
      </c>
      <c r="T887" s="24">
        <f>VLOOKUP(M887, KM!$A:$E, 5, 0)</f>
        <v>852</v>
      </c>
      <c r="U887" s="24">
        <f>VLOOKUP(N887, KM!$A:$E, 5, 0)</f>
        <v>4374</v>
      </c>
      <c r="V887" s="24">
        <f>VLOOKUP(H887, IMPOSTO!$A:$D, 4, 0)</f>
        <v>0.12</v>
      </c>
      <c r="W887" s="24">
        <f>VLOOKUP(I887, IMPOSTO!$A:$D, 4, 0)</f>
        <v>0.12</v>
      </c>
      <c r="X887" s="24">
        <f>VLOOKUP(J887, IMPOSTO!$A:$D, 4, 0)</f>
        <v>7.0000000000000007E-2</v>
      </c>
      <c r="Y887" s="24">
        <f>VLOOKUP(K887, IMPOSTO!$A:$D, 4, 0)</f>
        <v>0.12</v>
      </c>
      <c r="Z887" s="24">
        <f>VLOOKUP(L887, IMPOSTO!$A:$D, 4, 0)</f>
        <v>0.18</v>
      </c>
      <c r="AA887" s="24">
        <f>VLOOKUP(M887, IMPOSTO!$A:$D, 4, 0)</f>
        <v>0.12</v>
      </c>
      <c r="AB887" s="24">
        <f>VLOOKUP(N887, IMPOSTO!$A:$D, 4, 0)</f>
        <v>7.0000000000000007E-2</v>
      </c>
      <c r="AC887" s="25">
        <f t="shared" si="126"/>
        <v>76.97884090909092</v>
      </c>
      <c r="AD887" s="25">
        <f t="shared" si="127"/>
        <v>77.547022727272733</v>
      </c>
      <c r="AE887" s="25">
        <f t="shared" si="128"/>
        <v>82.732666666666688</v>
      </c>
      <c r="AF887" s="25">
        <f t="shared" si="129"/>
        <v>158.22884090909091</v>
      </c>
      <c r="AG887" s="25">
        <f t="shared" si="130"/>
        <v>30.294365853658537</v>
      </c>
      <c r="AH887" s="25">
        <f t="shared" si="131"/>
        <v>125.04702272727273</v>
      </c>
      <c r="AI887" s="25">
        <f t="shared" si="132"/>
        <v>497.03374193548393</v>
      </c>
    </row>
    <row r="888" spans="1:35" ht="15.75" customHeight="1">
      <c r="A888" s="12" t="s">
        <v>30</v>
      </c>
      <c r="B888" s="12" t="s">
        <v>31</v>
      </c>
      <c r="C888" s="12" t="s">
        <v>32</v>
      </c>
      <c r="D888" s="12" t="s">
        <v>33</v>
      </c>
      <c r="E888" s="12" t="s">
        <v>27</v>
      </c>
      <c r="F888" s="13">
        <v>1.2213000000000001</v>
      </c>
      <c r="G888" s="14">
        <v>32.323740000000001</v>
      </c>
      <c r="H888" s="24" t="str">
        <f t="shared" si="125"/>
        <v>RJSP</v>
      </c>
      <c r="I888" s="24" t="str">
        <f t="shared" si="133"/>
        <v>RJMG</v>
      </c>
      <c r="J888" s="24" t="str">
        <f t="shared" si="133"/>
        <v>RJES</v>
      </c>
      <c r="K888" s="24" t="str">
        <f t="shared" si="133"/>
        <v>RJSC</v>
      </c>
      <c r="L888" s="24" t="str">
        <f t="shared" si="133"/>
        <v>RJRJ</v>
      </c>
      <c r="M888" s="24" t="str">
        <f t="shared" si="133"/>
        <v>RJPR</v>
      </c>
      <c r="N888" s="24" t="str">
        <f t="shared" si="133"/>
        <v>RJAM</v>
      </c>
      <c r="O888" s="24">
        <f>VLOOKUP(H888, KM!$A:$E, 5, 0)</f>
        <v>429</v>
      </c>
      <c r="P888" s="24">
        <f>VLOOKUP(I888, KM!$A:$E, 5, 0)</f>
        <v>434</v>
      </c>
      <c r="Q888" s="24">
        <f>VLOOKUP(J888, KM!$A:$E, 5, 0)</f>
        <v>521</v>
      </c>
      <c r="R888" s="24">
        <f>VLOOKUP(K888, KM!$A:$E, 5, 0)</f>
        <v>1144</v>
      </c>
      <c r="S888" s="24">
        <f>VLOOKUP(L888, KM!$A:$E, 5, 0)</f>
        <v>0</v>
      </c>
      <c r="T888" s="24">
        <f>VLOOKUP(M888, KM!$A:$E, 5, 0)</f>
        <v>852</v>
      </c>
      <c r="U888" s="24">
        <f>VLOOKUP(N888, KM!$A:$E, 5, 0)</f>
        <v>4374</v>
      </c>
      <c r="V888" s="24">
        <f>VLOOKUP(H888, IMPOSTO!$A:$D, 4, 0)</f>
        <v>0.12</v>
      </c>
      <c r="W888" s="24">
        <f>VLOOKUP(I888, IMPOSTO!$A:$D, 4, 0)</f>
        <v>0.12</v>
      </c>
      <c r="X888" s="24">
        <f>VLOOKUP(J888, IMPOSTO!$A:$D, 4, 0)</f>
        <v>7.0000000000000007E-2</v>
      </c>
      <c r="Y888" s="24">
        <f>VLOOKUP(K888, IMPOSTO!$A:$D, 4, 0)</f>
        <v>0.12</v>
      </c>
      <c r="Z888" s="24">
        <f>VLOOKUP(L888, IMPOSTO!$A:$D, 4, 0)</f>
        <v>0.18</v>
      </c>
      <c r="AA888" s="24">
        <f>VLOOKUP(M888, IMPOSTO!$A:$D, 4, 0)</f>
        <v>0.12</v>
      </c>
      <c r="AB888" s="24">
        <f>VLOOKUP(N888, IMPOSTO!$A:$D, 4, 0)</f>
        <v>7.0000000000000007E-2</v>
      </c>
      <c r="AC888" s="25">
        <f t="shared" si="126"/>
        <v>85.481522727272733</v>
      </c>
      <c r="AD888" s="25">
        <f t="shared" si="127"/>
        <v>86.049704545454546</v>
      </c>
      <c r="AE888" s="25">
        <f t="shared" si="128"/>
        <v>90.778215053763461</v>
      </c>
      <c r="AF888" s="25">
        <f t="shared" si="129"/>
        <v>166.73152272727276</v>
      </c>
      <c r="AG888" s="25">
        <f t="shared" si="130"/>
        <v>39.419195121951219</v>
      </c>
      <c r="AH888" s="25">
        <f t="shared" si="131"/>
        <v>133.54970454545455</v>
      </c>
      <c r="AI888" s="25">
        <f t="shared" si="132"/>
        <v>505.07929032258068</v>
      </c>
    </row>
    <row r="889" spans="1:35" ht="15.75" customHeight="1">
      <c r="A889" s="12" t="s">
        <v>496</v>
      </c>
      <c r="B889" s="12" t="s">
        <v>497</v>
      </c>
      <c r="C889" s="12" t="s">
        <v>223</v>
      </c>
      <c r="D889" s="12" t="s">
        <v>33</v>
      </c>
      <c r="E889" s="12" t="s">
        <v>27</v>
      </c>
      <c r="F889" s="13">
        <v>51.906399999999998</v>
      </c>
      <c r="G889" s="14">
        <v>1901.1717199999998</v>
      </c>
      <c r="H889" s="24" t="str">
        <f t="shared" si="125"/>
        <v>RJSP</v>
      </c>
      <c r="I889" s="24" t="str">
        <f t="shared" si="133"/>
        <v>RJMG</v>
      </c>
      <c r="J889" s="24" t="str">
        <f t="shared" si="133"/>
        <v>RJES</v>
      </c>
      <c r="K889" s="24" t="str">
        <f t="shared" si="133"/>
        <v>RJSC</v>
      </c>
      <c r="L889" s="24" t="str">
        <f t="shared" si="133"/>
        <v>RJRJ</v>
      </c>
      <c r="M889" s="24" t="str">
        <f t="shared" si="133"/>
        <v>RJPR</v>
      </c>
      <c r="N889" s="24" t="str">
        <f t="shared" si="133"/>
        <v>RJAM</v>
      </c>
      <c r="O889" s="24">
        <f>VLOOKUP(H889, KM!$A:$E, 5, 0)</f>
        <v>429</v>
      </c>
      <c r="P889" s="24">
        <f>VLOOKUP(I889, KM!$A:$E, 5, 0)</f>
        <v>434</v>
      </c>
      <c r="Q889" s="24">
        <f>VLOOKUP(J889, KM!$A:$E, 5, 0)</f>
        <v>521</v>
      </c>
      <c r="R889" s="24">
        <f>VLOOKUP(K889, KM!$A:$E, 5, 0)</f>
        <v>1144</v>
      </c>
      <c r="S889" s="24">
        <f>VLOOKUP(L889, KM!$A:$E, 5, 0)</f>
        <v>0</v>
      </c>
      <c r="T889" s="24">
        <f>VLOOKUP(M889, KM!$A:$E, 5, 0)</f>
        <v>852</v>
      </c>
      <c r="U889" s="24">
        <f>VLOOKUP(N889, KM!$A:$E, 5, 0)</f>
        <v>4374</v>
      </c>
      <c r="V889" s="24">
        <f>VLOOKUP(H889, IMPOSTO!$A:$D, 4, 0)</f>
        <v>0.12</v>
      </c>
      <c r="W889" s="24">
        <f>VLOOKUP(I889, IMPOSTO!$A:$D, 4, 0)</f>
        <v>0.12</v>
      </c>
      <c r="X889" s="24">
        <f>VLOOKUP(J889, IMPOSTO!$A:$D, 4, 0)</f>
        <v>7.0000000000000007E-2</v>
      </c>
      <c r="Y889" s="24">
        <f>VLOOKUP(K889, IMPOSTO!$A:$D, 4, 0)</f>
        <v>0.12</v>
      </c>
      <c r="Z889" s="24">
        <f>VLOOKUP(L889, IMPOSTO!$A:$D, 4, 0)</f>
        <v>0.18</v>
      </c>
      <c r="AA889" s="24">
        <f>VLOOKUP(M889, IMPOSTO!$A:$D, 4, 0)</f>
        <v>0.12</v>
      </c>
      <c r="AB889" s="24">
        <f>VLOOKUP(N889, IMPOSTO!$A:$D, 4, 0)</f>
        <v>7.0000000000000007E-2</v>
      </c>
      <c r="AC889" s="25">
        <f t="shared" si="126"/>
        <v>2209.1724090909088</v>
      </c>
      <c r="AD889" s="25">
        <f t="shared" si="127"/>
        <v>2209.7405909090908</v>
      </c>
      <c r="AE889" s="25">
        <f t="shared" si="128"/>
        <v>2100.2921720430104</v>
      </c>
      <c r="AF889" s="25">
        <f t="shared" si="129"/>
        <v>2290.4224090909088</v>
      </c>
      <c r="AG889" s="25">
        <f t="shared" si="130"/>
        <v>2318.502097560975</v>
      </c>
      <c r="AH889" s="25">
        <f t="shared" si="131"/>
        <v>2257.2405909090908</v>
      </c>
      <c r="AI889" s="25">
        <f t="shared" si="132"/>
        <v>2514.5932473118282</v>
      </c>
    </row>
    <row r="890" spans="1:35" ht="15.75" customHeight="1">
      <c r="A890" s="12" t="s">
        <v>498</v>
      </c>
      <c r="B890" s="12" t="s">
        <v>499</v>
      </c>
      <c r="C890" s="12" t="s">
        <v>232</v>
      </c>
      <c r="D890" s="12" t="s">
        <v>33</v>
      </c>
      <c r="E890" s="12" t="s">
        <v>27</v>
      </c>
      <c r="F890" s="13">
        <v>335.93280000000004</v>
      </c>
      <c r="G890" s="14">
        <v>7721.9253060000001</v>
      </c>
      <c r="H890" s="24" t="str">
        <f t="shared" si="125"/>
        <v>RJSP</v>
      </c>
      <c r="I890" s="24" t="str">
        <f t="shared" si="133"/>
        <v>RJMG</v>
      </c>
      <c r="J890" s="24" t="str">
        <f t="shared" si="133"/>
        <v>RJES</v>
      </c>
      <c r="K890" s="24" t="str">
        <f t="shared" si="133"/>
        <v>RJSC</v>
      </c>
      <c r="L890" s="24" t="str">
        <f t="shared" si="133"/>
        <v>RJRJ</v>
      </c>
      <c r="M890" s="24" t="str">
        <f t="shared" si="133"/>
        <v>RJPR</v>
      </c>
      <c r="N890" s="24" t="str">
        <f t="shared" si="133"/>
        <v>RJAM</v>
      </c>
      <c r="O890" s="24">
        <f>VLOOKUP(H890, KM!$A:$E, 5, 0)</f>
        <v>429</v>
      </c>
      <c r="P890" s="24">
        <f>VLOOKUP(I890, KM!$A:$E, 5, 0)</f>
        <v>434</v>
      </c>
      <c r="Q890" s="24">
        <f>VLOOKUP(J890, KM!$A:$E, 5, 0)</f>
        <v>521</v>
      </c>
      <c r="R890" s="24">
        <f>VLOOKUP(K890, KM!$A:$E, 5, 0)</f>
        <v>1144</v>
      </c>
      <c r="S890" s="24">
        <f>VLOOKUP(L890, KM!$A:$E, 5, 0)</f>
        <v>0</v>
      </c>
      <c r="T890" s="24">
        <f>VLOOKUP(M890, KM!$A:$E, 5, 0)</f>
        <v>852</v>
      </c>
      <c r="U890" s="24">
        <f>VLOOKUP(N890, KM!$A:$E, 5, 0)</f>
        <v>4374</v>
      </c>
      <c r="V890" s="24">
        <f>VLOOKUP(H890, IMPOSTO!$A:$D, 4, 0)</f>
        <v>0.12</v>
      </c>
      <c r="W890" s="24">
        <f>VLOOKUP(I890, IMPOSTO!$A:$D, 4, 0)</f>
        <v>0.12</v>
      </c>
      <c r="X890" s="24">
        <f>VLOOKUP(J890, IMPOSTO!$A:$D, 4, 0)</f>
        <v>7.0000000000000007E-2</v>
      </c>
      <c r="Y890" s="24">
        <f>VLOOKUP(K890, IMPOSTO!$A:$D, 4, 0)</f>
        <v>0.12</v>
      </c>
      <c r="Z890" s="24">
        <f>VLOOKUP(L890, IMPOSTO!$A:$D, 4, 0)</f>
        <v>0.18</v>
      </c>
      <c r="AA890" s="24">
        <f>VLOOKUP(M890, IMPOSTO!$A:$D, 4, 0)</f>
        <v>0.12</v>
      </c>
      <c r="AB890" s="24">
        <f>VLOOKUP(N890, IMPOSTO!$A:$D, 4, 0)</f>
        <v>7.0000000000000007E-2</v>
      </c>
      <c r="AC890" s="25">
        <f t="shared" si="126"/>
        <v>8823.6651204545451</v>
      </c>
      <c r="AD890" s="25">
        <f t="shared" si="127"/>
        <v>8824.2333022727271</v>
      </c>
      <c r="AE890" s="25">
        <f t="shared" si="128"/>
        <v>8359.1669956989263</v>
      </c>
      <c r="AF890" s="25">
        <f t="shared" si="129"/>
        <v>8904.9151204545451</v>
      </c>
      <c r="AG890" s="25">
        <f t="shared" si="130"/>
        <v>9416.9820804878036</v>
      </c>
      <c r="AH890" s="25">
        <f t="shared" si="131"/>
        <v>8871.7333022727271</v>
      </c>
      <c r="AI890" s="25">
        <f t="shared" si="132"/>
        <v>8773.4680709677414</v>
      </c>
    </row>
    <row r="891" spans="1:35" ht="15.75" customHeight="1">
      <c r="A891" s="12" t="s">
        <v>614</v>
      </c>
      <c r="B891" s="12" t="s">
        <v>615</v>
      </c>
      <c r="C891" s="12" t="s">
        <v>333</v>
      </c>
      <c r="D891" s="12" t="s">
        <v>33</v>
      </c>
      <c r="E891" s="12" t="s">
        <v>27</v>
      </c>
      <c r="F891" s="13">
        <v>42.948399999999999</v>
      </c>
      <c r="G891" s="14">
        <v>916.93835200000001</v>
      </c>
      <c r="H891" s="24" t="str">
        <f t="shared" si="125"/>
        <v>RJSP</v>
      </c>
      <c r="I891" s="24" t="str">
        <f t="shared" si="133"/>
        <v>RJMG</v>
      </c>
      <c r="J891" s="24" t="str">
        <f t="shared" si="133"/>
        <v>RJES</v>
      </c>
      <c r="K891" s="24" t="str">
        <f t="shared" si="133"/>
        <v>RJSC</v>
      </c>
      <c r="L891" s="24" t="str">
        <f t="shared" si="133"/>
        <v>RJRJ</v>
      </c>
      <c r="M891" s="24" t="str">
        <f t="shared" si="133"/>
        <v>RJPR</v>
      </c>
      <c r="N891" s="24" t="str">
        <f t="shared" si="133"/>
        <v>RJAM</v>
      </c>
      <c r="O891" s="24">
        <f>VLOOKUP(H891, KM!$A:$E, 5, 0)</f>
        <v>429</v>
      </c>
      <c r="P891" s="24">
        <f>VLOOKUP(I891, KM!$A:$E, 5, 0)</f>
        <v>434</v>
      </c>
      <c r="Q891" s="24">
        <f>VLOOKUP(J891, KM!$A:$E, 5, 0)</f>
        <v>521</v>
      </c>
      <c r="R891" s="24">
        <f>VLOOKUP(K891, KM!$A:$E, 5, 0)</f>
        <v>1144</v>
      </c>
      <c r="S891" s="24">
        <f>VLOOKUP(L891, KM!$A:$E, 5, 0)</f>
        <v>0</v>
      </c>
      <c r="T891" s="24">
        <f>VLOOKUP(M891, KM!$A:$E, 5, 0)</f>
        <v>852</v>
      </c>
      <c r="U891" s="24">
        <f>VLOOKUP(N891, KM!$A:$E, 5, 0)</f>
        <v>4374</v>
      </c>
      <c r="V891" s="24">
        <f>VLOOKUP(H891, IMPOSTO!$A:$D, 4, 0)</f>
        <v>0.12</v>
      </c>
      <c r="W891" s="24">
        <f>VLOOKUP(I891, IMPOSTO!$A:$D, 4, 0)</f>
        <v>0.12</v>
      </c>
      <c r="X891" s="24">
        <f>VLOOKUP(J891, IMPOSTO!$A:$D, 4, 0)</f>
        <v>7.0000000000000007E-2</v>
      </c>
      <c r="Y891" s="24">
        <f>VLOOKUP(K891, IMPOSTO!$A:$D, 4, 0)</f>
        <v>0.12</v>
      </c>
      <c r="Z891" s="24">
        <f>VLOOKUP(L891, IMPOSTO!$A:$D, 4, 0)</f>
        <v>0.18</v>
      </c>
      <c r="AA891" s="24">
        <f>VLOOKUP(M891, IMPOSTO!$A:$D, 4, 0)</f>
        <v>0.12</v>
      </c>
      <c r="AB891" s="24">
        <f>VLOOKUP(N891, IMPOSTO!$A:$D, 4, 0)</f>
        <v>7.0000000000000007E-2</v>
      </c>
      <c r="AC891" s="25">
        <f t="shared" si="126"/>
        <v>1090.7254</v>
      </c>
      <c r="AD891" s="25">
        <f t="shared" si="127"/>
        <v>1091.2935818181818</v>
      </c>
      <c r="AE891" s="25">
        <f t="shared" si="128"/>
        <v>1041.9767225806452</v>
      </c>
      <c r="AF891" s="25">
        <f t="shared" si="129"/>
        <v>1171.9754</v>
      </c>
      <c r="AG891" s="25">
        <f t="shared" si="130"/>
        <v>1118.2175024390244</v>
      </c>
      <c r="AH891" s="25">
        <f t="shared" si="131"/>
        <v>1138.7935818181818</v>
      </c>
      <c r="AI891" s="25">
        <f t="shared" si="132"/>
        <v>1456.2777978494626</v>
      </c>
    </row>
    <row r="892" spans="1:35" ht="15.75" customHeight="1">
      <c r="A892" s="12" t="s">
        <v>634</v>
      </c>
      <c r="B892" s="12" t="s">
        <v>635</v>
      </c>
      <c r="C892" s="12" t="s">
        <v>278</v>
      </c>
      <c r="D892" s="12" t="s">
        <v>33</v>
      </c>
      <c r="E892" s="12" t="s">
        <v>27</v>
      </c>
      <c r="F892" s="13">
        <v>32</v>
      </c>
      <c r="G892" s="14">
        <v>2616.31</v>
      </c>
      <c r="H892" s="24" t="str">
        <f t="shared" si="125"/>
        <v>RJSP</v>
      </c>
      <c r="I892" s="24" t="str">
        <f t="shared" si="133"/>
        <v>RJMG</v>
      </c>
      <c r="J892" s="24" t="str">
        <f t="shared" si="133"/>
        <v>RJES</v>
      </c>
      <c r="K892" s="24" t="str">
        <f t="shared" si="133"/>
        <v>RJSC</v>
      </c>
      <c r="L892" s="24" t="str">
        <f t="shared" si="133"/>
        <v>RJRJ</v>
      </c>
      <c r="M892" s="24" t="str">
        <f t="shared" si="133"/>
        <v>RJPR</v>
      </c>
      <c r="N892" s="24" t="str">
        <f t="shared" si="133"/>
        <v>RJAM</v>
      </c>
      <c r="O892" s="24">
        <f>VLOOKUP(H892, KM!$A:$E, 5, 0)</f>
        <v>429</v>
      </c>
      <c r="P892" s="24">
        <f>VLOOKUP(I892, KM!$A:$E, 5, 0)</f>
        <v>434</v>
      </c>
      <c r="Q892" s="24">
        <f>VLOOKUP(J892, KM!$A:$E, 5, 0)</f>
        <v>521</v>
      </c>
      <c r="R892" s="24">
        <f>VLOOKUP(K892, KM!$A:$E, 5, 0)</f>
        <v>1144</v>
      </c>
      <c r="S892" s="24">
        <f>VLOOKUP(L892, KM!$A:$E, 5, 0)</f>
        <v>0</v>
      </c>
      <c r="T892" s="24">
        <f>VLOOKUP(M892, KM!$A:$E, 5, 0)</f>
        <v>852</v>
      </c>
      <c r="U892" s="24">
        <f>VLOOKUP(N892, KM!$A:$E, 5, 0)</f>
        <v>4374</v>
      </c>
      <c r="V892" s="24">
        <f>VLOOKUP(H892, IMPOSTO!$A:$D, 4, 0)</f>
        <v>0.12</v>
      </c>
      <c r="W892" s="24">
        <f>VLOOKUP(I892, IMPOSTO!$A:$D, 4, 0)</f>
        <v>0.12</v>
      </c>
      <c r="X892" s="24">
        <f>VLOOKUP(J892, IMPOSTO!$A:$D, 4, 0)</f>
        <v>7.0000000000000007E-2</v>
      </c>
      <c r="Y892" s="24">
        <f>VLOOKUP(K892, IMPOSTO!$A:$D, 4, 0)</f>
        <v>0.12</v>
      </c>
      <c r="Z892" s="24">
        <f>VLOOKUP(L892, IMPOSTO!$A:$D, 4, 0)</f>
        <v>0.18</v>
      </c>
      <c r="AA892" s="24">
        <f>VLOOKUP(M892, IMPOSTO!$A:$D, 4, 0)</f>
        <v>0.12</v>
      </c>
      <c r="AB892" s="24">
        <f>VLOOKUP(N892, IMPOSTO!$A:$D, 4, 0)</f>
        <v>7.0000000000000007E-2</v>
      </c>
      <c r="AC892" s="25">
        <f t="shared" si="126"/>
        <v>3021.8295454545455</v>
      </c>
      <c r="AD892" s="25">
        <f t="shared" si="127"/>
        <v>3022.3977272727275</v>
      </c>
      <c r="AE892" s="25">
        <f t="shared" si="128"/>
        <v>2869.2580645161293</v>
      </c>
      <c r="AF892" s="25">
        <f t="shared" si="129"/>
        <v>3103.0795454545455</v>
      </c>
      <c r="AG892" s="25">
        <f t="shared" si="130"/>
        <v>3190.6219512195121</v>
      </c>
      <c r="AH892" s="25">
        <f t="shared" si="131"/>
        <v>3069.897727272727</v>
      </c>
      <c r="AI892" s="25">
        <f t="shared" si="132"/>
        <v>3283.5591397849466</v>
      </c>
    </row>
    <row r="893" spans="1:35" ht="15.75" customHeight="1">
      <c r="A893" s="12" t="s">
        <v>636</v>
      </c>
      <c r="B893" s="12" t="s">
        <v>637</v>
      </c>
      <c r="C893" s="12" t="s">
        <v>333</v>
      </c>
      <c r="D893" s="12" t="s">
        <v>33</v>
      </c>
      <c r="E893" s="12" t="s">
        <v>27</v>
      </c>
      <c r="F893" s="13">
        <v>16</v>
      </c>
      <c r="G893" s="14">
        <v>53.449999999999996</v>
      </c>
      <c r="H893" s="24" t="str">
        <f t="shared" si="125"/>
        <v>RJSP</v>
      </c>
      <c r="I893" s="24" t="str">
        <f t="shared" si="133"/>
        <v>RJMG</v>
      </c>
      <c r="J893" s="24" t="str">
        <f t="shared" si="133"/>
        <v>RJES</v>
      </c>
      <c r="K893" s="24" t="str">
        <f t="shared" si="133"/>
        <v>RJSC</v>
      </c>
      <c r="L893" s="24" t="str">
        <f t="shared" si="133"/>
        <v>RJRJ</v>
      </c>
      <c r="M893" s="24" t="str">
        <f t="shared" si="133"/>
        <v>RJPR</v>
      </c>
      <c r="N893" s="24" t="str">
        <f t="shared" si="133"/>
        <v>RJAM</v>
      </c>
      <c r="O893" s="24">
        <f>VLOOKUP(H893, KM!$A:$E, 5, 0)</f>
        <v>429</v>
      </c>
      <c r="P893" s="24">
        <f>VLOOKUP(I893, KM!$A:$E, 5, 0)</f>
        <v>434</v>
      </c>
      <c r="Q893" s="24">
        <f>VLOOKUP(J893, KM!$A:$E, 5, 0)</f>
        <v>521</v>
      </c>
      <c r="R893" s="24">
        <f>VLOOKUP(K893, KM!$A:$E, 5, 0)</f>
        <v>1144</v>
      </c>
      <c r="S893" s="24">
        <f>VLOOKUP(L893, KM!$A:$E, 5, 0)</f>
        <v>0</v>
      </c>
      <c r="T893" s="24">
        <f>VLOOKUP(M893, KM!$A:$E, 5, 0)</f>
        <v>852</v>
      </c>
      <c r="U893" s="24">
        <f>VLOOKUP(N893, KM!$A:$E, 5, 0)</f>
        <v>4374</v>
      </c>
      <c r="V893" s="24">
        <f>VLOOKUP(H893, IMPOSTO!$A:$D, 4, 0)</f>
        <v>0.12</v>
      </c>
      <c r="W893" s="24">
        <f>VLOOKUP(I893, IMPOSTO!$A:$D, 4, 0)</f>
        <v>0.12</v>
      </c>
      <c r="X893" s="24">
        <f>VLOOKUP(J893, IMPOSTO!$A:$D, 4, 0)</f>
        <v>7.0000000000000007E-2</v>
      </c>
      <c r="Y893" s="24">
        <f>VLOOKUP(K893, IMPOSTO!$A:$D, 4, 0)</f>
        <v>0.12</v>
      </c>
      <c r="Z893" s="24">
        <f>VLOOKUP(L893, IMPOSTO!$A:$D, 4, 0)</f>
        <v>0.18</v>
      </c>
      <c r="AA893" s="24">
        <f>VLOOKUP(M893, IMPOSTO!$A:$D, 4, 0)</f>
        <v>0.12</v>
      </c>
      <c r="AB893" s="24">
        <f>VLOOKUP(N893, IMPOSTO!$A:$D, 4, 0)</f>
        <v>7.0000000000000007E-2</v>
      </c>
      <c r="AC893" s="25">
        <f t="shared" si="126"/>
        <v>109.48863636363636</v>
      </c>
      <c r="AD893" s="25">
        <f t="shared" si="127"/>
        <v>110.05681818181817</v>
      </c>
      <c r="AE893" s="25">
        <f t="shared" si="128"/>
        <v>113.49462365591398</v>
      </c>
      <c r="AF893" s="25">
        <f t="shared" si="129"/>
        <v>190.73863636363635</v>
      </c>
      <c r="AG893" s="25">
        <f t="shared" si="130"/>
        <v>65.182926829268283</v>
      </c>
      <c r="AH893" s="25">
        <f t="shared" si="131"/>
        <v>157.55681818181819</v>
      </c>
      <c r="AI893" s="25">
        <f t="shared" si="132"/>
        <v>527.79569892473125</v>
      </c>
    </row>
    <row r="894" spans="1:35" ht="15.75" customHeight="1">
      <c r="A894" s="12" t="s">
        <v>346</v>
      </c>
      <c r="B894" s="12" t="s">
        <v>347</v>
      </c>
      <c r="C894" s="12" t="s">
        <v>259</v>
      </c>
      <c r="D894" s="12" t="s">
        <v>50</v>
      </c>
      <c r="E894" s="12" t="s">
        <v>27</v>
      </c>
      <c r="F894" s="13">
        <v>2.9999999999999997E-4</v>
      </c>
      <c r="G894" s="14">
        <v>9.4799999999999988E-3</v>
      </c>
      <c r="H894" s="24" t="str">
        <f t="shared" si="125"/>
        <v>RJSP</v>
      </c>
      <c r="I894" s="24" t="str">
        <f t="shared" si="133"/>
        <v>RJMG</v>
      </c>
      <c r="J894" s="24" t="str">
        <f t="shared" si="133"/>
        <v>RJES</v>
      </c>
      <c r="K894" s="24" t="str">
        <f t="shared" si="133"/>
        <v>RJSC</v>
      </c>
      <c r="L894" s="24" t="str">
        <f t="shared" si="133"/>
        <v>RJRJ</v>
      </c>
      <c r="M894" s="24" t="str">
        <f t="shared" si="133"/>
        <v>RJPR</v>
      </c>
      <c r="N894" s="24" t="str">
        <f t="shared" si="133"/>
        <v>RJAM</v>
      </c>
      <c r="O894" s="24">
        <f>VLOOKUP(H894, KM!$A:$E, 5, 0)</f>
        <v>429</v>
      </c>
      <c r="P894" s="24">
        <f>VLOOKUP(I894, KM!$A:$E, 5, 0)</f>
        <v>434</v>
      </c>
      <c r="Q894" s="24">
        <f>VLOOKUP(J894, KM!$A:$E, 5, 0)</f>
        <v>521</v>
      </c>
      <c r="R894" s="24">
        <f>VLOOKUP(K894, KM!$A:$E, 5, 0)</f>
        <v>1144</v>
      </c>
      <c r="S894" s="24">
        <f>VLOOKUP(L894, KM!$A:$E, 5, 0)</f>
        <v>0</v>
      </c>
      <c r="T894" s="24">
        <f>VLOOKUP(M894, KM!$A:$E, 5, 0)</f>
        <v>852</v>
      </c>
      <c r="U894" s="24">
        <f>VLOOKUP(N894, KM!$A:$E, 5, 0)</f>
        <v>4374</v>
      </c>
      <c r="V894" s="24">
        <f>VLOOKUP(H894, IMPOSTO!$A:$D, 4, 0)</f>
        <v>0.12</v>
      </c>
      <c r="W894" s="24">
        <f>VLOOKUP(I894, IMPOSTO!$A:$D, 4, 0)</f>
        <v>0.12</v>
      </c>
      <c r="X894" s="24">
        <f>VLOOKUP(J894, IMPOSTO!$A:$D, 4, 0)</f>
        <v>7.0000000000000007E-2</v>
      </c>
      <c r="Y894" s="24">
        <f>VLOOKUP(K894, IMPOSTO!$A:$D, 4, 0)</f>
        <v>0.12</v>
      </c>
      <c r="Z894" s="24">
        <f>VLOOKUP(L894, IMPOSTO!$A:$D, 4, 0)</f>
        <v>0.18</v>
      </c>
      <c r="AA894" s="24">
        <f>VLOOKUP(M894, IMPOSTO!$A:$D, 4, 0)</f>
        <v>0.12</v>
      </c>
      <c r="AB894" s="24">
        <f>VLOOKUP(N894, IMPOSTO!$A:$D, 4, 0)</f>
        <v>7.0000000000000007E-2</v>
      </c>
      <c r="AC894" s="25">
        <f t="shared" si="126"/>
        <v>48.760772727272737</v>
      </c>
      <c r="AD894" s="25">
        <f t="shared" si="127"/>
        <v>49.328954545454557</v>
      </c>
      <c r="AE894" s="25">
        <f t="shared" si="128"/>
        <v>56.031698924731195</v>
      </c>
      <c r="AF894" s="25">
        <f t="shared" si="129"/>
        <v>130.01077272727272</v>
      </c>
      <c r="AG894" s="25">
        <f t="shared" si="130"/>
        <v>1.1560975609756096E-2</v>
      </c>
      <c r="AH894" s="25">
        <f t="shared" si="131"/>
        <v>96.82895454545455</v>
      </c>
      <c r="AI894" s="25">
        <f t="shared" si="132"/>
        <v>470.33277419354846</v>
      </c>
    </row>
    <row r="895" spans="1:35" ht="15.75" customHeight="1">
      <c r="A895" s="12" t="s">
        <v>64</v>
      </c>
      <c r="B895" s="12" t="s">
        <v>65</v>
      </c>
      <c r="C895" s="12" t="s">
        <v>66</v>
      </c>
      <c r="D895" s="12" t="s">
        <v>50</v>
      </c>
      <c r="E895" s="12" t="s">
        <v>27</v>
      </c>
      <c r="F895" s="13">
        <v>0.42299999999999999</v>
      </c>
      <c r="G895" s="14">
        <v>6.1842600000000001</v>
      </c>
      <c r="H895" s="24" t="str">
        <f t="shared" si="125"/>
        <v>RJSP</v>
      </c>
      <c r="I895" s="24" t="str">
        <f t="shared" si="133"/>
        <v>RJMG</v>
      </c>
      <c r="J895" s="24" t="str">
        <f t="shared" si="133"/>
        <v>RJES</v>
      </c>
      <c r="K895" s="24" t="str">
        <f t="shared" si="133"/>
        <v>RJSC</v>
      </c>
      <c r="L895" s="24" t="str">
        <f t="shared" si="133"/>
        <v>RJRJ</v>
      </c>
      <c r="M895" s="24" t="str">
        <f t="shared" si="133"/>
        <v>RJPR</v>
      </c>
      <c r="N895" s="24" t="str">
        <f t="shared" si="133"/>
        <v>RJAM</v>
      </c>
      <c r="O895" s="24">
        <f>VLOOKUP(H895, KM!$A:$E, 5, 0)</f>
        <v>429</v>
      </c>
      <c r="P895" s="24">
        <f>VLOOKUP(I895, KM!$A:$E, 5, 0)</f>
        <v>434</v>
      </c>
      <c r="Q895" s="24">
        <f>VLOOKUP(J895, KM!$A:$E, 5, 0)</f>
        <v>521</v>
      </c>
      <c r="R895" s="24">
        <f>VLOOKUP(K895, KM!$A:$E, 5, 0)</f>
        <v>1144</v>
      </c>
      <c r="S895" s="24">
        <f>VLOOKUP(L895, KM!$A:$E, 5, 0)</f>
        <v>0</v>
      </c>
      <c r="T895" s="24">
        <f>VLOOKUP(M895, KM!$A:$E, 5, 0)</f>
        <v>852</v>
      </c>
      <c r="U895" s="24">
        <f>VLOOKUP(N895, KM!$A:$E, 5, 0)</f>
        <v>4374</v>
      </c>
      <c r="V895" s="24">
        <f>VLOOKUP(H895, IMPOSTO!$A:$D, 4, 0)</f>
        <v>0.12</v>
      </c>
      <c r="W895" s="24">
        <f>VLOOKUP(I895, IMPOSTO!$A:$D, 4, 0)</f>
        <v>0.12</v>
      </c>
      <c r="X895" s="24">
        <f>VLOOKUP(J895, IMPOSTO!$A:$D, 4, 0)</f>
        <v>7.0000000000000007E-2</v>
      </c>
      <c r="Y895" s="24">
        <f>VLOOKUP(K895, IMPOSTO!$A:$D, 4, 0)</f>
        <v>0.12</v>
      </c>
      <c r="Z895" s="24">
        <f>VLOOKUP(L895, IMPOSTO!$A:$D, 4, 0)</f>
        <v>0.18</v>
      </c>
      <c r="AA895" s="24">
        <f>VLOOKUP(M895, IMPOSTO!$A:$D, 4, 0)</f>
        <v>0.12</v>
      </c>
      <c r="AB895" s="24">
        <f>VLOOKUP(N895, IMPOSTO!$A:$D, 4, 0)</f>
        <v>7.0000000000000007E-2</v>
      </c>
      <c r="AC895" s="25">
        <f t="shared" si="126"/>
        <v>55.777568181818189</v>
      </c>
      <c r="AD895" s="25">
        <f t="shared" si="127"/>
        <v>56.34575000000001</v>
      </c>
      <c r="AE895" s="25">
        <f t="shared" si="128"/>
        <v>62.671247311827962</v>
      </c>
      <c r="AF895" s="25">
        <f t="shared" si="129"/>
        <v>137.02756818181817</v>
      </c>
      <c r="AG895" s="25">
        <f t="shared" si="130"/>
        <v>7.5417804878048775</v>
      </c>
      <c r="AH895" s="25">
        <f t="shared" si="131"/>
        <v>103.84575</v>
      </c>
      <c r="AI895" s="25">
        <f t="shared" si="132"/>
        <v>476.9723225806452</v>
      </c>
    </row>
    <row r="896" spans="1:35" ht="15.75" customHeight="1">
      <c r="A896" s="12" t="s">
        <v>342</v>
      </c>
      <c r="B896" s="12" t="s">
        <v>343</v>
      </c>
      <c r="C896" s="12" t="s">
        <v>262</v>
      </c>
      <c r="D896" s="12" t="s">
        <v>50</v>
      </c>
      <c r="E896" s="12" t="s">
        <v>27</v>
      </c>
      <c r="F896" s="13">
        <v>5.4999999999999997E-3</v>
      </c>
      <c r="G896" s="14">
        <v>0.49960500000000002</v>
      </c>
      <c r="H896" s="24" t="str">
        <f t="shared" si="125"/>
        <v>RJSP</v>
      </c>
      <c r="I896" s="24" t="str">
        <f t="shared" si="133"/>
        <v>RJMG</v>
      </c>
      <c r="J896" s="24" t="str">
        <f t="shared" si="133"/>
        <v>RJES</v>
      </c>
      <c r="K896" s="24" t="str">
        <f t="shared" si="133"/>
        <v>RJSC</v>
      </c>
      <c r="L896" s="24" t="str">
        <f t="shared" si="133"/>
        <v>RJRJ</v>
      </c>
      <c r="M896" s="24" t="str">
        <f t="shared" si="133"/>
        <v>RJPR</v>
      </c>
      <c r="N896" s="24" t="str">
        <f t="shared" si="133"/>
        <v>RJAM</v>
      </c>
      <c r="O896" s="24">
        <f>VLOOKUP(H896, KM!$A:$E, 5, 0)</f>
        <v>429</v>
      </c>
      <c r="P896" s="24">
        <f>VLOOKUP(I896, KM!$A:$E, 5, 0)</f>
        <v>434</v>
      </c>
      <c r="Q896" s="24">
        <f>VLOOKUP(J896, KM!$A:$E, 5, 0)</f>
        <v>521</v>
      </c>
      <c r="R896" s="24">
        <f>VLOOKUP(K896, KM!$A:$E, 5, 0)</f>
        <v>1144</v>
      </c>
      <c r="S896" s="24">
        <f>VLOOKUP(L896, KM!$A:$E, 5, 0)</f>
        <v>0</v>
      </c>
      <c r="T896" s="24">
        <f>VLOOKUP(M896, KM!$A:$E, 5, 0)</f>
        <v>852</v>
      </c>
      <c r="U896" s="24">
        <f>VLOOKUP(N896, KM!$A:$E, 5, 0)</f>
        <v>4374</v>
      </c>
      <c r="V896" s="24">
        <f>VLOOKUP(H896, IMPOSTO!$A:$D, 4, 0)</f>
        <v>0.12</v>
      </c>
      <c r="W896" s="24">
        <f>VLOOKUP(I896, IMPOSTO!$A:$D, 4, 0)</f>
        <v>0.12</v>
      </c>
      <c r="X896" s="24">
        <f>VLOOKUP(J896, IMPOSTO!$A:$D, 4, 0)</f>
        <v>7.0000000000000007E-2</v>
      </c>
      <c r="Y896" s="24">
        <f>VLOOKUP(K896, IMPOSTO!$A:$D, 4, 0)</f>
        <v>0.12</v>
      </c>
      <c r="Z896" s="24">
        <f>VLOOKUP(L896, IMPOSTO!$A:$D, 4, 0)</f>
        <v>0.18</v>
      </c>
      <c r="AA896" s="24">
        <f>VLOOKUP(M896, IMPOSTO!$A:$D, 4, 0)</f>
        <v>0.12</v>
      </c>
      <c r="AB896" s="24">
        <f>VLOOKUP(N896, IMPOSTO!$A:$D, 4, 0)</f>
        <v>7.0000000000000007E-2</v>
      </c>
      <c r="AC896" s="25">
        <f t="shared" si="126"/>
        <v>49.317732954545463</v>
      </c>
      <c r="AD896" s="25">
        <f t="shared" si="127"/>
        <v>49.885914772727283</v>
      </c>
      <c r="AE896" s="25">
        <f t="shared" si="128"/>
        <v>56.55871505376345</v>
      </c>
      <c r="AF896" s="25">
        <f t="shared" si="129"/>
        <v>130.56773295454548</v>
      </c>
      <c r="AG896" s="25">
        <f t="shared" si="130"/>
        <v>0.6092743902439024</v>
      </c>
      <c r="AH896" s="25">
        <f t="shared" si="131"/>
        <v>97.385914772727276</v>
      </c>
      <c r="AI896" s="25">
        <f t="shared" si="132"/>
        <v>470.85979032258069</v>
      </c>
    </row>
    <row r="897" spans="1:35" ht="15.75" customHeight="1">
      <c r="A897" s="12" t="s">
        <v>518</v>
      </c>
      <c r="B897" s="12" t="s">
        <v>519</v>
      </c>
      <c r="C897" s="12" t="s">
        <v>259</v>
      </c>
      <c r="D897" s="12" t="s">
        <v>50</v>
      </c>
      <c r="E897" s="12" t="s">
        <v>27</v>
      </c>
      <c r="F897" s="13">
        <v>0.99960000000000004</v>
      </c>
      <c r="G897" s="14">
        <v>36.015588000000001</v>
      </c>
      <c r="H897" s="24" t="str">
        <f t="shared" si="125"/>
        <v>RJSP</v>
      </c>
      <c r="I897" s="24" t="str">
        <f t="shared" si="133"/>
        <v>RJMG</v>
      </c>
      <c r="J897" s="24" t="str">
        <f t="shared" si="133"/>
        <v>RJES</v>
      </c>
      <c r="K897" s="24" t="str">
        <f t="shared" si="133"/>
        <v>RJSC</v>
      </c>
      <c r="L897" s="24" t="str">
        <f t="shared" si="133"/>
        <v>RJRJ</v>
      </c>
      <c r="M897" s="24" t="str">
        <f t="shared" si="133"/>
        <v>RJPR</v>
      </c>
      <c r="N897" s="24" t="str">
        <f t="shared" si="133"/>
        <v>RJAM</v>
      </c>
      <c r="O897" s="24">
        <f>VLOOKUP(H897, KM!$A:$E, 5, 0)</f>
        <v>429</v>
      </c>
      <c r="P897" s="24">
        <f>VLOOKUP(I897, KM!$A:$E, 5, 0)</f>
        <v>434</v>
      </c>
      <c r="Q897" s="24">
        <f>VLOOKUP(J897, KM!$A:$E, 5, 0)</f>
        <v>521</v>
      </c>
      <c r="R897" s="24">
        <f>VLOOKUP(K897, KM!$A:$E, 5, 0)</f>
        <v>1144</v>
      </c>
      <c r="S897" s="24">
        <f>VLOOKUP(L897, KM!$A:$E, 5, 0)</f>
        <v>0</v>
      </c>
      <c r="T897" s="24">
        <f>VLOOKUP(M897, KM!$A:$E, 5, 0)</f>
        <v>852</v>
      </c>
      <c r="U897" s="24">
        <f>VLOOKUP(N897, KM!$A:$E, 5, 0)</f>
        <v>4374</v>
      </c>
      <c r="V897" s="24">
        <f>VLOOKUP(H897, IMPOSTO!$A:$D, 4, 0)</f>
        <v>0.12</v>
      </c>
      <c r="W897" s="24">
        <f>VLOOKUP(I897, IMPOSTO!$A:$D, 4, 0)</f>
        <v>0.12</v>
      </c>
      <c r="X897" s="24">
        <f>VLOOKUP(J897, IMPOSTO!$A:$D, 4, 0)</f>
        <v>7.0000000000000007E-2</v>
      </c>
      <c r="Y897" s="24">
        <f>VLOOKUP(K897, IMPOSTO!$A:$D, 4, 0)</f>
        <v>0.12</v>
      </c>
      <c r="Z897" s="24">
        <f>VLOOKUP(L897, IMPOSTO!$A:$D, 4, 0)</f>
        <v>0.18</v>
      </c>
      <c r="AA897" s="24">
        <f>VLOOKUP(M897, IMPOSTO!$A:$D, 4, 0)</f>
        <v>0.12</v>
      </c>
      <c r="AB897" s="24">
        <f>VLOOKUP(N897, IMPOSTO!$A:$D, 4, 0)</f>
        <v>7.0000000000000007E-2</v>
      </c>
      <c r="AC897" s="25">
        <f t="shared" si="126"/>
        <v>89.676804545454559</v>
      </c>
      <c r="AD897" s="25">
        <f t="shared" si="127"/>
        <v>90.244986363636386</v>
      </c>
      <c r="AE897" s="25">
        <f t="shared" si="128"/>
        <v>94.747944086021519</v>
      </c>
      <c r="AF897" s="25">
        <f t="shared" si="129"/>
        <v>170.92680454545456</v>
      </c>
      <c r="AG897" s="25">
        <f t="shared" si="130"/>
        <v>43.9214487804878</v>
      </c>
      <c r="AH897" s="25">
        <f t="shared" si="131"/>
        <v>137.74498636363637</v>
      </c>
      <c r="AI897" s="25">
        <f t="shared" si="132"/>
        <v>509.04901935483878</v>
      </c>
    </row>
    <row r="898" spans="1:35" ht="15.75" customHeight="1">
      <c r="A898" s="12" t="s">
        <v>694</v>
      </c>
      <c r="B898" s="12" t="s">
        <v>695</v>
      </c>
      <c r="C898" s="12" t="s">
        <v>259</v>
      </c>
      <c r="D898" s="12" t="s">
        <v>33</v>
      </c>
      <c r="E898" s="12" t="s">
        <v>27</v>
      </c>
      <c r="F898" s="13">
        <v>2589</v>
      </c>
      <c r="G898" s="14">
        <v>3153.44</v>
      </c>
      <c r="H898" s="24" t="str">
        <f t="shared" si="125"/>
        <v>RJSP</v>
      </c>
      <c r="I898" s="24" t="str">
        <f t="shared" si="133"/>
        <v>RJMG</v>
      </c>
      <c r="J898" s="24" t="str">
        <f t="shared" si="133"/>
        <v>RJES</v>
      </c>
      <c r="K898" s="24" t="str">
        <f t="shared" si="133"/>
        <v>RJSC</v>
      </c>
      <c r="L898" s="24" t="str">
        <f t="shared" si="133"/>
        <v>RJRJ</v>
      </c>
      <c r="M898" s="24" t="str">
        <f t="shared" si="133"/>
        <v>RJPR</v>
      </c>
      <c r="N898" s="24" t="str">
        <f t="shared" si="133"/>
        <v>RJAM</v>
      </c>
      <c r="O898" s="24">
        <f>VLOOKUP(H898, KM!$A:$E, 5, 0)</f>
        <v>429</v>
      </c>
      <c r="P898" s="24">
        <f>VLOOKUP(I898, KM!$A:$E, 5, 0)</f>
        <v>434</v>
      </c>
      <c r="Q898" s="24">
        <f>VLOOKUP(J898, KM!$A:$E, 5, 0)</f>
        <v>521</v>
      </c>
      <c r="R898" s="24">
        <f>VLOOKUP(K898, KM!$A:$E, 5, 0)</f>
        <v>1144</v>
      </c>
      <c r="S898" s="24">
        <f>VLOOKUP(L898, KM!$A:$E, 5, 0)</f>
        <v>0</v>
      </c>
      <c r="T898" s="24">
        <f>VLOOKUP(M898, KM!$A:$E, 5, 0)</f>
        <v>852</v>
      </c>
      <c r="U898" s="24">
        <f>VLOOKUP(N898, KM!$A:$E, 5, 0)</f>
        <v>4374</v>
      </c>
      <c r="V898" s="24">
        <f>VLOOKUP(H898, IMPOSTO!$A:$D, 4, 0)</f>
        <v>0.12</v>
      </c>
      <c r="W898" s="24">
        <f>VLOOKUP(I898, IMPOSTO!$A:$D, 4, 0)</f>
        <v>0.12</v>
      </c>
      <c r="X898" s="24">
        <f>VLOOKUP(J898, IMPOSTO!$A:$D, 4, 0)</f>
        <v>7.0000000000000007E-2</v>
      </c>
      <c r="Y898" s="24">
        <f>VLOOKUP(K898, IMPOSTO!$A:$D, 4, 0)</f>
        <v>0.12</v>
      </c>
      <c r="Z898" s="24">
        <f>VLOOKUP(L898, IMPOSTO!$A:$D, 4, 0)</f>
        <v>0.18</v>
      </c>
      <c r="AA898" s="24">
        <f>VLOOKUP(M898, IMPOSTO!$A:$D, 4, 0)</f>
        <v>0.12</v>
      </c>
      <c r="AB898" s="24">
        <f>VLOOKUP(N898, IMPOSTO!$A:$D, 4, 0)</f>
        <v>7.0000000000000007E-2</v>
      </c>
      <c r="AC898" s="25">
        <f t="shared" si="126"/>
        <v>3632.2045454545455</v>
      </c>
      <c r="AD898" s="25">
        <f t="shared" si="127"/>
        <v>3632.7727272727275</v>
      </c>
      <c r="AE898" s="25">
        <f t="shared" si="128"/>
        <v>3446.8172043010754</v>
      </c>
      <c r="AF898" s="25">
        <f t="shared" si="129"/>
        <v>3713.4545454545455</v>
      </c>
      <c r="AG898" s="25">
        <f t="shared" si="130"/>
        <v>3845.6585365853657</v>
      </c>
      <c r="AH898" s="25">
        <f t="shared" si="131"/>
        <v>3680.272727272727</v>
      </c>
      <c r="AI898" s="25">
        <f t="shared" si="132"/>
        <v>3861.1182795698928</v>
      </c>
    </row>
    <row r="899" spans="1:35" ht="15.75" customHeight="1">
      <c r="A899" s="12" t="s">
        <v>696</v>
      </c>
      <c r="B899" s="12" t="s">
        <v>697</v>
      </c>
      <c r="C899" s="12" t="s">
        <v>259</v>
      </c>
      <c r="D899" s="12" t="s">
        <v>33</v>
      </c>
      <c r="E899" s="12" t="s">
        <v>27</v>
      </c>
      <c r="F899" s="13">
        <v>2133</v>
      </c>
      <c r="G899" s="14">
        <v>4657.7699999999995</v>
      </c>
      <c r="H899" s="24" t="str">
        <f t="shared" si="125"/>
        <v>RJSP</v>
      </c>
      <c r="I899" s="24" t="str">
        <f t="shared" si="133"/>
        <v>RJMG</v>
      </c>
      <c r="J899" s="24" t="str">
        <f t="shared" si="133"/>
        <v>RJES</v>
      </c>
      <c r="K899" s="24" t="str">
        <f t="shared" si="133"/>
        <v>RJSC</v>
      </c>
      <c r="L899" s="24" t="str">
        <f t="shared" si="133"/>
        <v>RJRJ</v>
      </c>
      <c r="M899" s="24" t="str">
        <f t="shared" si="133"/>
        <v>RJPR</v>
      </c>
      <c r="N899" s="24" t="str">
        <f t="shared" si="133"/>
        <v>RJAM</v>
      </c>
      <c r="O899" s="24">
        <f>VLOOKUP(H899, KM!$A:$E, 5, 0)</f>
        <v>429</v>
      </c>
      <c r="P899" s="24">
        <f>VLOOKUP(I899, KM!$A:$E, 5, 0)</f>
        <v>434</v>
      </c>
      <c r="Q899" s="24">
        <f>VLOOKUP(J899, KM!$A:$E, 5, 0)</f>
        <v>521</v>
      </c>
      <c r="R899" s="24">
        <f>VLOOKUP(K899, KM!$A:$E, 5, 0)</f>
        <v>1144</v>
      </c>
      <c r="S899" s="24">
        <f>VLOOKUP(L899, KM!$A:$E, 5, 0)</f>
        <v>0</v>
      </c>
      <c r="T899" s="24">
        <f>VLOOKUP(M899, KM!$A:$E, 5, 0)</f>
        <v>852</v>
      </c>
      <c r="U899" s="24">
        <f>VLOOKUP(N899, KM!$A:$E, 5, 0)</f>
        <v>4374</v>
      </c>
      <c r="V899" s="24">
        <f>VLOOKUP(H899, IMPOSTO!$A:$D, 4, 0)</f>
        <v>0.12</v>
      </c>
      <c r="W899" s="24">
        <f>VLOOKUP(I899, IMPOSTO!$A:$D, 4, 0)</f>
        <v>0.12</v>
      </c>
      <c r="X899" s="24">
        <f>VLOOKUP(J899, IMPOSTO!$A:$D, 4, 0)</f>
        <v>7.0000000000000007E-2</v>
      </c>
      <c r="Y899" s="24">
        <f>VLOOKUP(K899, IMPOSTO!$A:$D, 4, 0)</f>
        <v>0.12</v>
      </c>
      <c r="Z899" s="24">
        <f>VLOOKUP(L899, IMPOSTO!$A:$D, 4, 0)</f>
        <v>0.18</v>
      </c>
      <c r="AA899" s="24">
        <f>VLOOKUP(M899, IMPOSTO!$A:$D, 4, 0)</f>
        <v>0.12</v>
      </c>
      <c r="AB899" s="24">
        <f>VLOOKUP(N899, IMPOSTO!$A:$D, 4, 0)</f>
        <v>7.0000000000000007E-2</v>
      </c>
      <c r="AC899" s="25">
        <f t="shared" si="126"/>
        <v>5341.6704545454531</v>
      </c>
      <c r="AD899" s="25">
        <f t="shared" si="127"/>
        <v>5342.2386363636351</v>
      </c>
      <c r="AE899" s="25">
        <f t="shared" si="128"/>
        <v>5064.3763440860221</v>
      </c>
      <c r="AF899" s="25">
        <f t="shared" si="129"/>
        <v>5422.9204545454531</v>
      </c>
      <c r="AG899" s="25">
        <f t="shared" si="130"/>
        <v>5680.2073170731701</v>
      </c>
      <c r="AH899" s="25">
        <f t="shared" si="131"/>
        <v>5389.738636363636</v>
      </c>
      <c r="AI899" s="25">
        <f t="shared" si="132"/>
        <v>5478.6774193548381</v>
      </c>
    </row>
    <row r="900" spans="1:35" ht="15.75" customHeight="1">
      <c r="A900" s="12" t="s">
        <v>536</v>
      </c>
      <c r="B900" s="12" t="s">
        <v>537</v>
      </c>
      <c r="C900" s="12" t="s">
        <v>278</v>
      </c>
      <c r="D900" s="12" t="s">
        <v>33</v>
      </c>
      <c r="E900" s="12" t="s">
        <v>27</v>
      </c>
      <c r="F900" s="13">
        <v>3.1109999999999998</v>
      </c>
      <c r="G900" s="14">
        <v>158.43111000000005</v>
      </c>
      <c r="H900" s="24" t="str">
        <f t="shared" si="125"/>
        <v>RJSP</v>
      </c>
      <c r="I900" s="24" t="str">
        <f t="shared" si="133"/>
        <v>RJMG</v>
      </c>
      <c r="J900" s="24" t="str">
        <f t="shared" si="133"/>
        <v>RJES</v>
      </c>
      <c r="K900" s="24" t="str">
        <f t="shared" si="133"/>
        <v>RJSC</v>
      </c>
      <c r="L900" s="24" t="str">
        <f t="shared" si="133"/>
        <v>RJRJ</v>
      </c>
      <c r="M900" s="24" t="str">
        <f t="shared" si="133"/>
        <v>RJPR</v>
      </c>
      <c r="N900" s="24" t="str">
        <f t="shared" si="133"/>
        <v>RJAM</v>
      </c>
      <c r="O900" s="24">
        <f>VLOOKUP(H900, KM!$A:$E, 5, 0)</f>
        <v>429</v>
      </c>
      <c r="P900" s="24">
        <f>VLOOKUP(I900, KM!$A:$E, 5, 0)</f>
        <v>434</v>
      </c>
      <c r="Q900" s="24">
        <f>VLOOKUP(J900, KM!$A:$E, 5, 0)</f>
        <v>521</v>
      </c>
      <c r="R900" s="24">
        <f>VLOOKUP(K900, KM!$A:$E, 5, 0)</f>
        <v>1144</v>
      </c>
      <c r="S900" s="24">
        <f>VLOOKUP(L900, KM!$A:$E, 5, 0)</f>
        <v>0</v>
      </c>
      <c r="T900" s="24">
        <f>VLOOKUP(M900, KM!$A:$E, 5, 0)</f>
        <v>852</v>
      </c>
      <c r="U900" s="24">
        <f>VLOOKUP(N900, KM!$A:$E, 5, 0)</f>
        <v>4374</v>
      </c>
      <c r="V900" s="24">
        <f>VLOOKUP(H900, IMPOSTO!$A:$D, 4, 0)</f>
        <v>0.12</v>
      </c>
      <c r="W900" s="24">
        <f>VLOOKUP(I900, IMPOSTO!$A:$D, 4, 0)</f>
        <v>0.12</v>
      </c>
      <c r="X900" s="24">
        <f>VLOOKUP(J900, IMPOSTO!$A:$D, 4, 0)</f>
        <v>7.0000000000000007E-2</v>
      </c>
      <c r="Y900" s="24">
        <f>VLOOKUP(K900, IMPOSTO!$A:$D, 4, 0)</f>
        <v>0.12</v>
      </c>
      <c r="Z900" s="24">
        <f>VLOOKUP(L900, IMPOSTO!$A:$D, 4, 0)</f>
        <v>0.18</v>
      </c>
      <c r="AA900" s="24">
        <f>VLOOKUP(M900, IMPOSTO!$A:$D, 4, 0)</f>
        <v>0.12</v>
      </c>
      <c r="AB900" s="24">
        <f>VLOOKUP(N900, IMPOSTO!$A:$D, 4, 0)</f>
        <v>7.0000000000000007E-2</v>
      </c>
      <c r="AC900" s="25">
        <f t="shared" si="126"/>
        <v>228.78535227272732</v>
      </c>
      <c r="AD900" s="25">
        <f t="shared" si="127"/>
        <v>229.35353409090914</v>
      </c>
      <c r="AE900" s="25">
        <f t="shared" si="128"/>
        <v>226.37753763440867</v>
      </c>
      <c r="AF900" s="25">
        <f t="shared" si="129"/>
        <v>310.03535227272738</v>
      </c>
      <c r="AG900" s="25">
        <f t="shared" si="130"/>
        <v>193.20867073170737</v>
      </c>
      <c r="AH900" s="25">
        <f t="shared" si="131"/>
        <v>276.85353409090914</v>
      </c>
      <c r="AI900" s="25">
        <f t="shared" si="132"/>
        <v>640.67861290322594</v>
      </c>
    </row>
    <row r="901" spans="1:35" ht="15.75" customHeight="1">
      <c r="A901" s="12" t="s">
        <v>492</v>
      </c>
      <c r="B901" s="12" t="s">
        <v>493</v>
      </c>
      <c r="C901" s="12" t="s">
        <v>283</v>
      </c>
      <c r="D901" s="12" t="s">
        <v>33</v>
      </c>
      <c r="E901" s="12" t="s">
        <v>27</v>
      </c>
      <c r="F901" s="13">
        <v>11.614399999999995</v>
      </c>
      <c r="G901" s="14">
        <v>257.50642399999992</v>
      </c>
      <c r="H901" s="24" t="str">
        <f t="shared" ref="H901:H964" si="134">$E901 &amp; H$17</f>
        <v>RJSP</v>
      </c>
      <c r="I901" s="24" t="str">
        <f t="shared" si="133"/>
        <v>RJMG</v>
      </c>
      <c r="J901" s="24" t="str">
        <f t="shared" si="133"/>
        <v>RJES</v>
      </c>
      <c r="K901" s="24" t="str">
        <f t="shared" si="133"/>
        <v>RJSC</v>
      </c>
      <c r="L901" s="24" t="str">
        <f t="shared" si="133"/>
        <v>RJRJ</v>
      </c>
      <c r="M901" s="24" t="str">
        <f t="shared" si="133"/>
        <v>RJPR</v>
      </c>
      <c r="N901" s="24" t="str">
        <f t="shared" si="133"/>
        <v>RJAM</v>
      </c>
      <c r="O901" s="24">
        <f>VLOOKUP(H901, KM!$A:$E, 5, 0)</f>
        <v>429</v>
      </c>
      <c r="P901" s="24">
        <f>VLOOKUP(I901, KM!$A:$E, 5, 0)</f>
        <v>434</v>
      </c>
      <c r="Q901" s="24">
        <f>VLOOKUP(J901, KM!$A:$E, 5, 0)</f>
        <v>521</v>
      </c>
      <c r="R901" s="24">
        <f>VLOOKUP(K901, KM!$A:$E, 5, 0)</f>
        <v>1144</v>
      </c>
      <c r="S901" s="24">
        <f>VLOOKUP(L901, KM!$A:$E, 5, 0)</f>
        <v>0</v>
      </c>
      <c r="T901" s="24">
        <f>VLOOKUP(M901, KM!$A:$E, 5, 0)</f>
        <v>852</v>
      </c>
      <c r="U901" s="24">
        <f>VLOOKUP(N901, KM!$A:$E, 5, 0)</f>
        <v>4374</v>
      </c>
      <c r="V901" s="24">
        <f>VLOOKUP(H901, IMPOSTO!$A:$D, 4, 0)</f>
        <v>0.12</v>
      </c>
      <c r="W901" s="24">
        <f>VLOOKUP(I901, IMPOSTO!$A:$D, 4, 0)</f>
        <v>0.12</v>
      </c>
      <c r="X901" s="24">
        <f>VLOOKUP(J901, IMPOSTO!$A:$D, 4, 0)</f>
        <v>7.0000000000000007E-2</v>
      </c>
      <c r="Y901" s="24">
        <f>VLOOKUP(K901, IMPOSTO!$A:$D, 4, 0)</f>
        <v>0.12</v>
      </c>
      <c r="Z901" s="24">
        <f>VLOOKUP(L901, IMPOSTO!$A:$D, 4, 0)</f>
        <v>0.18</v>
      </c>
      <c r="AA901" s="24">
        <f>VLOOKUP(M901, IMPOSTO!$A:$D, 4, 0)</f>
        <v>0.12</v>
      </c>
      <c r="AB901" s="24">
        <f>VLOOKUP(N901, IMPOSTO!$A:$D, 4, 0)</f>
        <v>7.0000000000000007E-2</v>
      </c>
      <c r="AC901" s="25">
        <f t="shared" si="126"/>
        <v>341.37093636363625</v>
      </c>
      <c r="AD901" s="25">
        <f t="shared" si="127"/>
        <v>341.93911818181806</v>
      </c>
      <c r="AE901" s="25">
        <f t="shared" si="128"/>
        <v>332.91013333333331</v>
      </c>
      <c r="AF901" s="25">
        <f t="shared" si="129"/>
        <v>422.62093636363625</v>
      </c>
      <c r="AG901" s="25">
        <f t="shared" si="130"/>
        <v>314.03222439024381</v>
      </c>
      <c r="AH901" s="25">
        <f t="shared" si="131"/>
        <v>389.43911818181806</v>
      </c>
      <c r="AI901" s="25">
        <f t="shared" si="132"/>
        <v>747.21120860215058</v>
      </c>
    </row>
    <row r="902" spans="1:35" ht="15.75" customHeight="1">
      <c r="A902" s="12" t="s">
        <v>496</v>
      </c>
      <c r="B902" s="12" t="s">
        <v>497</v>
      </c>
      <c r="C902" s="12" t="s">
        <v>223</v>
      </c>
      <c r="D902" s="12" t="s">
        <v>33</v>
      </c>
      <c r="E902" s="12" t="s">
        <v>27</v>
      </c>
      <c r="F902" s="13">
        <v>18.171000000000003</v>
      </c>
      <c r="G902" s="14">
        <v>570.07407599999976</v>
      </c>
      <c r="H902" s="24" t="str">
        <f t="shared" si="134"/>
        <v>RJSP</v>
      </c>
      <c r="I902" s="24" t="str">
        <f t="shared" si="133"/>
        <v>RJMG</v>
      </c>
      <c r="J902" s="24" t="str">
        <f t="shared" si="133"/>
        <v>RJES</v>
      </c>
      <c r="K902" s="24" t="str">
        <f t="shared" si="133"/>
        <v>RJSC</v>
      </c>
      <c r="L902" s="24" t="str">
        <f t="shared" si="133"/>
        <v>RJRJ</v>
      </c>
      <c r="M902" s="24" t="str">
        <f t="shared" si="133"/>
        <v>RJPR</v>
      </c>
      <c r="N902" s="24" t="str">
        <f t="shared" si="133"/>
        <v>RJAM</v>
      </c>
      <c r="O902" s="24">
        <f>VLOOKUP(H902, KM!$A:$E, 5, 0)</f>
        <v>429</v>
      </c>
      <c r="P902" s="24">
        <f>VLOOKUP(I902, KM!$A:$E, 5, 0)</f>
        <v>434</v>
      </c>
      <c r="Q902" s="24">
        <f>VLOOKUP(J902, KM!$A:$E, 5, 0)</f>
        <v>521</v>
      </c>
      <c r="R902" s="24">
        <f>VLOOKUP(K902, KM!$A:$E, 5, 0)</f>
        <v>1144</v>
      </c>
      <c r="S902" s="24">
        <f>VLOOKUP(L902, KM!$A:$E, 5, 0)</f>
        <v>0</v>
      </c>
      <c r="T902" s="24">
        <f>VLOOKUP(M902, KM!$A:$E, 5, 0)</f>
        <v>852</v>
      </c>
      <c r="U902" s="24">
        <f>VLOOKUP(N902, KM!$A:$E, 5, 0)</f>
        <v>4374</v>
      </c>
      <c r="V902" s="24">
        <f>VLOOKUP(H902, IMPOSTO!$A:$D, 4, 0)</f>
        <v>0.12</v>
      </c>
      <c r="W902" s="24">
        <f>VLOOKUP(I902, IMPOSTO!$A:$D, 4, 0)</f>
        <v>0.12</v>
      </c>
      <c r="X902" s="24">
        <f>VLOOKUP(J902, IMPOSTO!$A:$D, 4, 0)</f>
        <v>7.0000000000000007E-2</v>
      </c>
      <c r="Y902" s="24">
        <f>VLOOKUP(K902, IMPOSTO!$A:$D, 4, 0)</f>
        <v>0.12</v>
      </c>
      <c r="Z902" s="24">
        <f>VLOOKUP(L902, IMPOSTO!$A:$D, 4, 0)</f>
        <v>0.18</v>
      </c>
      <c r="AA902" s="24">
        <f>VLOOKUP(M902, IMPOSTO!$A:$D, 4, 0)</f>
        <v>0.12</v>
      </c>
      <c r="AB902" s="24">
        <f>VLOOKUP(N902, IMPOSTO!$A:$D, 4, 0)</f>
        <v>7.0000000000000007E-2</v>
      </c>
      <c r="AC902" s="25">
        <f t="shared" si="126"/>
        <v>696.5614499999997</v>
      </c>
      <c r="AD902" s="25">
        <f t="shared" si="127"/>
        <v>697.12963181818156</v>
      </c>
      <c r="AE902" s="25">
        <f t="shared" si="128"/>
        <v>669.00438279569869</v>
      </c>
      <c r="AF902" s="25">
        <f t="shared" si="129"/>
        <v>777.8114499999997</v>
      </c>
      <c r="AG902" s="25">
        <f t="shared" si="130"/>
        <v>695.21228780487775</v>
      </c>
      <c r="AH902" s="25">
        <f t="shared" si="131"/>
        <v>744.62963181818156</v>
      </c>
      <c r="AI902" s="25">
        <f t="shared" si="132"/>
        <v>1083.305458064516</v>
      </c>
    </row>
    <row r="903" spans="1:35" ht="15.75" customHeight="1">
      <c r="A903" s="12" t="s">
        <v>498</v>
      </c>
      <c r="B903" s="12" t="s">
        <v>499</v>
      </c>
      <c r="C903" s="12" t="s">
        <v>232</v>
      </c>
      <c r="D903" s="12" t="s">
        <v>33</v>
      </c>
      <c r="E903" s="12" t="s">
        <v>27</v>
      </c>
      <c r="F903" s="13">
        <v>3.2158000000000002</v>
      </c>
      <c r="G903" s="14">
        <v>65.440644000000049</v>
      </c>
      <c r="H903" s="24" t="str">
        <f t="shared" si="134"/>
        <v>RJSP</v>
      </c>
      <c r="I903" s="24" t="str">
        <f t="shared" si="133"/>
        <v>RJMG</v>
      </c>
      <c r="J903" s="24" t="str">
        <f t="shared" si="133"/>
        <v>RJES</v>
      </c>
      <c r="K903" s="24" t="str">
        <f t="shared" si="133"/>
        <v>RJSC</v>
      </c>
      <c r="L903" s="24" t="str">
        <f t="shared" si="133"/>
        <v>RJRJ</v>
      </c>
      <c r="M903" s="24" t="str">
        <f t="shared" si="133"/>
        <v>RJPR</v>
      </c>
      <c r="N903" s="24" t="str">
        <f t="shared" si="133"/>
        <v>RJAM</v>
      </c>
      <c r="O903" s="24">
        <f>VLOOKUP(H903, KM!$A:$E, 5, 0)</f>
        <v>429</v>
      </c>
      <c r="P903" s="24">
        <f>VLOOKUP(I903, KM!$A:$E, 5, 0)</f>
        <v>434</v>
      </c>
      <c r="Q903" s="24">
        <f>VLOOKUP(J903, KM!$A:$E, 5, 0)</f>
        <v>521</v>
      </c>
      <c r="R903" s="24">
        <f>VLOOKUP(K903, KM!$A:$E, 5, 0)</f>
        <v>1144</v>
      </c>
      <c r="S903" s="24">
        <f>VLOOKUP(L903, KM!$A:$E, 5, 0)</f>
        <v>0</v>
      </c>
      <c r="T903" s="24">
        <f>VLOOKUP(M903, KM!$A:$E, 5, 0)</f>
        <v>852</v>
      </c>
      <c r="U903" s="24">
        <f>VLOOKUP(N903, KM!$A:$E, 5, 0)</f>
        <v>4374</v>
      </c>
      <c r="V903" s="24">
        <f>VLOOKUP(H903, IMPOSTO!$A:$D, 4, 0)</f>
        <v>0.12</v>
      </c>
      <c r="W903" s="24">
        <f>VLOOKUP(I903, IMPOSTO!$A:$D, 4, 0)</f>
        <v>0.12</v>
      </c>
      <c r="X903" s="24">
        <f>VLOOKUP(J903, IMPOSTO!$A:$D, 4, 0)</f>
        <v>7.0000000000000007E-2</v>
      </c>
      <c r="Y903" s="24">
        <f>VLOOKUP(K903, IMPOSTO!$A:$D, 4, 0)</f>
        <v>0.12</v>
      </c>
      <c r="Z903" s="24">
        <f>VLOOKUP(L903, IMPOSTO!$A:$D, 4, 0)</f>
        <v>0.18</v>
      </c>
      <c r="AA903" s="24">
        <f>VLOOKUP(M903, IMPOSTO!$A:$D, 4, 0)</f>
        <v>0.12</v>
      </c>
      <c r="AB903" s="24">
        <f>VLOOKUP(N903, IMPOSTO!$A:$D, 4, 0)</f>
        <v>7.0000000000000007E-2</v>
      </c>
      <c r="AC903" s="25">
        <f t="shared" si="126"/>
        <v>123.11436818181825</v>
      </c>
      <c r="AD903" s="25">
        <f t="shared" si="127"/>
        <v>123.68255000000006</v>
      </c>
      <c r="AE903" s="25">
        <f t="shared" si="128"/>
        <v>126.38778924731189</v>
      </c>
      <c r="AF903" s="25">
        <f t="shared" si="129"/>
        <v>204.36436818181824</v>
      </c>
      <c r="AG903" s="25">
        <f t="shared" si="130"/>
        <v>79.805663414634196</v>
      </c>
      <c r="AH903" s="25">
        <f t="shared" si="131"/>
        <v>171.18255000000008</v>
      </c>
      <c r="AI903" s="25">
        <f t="shared" si="132"/>
        <v>540.68886451612923</v>
      </c>
    </row>
    <row r="904" spans="1:35" ht="15.75" customHeight="1">
      <c r="A904" s="12" t="s">
        <v>614</v>
      </c>
      <c r="B904" s="12" t="s">
        <v>615</v>
      </c>
      <c r="C904" s="12" t="s">
        <v>333</v>
      </c>
      <c r="D904" s="12" t="s">
        <v>33</v>
      </c>
      <c r="E904" s="12" t="s">
        <v>27</v>
      </c>
      <c r="F904" s="13">
        <v>7.8875999999999991</v>
      </c>
      <c r="G904" s="14">
        <v>161.97044399999999</v>
      </c>
      <c r="H904" s="24" t="str">
        <f t="shared" si="134"/>
        <v>RJSP</v>
      </c>
      <c r="I904" s="24" t="str">
        <f t="shared" si="133"/>
        <v>RJMG</v>
      </c>
      <c r="J904" s="24" t="str">
        <f t="shared" si="133"/>
        <v>RJES</v>
      </c>
      <c r="K904" s="24" t="str">
        <f t="shared" si="133"/>
        <v>RJSC</v>
      </c>
      <c r="L904" s="24" t="str">
        <f t="shared" si="133"/>
        <v>RJRJ</v>
      </c>
      <c r="M904" s="24" t="str">
        <f t="shared" si="133"/>
        <v>RJPR</v>
      </c>
      <c r="N904" s="24" t="str">
        <f t="shared" si="133"/>
        <v>RJAM</v>
      </c>
      <c r="O904" s="24">
        <f>VLOOKUP(H904, KM!$A:$E, 5, 0)</f>
        <v>429</v>
      </c>
      <c r="P904" s="24">
        <f>VLOOKUP(I904, KM!$A:$E, 5, 0)</f>
        <v>434</v>
      </c>
      <c r="Q904" s="24">
        <f>VLOOKUP(J904, KM!$A:$E, 5, 0)</f>
        <v>521</v>
      </c>
      <c r="R904" s="24">
        <f>VLOOKUP(K904, KM!$A:$E, 5, 0)</f>
        <v>1144</v>
      </c>
      <c r="S904" s="24">
        <f>VLOOKUP(L904, KM!$A:$E, 5, 0)</f>
        <v>0</v>
      </c>
      <c r="T904" s="24">
        <f>VLOOKUP(M904, KM!$A:$E, 5, 0)</f>
        <v>852</v>
      </c>
      <c r="U904" s="24">
        <f>VLOOKUP(N904, KM!$A:$E, 5, 0)</f>
        <v>4374</v>
      </c>
      <c r="V904" s="24">
        <f>VLOOKUP(H904, IMPOSTO!$A:$D, 4, 0)</f>
        <v>0.12</v>
      </c>
      <c r="W904" s="24">
        <f>VLOOKUP(I904, IMPOSTO!$A:$D, 4, 0)</f>
        <v>0.12</v>
      </c>
      <c r="X904" s="24">
        <f>VLOOKUP(J904, IMPOSTO!$A:$D, 4, 0)</f>
        <v>7.0000000000000007E-2</v>
      </c>
      <c r="Y904" s="24">
        <f>VLOOKUP(K904, IMPOSTO!$A:$D, 4, 0)</f>
        <v>0.12</v>
      </c>
      <c r="Z904" s="24">
        <f>VLOOKUP(L904, IMPOSTO!$A:$D, 4, 0)</f>
        <v>0.18</v>
      </c>
      <c r="AA904" s="24">
        <f>VLOOKUP(M904, IMPOSTO!$A:$D, 4, 0)</f>
        <v>0.12</v>
      </c>
      <c r="AB904" s="24">
        <f>VLOOKUP(N904, IMPOSTO!$A:$D, 4, 0)</f>
        <v>7.0000000000000007E-2</v>
      </c>
      <c r="AC904" s="25">
        <f t="shared" si="126"/>
        <v>232.80732272727272</v>
      </c>
      <c r="AD904" s="25">
        <f t="shared" si="127"/>
        <v>233.37550454545453</v>
      </c>
      <c r="AE904" s="25">
        <f t="shared" si="128"/>
        <v>230.18327311827957</v>
      </c>
      <c r="AF904" s="25">
        <f t="shared" si="129"/>
        <v>314.05732272727278</v>
      </c>
      <c r="AG904" s="25">
        <f t="shared" si="130"/>
        <v>197.52493170731705</v>
      </c>
      <c r="AH904" s="25">
        <f t="shared" si="131"/>
        <v>280.87550454545453</v>
      </c>
      <c r="AI904" s="25">
        <f t="shared" si="132"/>
        <v>644.48434838709682</v>
      </c>
    </row>
    <row r="905" spans="1:35" ht="15.75" customHeight="1">
      <c r="A905" s="12" t="s">
        <v>276</v>
      </c>
      <c r="B905" s="12" t="s">
        <v>277</v>
      </c>
      <c r="C905" s="12" t="s">
        <v>278</v>
      </c>
      <c r="D905" s="12" t="s">
        <v>33</v>
      </c>
      <c r="E905" s="12" t="s">
        <v>27</v>
      </c>
      <c r="F905" s="13">
        <v>3.7475000000000005</v>
      </c>
      <c r="G905" s="14">
        <v>109.588016</v>
      </c>
      <c r="H905" s="24" t="str">
        <f t="shared" si="134"/>
        <v>RJSP</v>
      </c>
      <c r="I905" s="24" t="str">
        <f t="shared" si="133"/>
        <v>RJMG</v>
      </c>
      <c r="J905" s="24" t="str">
        <f t="shared" si="133"/>
        <v>RJES</v>
      </c>
      <c r="K905" s="24" t="str">
        <f t="shared" si="133"/>
        <v>RJSC</v>
      </c>
      <c r="L905" s="24" t="str">
        <f t="shared" si="133"/>
        <v>RJRJ</v>
      </c>
      <c r="M905" s="24" t="str">
        <f t="shared" si="133"/>
        <v>RJPR</v>
      </c>
      <c r="N905" s="24" t="str">
        <f t="shared" si="133"/>
        <v>RJAM</v>
      </c>
      <c r="O905" s="24">
        <f>VLOOKUP(H905, KM!$A:$E, 5, 0)</f>
        <v>429</v>
      </c>
      <c r="P905" s="24">
        <f>VLOOKUP(I905, KM!$A:$E, 5, 0)</f>
        <v>434</v>
      </c>
      <c r="Q905" s="24">
        <f>VLOOKUP(J905, KM!$A:$E, 5, 0)</f>
        <v>521</v>
      </c>
      <c r="R905" s="24">
        <f>VLOOKUP(K905, KM!$A:$E, 5, 0)</f>
        <v>1144</v>
      </c>
      <c r="S905" s="24">
        <f>VLOOKUP(L905, KM!$A:$E, 5, 0)</f>
        <v>0</v>
      </c>
      <c r="T905" s="24">
        <f>VLOOKUP(M905, KM!$A:$E, 5, 0)</f>
        <v>852</v>
      </c>
      <c r="U905" s="24">
        <f>VLOOKUP(N905, KM!$A:$E, 5, 0)</f>
        <v>4374</v>
      </c>
      <c r="V905" s="24">
        <f>VLOOKUP(H905, IMPOSTO!$A:$D, 4, 0)</f>
        <v>0.12</v>
      </c>
      <c r="W905" s="24">
        <f>VLOOKUP(I905, IMPOSTO!$A:$D, 4, 0)</f>
        <v>0.12</v>
      </c>
      <c r="X905" s="24">
        <f>VLOOKUP(J905, IMPOSTO!$A:$D, 4, 0)</f>
        <v>7.0000000000000007E-2</v>
      </c>
      <c r="Y905" s="24">
        <f>VLOOKUP(K905, IMPOSTO!$A:$D, 4, 0)</f>
        <v>0.12</v>
      </c>
      <c r="Z905" s="24">
        <f>VLOOKUP(L905, IMPOSTO!$A:$D, 4, 0)</f>
        <v>0.18</v>
      </c>
      <c r="AA905" s="24">
        <f>VLOOKUP(M905, IMPOSTO!$A:$D, 4, 0)</f>
        <v>0.12</v>
      </c>
      <c r="AB905" s="24">
        <f>VLOOKUP(N905, IMPOSTO!$A:$D, 4, 0)</f>
        <v>7.0000000000000007E-2</v>
      </c>
      <c r="AC905" s="25">
        <f t="shared" si="126"/>
        <v>173.28183636363639</v>
      </c>
      <c r="AD905" s="25">
        <f t="shared" si="127"/>
        <v>173.8500181818182</v>
      </c>
      <c r="AE905" s="25">
        <f t="shared" si="128"/>
        <v>173.85808172043014</v>
      </c>
      <c r="AF905" s="25">
        <f t="shared" si="129"/>
        <v>254.53183636363639</v>
      </c>
      <c r="AG905" s="25">
        <f t="shared" si="130"/>
        <v>133.64392195121951</v>
      </c>
      <c r="AH905" s="25">
        <f t="shared" si="131"/>
        <v>221.35001818181817</v>
      </c>
      <c r="AI905" s="25">
        <f t="shared" si="132"/>
        <v>588.15915698924732</v>
      </c>
    </row>
    <row r="906" spans="1:35" ht="15.75" customHeight="1">
      <c r="A906" s="12" t="s">
        <v>683</v>
      </c>
      <c r="B906" s="12" t="s">
        <v>684</v>
      </c>
      <c r="C906" s="12" t="s">
        <v>299</v>
      </c>
      <c r="D906" s="12" t="s">
        <v>33</v>
      </c>
      <c r="E906" s="12" t="s">
        <v>27</v>
      </c>
      <c r="F906" s="13">
        <v>32011</v>
      </c>
      <c r="G906" s="14">
        <v>347421.78</v>
      </c>
      <c r="H906" s="24" t="str">
        <f t="shared" si="134"/>
        <v>RJSP</v>
      </c>
      <c r="I906" s="24" t="str">
        <f t="shared" si="133"/>
        <v>RJMG</v>
      </c>
      <c r="J906" s="24" t="str">
        <f t="shared" si="133"/>
        <v>RJES</v>
      </c>
      <c r="K906" s="24" t="str">
        <f t="shared" si="133"/>
        <v>RJSC</v>
      </c>
      <c r="L906" s="24" t="str">
        <f t="shared" si="133"/>
        <v>RJRJ</v>
      </c>
      <c r="M906" s="24" t="str">
        <f t="shared" si="133"/>
        <v>RJPR</v>
      </c>
      <c r="N906" s="24" t="str">
        <f t="shared" si="133"/>
        <v>RJAM</v>
      </c>
      <c r="O906" s="24">
        <f>VLOOKUP(H906, KM!$A:$E, 5, 0)</f>
        <v>429</v>
      </c>
      <c r="P906" s="24">
        <f>VLOOKUP(I906, KM!$A:$E, 5, 0)</f>
        <v>434</v>
      </c>
      <c r="Q906" s="24">
        <f>VLOOKUP(J906, KM!$A:$E, 5, 0)</f>
        <v>521</v>
      </c>
      <c r="R906" s="24">
        <f>VLOOKUP(K906, KM!$A:$E, 5, 0)</f>
        <v>1144</v>
      </c>
      <c r="S906" s="24">
        <f>VLOOKUP(L906, KM!$A:$E, 5, 0)</f>
        <v>0</v>
      </c>
      <c r="T906" s="24">
        <f>VLOOKUP(M906, KM!$A:$E, 5, 0)</f>
        <v>852</v>
      </c>
      <c r="U906" s="24">
        <f>VLOOKUP(N906, KM!$A:$E, 5, 0)</f>
        <v>4374</v>
      </c>
      <c r="V906" s="24">
        <f>VLOOKUP(H906, IMPOSTO!$A:$D, 4, 0)</f>
        <v>0.12</v>
      </c>
      <c r="W906" s="24">
        <f>VLOOKUP(I906, IMPOSTO!$A:$D, 4, 0)</f>
        <v>0.12</v>
      </c>
      <c r="X906" s="24">
        <f>VLOOKUP(J906, IMPOSTO!$A:$D, 4, 0)</f>
        <v>7.0000000000000007E-2</v>
      </c>
      <c r="Y906" s="24">
        <f>VLOOKUP(K906, IMPOSTO!$A:$D, 4, 0)</f>
        <v>0.12</v>
      </c>
      <c r="Z906" s="24">
        <f>VLOOKUP(L906, IMPOSTO!$A:$D, 4, 0)</f>
        <v>0.18</v>
      </c>
      <c r="AA906" s="24">
        <f>VLOOKUP(M906, IMPOSTO!$A:$D, 4, 0)</f>
        <v>0.12</v>
      </c>
      <c r="AB906" s="24">
        <f>VLOOKUP(N906, IMPOSTO!$A:$D, 4, 0)</f>
        <v>7.0000000000000007E-2</v>
      </c>
      <c r="AC906" s="25">
        <f t="shared" si="126"/>
        <v>394846.22727272735</v>
      </c>
      <c r="AD906" s="25">
        <f t="shared" si="127"/>
        <v>394846.79545454553</v>
      </c>
      <c r="AE906" s="25">
        <f t="shared" si="128"/>
        <v>373627.82795698929</v>
      </c>
      <c r="AF906" s="25">
        <f t="shared" si="129"/>
        <v>394927.47727272735</v>
      </c>
      <c r="AG906" s="25">
        <f t="shared" si="130"/>
        <v>423685.09756097558</v>
      </c>
      <c r="AH906" s="25">
        <f t="shared" si="131"/>
        <v>394894.29545454547</v>
      </c>
      <c r="AI906" s="25">
        <f t="shared" si="132"/>
        <v>374042.12903225812</v>
      </c>
    </row>
    <row r="907" spans="1:35" ht="15.75" customHeight="1">
      <c r="A907" s="12" t="s">
        <v>276</v>
      </c>
      <c r="B907" s="12" t="s">
        <v>277</v>
      </c>
      <c r="C907" s="12" t="s">
        <v>278</v>
      </c>
      <c r="D907" s="12" t="s">
        <v>33</v>
      </c>
      <c r="E907" s="12" t="s">
        <v>27</v>
      </c>
      <c r="F907" s="13">
        <v>37448.767500000002</v>
      </c>
      <c r="G907" s="14">
        <v>1095113.0438880003</v>
      </c>
      <c r="H907" s="24" t="str">
        <f t="shared" si="134"/>
        <v>RJSP</v>
      </c>
      <c r="I907" s="24" t="str">
        <f t="shared" si="133"/>
        <v>RJMG</v>
      </c>
      <c r="J907" s="24" t="str">
        <f t="shared" si="133"/>
        <v>RJES</v>
      </c>
      <c r="K907" s="24" t="str">
        <f t="shared" si="133"/>
        <v>RJSC</v>
      </c>
      <c r="L907" s="24" t="str">
        <f t="shared" si="133"/>
        <v>RJRJ</v>
      </c>
      <c r="M907" s="24" t="str">
        <f t="shared" si="133"/>
        <v>RJPR</v>
      </c>
      <c r="N907" s="24" t="str">
        <f t="shared" si="133"/>
        <v>RJAM</v>
      </c>
      <c r="O907" s="24">
        <f>VLOOKUP(H907, KM!$A:$E, 5, 0)</f>
        <v>429</v>
      </c>
      <c r="P907" s="24">
        <f>VLOOKUP(I907, KM!$A:$E, 5, 0)</f>
        <v>434</v>
      </c>
      <c r="Q907" s="24">
        <f>VLOOKUP(J907, KM!$A:$E, 5, 0)</f>
        <v>521</v>
      </c>
      <c r="R907" s="24">
        <f>VLOOKUP(K907, KM!$A:$E, 5, 0)</f>
        <v>1144</v>
      </c>
      <c r="S907" s="24">
        <f>VLOOKUP(L907, KM!$A:$E, 5, 0)</f>
        <v>0</v>
      </c>
      <c r="T907" s="24">
        <f>VLOOKUP(M907, KM!$A:$E, 5, 0)</f>
        <v>852</v>
      </c>
      <c r="U907" s="24">
        <f>VLOOKUP(N907, KM!$A:$E, 5, 0)</f>
        <v>4374</v>
      </c>
      <c r="V907" s="24">
        <f>VLOOKUP(H907, IMPOSTO!$A:$D, 4, 0)</f>
        <v>0.12</v>
      </c>
      <c r="W907" s="24">
        <f>VLOOKUP(I907, IMPOSTO!$A:$D, 4, 0)</f>
        <v>0.12</v>
      </c>
      <c r="X907" s="24">
        <f>VLOOKUP(J907, IMPOSTO!$A:$D, 4, 0)</f>
        <v>7.0000000000000007E-2</v>
      </c>
      <c r="Y907" s="24">
        <f>VLOOKUP(K907, IMPOSTO!$A:$D, 4, 0)</f>
        <v>0.12</v>
      </c>
      <c r="Z907" s="24">
        <f>VLOOKUP(L907, IMPOSTO!$A:$D, 4, 0)</f>
        <v>0.18</v>
      </c>
      <c r="AA907" s="24">
        <f>VLOOKUP(M907, IMPOSTO!$A:$D, 4, 0)</f>
        <v>0.12</v>
      </c>
      <c r="AB907" s="24">
        <f>VLOOKUP(N907, IMPOSTO!$A:$D, 4, 0)</f>
        <v>7.0000000000000007E-2</v>
      </c>
      <c r="AC907" s="25">
        <f t="shared" si="126"/>
        <v>1244495.3907818184</v>
      </c>
      <c r="AD907" s="25">
        <f t="shared" si="127"/>
        <v>1244495.9589636365</v>
      </c>
      <c r="AE907" s="25">
        <f t="shared" si="128"/>
        <v>1177596.9289118284</v>
      </c>
      <c r="AF907" s="25">
        <f t="shared" si="129"/>
        <v>1244576.6407818184</v>
      </c>
      <c r="AG907" s="25">
        <f t="shared" si="130"/>
        <v>1335503.7120585369</v>
      </c>
      <c r="AH907" s="25">
        <f t="shared" si="131"/>
        <v>1244543.4589636365</v>
      </c>
      <c r="AI907" s="25">
        <f t="shared" si="132"/>
        <v>1178011.229987097</v>
      </c>
    </row>
    <row r="908" spans="1:35" ht="15.75" customHeight="1">
      <c r="A908" s="12" t="s">
        <v>279</v>
      </c>
      <c r="B908" s="12" t="s">
        <v>280</v>
      </c>
      <c r="C908" s="12" t="s">
        <v>278</v>
      </c>
      <c r="D908" s="12" t="s">
        <v>33</v>
      </c>
      <c r="E908" s="12" t="s">
        <v>27</v>
      </c>
      <c r="F908" s="13">
        <v>55610.613599999931</v>
      </c>
      <c r="G908" s="14">
        <v>2921221.1950119999</v>
      </c>
      <c r="H908" s="24" t="str">
        <f t="shared" si="134"/>
        <v>RJSP</v>
      </c>
      <c r="I908" s="24" t="str">
        <f t="shared" si="133"/>
        <v>RJMG</v>
      </c>
      <c r="J908" s="24" t="str">
        <f t="shared" si="133"/>
        <v>RJES</v>
      </c>
      <c r="K908" s="24" t="str">
        <f t="shared" si="133"/>
        <v>RJSC</v>
      </c>
      <c r="L908" s="24" t="str">
        <f t="shared" si="133"/>
        <v>RJRJ</v>
      </c>
      <c r="M908" s="24" t="str">
        <f t="shared" si="133"/>
        <v>RJPR</v>
      </c>
      <c r="N908" s="24" t="str">
        <f t="shared" si="133"/>
        <v>RJAM</v>
      </c>
      <c r="O908" s="24">
        <f>VLOOKUP(H908, KM!$A:$E, 5, 0)</f>
        <v>429</v>
      </c>
      <c r="P908" s="24">
        <f>VLOOKUP(I908, KM!$A:$E, 5, 0)</f>
        <v>434</v>
      </c>
      <c r="Q908" s="24">
        <f>VLOOKUP(J908, KM!$A:$E, 5, 0)</f>
        <v>521</v>
      </c>
      <c r="R908" s="24">
        <f>VLOOKUP(K908, KM!$A:$E, 5, 0)</f>
        <v>1144</v>
      </c>
      <c r="S908" s="24">
        <f>VLOOKUP(L908, KM!$A:$E, 5, 0)</f>
        <v>0</v>
      </c>
      <c r="T908" s="24">
        <f>VLOOKUP(M908, KM!$A:$E, 5, 0)</f>
        <v>852</v>
      </c>
      <c r="U908" s="24">
        <f>VLOOKUP(N908, KM!$A:$E, 5, 0)</f>
        <v>4374</v>
      </c>
      <c r="V908" s="24">
        <f>VLOOKUP(H908, IMPOSTO!$A:$D, 4, 0)</f>
        <v>0.12</v>
      </c>
      <c r="W908" s="24">
        <f>VLOOKUP(I908, IMPOSTO!$A:$D, 4, 0)</f>
        <v>0.12</v>
      </c>
      <c r="X908" s="24">
        <f>VLOOKUP(J908, IMPOSTO!$A:$D, 4, 0)</f>
        <v>7.0000000000000007E-2</v>
      </c>
      <c r="Y908" s="24">
        <f>VLOOKUP(K908, IMPOSTO!$A:$D, 4, 0)</f>
        <v>0.12</v>
      </c>
      <c r="Z908" s="24">
        <f>VLOOKUP(L908, IMPOSTO!$A:$D, 4, 0)</f>
        <v>0.18</v>
      </c>
      <c r="AA908" s="24">
        <f>VLOOKUP(M908, IMPOSTO!$A:$D, 4, 0)</f>
        <v>0.12</v>
      </c>
      <c r="AB908" s="24">
        <f>VLOOKUP(N908, IMPOSTO!$A:$D, 4, 0)</f>
        <v>7.0000000000000007E-2</v>
      </c>
      <c r="AC908" s="25">
        <f t="shared" si="126"/>
        <v>3319618.2897863635</v>
      </c>
      <c r="AD908" s="25">
        <f t="shared" si="127"/>
        <v>3319618.8579681818</v>
      </c>
      <c r="AE908" s="25">
        <f t="shared" si="128"/>
        <v>3141154.0806580647</v>
      </c>
      <c r="AF908" s="25">
        <f t="shared" si="129"/>
        <v>3319699.5397863635</v>
      </c>
      <c r="AG908" s="25">
        <f t="shared" si="130"/>
        <v>3562464.8719658535</v>
      </c>
      <c r="AH908" s="25">
        <f t="shared" si="131"/>
        <v>3319666.3579681818</v>
      </c>
      <c r="AI908" s="25">
        <f t="shared" si="132"/>
        <v>3141568.3817333332</v>
      </c>
    </row>
    <row r="909" spans="1:35" ht="15.75" customHeight="1">
      <c r="A909" s="12" t="s">
        <v>281</v>
      </c>
      <c r="B909" s="12" t="s">
        <v>350</v>
      </c>
      <c r="C909" s="12" t="s">
        <v>283</v>
      </c>
      <c r="D909" s="12" t="s">
        <v>33</v>
      </c>
      <c r="E909" s="12" t="s">
        <v>27</v>
      </c>
      <c r="F909" s="13">
        <v>1130.4345000000001</v>
      </c>
      <c r="G909" s="14">
        <v>31233.995190000005</v>
      </c>
      <c r="H909" s="24" t="str">
        <f t="shared" si="134"/>
        <v>RJSP</v>
      </c>
      <c r="I909" s="24" t="str">
        <f t="shared" si="133"/>
        <v>RJMG</v>
      </c>
      <c r="J909" s="24" t="str">
        <f t="shared" si="133"/>
        <v>RJES</v>
      </c>
      <c r="K909" s="24" t="str">
        <f t="shared" si="133"/>
        <v>RJSC</v>
      </c>
      <c r="L909" s="24" t="str">
        <f t="shared" si="133"/>
        <v>RJRJ</v>
      </c>
      <c r="M909" s="24" t="str">
        <f t="shared" si="133"/>
        <v>RJPR</v>
      </c>
      <c r="N909" s="24" t="str">
        <f t="shared" si="133"/>
        <v>RJAM</v>
      </c>
      <c r="O909" s="24">
        <f>VLOOKUP(H909, KM!$A:$E, 5, 0)</f>
        <v>429</v>
      </c>
      <c r="P909" s="24">
        <f>VLOOKUP(I909, KM!$A:$E, 5, 0)</f>
        <v>434</v>
      </c>
      <c r="Q909" s="24">
        <f>VLOOKUP(J909, KM!$A:$E, 5, 0)</f>
        <v>521</v>
      </c>
      <c r="R909" s="24">
        <f>VLOOKUP(K909, KM!$A:$E, 5, 0)</f>
        <v>1144</v>
      </c>
      <c r="S909" s="24">
        <f>VLOOKUP(L909, KM!$A:$E, 5, 0)</f>
        <v>0</v>
      </c>
      <c r="T909" s="24">
        <f>VLOOKUP(M909, KM!$A:$E, 5, 0)</f>
        <v>852</v>
      </c>
      <c r="U909" s="24">
        <f>VLOOKUP(N909, KM!$A:$E, 5, 0)</f>
        <v>4374</v>
      </c>
      <c r="V909" s="24">
        <f>VLOOKUP(H909, IMPOSTO!$A:$D, 4, 0)</f>
        <v>0.12</v>
      </c>
      <c r="W909" s="24">
        <f>VLOOKUP(I909, IMPOSTO!$A:$D, 4, 0)</f>
        <v>0.12</v>
      </c>
      <c r="X909" s="24">
        <f>VLOOKUP(J909, IMPOSTO!$A:$D, 4, 0)</f>
        <v>7.0000000000000007E-2</v>
      </c>
      <c r="Y909" s="24">
        <f>VLOOKUP(K909, IMPOSTO!$A:$D, 4, 0)</f>
        <v>0.12</v>
      </c>
      <c r="Z909" s="24">
        <f>VLOOKUP(L909, IMPOSTO!$A:$D, 4, 0)</f>
        <v>0.18</v>
      </c>
      <c r="AA909" s="24">
        <f>VLOOKUP(M909, IMPOSTO!$A:$D, 4, 0)</f>
        <v>0.12</v>
      </c>
      <c r="AB909" s="24">
        <f>VLOOKUP(N909, IMPOSTO!$A:$D, 4, 0)</f>
        <v>7.0000000000000007E-2</v>
      </c>
      <c r="AC909" s="25">
        <f t="shared" si="126"/>
        <v>35541.926352272734</v>
      </c>
      <c r="AD909" s="25">
        <f t="shared" si="127"/>
        <v>35542.494534090918</v>
      </c>
      <c r="AE909" s="25">
        <f t="shared" si="128"/>
        <v>33640.962569892479</v>
      </c>
      <c r="AF909" s="25">
        <f t="shared" si="129"/>
        <v>35623.176352272734</v>
      </c>
      <c r="AG909" s="25">
        <f t="shared" si="130"/>
        <v>38090.238036585368</v>
      </c>
      <c r="AH909" s="25">
        <f t="shared" si="131"/>
        <v>35589.994534090918</v>
      </c>
      <c r="AI909" s="25">
        <f t="shared" si="132"/>
        <v>34055.2636451613</v>
      </c>
    </row>
    <row r="910" spans="1:35" ht="15.75" customHeight="1">
      <c r="A910" s="12" t="s">
        <v>281</v>
      </c>
      <c r="B910" s="12" t="s">
        <v>282</v>
      </c>
      <c r="C910" s="12" t="s">
        <v>283</v>
      </c>
      <c r="D910" s="12" t="s">
        <v>33</v>
      </c>
      <c r="E910" s="12" t="s">
        <v>27</v>
      </c>
      <c r="F910" s="13">
        <v>4993.5019999999995</v>
      </c>
      <c r="G910" s="14">
        <v>134286.82299999997</v>
      </c>
      <c r="H910" s="24" t="str">
        <f t="shared" si="134"/>
        <v>RJSP</v>
      </c>
      <c r="I910" s="24" t="str">
        <f t="shared" si="133"/>
        <v>RJMG</v>
      </c>
      <c r="J910" s="24" t="str">
        <f t="shared" si="133"/>
        <v>RJES</v>
      </c>
      <c r="K910" s="24" t="str">
        <f t="shared" si="133"/>
        <v>RJSC</v>
      </c>
      <c r="L910" s="24" t="str">
        <f t="shared" si="133"/>
        <v>RJRJ</v>
      </c>
      <c r="M910" s="24" t="str">
        <f t="shared" si="133"/>
        <v>RJPR</v>
      </c>
      <c r="N910" s="24" t="str">
        <f t="shared" si="133"/>
        <v>RJAM</v>
      </c>
      <c r="O910" s="24">
        <f>VLOOKUP(H910, KM!$A:$E, 5, 0)</f>
        <v>429</v>
      </c>
      <c r="P910" s="24">
        <f>VLOOKUP(I910, KM!$A:$E, 5, 0)</f>
        <v>434</v>
      </c>
      <c r="Q910" s="24">
        <f>VLOOKUP(J910, KM!$A:$E, 5, 0)</f>
        <v>521</v>
      </c>
      <c r="R910" s="24">
        <f>VLOOKUP(K910, KM!$A:$E, 5, 0)</f>
        <v>1144</v>
      </c>
      <c r="S910" s="24">
        <f>VLOOKUP(L910, KM!$A:$E, 5, 0)</f>
        <v>0</v>
      </c>
      <c r="T910" s="24">
        <f>VLOOKUP(M910, KM!$A:$E, 5, 0)</f>
        <v>852</v>
      </c>
      <c r="U910" s="24">
        <f>VLOOKUP(N910, KM!$A:$E, 5, 0)</f>
        <v>4374</v>
      </c>
      <c r="V910" s="24">
        <f>VLOOKUP(H910, IMPOSTO!$A:$D, 4, 0)</f>
        <v>0.12</v>
      </c>
      <c r="W910" s="24">
        <f>VLOOKUP(I910, IMPOSTO!$A:$D, 4, 0)</f>
        <v>0.12</v>
      </c>
      <c r="X910" s="24">
        <f>VLOOKUP(J910, IMPOSTO!$A:$D, 4, 0)</f>
        <v>7.0000000000000007E-2</v>
      </c>
      <c r="Y910" s="24">
        <f>VLOOKUP(K910, IMPOSTO!$A:$D, 4, 0)</f>
        <v>0.12</v>
      </c>
      <c r="Z910" s="24">
        <f>VLOOKUP(L910, IMPOSTO!$A:$D, 4, 0)</f>
        <v>0.18</v>
      </c>
      <c r="AA910" s="24">
        <f>VLOOKUP(M910, IMPOSTO!$A:$D, 4, 0)</f>
        <v>0.12</v>
      </c>
      <c r="AB910" s="24">
        <f>VLOOKUP(N910, IMPOSTO!$A:$D, 4, 0)</f>
        <v>7.0000000000000007E-2</v>
      </c>
      <c r="AC910" s="25">
        <f t="shared" si="126"/>
        <v>152647.41249999998</v>
      </c>
      <c r="AD910" s="25">
        <f t="shared" si="127"/>
        <v>152647.98068181815</v>
      </c>
      <c r="AE910" s="25">
        <f t="shared" si="128"/>
        <v>144450.45483870967</v>
      </c>
      <c r="AF910" s="25">
        <f t="shared" si="129"/>
        <v>152728.66249999998</v>
      </c>
      <c r="AG910" s="25">
        <f t="shared" si="130"/>
        <v>163764.41829268288</v>
      </c>
      <c r="AH910" s="25">
        <f t="shared" si="131"/>
        <v>152695.48068181815</v>
      </c>
      <c r="AI910" s="25">
        <f t="shared" si="132"/>
        <v>144864.75591397847</v>
      </c>
    </row>
    <row r="911" spans="1:35" ht="15.75" customHeight="1">
      <c r="A911" s="12" t="s">
        <v>351</v>
      </c>
      <c r="B911" s="12" t="s">
        <v>352</v>
      </c>
      <c r="C911" s="12" t="s">
        <v>283</v>
      </c>
      <c r="D911" s="12" t="s">
        <v>33</v>
      </c>
      <c r="E911" s="12" t="s">
        <v>27</v>
      </c>
      <c r="F911" s="13">
        <v>6737.9047999999984</v>
      </c>
      <c r="G911" s="14">
        <v>172269.04877599995</v>
      </c>
      <c r="H911" s="24" t="str">
        <f t="shared" si="134"/>
        <v>RJSP</v>
      </c>
      <c r="I911" s="24" t="str">
        <f t="shared" si="133"/>
        <v>RJMG</v>
      </c>
      <c r="J911" s="24" t="str">
        <f t="shared" si="133"/>
        <v>RJES</v>
      </c>
      <c r="K911" s="24" t="str">
        <f t="shared" si="133"/>
        <v>RJSC</v>
      </c>
      <c r="L911" s="24" t="str">
        <f t="shared" si="133"/>
        <v>RJRJ</v>
      </c>
      <c r="M911" s="24" t="str">
        <f t="shared" si="133"/>
        <v>RJPR</v>
      </c>
      <c r="N911" s="24" t="str">
        <f t="shared" si="133"/>
        <v>RJAM</v>
      </c>
      <c r="O911" s="24">
        <f>VLOOKUP(H911, KM!$A:$E, 5, 0)</f>
        <v>429</v>
      </c>
      <c r="P911" s="24">
        <f>VLOOKUP(I911, KM!$A:$E, 5, 0)</f>
        <v>434</v>
      </c>
      <c r="Q911" s="24">
        <f>VLOOKUP(J911, KM!$A:$E, 5, 0)</f>
        <v>521</v>
      </c>
      <c r="R911" s="24">
        <f>VLOOKUP(K911, KM!$A:$E, 5, 0)</f>
        <v>1144</v>
      </c>
      <c r="S911" s="24">
        <f>VLOOKUP(L911, KM!$A:$E, 5, 0)</f>
        <v>0</v>
      </c>
      <c r="T911" s="24">
        <f>VLOOKUP(M911, KM!$A:$E, 5, 0)</f>
        <v>852</v>
      </c>
      <c r="U911" s="24">
        <f>VLOOKUP(N911, KM!$A:$E, 5, 0)</f>
        <v>4374</v>
      </c>
      <c r="V911" s="24">
        <f>VLOOKUP(H911, IMPOSTO!$A:$D, 4, 0)</f>
        <v>0.12</v>
      </c>
      <c r="W911" s="24">
        <f>VLOOKUP(I911, IMPOSTO!$A:$D, 4, 0)</f>
        <v>0.12</v>
      </c>
      <c r="X911" s="24">
        <f>VLOOKUP(J911, IMPOSTO!$A:$D, 4, 0)</f>
        <v>7.0000000000000007E-2</v>
      </c>
      <c r="Y911" s="24">
        <f>VLOOKUP(K911, IMPOSTO!$A:$D, 4, 0)</f>
        <v>0.12</v>
      </c>
      <c r="Z911" s="24">
        <f>VLOOKUP(L911, IMPOSTO!$A:$D, 4, 0)</f>
        <v>0.18</v>
      </c>
      <c r="AA911" s="24">
        <f>VLOOKUP(M911, IMPOSTO!$A:$D, 4, 0)</f>
        <v>0.12</v>
      </c>
      <c r="AB911" s="24">
        <f>VLOOKUP(N911, IMPOSTO!$A:$D, 4, 0)</f>
        <v>7.0000000000000007E-2</v>
      </c>
      <c r="AC911" s="25">
        <f t="shared" si="126"/>
        <v>195809.03269999995</v>
      </c>
      <c r="AD911" s="25">
        <f t="shared" si="127"/>
        <v>195809.60088181813</v>
      </c>
      <c r="AE911" s="25">
        <f t="shared" si="128"/>
        <v>185291.55782365589</v>
      </c>
      <c r="AF911" s="25">
        <f t="shared" si="129"/>
        <v>195890.28269999995</v>
      </c>
      <c r="AG911" s="25">
        <f t="shared" si="130"/>
        <v>210084.20582439017</v>
      </c>
      <c r="AH911" s="25">
        <f t="shared" si="131"/>
        <v>195857.10088181813</v>
      </c>
      <c r="AI911" s="25">
        <f t="shared" si="132"/>
        <v>185705.85889892469</v>
      </c>
    </row>
    <row r="912" spans="1:35" ht="15.75" customHeight="1">
      <c r="A912" s="12" t="s">
        <v>698</v>
      </c>
      <c r="B912" s="12" t="s">
        <v>699</v>
      </c>
      <c r="C912" s="12" t="s">
        <v>283</v>
      </c>
      <c r="D912" s="12" t="s">
        <v>33</v>
      </c>
      <c r="E912" s="12" t="s">
        <v>27</v>
      </c>
      <c r="F912" s="13">
        <v>139</v>
      </c>
      <c r="G912" s="14">
        <v>3617.58</v>
      </c>
      <c r="H912" s="24" t="str">
        <f t="shared" si="134"/>
        <v>RJSP</v>
      </c>
      <c r="I912" s="24" t="str">
        <f t="shared" si="133"/>
        <v>RJMG</v>
      </c>
      <c r="J912" s="24" t="str">
        <f t="shared" si="133"/>
        <v>RJES</v>
      </c>
      <c r="K912" s="24" t="str">
        <f t="shared" si="133"/>
        <v>RJSC</v>
      </c>
      <c r="L912" s="24" t="str">
        <f t="shared" si="133"/>
        <v>RJRJ</v>
      </c>
      <c r="M912" s="24" t="str">
        <f t="shared" si="133"/>
        <v>RJPR</v>
      </c>
      <c r="N912" s="24" t="str">
        <f t="shared" si="133"/>
        <v>RJAM</v>
      </c>
      <c r="O912" s="24">
        <f>VLOOKUP(H912, KM!$A:$E, 5, 0)</f>
        <v>429</v>
      </c>
      <c r="P912" s="24">
        <f>VLOOKUP(I912, KM!$A:$E, 5, 0)</f>
        <v>434</v>
      </c>
      <c r="Q912" s="24">
        <f>VLOOKUP(J912, KM!$A:$E, 5, 0)</f>
        <v>521</v>
      </c>
      <c r="R912" s="24">
        <f>VLOOKUP(K912, KM!$A:$E, 5, 0)</f>
        <v>1144</v>
      </c>
      <c r="S912" s="24">
        <f>VLOOKUP(L912, KM!$A:$E, 5, 0)</f>
        <v>0</v>
      </c>
      <c r="T912" s="24">
        <f>VLOOKUP(M912, KM!$A:$E, 5, 0)</f>
        <v>852</v>
      </c>
      <c r="U912" s="24">
        <f>VLOOKUP(N912, KM!$A:$E, 5, 0)</f>
        <v>4374</v>
      </c>
      <c r="V912" s="24">
        <f>VLOOKUP(H912, IMPOSTO!$A:$D, 4, 0)</f>
        <v>0.12</v>
      </c>
      <c r="W912" s="24">
        <f>VLOOKUP(I912, IMPOSTO!$A:$D, 4, 0)</f>
        <v>0.12</v>
      </c>
      <c r="X912" s="24">
        <f>VLOOKUP(J912, IMPOSTO!$A:$D, 4, 0)</f>
        <v>7.0000000000000007E-2</v>
      </c>
      <c r="Y912" s="24">
        <f>VLOOKUP(K912, IMPOSTO!$A:$D, 4, 0)</f>
        <v>0.12</v>
      </c>
      <c r="Z912" s="24">
        <f>VLOOKUP(L912, IMPOSTO!$A:$D, 4, 0)</f>
        <v>0.18</v>
      </c>
      <c r="AA912" s="24">
        <f>VLOOKUP(M912, IMPOSTO!$A:$D, 4, 0)</f>
        <v>0.12</v>
      </c>
      <c r="AB912" s="24">
        <f>VLOOKUP(N912, IMPOSTO!$A:$D, 4, 0)</f>
        <v>7.0000000000000007E-2</v>
      </c>
      <c r="AC912" s="25">
        <f t="shared" si="126"/>
        <v>4159.636363636364</v>
      </c>
      <c r="AD912" s="25">
        <f t="shared" si="127"/>
        <v>4160.204545454545</v>
      </c>
      <c r="AE912" s="25">
        <f t="shared" si="128"/>
        <v>3945.8924731182797</v>
      </c>
      <c r="AF912" s="25">
        <f t="shared" si="129"/>
        <v>4240.886363636364</v>
      </c>
      <c r="AG912" s="25">
        <f t="shared" si="130"/>
        <v>4411.6829268292677</v>
      </c>
      <c r="AH912" s="25">
        <f t="shared" si="131"/>
        <v>4207.704545454545</v>
      </c>
      <c r="AI912" s="25">
        <f t="shared" si="132"/>
        <v>4360.1935483870975</v>
      </c>
    </row>
    <row r="913" spans="1:35" ht="15.75" customHeight="1">
      <c r="A913" s="12" t="s">
        <v>700</v>
      </c>
      <c r="B913" s="12" t="s">
        <v>701</v>
      </c>
      <c r="C913" s="12" t="s">
        <v>283</v>
      </c>
      <c r="D913" s="12" t="s">
        <v>33</v>
      </c>
      <c r="E913" s="12" t="s">
        <v>27</v>
      </c>
      <c r="F913" s="13">
        <v>183</v>
      </c>
      <c r="G913" s="14">
        <v>4305.2200000000012</v>
      </c>
      <c r="H913" s="24" t="str">
        <f t="shared" si="134"/>
        <v>RJSP</v>
      </c>
      <c r="I913" s="24" t="str">
        <f t="shared" si="133"/>
        <v>RJMG</v>
      </c>
      <c r="J913" s="24" t="str">
        <f t="shared" si="133"/>
        <v>RJES</v>
      </c>
      <c r="K913" s="24" t="str">
        <f t="shared" si="133"/>
        <v>RJSC</v>
      </c>
      <c r="L913" s="24" t="str">
        <f t="shared" si="133"/>
        <v>RJRJ</v>
      </c>
      <c r="M913" s="24" t="str">
        <f t="shared" si="133"/>
        <v>RJPR</v>
      </c>
      <c r="N913" s="24" t="str">
        <f t="shared" si="133"/>
        <v>RJAM</v>
      </c>
      <c r="O913" s="24">
        <f>VLOOKUP(H913, KM!$A:$E, 5, 0)</f>
        <v>429</v>
      </c>
      <c r="P913" s="24">
        <f>VLOOKUP(I913, KM!$A:$E, 5, 0)</f>
        <v>434</v>
      </c>
      <c r="Q913" s="24">
        <f>VLOOKUP(J913, KM!$A:$E, 5, 0)</f>
        <v>521</v>
      </c>
      <c r="R913" s="24">
        <f>VLOOKUP(K913, KM!$A:$E, 5, 0)</f>
        <v>1144</v>
      </c>
      <c r="S913" s="24">
        <f>VLOOKUP(L913, KM!$A:$E, 5, 0)</f>
        <v>0</v>
      </c>
      <c r="T913" s="24">
        <f>VLOOKUP(M913, KM!$A:$E, 5, 0)</f>
        <v>852</v>
      </c>
      <c r="U913" s="24">
        <f>VLOOKUP(N913, KM!$A:$E, 5, 0)</f>
        <v>4374</v>
      </c>
      <c r="V913" s="24">
        <f>VLOOKUP(H913, IMPOSTO!$A:$D, 4, 0)</f>
        <v>0.12</v>
      </c>
      <c r="W913" s="24">
        <f>VLOOKUP(I913, IMPOSTO!$A:$D, 4, 0)</f>
        <v>0.12</v>
      </c>
      <c r="X913" s="24">
        <f>VLOOKUP(J913, IMPOSTO!$A:$D, 4, 0)</f>
        <v>7.0000000000000007E-2</v>
      </c>
      <c r="Y913" s="24">
        <f>VLOOKUP(K913, IMPOSTO!$A:$D, 4, 0)</f>
        <v>0.12</v>
      </c>
      <c r="Z913" s="24">
        <f>VLOOKUP(L913, IMPOSTO!$A:$D, 4, 0)</f>
        <v>0.18</v>
      </c>
      <c r="AA913" s="24">
        <f>VLOOKUP(M913, IMPOSTO!$A:$D, 4, 0)</f>
        <v>0.12</v>
      </c>
      <c r="AB913" s="24">
        <f>VLOOKUP(N913, IMPOSTO!$A:$D, 4, 0)</f>
        <v>7.0000000000000007E-2</v>
      </c>
      <c r="AC913" s="25">
        <f t="shared" si="126"/>
        <v>4941.0454545454559</v>
      </c>
      <c r="AD913" s="25">
        <f t="shared" si="127"/>
        <v>4941.6136363636369</v>
      </c>
      <c r="AE913" s="25">
        <f t="shared" si="128"/>
        <v>4685.2903225806467</v>
      </c>
      <c r="AF913" s="25">
        <f t="shared" si="129"/>
        <v>5022.2954545454559</v>
      </c>
      <c r="AG913" s="25">
        <f t="shared" si="130"/>
        <v>5250.2682926829275</v>
      </c>
      <c r="AH913" s="25">
        <f t="shared" si="131"/>
        <v>4989.1136363636379</v>
      </c>
      <c r="AI913" s="25">
        <f t="shared" si="132"/>
        <v>5099.5913978494636</v>
      </c>
    </row>
    <row r="914" spans="1:35" ht="15.75" customHeight="1">
      <c r="A914" s="12" t="s">
        <v>702</v>
      </c>
      <c r="B914" s="12" t="s">
        <v>703</v>
      </c>
      <c r="C914" s="12" t="s">
        <v>278</v>
      </c>
      <c r="D914" s="12" t="s">
        <v>33</v>
      </c>
      <c r="E914" s="12" t="s">
        <v>27</v>
      </c>
      <c r="F914" s="13">
        <v>833</v>
      </c>
      <c r="G914" s="14">
        <v>19341.579999999998</v>
      </c>
      <c r="H914" s="24" t="str">
        <f t="shared" si="134"/>
        <v>RJSP</v>
      </c>
      <c r="I914" s="24" t="str">
        <f t="shared" si="133"/>
        <v>RJMG</v>
      </c>
      <c r="J914" s="24" t="str">
        <f t="shared" si="133"/>
        <v>RJES</v>
      </c>
      <c r="K914" s="24" t="str">
        <f t="shared" si="133"/>
        <v>RJSC</v>
      </c>
      <c r="L914" s="24" t="str">
        <f t="shared" si="133"/>
        <v>RJRJ</v>
      </c>
      <c r="M914" s="24" t="str">
        <f t="shared" si="133"/>
        <v>RJPR</v>
      </c>
      <c r="N914" s="24" t="str">
        <f t="shared" si="133"/>
        <v>RJAM</v>
      </c>
      <c r="O914" s="24">
        <f>VLOOKUP(H914, KM!$A:$E, 5, 0)</f>
        <v>429</v>
      </c>
      <c r="P914" s="24">
        <f>VLOOKUP(I914, KM!$A:$E, 5, 0)</f>
        <v>434</v>
      </c>
      <c r="Q914" s="24">
        <f>VLOOKUP(J914, KM!$A:$E, 5, 0)</f>
        <v>521</v>
      </c>
      <c r="R914" s="24">
        <f>VLOOKUP(K914, KM!$A:$E, 5, 0)</f>
        <v>1144</v>
      </c>
      <c r="S914" s="24">
        <f>VLOOKUP(L914, KM!$A:$E, 5, 0)</f>
        <v>0</v>
      </c>
      <c r="T914" s="24">
        <f>VLOOKUP(M914, KM!$A:$E, 5, 0)</f>
        <v>852</v>
      </c>
      <c r="U914" s="24">
        <f>VLOOKUP(N914, KM!$A:$E, 5, 0)</f>
        <v>4374</v>
      </c>
      <c r="V914" s="24">
        <f>VLOOKUP(H914, IMPOSTO!$A:$D, 4, 0)</f>
        <v>0.12</v>
      </c>
      <c r="W914" s="24">
        <f>VLOOKUP(I914, IMPOSTO!$A:$D, 4, 0)</f>
        <v>0.12</v>
      </c>
      <c r="X914" s="24">
        <f>VLOOKUP(J914, IMPOSTO!$A:$D, 4, 0)</f>
        <v>7.0000000000000007E-2</v>
      </c>
      <c r="Y914" s="24">
        <f>VLOOKUP(K914, IMPOSTO!$A:$D, 4, 0)</f>
        <v>0.12</v>
      </c>
      <c r="Z914" s="24">
        <f>VLOOKUP(L914, IMPOSTO!$A:$D, 4, 0)</f>
        <v>0.18</v>
      </c>
      <c r="AA914" s="24">
        <f>VLOOKUP(M914, IMPOSTO!$A:$D, 4, 0)</f>
        <v>0.12</v>
      </c>
      <c r="AB914" s="24">
        <f>VLOOKUP(N914, IMPOSTO!$A:$D, 4, 0)</f>
        <v>7.0000000000000007E-2</v>
      </c>
      <c r="AC914" s="25">
        <f t="shared" si="126"/>
        <v>22027.81818181818</v>
      </c>
      <c r="AD914" s="25">
        <f t="shared" si="127"/>
        <v>22028.386363636364</v>
      </c>
      <c r="AE914" s="25">
        <f t="shared" si="128"/>
        <v>20853.419354838708</v>
      </c>
      <c r="AF914" s="25">
        <f t="shared" si="129"/>
        <v>22109.06818181818</v>
      </c>
      <c r="AG914" s="25">
        <f t="shared" si="130"/>
        <v>23587.292682926825</v>
      </c>
      <c r="AH914" s="25">
        <f t="shared" si="131"/>
        <v>22075.886363636364</v>
      </c>
      <c r="AI914" s="25">
        <f t="shared" si="132"/>
        <v>21267.720430107529</v>
      </c>
    </row>
    <row r="915" spans="1:35" ht="15.75" customHeight="1">
      <c r="A915" s="12" t="s">
        <v>704</v>
      </c>
      <c r="B915" s="12" t="s">
        <v>705</v>
      </c>
      <c r="C915" s="12" t="s">
        <v>283</v>
      </c>
      <c r="D915" s="12" t="s">
        <v>33</v>
      </c>
      <c r="E915" s="12" t="s">
        <v>27</v>
      </c>
      <c r="F915" s="13">
        <v>21</v>
      </c>
      <c r="G915" s="14">
        <v>638.54000000000008</v>
      </c>
      <c r="H915" s="24" t="str">
        <f t="shared" si="134"/>
        <v>RJSP</v>
      </c>
      <c r="I915" s="24" t="str">
        <f t="shared" si="133"/>
        <v>RJMG</v>
      </c>
      <c r="J915" s="24" t="str">
        <f t="shared" si="133"/>
        <v>RJES</v>
      </c>
      <c r="K915" s="24" t="str">
        <f t="shared" si="133"/>
        <v>RJSC</v>
      </c>
      <c r="L915" s="24" t="str">
        <f t="shared" si="133"/>
        <v>RJRJ</v>
      </c>
      <c r="M915" s="24" t="str">
        <f t="shared" si="133"/>
        <v>RJPR</v>
      </c>
      <c r="N915" s="24" t="str">
        <f t="shared" si="133"/>
        <v>RJAM</v>
      </c>
      <c r="O915" s="24">
        <f>VLOOKUP(H915, KM!$A:$E, 5, 0)</f>
        <v>429</v>
      </c>
      <c r="P915" s="24">
        <f>VLOOKUP(I915, KM!$A:$E, 5, 0)</f>
        <v>434</v>
      </c>
      <c r="Q915" s="24">
        <f>VLOOKUP(J915, KM!$A:$E, 5, 0)</f>
        <v>521</v>
      </c>
      <c r="R915" s="24">
        <f>VLOOKUP(K915, KM!$A:$E, 5, 0)</f>
        <v>1144</v>
      </c>
      <c r="S915" s="24">
        <f>VLOOKUP(L915, KM!$A:$E, 5, 0)</f>
        <v>0</v>
      </c>
      <c r="T915" s="24">
        <f>VLOOKUP(M915, KM!$A:$E, 5, 0)</f>
        <v>852</v>
      </c>
      <c r="U915" s="24">
        <f>VLOOKUP(N915, KM!$A:$E, 5, 0)</f>
        <v>4374</v>
      </c>
      <c r="V915" s="24">
        <f>VLOOKUP(H915, IMPOSTO!$A:$D, 4, 0)</f>
        <v>0.12</v>
      </c>
      <c r="W915" s="24">
        <f>VLOOKUP(I915, IMPOSTO!$A:$D, 4, 0)</f>
        <v>0.12</v>
      </c>
      <c r="X915" s="24">
        <f>VLOOKUP(J915, IMPOSTO!$A:$D, 4, 0)</f>
        <v>7.0000000000000007E-2</v>
      </c>
      <c r="Y915" s="24">
        <f>VLOOKUP(K915, IMPOSTO!$A:$D, 4, 0)</f>
        <v>0.12</v>
      </c>
      <c r="Z915" s="24">
        <f>VLOOKUP(L915, IMPOSTO!$A:$D, 4, 0)</f>
        <v>0.18</v>
      </c>
      <c r="AA915" s="24">
        <f>VLOOKUP(M915, IMPOSTO!$A:$D, 4, 0)</f>
        <v>0.12</v>
      </c>
      <c r="AB915" s="24">
        <f>VLOOKUP(N915, IMPOSTO!$A:$D, 4, 0)</f>
        <v>7.0000000000000007E-2</v>
      </c>
      <c r="AC915" s="25">
        <f t="shared" ref="AC915:AC978" si="135">($G915 + O915 * $AE$5) / (1 - V915)</f>
        <v>774.36363636363637</v>
      </c>
      <c r="AD915" s="25">
        <f t="shared" ref="AD915:AD978" si="136">($G915 + P915 * $AE$5) / (1 - W915)</f>
        <v>774.93181818181824</v>
      </c>
      <c r="AE915" s="25">
        <f t="shared" ref="AE915:AE978" si="137">($G915 + Q915 * $AE$5) / (1 - X915)</f>
        <v>742.62365591397861</v>
      </c>
      <c r="AF915" s="25">
        <f t="shared" ref="AF915:AF978" si="138">($G915 + R915 * $AE$5) / (1 - Y915)</f>
        <v>855.61363636363637</v>
      </c>
      <c r="AG915" s="25">
        <f t="shared" ref="AG915:AG978" si="139">($G915 + S915 * $AE$5) / (1 - Z915)</f>
        <v>778.70731707317077</v>
      </c>
      <c r="AH915" s="25">
        <f t="shared" ref="AH915:AH978" si="140">($G915 + T915 * $AE$5) / (1 - AA915)</f>
        <v>822.43181818181836</v>
      </c>
      <c r="AI915" s="25">
        <f t="shared" ref="AI915:AI978" si="141">($G915 + U915 * $AE$5) / (1 - AB915)</f>
        <v>1156.9247311827958</v>
      </c>
    </row>
    <row r="916" spans="1:35" ht="15.75" customHeight="1">
      <c r="A916" s="12" t="s">
        <v>704</v>
      </c>
      <c r="B916" s="12" t="s">
        <v>706</v>
      </c>
      <c r="C916" s="12" t="s">
        <v>283</v>
      </c>
      <c r="D916" s="12" t="s">
        <v>33</v>
      </c>
      <c r="E916" s="12" t="s">
        <v>27</v>
      </c>
      <c r="F916" s="13">
        <v>152</v>
      </c>
      <c r="G916" s="14">
        <v>4862.7300000000005</v>
      </c>
      <c r="H916" s="24" t="str">
        <f t="shared" si="134"/>
        <v>RJSP</v>
      </c>
      <c r="I916" s="24" t="str">
        <f t="shared" si="133"/>
        <v>RJMG</v>
      </c>
      <c r="J916" s="24" t="str">
        <f t="shared" si="133"/>
        <v>RJES</v>
      </c>
      <c r="K916" s="24" t="str">
        <f t="shared" si="133"/>
        <v>RJSC</v>
      </c>
      <c r="L916" s="24" t="str">
        <f t="shared" si="133"/>
        <v>RJRJ</v>
      </c>
      <c r="M916" s="24" t="str">
        <f t="shared" si="133"/>
        <v>RJPR</v>
      </c>
      <c r="N916" s="24" t="str">
        <f t="shared" si="133"/>
        <v>RJAM</v>
      </c>
      <c r="O916" s="24">
        <f>VLOOKUP(H916, KM!$A:$E, 5, 0)</f>
        <v>429</v>
      </c>
      <c r="P916" s="24">
        <f>VLOOKUP(I916, KM!$A:$E, 5, 0)</f>
        <v>434</v>
      </c>
      <c r="Q916" s="24">
        <f>VLOOKUP(J916, KM!$A:$E, 5, 0)</f>
        <v>521</v>
      </c>
      <c r="R916" s="24">
        <f>VLOOKUP(K916, KM!$A:$E, 5, 0)</f>
        <v>1144</v>
      </c>
      <c r="S916" s="24">
        <f>VLOOKUP(L916, KM!$A:$E, 5, 0)</f>
        <v>0</v>
      </c>
      <c r="T916" s="24">
        <f>VLOOKUP(M916, KM!$A:$E, 5, 0)</f>
        <v>852</v>
      </c>
      <c r="U916" s="24">
        <f>VLOOKUP(N916, KM!$A:$E, 5, 0)</f>
        <v>4374</v>
      </c>
      <c r="V916" s="24">
        <f>VLOOKUP(H916, IMPOSTO!$A:$D, 4, 0)</f>
        <v>0.12</v>
      </c>
      <c r="W916" s="24">
        <f>VLOOKUP(I916, IMPOSTO!$A:$D, 4, 0)</f>
        <v>0.12</v>
      </c>
      <c r="X916" s="24">
        <f>VLOOKUP(J916, IMPOSTO!$A:$D, 4, 0)</f>
        <v>7.0000000000000007E-2</v>
      </c>
      <c r="Y916" s="24">
        <f>VLOOKUP(K916, IMPOSTO!$A:$D, 4, 0)</f>
        <v>0.12</v>
      </c>
      <c r="Z916" s="24">
        <f>VLOOKUP(L916, IMPOSTO!$A:$D, 4, 0)</f>
        <v>0.18</v>
      </c>
      <c r="AA916" s="24">
        <f>VLOOKUP(M916, IMPOSTO!$A:$D, 4, 0)</f>
        <v>0.12</v>
      </c>
      <c r="AB916" s="24">
        <f>VLOOKUP(N916, IMPOSTO!$A:$D, 4, 0)</f>
        <v>7.0000000000000007E-2</v>
      </c>
      <c r="AC916" s="25">
        <f t="shared" si="135"/>
        <v>5574.579545454546</v>
      </c>
      <c r="AD916" s="25">
        <f t="shared" si="136"/>
        <v>5575.147727272727</v>
      </c>
      <c r="AE916" s="25">
        <f t="shared" si="137"/>
        <v>5284.7634408602162</v>
      </c>
      <c r="AF916" s="25">
        <f t="shared" si="138"/>
        <v>5655.829545454546</v>
      </c>
      <c r="AG916" s="25">
        <f t="shared" si="139"/>
        <v>5930.1585365853662</v>
      </c>
      <c r="AH916" s="25">
        <f t="shared" si="140"/>
        <v>5622.6477272727279</v>
      </c>
      <c r="AI916" s="25">
        <f t="shared" si="141"/>
        <v>5699.0645161290331</v>
      </c>
    </row>
    <row r="917" spans="1:35" ht="15.75" customHeight="1">
      <c r="A917" s="12" t="s">
        <v>546</v>
      </c>
      <c r="B917" s="12" t="s">
        <v>707</v>
      </c>
      <c r="C917" s="12" t="s">
        <v>333</v>
      </c>
      <c r="D917" s="12" t="s">
        <v>33</v>
      </c>
      <c r="E917" s="12" t="s">
        <v>27</v>
      </c>
      <c r="F917" s="13">
        <v>60</v>
      </c>
      <c r="G917" s="14">
        <v>497.5</v>
      </c>
      <c r="H917" s="24" t="str">
        <f t="shared" si="134"/>
        <v>RJSP</v>
      </c>
      <c r="I917" s="24" t="str">
        <f t="shared" si="133"/>
        <v>RJMG</v>
      </c>
      <c r="J917" s="24" t="str">
        <f t="shared" si="133"/>
        <v>RJES</v>
      </c>
      <c r="K917" s="24" t="str">
        <f t="shared" si="133"/>
        <v>RJSC</v>
      </c>
      <c r="L917" s="24" t="str">
        <f t="shared" si="133"/>
        <v>RJRJ</v>
      </c>
      <c r="M917" s="24" t="str">
        <f t="shared" si="133"/>
        <v>RJPR</v>
      </c>
      <c r="N917" s="24" t="str">
        <f t="shared" si="133"/>
        <v>RJAM</v>
      </c>
      <c r="O917" s="24">
        <f>VLOOKUP(H917, KM!$A:$E, 5, 0)</f>
        <v>429</v>
      </c>
      <c r="P917" s="24">
        <f>VLOOKUP(I917, KM!$A:$E, 5, 0)</f>
        <v>434</v>
      </c>
      <c r="Q917" s="24">
        <f>VLOOKUP(J917, KM!$A:$E, 5, 0)</f>
        <v>521</v>
      </c>
      <c r="R917" s="24">
        <f>VLOOKUP(K917, KM!$A:$E, 5, 0)</f>
        <v>1144</v>
      </c>
      <c r="S917" s="24">
        <f>VLOOKUP(L917, KM!$A:$E, 5, 0)</f>
        <v>0</v>
      </c>
      <c r="T917" s="24">
        <f>VLOOKUP(M917, KM!$A:$E, 5, 0)</f>
        <v>852</v>
      </c>
      <c r="U917" s="24">
        <f>VLOOKUP(N917, KM!$A:$E, 5, 0)</f>
        <v>4374</v>
      </c>
      <c r="V917" s="24">
        <f>VLOOKUP(H917, IMPOSTO!$A:$D, 4, 0)</f>
        <v>0.12</v>
      </c>
      <c r="W917" s="24">
        <f>VLOOKUP(I917, IMPOSTO!$A:$D, 4, 0)</f>
        <v>0.12</v>
      </c>
      <c r="X917" s="24">
        <f>VLOOKUP(J917, IMPOSTO!$A:$D, 4, 0)</f>
        <v>7.0000000000000007E-2</v>
      </c>
      <c r="Y917" s="24">
        <f>VLOOKUP(K917, IMPOSTO!$A:$D, 4, 0)</f>
        <v>0.12</v>
      </c>
      <c r="Z917" s="24">
        <f>VLOOKUP(L917, IMPOSTO!$A:$D, 4, 0)</f>
        <v>0.18</v>
      </c>
      <c r="AA917" s="24">
        <f>VLOOKUP(M917, IMPOSTO!$A:$D, 4, 0)</f>
        <v>0.12</v>
      </c>
      <c r="AB917" s="24">
        <f>VLOOKUP(N917, IMPOSTO!$A:$D, 4, 0)</f>
        <v>7.0000000000000007E-2</v>
      </c>
      <c r="AC917" s="25">
        <f t="shared" si="135"/>
        <v>614.09090909090901</v>
      </c>
      <c r="AD917" s="25">
        <f t="shared" si="136"/>
        <v>614.65909090909088</v>
      </c>
      <c r="AE917" s="25">
        <f t="shared" si="137"/>
        <v>590.9677419354839</v>
      </c>
      <c r="AF917" s="25">
        <f t="shared" si="138"/>
        <v>695.34090909090901</v>
      </c>
      <c r="AG917" s="25">
        <f t="shared" si="139"/>
        <v>606.70731707317066</v>
      </c>
      <c r="AH917" s="25">
        <f t="shared" si="140"/>
        <v>662.15909090909099</v>
      </c>
      <c r="AI917" s="25">
        <f t="shared" si="141"/>
        <v>1005.2688172043013</v>
      </c>
    </row>
    <row r="918" spans="1:35" ht="15.75" customHeight="1">
      <c r="A918" s="12" t="s">
        <v>496</v>
      </c>
      <c r="B918" s="12" t="s">
        <v>497</v>
      </c>
      <c r="C918" s="12" t="s">
        <v>223</v>
      </c>
      <c r="D918" s="12" t="s">
        <v>33</v>
      </c>
      <c r="E918" s="12" t="s">
        <v>27</v>
      </c>
      <c r="F918" s="13">
        <v>10076.828999999989</v>
      </c>
      <c r="G918" s="14">
        <v>316137.74592399987</v>
      </c>
      <c r="H918" s="24" t="str">
        <f t="shared" si="134"/>
        <v>RJSP</v>
      </c>
      <c r="I918" s="24" t="str">
        <f t="shared" si="133"/>
        <v>RJMG</v>
      </c>
      <c r="J918" s="24" t="str">
        <f t="shared" ref="I918:N981" si="142">$E918 &amp; J$17</f>
        <v>RJES</v>
      </c>
      <c r="K918" s="24" t="str">
        <f t="shared" si="142"/>
        <v>RJSC</v>
      </c>
      <c r="L918" s="24" t="str">
        <f t="shared" si="142"/>
        <v>RJRJ</v>
      </c>
      <c r="M918" s="24" t="str">
        <f t="shared" si="142"/>
        <v>RJPR</v>
      </c>
      <c r="N918" s="24" t="str">
        <f t="shared" si="142"/>
        <v>RJAM</v>
      </c>
      <c r="O918" s="24">
        <f>VLOOKUP(H918, KM!$A:$E, 5, 0)</f>
        <v>429</v>
      </c>
      <c r="P918" s="24">
        <f>VLOOKUP(I918, KM!$A:$E, 5, 0)</f>
        <v>434</v>
      </c>
      <c r="Q918" s="24">
        <f>VLOOKUP(J918, KM!$A:$E, 5, 0)</f>
        <v>521</v>
      </c>
      <c r="R918" s="24">
        <f>VLOOKUP(K918, KM!$A:$E, 5, 0)</f>
        <v>1144</v>
      </c>
      <c r="S918" s="24">
        <f>VLOOKUP(L918, KM!$A:$E, 5, 0)</f>
        <v>0</v>
      </c>
      <c r="T918" s="24">
        <f>VLOOKUP(M918, KM!$A:$E, 5, 0)</f>
        <v>852</v>
      </c>
      <c r="U918" s="24">
        <f>VLOOKUP(N918, KM!$A:$E, 5, 0)</f>
        <v>4374</v>
      </c>
      <c r="V918" s="24">
        <f>VLOOKUP(H918, IMPOSTO!$A:$D, 4, 0)</f>
        <v>0.12</v>
      </c>
      <c r="W918" s="24">
        <f>VLOOKUP(I918, IMPOSTO!$A:$D, 4, 0)</f>
        <v>0.12</v>
      </c>
      <c r="X918" s="24">
        <f>VLOOKUP(J918, IMPOSTO!$A:$D, 4, 0)</f>
        <v>7.0000000000000007E-2</v>
      </c>
      <c r="Y918" s="24">
        <f>VLOOKUP(K918, IMPOSTO!$A:$D, 4, 0)</f>
        <v>0.12</v>
      </c>
      <c r="Z918" s="24">
        <f>VLOOKUP(L918, IMPOSTO!$A:$D, 4, 0)</f>
        <v>0.18</v>
      </c>
      <c r="AA918" s="24">
        <f>VLOOKUP(M918, IMPOSTO!$A:$D, 4, 0)</f>
        <v>0.12</v>
      </c>
      <c r="AB918" s="24">
        <f>VLOOKUP(N918, IMPOSTO!$A:$D, 4, 0)</f>
        <v>7.0000000000000007E-2</v>
      </c>
      <c r="AC918" s="25">
        <f t="shared" si="135"/>
        <v>359296.1885499999</v>
      </c>
      <c r="AD918" s="25">
        <f t="shared" si="136"/>
        <v>359296.75673181808</v>
      </c>
      <c r="AE918" s="25">
        <f t="shared" si="137"/>
        <v>339989.08163870953</v>
      </c>
      <c r="AF918" s="25">
        <f t="shared" si="138"/>
        <v>359377.4385499999</v>
      </c>
      <c r="AG918" s="25">
        <f t="shared" si="139"/>
        <v>385533.83649268275</v>
      </c>
      <c r="AH918" s="25">
        <f t="shared" si="140"/>
        <v>359344.25673181802</v>
      </c>
      <c r="AI918" s="25">
        <f t="shared" si="141"/>
        <v>340403.38271397841</v>
      </c>
    </row>
    <row r="919" spans="1:35" ht="15.75" customHeight="1">
      <c r="A919" s="12" t="s">
        <v>510</v>
      </c>
      <c r="B919" s="12" t="s">
        <v>511</v>
      </c>
      <c r="C919" s="12" t="s">
        <v>299</v>
      </c>
      <c r="D919" s="12" t="s">
        <v>33</v>
      </c>
      <c r="E919" s="12" t="s">
        <v>27</v>
      </c>
      <c r="F919" s="13">
        <v>13173.493200000003</v>
      </c>
      <c r="G919" s="14">
        <v>1189908.1896169998</v>
      </c>
      <c r="H919" s="24" t="str">
        <f t="shared" si="134"/>
        <v>RJSP</v>
      </c>
      <c r="I919" s="24" t="str">
        <f t="shared" si="142"/>
        <v>RJMG</v>
      </c>
      <c r="J919" s="24" t="str">
        <f t="shared" si="142"/>
        <v>RJES</v>
      </c>
      <c r="K919" s="24" t="str">
        <f t="shared" si="142"/>
        <v>RJSC</v>
      </c>
      <c r="L919" s="24" t="str">
        <f t="shared" si="142"/>
        <v>RJRJ</v>
      </c>
      <c r="M919" s="24" t="str">
        <f t="shared" si="142"/>
        <v>RJPR</v>
      </c>
      <c r="N919" s="24" t="str">
        <f t="shared" si="142"/>
        <v>RJAM</v>
      </c>
      <c r="O919" s="24">
        <f>VLOOKUP(H919, KM!$A:$E, 5, 0)</f>
        <v>429</v>
      </c>
      <c r="P919" s="24">
        <f>VLOOKUP(I919, KM!$A:$E, 5, 0)</f>
        <v>434</v>
      </c>
      <c r="Q919" s="24">
        <f>VLOOKUP(J919, KM!$A:$E, 5, 0)</f>
        <v>521</v>
      </c>
      <c r="R919" s="24">
        <f>VLOOKUP(K919, KM!$A:$E, 5, 0)</f>
        <v>1144</v>
      </c>
      <c r="S919" s="24">
        <f>VLOOKUP(L919, KM!$A:$E, 5, 0)</f>
        <v>0</v>
      </c>
      <c r="T919" s="24">
        <f>VLOOKUP(M919, KM!$A:$E, 5, 0)</f>
        <v>852</v>
      </c>
      <c r="U919" s="24">
        <f>VLOOKUP(N919, KM!$A:$E, 5, 0)</f>
        <v>4374</v>
      </c>
      <c r="V919" s="24">
        <f>VLOOKUP(H919, IMPOSTO!$A:$D, 4, 0)</f>
        <v>0.12</v>
      </c>
      <c r="W919" s="24">
        <f>VLOOKUP(I919, IMPOSTO!$A:$D, 4, 0)</f>
        <v>0.12</v>
      </c>
      <c r="X919" s="24">
        <f>VLOOKUP(J919, IMPOSTO!$A:$D, 4, 0)</f>
        <v>7.0000000000000007E-2</v>
      </c>
      <c r="Y919" s="24">
        <f>VLOOKUP(K919, IMPOSTO!$A:$D, 4, 0)</f>
        <v>0.12</v>
      </c>
      <c r="Z919" s="24">
        <f>VLOOKUP(L919, IMPOSTO!$A:$D, 4, 0)</f>
        <v>0.18</v>
      </c>
      <c r="AA919" s="24">
        <f>VLOOKUP(M919, IMPOSTO!$A:$D, 4, 0)</f>
        <v>0.12</v>
      </c>
      <c r="AB919" s="24">
        <f>VLOOKUP(N919, IMPOSTO!$A:$D, 4, 0)</f>
        <v>7.0000000000000007E-2</v>
      </c>
      <c r="AC919" s="25">
        <f t="shared" si="135"/>
        <v>1352217.1472920452</v>
      </c>
      <c r="AD919" s="25">
        <f t="shared" si="136"/>
        <v>1352217.7154738633</v>
      </c>
      <c r="AE919" s="25">
        <f t="shared" si="137"/>
        <v>1279527.1931365591</v>
      </c>
      <c r="AF919" s="25">
        <f t="shared" si="138"/>
        <v>1352298.3972920452</v>
      </c>
      <c r="AG919" s="25">
        <f t="shared" si="139"/>
        <v>1451107.5483134142</v>
      </c>
      <c r="AH919" s="25">
        <f t="shared" si="140"/>
        <v>1352265.2154738633</v>
      </c>
      <c r="AI919" s="25">
        <f t="shared" si="141"/>
        <v>1279941.4942118276</v>
      </c>
    </row>
    <row r="920" spans="1:35" ht="15.75" customHeight="1">
      <c r="A920" s="12" t="s">
        <v>288</v>
      </c>
      <c r="B920" s="12" t="s">
        <v>289</v>
      </c>
      <c r="C920" s="12" t="s">
        <v>283</v>
      </c>
      <c r="D920" s="12" t="s">
        <v>33</v>
      </c>
      <c r="E920" s="12" t="s">
        <v>27</v>
      </c>
      <c r="F920" s="13">
        <v>16665.555400000008</v>
      </c>
      <c r="G920" s="14">
        <v>663896.17615899967</v>
      </c>
      <c r="H920" s="24" t="str">
        <f t="shared" si="134"/>
        <v>RJSP</v>
      </c>
      <c r="I920" s="24" t="str">
        <f t="shared" si="142"/>
        <v>RJMG</v>
      </c>
      <c r="J920" s="24" t="str">
        <f t="shared" si="142"/>
        <v>RJES</v>
      </c>
      <c r="K920" s="24" t="str">
        <f t="shared" si="142"/>
        <v>RJSC</v>
      </c>
      <c r="L920" s="24" t="str">
        <f t="shared" si="142"/>
        <v>RJRJ</v>
      </c>
      <c r="M920" s="24" t="str">
        <f t="shared" si="142"/>
        <v>RJPR</v>
      </c>
      <c r="N920" s="24" t="str">
        <f t="shared" si="142"/>
        <v>RJAM</v>
      </c>
      <c r="O920" s="24">
        <f>VLOOKUP(H920, KM!$A:$E, 5, 0)</f>
        <v>429</v>
      </c>
      <c r="P920" s="24">
        <f>VLOOKUP(I920, KM!$A:$E, 5, 0)</f>
        <v>434</v>
      </c>
      <c r="Q920" s="24">
        <f>VLOOKUP(J920, KM!$A:$E, 5, 0)</f>
        <v>521</v>
      </c>
      <c r="R920" s="24">
        <f>VLOOKUP(K920, KM!$A:$E, 5, 0)</f>
        <v>1144</v>
      </c>
      <c r="S920" s="24">
        <f>VLOOKUP(L920, KM!$A:$E, 5, 0)</f>
        <v>0</v>
      </c>
      <c r="T920" s="24">
        <f>VLOOKUP(M920, KM!$A:$E, 5, 0)</f>
        <v>852</v>
      </c>
      <c r="U920" s="24">
        <f>VLOOKUP(N920, KM!$A:$E, 5, 0)</f>
        <v>4374</v>
      </c>
      <c r="V920" s="24">
        <f>VLOOKUP(H920, IMPOSTO!$A:$D, 4, 0)</f>
        <v>0.12</v>
      </c>
      <c r="W920" s="24">
        <f>VLOOKUP(I920, IMPOSTO!$A:$D, 4, 0)</f>
        <v>0.12</v>
      </c>
      <c r="X920" s="24">
        <f>VLOOKUP(J920, IMPOSTO!$A:$D, 4, 0)</f>
        <v>7.0000000000000007E-2</v>
      </c>
      <c r="Y920" s="24">
        <f>VLOOKUP(K920, IMPOSTO!$A:$D, 4, 0)</f>
        <v>0.12</v>
      </c>
      <c r="Z920" s="24">
        <f>VLOOKUP(L920, IMPOSTO!$A:$D, 4, 0)</f>
        <v>0.18</v>
      </c>
      <c r="AA920" s="24">
        <f>VLOOKUP(M920, IMPOSTO!$A:$D, 4, 0)</f>
        <v>0.12</v>
      </c>
      <c r="AB920" s="24">
        <f>VLOOKUP(N920, IMPOSTO!$A:$D, 4, 0)</f>
        <v>7.0000000000000007E-2</v>
      </c>
      <c r="AC920" s="25">
        <f t="shared" si="135"/>
        <v>754476.22290795424</v>
      </c>
      <c r="AD920" s="25">
        <f t="shared" si="136"/>
        <v>754476.79108977236</v>
      </c>
      <c r="AE920" s="25">
        <f t="shared" si="137"/>
        <v>713922.87759032228</v>
      </c>
      <c r="AF920" s="25">
        <f t="shared" si="138"/>
        <v>754557.47290795424</v>
      </c>
      <c r="AG920" s="25">
        <f t="shared" si="139"/>
        <v>809629.48312073119</v>
      </c>
      <c r="AH920" s="25">
        <f t="shared" si="140"/>
        <v>754524.29108977225</v>
      </c>
      <c r="AI920" s="25">
        <f t="shared" si="141"/>
        <v>714337.17866559117</v>
      </c>
    </row>
    <row r="921" spans="1:35" ht="15.75" customHeight="1">
      <c r="A921" s="12" t="s">
        <v>355</v>
      </c>
      <c r="B921" s="12" t="s">
        <v>356</v>
      </c>
      <c r="C921" s="12" t="s">
        <v>283</v>
      </c>
      <c r="D921" s="12" t="s">
        <v>33</v>
      </c>
      <c r="E921" s="12" t="s">
        <v>27</v>
      </c>
      <c r="F921" s="13">
        <v>10210.096000000003</v>
      </c>
      <c r="G921" s="14">
        <v>458072.35172399989</v>
      </c>
      <c r="H921" s="24" t="str">
        <f t="shared" si="134"/>
        <v>RJSP</v>
      </c>
      <c r="I921" s="24" t="str">
        <f t="shared" si="142"/>
        <v>RJMG</v>
      </c>
      <c r="J921" s="24" t="str">
        <f t="shared" si="142"/>
        <v>RJES</v>
      </c>
      <c r="K921" s="24" t="str">
        <f t="shared" si="142"/>
        <v>RJSC</v>
      </c>
      <c r="L921" s="24" t="str">
        <f t="shared" si="142"/>
        <v>RJRJ</v>
      </c>
      <c r="M921" s="24" t="str">
        <f t="shared" si="142"/>
        <v>RJPR</v>
      </c>
      <c r="N921" s="24" t="str">
        <f t="shared" si="142"/>
        <v>RJAM</v>
      </c>
      <c r="O921" s="24">
        <f>VLOOKUP(H921, KM!$A:$E, 5, 0)</f>
        <v>429</v>
      </c>
      <c r="P921" s="24">
        <f>VLOOKUP(I921, KM!$A:$E, 5, 0)</f>
        <v>434</v>
      </c>
      <c r="Q921" s="24">
        <f>VLOOKUP(J921, KM!$A:$E, 5, 0)</f>
        <v>521</v>
      </c>
      <c r="R921" s="24">
        <f>VLOOKUP(K921, KM!$A:$E, 5, 0)</f>
        <v>1144</v>
      </c>
      <c r="S921" s="24">
        <f>VLOOKUP(L921, KM!$A:$E, 5, 0)</f>
        <v>0</v>
      </c>
      <c r="T921" s="24">
        <f>VLOOKUP(M921, KM!$A:$E, 5, 0)</f>
        <v>852</v>
      </c>
      <c r="U921" s="24">
        <f>VLOOKUP(N921, KM!$A:$E, 5, 0)</f>
        <v>4374</v>
      </c>
      <c r="V921" s="24">
        <f>VLOOKUP(H921, IMPOSTO!$A:$D, 4, 0)</f>
        <v>0.12</v>
      </c>
      <c r="W921" s="24">
        <f>VLOOKUP(I921, IMPOSTO!$A:$D, 4, 0)</f>
        <v>0.12</v>
      </c>
      <c r="X921" s="24">
        <f>VLOOKUP(J921, IMPOSTO!$A:$D, 4, 0)</f>
        <v>7.0000000000000007E-2</v>
      </c>
      <c r="Y921" s="24">
        <f>VLOOKUP(K921, IMPOSTO!$A:$D, 4, 0)</f>
        <v>0.12</v>
      </c>
      <c r="Z921" s="24">
        <f>VLOOKUP(L921, IMPOSTO!$A:$D, 4, 0)</f>
        <v>0.18</v>
      </c>
      <c r="AA921" s="24">
        <f>VLOOKUP(M921, IMPOSTO!$A:$D, 4, 0)</f>
        <v>0.12</v>
      </c>
      <c r="AB921" s="24">
        <f>VLOOKUP(N921, IMPOSTO!$A:$D, 4, 0)</f>
        <v>7.0000000000000007E-2</v>
      </c>
      <c r="AC921" s="25">
        <f t="shared" si="135"/>
        <v>520585.51332272717</v>
      </c>
      <c r="AD921" s="25">
        <f t="shared" si="136"/>
        <v>520586.08150454535</v>
      </c>
      <c r="AE921" s="25">
        <f t="shared" si="137"/>
        <v>492606.93733763433</v>
      </c>
      <c r="AF921" s="25">
        <f t="shared" si="138"/>
        <v>520666.76332272717</v>
      </c>
      <c r="AG921" s="25">
        <f t="shared" si="139"/>
        <v>558624.81917560962</v>
      </c>
      <c r="AH921" s="25">
        <f t="shared" si="140"/>
        <v>520633.58150454535</v>
      </c>
      <c r="AI921" s="25">
        <f t="shared" si="141"/>
        <v>493021.23841290316</v>
      </c>
    </row>
    <row r="922" spans="1:35" ht="15.75" customHeight="1">
      <c r="A922" s="12" t="s">
        <v>290</v>
      </c>
      <c r="B922" s="12" t="s">
        <v>291</v>
      </c>
      <c r="C922" s="12" t="s">
        <v>283</v>
      </c>
      <c r="D922" s="12" t="s">
        <v>33</v>
      </c>
      <c r="E922" s="12" t="s">
        <v>27</v>
      </c>
      <c r="F922" s="13">
        <v>4990.5038999999988</v>
      </c>
      <c r="G922" s="14">
        <v>213121.35159900002</v>
      </c>
      <c r="H922" s="24" t="str">
        <f t="shared" si="134"/>
        <v>RJSP</v>
      </c>
      <c r="I922" s="24" t="str">
        <f t="shared" si="142"/>
        <v>RJMG</v>
      </c>
      <c r="J922" s="24" t="str">
        <f t="shared" si="142"/>
        <v>RJES</v>
      </c>
      <c r="K922" s="24" t="str">
        <f t="shared" si="142"/>
        <v>RJSC</v>
      </c>
      <c r="L922" s="24" t="str">
        <f t="shared" si="142"/>
        <v>RJRJ</v>
      </c>
      <c r="M922" s="24" t="str">
        <f t="shared" si="142"/>
        <v>RJPR</v>
      </c>
      <c r="N922" s="24" t="str">
        <f t="shared" si="142"/>
        <v>RJAM</v>
      </c>
      <c r="O922" s="24">
        <f>VLOOKUP(H922, KM!$A:$E, 5, 0)</f>
        <v>429</v>
      </c>
      <c r="P922" s="24">
        <f>VLOOKUP(I922, KM!$A:$E, 5, 0)</f>
        <v>434</v>
      </c>
      <c r="Q922" s="24">
        <f>VLOOKUP(J922, KM!$A:$E, 5, 0)</f>
        <v>521</v>
      </c>
      <c r="R922" s="24">
        <f>VLOOKUP(K922, KM!$A:$E, 5, 0)</f>
        <v>1144</v>
      </c>
      <c r="S922" s="24">
        <f>VLOOKUP(L922, KM!$A:$E, 5, 0)</f>
        <v>0</v>
      </c>
      <c r="T922" s="24">
        <f>VLOOKUP(M922, KM!$A:$E, 5, 0)</f>
        <v>852</v>
      </c>
      <c r="U922" s="24">
        <f>VLOOKUP(N922, KM!$A:$E, 5, 0)</f>
        <v>4374</v>
      </c>
      <c r="V922" s="24">
        <f>VLOOKUP(H922, IMPOSTO!$A:$D, 4, 0)</f>
        <v>0.12</v>
      </c>
      <c r="W922" s="24">
        <f>VLOOKUP(I922, IMPOSTO!$A:$D, 4, 0)</f>
        <v>0.12</v>
      </c>
      <c r="X922" s="24">
        <f>VLOOKUP(J922, IMPOSTO!$A:$D, 4, 0)</f>
        <v>7.0000000000000007E-2</v>
      </c>
      <c r="Y922" s="24">
        <f>VLOOKUP(K922, IMPOSTO!$A:$D, 4, 0)</f>
        <v>0.12</v>
      </c>
      <c r="Z922" s="24">
        <f>VLOOKUP(L922, IMPOSTO!$A:$D, 4, 0)</f>
        <v>0.18</v>
      </c>
      <c r="AA922" s="24">
        <f>VLOOKUP(M922, IMPOSTO!$A:$D, 4, 0)</f>
        <v>0.12</v>
      </c>
      <c r="AB922" s="24">
        <f>VLOOKUP(N922, IMPOSTO!$A:$D, 4, 0)</f>
        <v>7.0000000000000007E-2</v>
      </c>
      <c r="AC922" s="25">
        <f t="shared" si="135"/>
        <v>242232.10408977274</v>
      </c>
      <c r="AD922" s="25">
        <f t="shared" si="136"/>
        <v>242232.67227159091</v>
      </c>
      <c r="AE922" s="25">
        <f t="shared" si="137"/>
        <v>229218.76516021509</v>
      </c>
      <c r="AF922" s="25">
        <f t="shared" si="138"/>
        <v>242313.35408977274</v>
      </c>
      <c r="AG922" s="25">
        <f t="shared" si="139"/>
        <v>259904.08731585366</v>
      </c>
      <c r="AH922" s="25">
        <f t="shared" si="140"/>
        <v>242280.17227159094</v>
      </c>
      <c r="AI922" s="25">
        <f t="shared" si="141"/>
        <v>229633.06623548389</v>
      </c>
    </row>
    <row r="923" spans="1:35" ht="15.75" customHeight="1">
      <c r="A923" s="12" t="s">
        <v>708</v>
      </c>
      <c r="B923" s="12" t="s">
        <v>709</v>
      </c>
      <c r="C923" s="12" t="s">
        <v>232</v>
      </c>
      <c r="D923" s="12" t="s">
        <v>33</v>
      </c>
      <c r="E923" s="12" t="s">
        <v>27</v>
      </c>
      <c r="F923" s="13">
        <v>799</v>
      </c>
      <c r="G923" s="14">
        <v>13803.830000000002</v>
      </c>
      <c r="H923" s="24" t="str">
        <f t="shared" si="134"/>
        <v>RJSP</v>
      </c>
      <c r="I923" s="24" t="str">
        <f t="shared" si="142"/>
        <v>RJMG</v>
      </c>
      <c r="J923" s="24" t="str">
        <f t="shared" si="142"/>
        <v>RJES</v>
      </c>
      <c r="K923" s="24" t="str">
        <f t="shared" si="142"/>
        <v>RJSC</v>
      </c>
      <c r="L923" s="24" t="str">
        <f t="shared" si="142"/>
        <v>RJRJ</v>
      </c>
      <c r="M923" s="24" t="str">
        <f t="shared" si="142"/>
        <v>RJPR</v>
      </c>
      <c r="N923" s="24" t="str">
        <f t="shared" si="142"/>
        <v>RJAM</v>
      </c>
      <c r="O923" s="24">
        <f>VLOOKUP(H923, KM!$A:$E, 5, 0)</f>
        <v>429</v>
      </c>
      <c r="P923" s="24">
        <f>VLOOKUP(I923, KM!$A:$E, 5, 0)</f>
        <v>434</v>
      </c>
      <c r="Q923" s="24">
        <f>VLOOKUP(J923, KM!$A:$E, 5, 0)</f>
        <v>521</v>
      </c>
      <c r="R923" s="24">
        <f>VLOOKUP(K923, KM!$A:$E, 5, 0)</f>
        <v>1144</v>
      </c>
      <c r="S923" s="24">
        <f>VLOOKUP(L923, KM!$A:$E, 5, 0)</f>
        <v>0</v>
      </c>
      <c r="T923" s="24">
        <f>VLOOKUP(M923, KM!$A:$E, 5, 0)</f>
        <v>852</v>
      </c>
      <c r="U923" s="24">
        <f>VLOOKUP(N923, KM!$A:$E, 5, 0)</f>
        <v>4374</v>
      </c>
      <c r="V923" s="24">
        <f>VLOOKUP(H923, IMPOSTO!$A:$D, 4, 0)</f>
        <v>0.12</v>
      </c>
      <c r="W923" s="24">
        <f>VLOOKUP(I923, IMPOSTO!$A:$D, 4, 0)</f>
        <v>0.12</v>
      </c>
      <c r="X923" s="24">
        <f>VLOOKUP(J923, IMPOSTO!$A:$D, 4, 0)</f>
        <v>7.0000000000000007E-2</v>
      </c>
      <c r="Y923" s="24">
        <f>VLOOKUP(K923, IMPOSTO!$A:$D, 4, 0)</f>
        <v>0.12</v>
      </c>
      <c r="Z923" s="24">
        <f>VLOOKUP(L923, IMPOSTO!$A:$D, 4, 0)</f>
        <v>0.18</v>
      </c>
      <c r="AA923" s="24">
        <f>VLOOKUP(M923, IMPOSTO!$A:$D, 4, 0)</f>
        <v>0.12</v>
      </c>
      <c r="AB923" s="24">
        <f>VLOOKUP(N923, IMPOSTO!$A:$D, 4, 0)</f>
        <v>7.0000000000000007E-2</v>
      </c>
      <c r="AC923" s="25">
        <f t="shared" si="135"/>
        <v>15734.920454545456</v>
      </c>
      <c r="AD923" s="25">
        <f t="shared" si="136"/>
        <v>15735.488636363638</v>
      </c>
      <c r="AE923" s="25">
        <f t="shared" si="137"/>
        <v>14898.849462365595</v>
      </c>
      <c r="AF923" s="25">
        <f t="shared" si="138"/>
        <v>15816.170454545456</v>
      </c>
      <c r="AG923" s="25">
        <f t="shared" si="139"/>
        <v>16833.939024390245</v>
      </c>
      <c r="AH923" s="25">
        <f t="shared" si="140"/>
        <v>15782.98863636364</v>
      </c>
      <c r="AI923" s="25">
        <f t="shared" si="141"/>
        <v>15313.15053763441</v>
      </c>
    </row>
    <row r="924" spans="1:35" ht="15.75" customHeight="1">
      <c r="A924" s="12" t="s">
        <v>710</v>
      </c>
      <c r="B924" s="12" t="s">
        <v>711</v>
      </c>
      <c r="C924" s="12" t="s">
        <v>333</v>
      </c>
      <c r="D924" s="12" t="s">
        <v>33</v>
      </c>
      <c r="E924" s="12" t="s">
        <v>27</v>
      </c>
      <c r="F924" s="13">
        <v>83</v>
      </c>
      <c r="G924" s="14">
        <v>2061.92</v>
      </c>
      <c r="H924" s="24" t="str">
        <f t="shared" si="134"/>
        <v>RJSP</v>
      </c>
      <c r="I924" s="24" t="str">
        <f t="shared" si="142"/>
        <v>RJMG</v>
      </c>
      <c r="J924" s="24" t="str">
        <f t="shared" si="142"/>
        <v>RJES</v>
      </c>
      <c r="K924" s="24" t="str">
        <f t="shared" si="142"/>
        <v>RJSC</v>
      </c>
      <c r="L924" s="24" t="str">
        <f t="shared" si="142"/>
        <v>RJRJ</v>
      </c>
      <c r="M924" s="24" t="str">
        <f t="shared" si="142"/>
        <v>RJPR</v>
      </c>
      <c r="N924" s="24" t="str">
        <f t="shared" si="142"/>
        <v>RJAM</v>
      </c>
      <c r="O924" s="24">
        <f>VLOOKUP(H924, KM!$A:$E, 5, 0)</f>
        <v>429</v>
      </c>
      <c r="P924" s="24">
        <f>VLOOKUP(I924, KM!$A:$E, 5, 0)</f>
        <v>434</v>
      </c>
      <c r="Q924" s="24">
        <f>VLOOKUP(J924, KM!$A:$E, 5, 0)</f>
        <v>521</v>
      </c>
      <c r="R924" s="24">
        <f>VLOOKUP(K924, KM!$A:$E, 5, 0)</f>
        <v>1144</v>
      </c>
      <c r="S924" s="24">
        <f>VLOOKUP(L924, KM!$A:$E, 5, 0)</f>
        <v>0</v>
      </c>
      <c r="T924" s="24">
        <f>VLOOKUP(M924, KM!$A:$E, 5, 0)</f>
        <v>852</v>
      </c>
      <c r="U924" s="24">
        <f>VLOOKUP(N924, KM!$A:$E, 5, 0)</f>
        <v>4374</v>
      </c>
      <c r="V924" s="24">
        <f>VLOOKUP(H924, IMPOSTO!$A:$D, 4, 0)</f>
        <v>0.12</v>
      </c>
      <c r="W924" s="24">
        <f>VLOOKUP(I924, IMPOSTO!$A:$D, 4, 0)</f>
        <v>0.12</v>
      </c>
      <c r="X924" s="24">
        <f>VLOOKUP(J924, IMPOSTO!$A:$D, 4, 0)</f>
        <v>7.0000000000000007E-2</v>
      </c>
      <c r="Y924" s="24">
        <f>VLOOKUP(K924, IMPOSTO!$A:$D, 4, 0)</f>
        <v>0.12</v>
      </c>
      <c r="Z924" s="24">
        <f>VLOOKUP(L924, IMPOSTO!$A:$D, 4, 0)</f>
        <v>0.18</v>
      </c>
      <c r="AA924" s="24">
        <f>VLOOKUP(M924, IMPOSTO!$A:$D, 4, 0)</f>
        <v>0.12</v>
      </c>
      <c r="AB924" s="24">
        <f>VLOOKUP(N924, IMPOSTO!$A:$D, 4, 0)</f>
        <v>7.0000000000000007E-2</v>
      </c>
      <c r="AC924" s="25">
        <f t="shared" si="135"/>
        <v>2391.8409090909095</v>
      </c>
      <c r="AD924" s="25">
        <f t="shared" si="136"/>
        <v>2392.409090909091</v>
      </c>
      <c r="AE924" s="25">
        <f t="shared" si="137"/>
        <v>2273.1397849462369</v>
      </c>
      <c r="AF924" s="25">
        <f t="shared" si="138"/>
        <v>2473.0909090909095</v>
      </c>
      <c r="AG924" s="25">
        <f t="shared" si="139"/>
        <v>2514.5365853658536</v>
      </c>
      <c r="AH924" s="25">
        <f t="shared" si="140"/>
        <v>2439.909090909091</v>
      </c>
      <c r="AI924" s="25">
        <f t="shared" si="141"/>
        <v>2687.4408602150543</v>
      </c>
    </row>
    <row r="925" spans="1:35" ht="15.75" customHeight="1">
      <c r="A925" s="12" t="s">
        <v>712</v>
      </c>
      <c r="B925" s="12" t="s">
        <v>713</v>
      </c>
      <c r="C925" s="12" t="s">
        <v>299</v>
      </c>
      <c r="D925" s="12" t="s">
        <v>33</v>
      </c>
      <c r="E925" s="12" t="s">
        <v>27</v>
      </c>
      <c r="F925" s="13">
        <v>119</v>
      </c>
      <c r="G925" s="14">
        <v>2872.7599999999998</v>
      </c>
      <c r="H925" s="24" t="str">
        <f t="shared" si="134"/>
        <v>RJSP</v>
      </c>
      <c r="I925" s="24" t="str">
        <f t="shared" si="142"/>
        <v>RJMG</v>
      </c>
      <c r="J925" s="24" t="str">
        <f t="shared" si="142"/>
        <v>RJES</v>
      </c>
      <c r="K925" s="24" t="str">
        <f t="shared" si="142"/>
        <v>RJSC</v>
      </c>
      <c r="L925" s="24" t="str">
        <f t="shared" si="142"/>
        <v>RJRJ</v>
      </c>
      <c r="M925" s="24" t="str">
        <f t="shared" si="142"/>
        <v>RJPR</v>
      </c>
      <c r="N925" s="24" t="str">
        <f t="shared" si="142"/>
        <v>RJAM</v>
      </c>
      <c r="O925" s="24">
        <f>VLOOKUP(H925, KM!$A:$E, 5, 0)</f>
        <v>429</v>
      </c>
      <c r="P925" s="24">
        <f>VLOOKUP(I925, KM!$A:$E, 5, 0)</f>
        <v>434</v>
      </c>
      <c r="Q925" s="24">
        <f>VLOOKUP(J925, KM!$A:$E, 5, 0)</f>
        <v>521</v>
      </c>
      <c r="R925" s="24">
        <f>VLOOKUP(K925, KM!$A:$E, 5, 0)</f>
        <v>1144</v>
      </c>
      <c r="S925" s="24">
        <f>VLOOKUP(L925, KM!$A:$E, 5, 0)</f>
        <v>0</v>
      </c>
      <c r="T925" s="24">
        <f>VLOOKUP(M925, KM!$A:$E, 5, 0)</f>
        <v>852</v>
      </c>
      <c r="U925" s="24">
        <f>VLOOKUP(N925, KM!$A:$E, 5, 0)</f>
        <v>4374</v>
      </c>
      <c r="V925" s="24">
        <f>VLOOKUP(H925, IMPOSTO!$A:$D, 4, 0)</f>
        <v>0.12</v>
      </c>
      <c r="W925" s="24">
        <f>VLOOKUP(I925, IMPOSTO!$A:$D, 4, 0)</f>
        <v>0.12</v>
      </c>
      <c r="X925" s="24">
        <f>VLOOKUP(J925, IMPOSTO!$A:$D, 4, 0)</f>
        <v>7.0000000000000007E-2</v>
      </c>
      <c r="Y925" s="24">
        <f>VLOOKUP(K925, IMPOSTO!$A:$D, 4, 0)</f>
        <v>0.12</v>
      </c>
      <c r="Z925" s="24">
        <f>VLOOKUP(L925, IMPOSTO!$A:$D, 4, 0)</f>
        <v>0.18</v>
      </c>
      <c r="AA925" s="24">
        <f>VLOOKUP(M925, IMPOSTO!$A:$D, 4, 0)</f>
        <v>0.12</v>
      </c>
      <c r="AB925" s="24">
        <f>VLOOKUP(N925, IMPOSTO!$A:$D, 4, 0)</f>
        <v>7.0000000000000007E-2</v>
      </c>
      <c r="AC925" s="25">
        <f t="shared" si="135"/>
        <v>3313.25</v>
      </c>
      <c r="AD925" s="25">
        <f t="shared" si="136"/>
        <v>3313.8181818181815</v>
      </c>
      <c r="AE925" s="25">
        <f t="shared" si="137"/>
        <v>3145.010752688172</v>
      </c>
      <c r="AF925" s="25">
        <f t="shared" si="138"/>
        <v>3394.5</v>
      </c>
      <c r="AG925" s="25">
        <f t="shared" si="139"/>
        <v>3503.3658536585363</v>
      </c>
      <c r="AH925" s="25">
        <f t="shared" si="140"/>
        <v>3361.3181818181815</v>
      </c>
      <c r="AI925" s="25">
        <f t="shared" si="141"/>
        <v>3559.3118279569894</v>
      </c>
    </row>
    <row r="926" spans="1:35" ht="15.75" customHeight="1">
      <c r="A926" s="12" t="s">
        <v>578</v>
      </c>
      <c r="B926" s="12" t="s">
        <v>579</v>
      </c>
      <c r="C926" s="12" t="s">
        <v>176</v>
      </c>
      <c r="D926" s="12" t="s">
        <v>33</v>
      </c>
      <c r="E926" s="12" t="s">
        <v>27</v>
      </c>
      <c r="F926" s="13">
        <v>2010.9869999999989</v>
      </c>
      <c r="G926" s="14">
        <v>65383.62778588236</v>
      </c>
      <c r="H926" s="24" t="str">
        <f t="shared" si="134"/>
        <v>RJSP</v>
      </c>
      <c r="I926" s="24" t="str">
        <f t="shared" si="142"/>
        <v>RJMG</v>
      </c>
      <c r="J926" s="24" t="str">
        <f t="shared" si="142"/>
        <v>RJES</v>
      </c>
      <c r="K926" s="24" t="str">
        <f t="shared" si="142"/>
        <v>RJSC</v>
      </c>
      <c r="L926" s="24" t="str">
        <f t="shared" si="142"/>
        <v>RJRJ</v>
      </c>
      <c r="M926" s="24" t="str">
        <f t="shared" si="142"/>
        <v>RJPR</v>
      </c>
      <c r="N926" s="24" t="str">
        <f t="shared" si="142"/>
        <v>RJAM</v>
      </c>
      <c r="O926" s="24">
        <f>VLOOKUP(H926, KM!$A:$E, 5, 0)</f>
        <v>429</v>
      </c>
      <c r="P926" s="24">
        <f>VLOOKUP(I926, KM!$A:$E, 5, 0)</f>
        <v>434</v>
      </c>
      <c r="Q926" s="24">
        <f>VLOOKUP(J926, KM!$A:$E, 5, 0)</f>
        <v>521</v>
      </c>
      <c r="R926" s="24">
        <f>VLOOKUP(K926, KM!$A:$E, 5, 0)</f>
        <v>1144</v>
      </c>
      <c r="S926" s="24">
        <f>VLOOKUP(L926, KM!$A:$E, 5, 0)</f>
        <v>0</v>
      </c>
      <c r="T926" s="24">
        <f>VLOOKUP(M926, KM!$A:$E, 5, 0)</f>
        <v>852</v>
      </c>
      <c r="U926" s="24">
        <f>VLOOKUP(N926, KM!$A:$E, 5, 0)</f>
        <v>4374</v>
      </c>
      <c r="V926" s="24">
        <f>VLOOKUP(H926, IMPOSTO!$A:$D, 4, 0)</f>
        <v>0.12</v>
      </c>
      <c r="W926" s="24">
        <f>VLOOKUP(I926, IMPOSTO!$A:$D, 4, 0)</f>
        <v>0.12</v>
      </c>
      <c r="X926" s="24">
        <f>VLOOKUP(J926, IMPOSTO!$A:$D, 4, 0)</f>
        <v>7.0000000000000007E-2</v>
      </c>
      <c r="Y926" s="24">
        <f>VLOOKUP(K926, IMPOSTO!$A:$D, 4, 0)</f>
        <v>0.12</v>
      </c>
      <c r="Z926" s="24">
        <f>VLOOKUP(L926, IMPOSTO!$A:$D, 4, 0)</f>
        <v>0.18</v>
      </c>
      <c r="AA926" s="24">
        <f>VLOOKUP(M926, IMPOSTO!$A:$D, 4, 0)</f>
        <v>0.12</v>
      </c>
      <c r="AB926" s="24">
        <f>VLOOKUP(N926, IMPOSTO!$A:$D, 4, 0)</f>
        <v>7.0000000000000007E-2</v>
      </c>
      <c r="AC926" s="25">
        <f t="shared" si="135"/>
        <v>74348.327029411768</v>
      </c>
      <c r="AD926" s="25">
        <f t="shared" si="136"/>
        <v>74348.895211229959</v>
      </c>
      <c r="AE926" s="25">
        <f t="shared" si="137"/>
        <v>70360.99761922835</v>
      </c>
      <c r="AF926" s="25">
        <f t="shared" si="138"/>
        <v>74429.577029411768</v>
      </c>
      <c r="AG926" s="25">
        <f t="shared" si="139"/>
        <v>79736.131446197993</v>
      </c>
      <c r="AH926" s="25">
        <f t="shared" si="140"/>
        <v>74396.395211229945</v>
      </c>
      <c r="AI926" s="25">
        <f t="shared" si="141"/>
        <v>70775.298694497164</v>
      </c>
    </row>
    <row r="927" spans="1:35" ht="15.75" customHeight="1">
      <c r="A927" s="12" t="s">
        <v>714</v>
      </c>
      <c r="B927" s="12" t="s">
        <v>715</v>
      </c>
      <c r="C927" s="12" t="s">
        <v>163</v>
      </c>
      <c r="D927" s="12" t="s">
        <v>33</v>
      </c>
      <c r="E927" s="12" t="s">
        <v>27</v>
      </c>
      <c r="F927" s="13">
        <v>1965.9999999999989</v>
      </c>
      <c r="G927" s="14">
        <v>118195.73028948708</v>
      </c>
      <c r="H927" s="24" t="str">
        <f t="shared" si="134"/>
        <v>RJSP</v>
      </c>
      <c r="I927" s="24" t="str">
        <f t="shared" si="142"/>
        <v>RJMG</v>
      </c>
      <c r="J927" s="24" t="str">
        <f t="shared" si="142"/>
        <v>RJES</v>
      </c>
      <c r="K927" s="24" t="str">
        <f t="shared" si="142"/>
        <v>RJSC</v>
      </c>
      <c r="L927" s="24" t="str">
        <f t="shared" si="142"/>
        <v>RJRJ</v>
      </c>
      <c r="M927" s="24" t="str">
        <f t="shared" si="142"/>
        <v>RJPR</v>
      </c>
      <c r="N927" s="24" t="str">
        <f t="shared" si="142"/>
        <v>RJAM</v>
      </c>
      <c r="O927" s="24">
        <f>VLOOKUP(H927, KM!$A:$E, 5, 0)</f>
        <v>429</v>
      </c>
      <c r="P927" s="24">
        <f>VLOOKUP(I927, KM!$A:$E, 5, 0)</f>
        <v>434</v>
      </c>
      <c r="Q927" s="24">
        <f>VLOOKUP(J927, KM!$A:$E, 5, 0)</f>
        <v>521</v>
      </c>
      <c r="R927" s="24">
        <f>VLOOKUP(K927, KM!$A:$E, 5, 0)</f>
        <v>1144</v>
      </c>
      <c r="S927" s="24">
        <f>VLOOKUP(L927, KM!$A:$E, 5, 0)</f>
        <v>0</v>
      </c>
      <c r="T927" s="24">
        <f>VLOOKUP(M927, KM!$A:$E, 5, 0)</f>
        <v>852</v>
      </c>
      <c r="U927" s="24">
        <f>VLOOKUP(N927, KM!$A:$E, 5, 0)</f>
        <v>4374</v>
      </c>
      <c r="V927" s="24">
        <f>VLOOKUP(H927, IMPOSTO!$A:$D, 4, 0)</f>
        <v>0.12</v>
      </c>
      <c r="W927" s="24">
        <f>VLOOKUP(I927, IMPOSTO!$A:$D, 4, 0)</f>
        <v>0.12</v>
      </c>
      <c r="X927" s="24">
        <f>VLOOKUP(J927, IMPOSTO!$A:$D, 4, 0)</f>
        <v>7.0000000000000007E-2</v>
      </c>
      <c r="Y927" s="24">
        <f>VLOOKUP(K927, IMPOSTO!$A:$D, 4, 0)</f>
        <v>0.12</v>
      </c>
      <c r="Z927" s="24">
        <f>VLOOKUP(L927, IMPOSTO!$A:$D, 4, 0)</f>
        <v>0.18</v>
      </c>
      <c r="AA927" s="24">
        <f>VLOOKUP(M927, IMPOSTO!$A:$D, 4, 0)</f>
        <v>0.12</v>
      </c>
      <c r="AB927" s="24">
        <f>VLOOKUP(N927, IMPOSTO!$A:$D, 4, 0)</f>
        <v>7.0000000000000007E-2</v>
      </c>
      <c r="AC927" s="25">
        <f t="shared" si="135"/>
        <v>134362.07987441713</v>
      </c>
      <c r="AD927" s="25">
        <f t="shared" si="136"/>
        <v>134362.64805623531</v>
      </c>
      <c r="AE927" s="25">
        <f t="shared" si="137"/>
        <v>127148.20461235172</v>
      </c>
      <c r="AF927" s="25">
        <f t="shared" si="138"/>
        <v>134443.32987441713</v>
      </c>
      <c r="AG927" s="25">
        <f t="shared" si="139"/>
        <v>144141.13449937449</v>
      </c>
      <c r="AH927" s="25">
        <f t="shared" si="140"/>
        <v>134410.14805623531</v>
      </c>
      <c r="AI927" s="25">
        <f t="shared" si="141"/>
        <v>127562.50568762052</v>
      </c>
    </row>
    <row r="928" spans="1:35" ht="15.75" customHeight="1">
      <c r="A928" s="12" t="s">
        <v>552</v>
      </c>
      <c r="B928" s="12" t="s">
        <v>553</v>
      </c>
      <c r="C928" s="12" t="s">
        <v>163</v>
      </c>
      <c r="D928" s="12" t="s">
        <v>33</v>
      </c>
      <c r="E928" s="12" t="s">
        <v>27</v>
      </c>
      <c r="F928" s="13">
        <v>2303.1374349556181</v>
      </c>
      <c r="G928" s="14">
        <v>29054.018059381699</v>
      </c>
      <c r="H928" s="24" t="str">
        <f t="shared" si="134"/>
        <v>RJSP</v>
      </c>
      <c r="I928" s="24" t="str">
        <f t="shared" si="142"/>
        <v>RJMG</v>
      </c>
      <c r="J928" s="24" t="str">
        <f t="shared" si="142"/>
        <v>RJES</v>
      </c>
      <c r="K928" s="24" t="str">
        <f t="shared" si="142"/>
        <v>RJSC</v>
      </c>
      <c r="L928" s="24" t="str">
        <f t="shared" si="142"/>
        <v>RJRJ</v>
      </c>
      <c r="M928" s="24" t="str">
        <f t="shared" si="142"/>
        <v>RJPR</v>
      </c>
      <c r="N928" s="24" t="str">
        <f t="shared" si="142"/>
        <v>RJAM</v>
      </c>
      <c r="O928" s="24">
        <f>VLOOKUP(H928, KM!$A:$E, 5, 0)</f>
        <v>429</v>
      </c>
      <c r="P928" s="24">
        <f>VLOOKUP(I928, KM!$A:$E, 5, 0)</f>
        <v>434</v>
      </c>
      <c r="Q928" s="24">
        <f>VLOOKUP(J928, KM!$A:$E, 5, 0)</f>
        <v>521</v>
      </c>
      <c r="R928" s="24">
        <f>VLOOKUP(K928, KM!$A:$E, 5, 0)</f>
        <v>1144</v>
      </c>
      <c r="S928" s="24">
        <f>VLOOKUP(L928, KM!$A:$E, 5, 0)</f>
        <v>0</v>
      </c>
      <c r="T928" s="24">
        <f>VLOOKUP(M928, KM!$A:$E, 5, 0)</f>
        <v>852</v>
      </c>
      <c r="U928" s="24">
        <f>VLOOKUP(N928, KM!$A:$E, 5, 0)</f>
        <v>4374</v>
      </c>
      <c r="V928" s="24">
        <f>VLOOKUP(H928, IMPOSTO!$A:$D, 4, 0)</f>
        <v>0.12</v>
      </c>
      <c r="W928" s="24">
        <f>VLOOKUP(I928, IMPOSTO!$A:$D, 4, 0)</f>
        <v>0.12</v>
      </c>
      <c r="X928" s="24">
        <f>VLOOKUP(J928, IMPOSTO!$A:$D, 4, 0)</f>
        <v>7.0000000000000007E-2</v>
      </c>
      <c r="Y928" s="24">
        <f>VLOOKUP(K928, IMPOSTO!$A:$D, 4, 0)</f>
        <v>0.12</v>
      </c>
      <c r="Z928" s="24">
        <f>VLOOKUP(L928, IMPOSTO!$A:$D, 4, 0)</f>
        <v>0.18</v>
      </c>
      <c r="AA928" s="24">
        <f>VLOOKUP(M928, IMPOSTO!$A:$D, 4, 0)</f>
        <v>0.12</v>
      </c>
      <c r="AB928" s="24">
        <f>VLOOKUP(N928, IMPOSTO!$A:$D, 4, 0)</f>
        <v>7.0000000000000007E-2</v>
      </c>
      <c r="AC928" s="25">
        <f t="shared" si="135"/>
        <v>33064.679612933753</v>
      </c>
      <c r="AD928" s="25">
        <f t="shared" si="136"/>
        <v>33065.247794751929</v>
      </c>
      <c r="AE928" s="25">
        <f t="shared" si="137"/>
        <v>31296.901139120106</v>
      </c>
      <c r="AF928" s="25">
        <f t="shared" si="138"/>
        <v>33145.929612933753</v>
      </c>
      <c r="AG928" s="25">
        <f t="shared" si="139"/>
        <v>35431.729340709389</v>
      </c>
      <c r="AH928" s="25">
        <f t="shared" si="140"/>
        <v>33112.747794751929</v>
      </c>
      <c r="AI928" s="25">
        <f t="shared" si="141"/>
        <v>31711.202214388926</v>
      </c>
    </row>
    <row r="929" spans="1:35" ht="15.75" customHeight="1">
      <c r="A929" s="12" t="s">
        <v>554</v>
      </c>
      <c r="B929" s="12" t="s">
        <v>555</v>
      </c>
      <c r="C929" s="12" t="s">
        <v>163</v>
      </c>
      <c r="D929" s="12" t="s">
        <v>33</v>
      </c>
      <c r="E929" s="12" t="s">
        <v>27</v>
      </c>
      <c r="F929" s="13">
        <v>79.444985394352486</v>
      </c>
      <c r="G929" s="14">
        <v>1008.4281402142161</v>
      </c>
      <c r="H929" s="24" t="str">
        <f t="shared" si="134"/>
        <v>RJSP</v>
      </c>
      <c r="I929" s="24" t="str">
        <f t="shared" si="142"/>
        <v>RJMG</v>
      </c>
      <c r="J929" s="24" t="str">
        <f t="shared" si="142"/>
        <v>RJES</v>
      </c>
      <c r="K929" s="24" t="str">
        <f t="shared" si="142"/>
        <v>RJSC</v>
      </c>
      <c r="L929" s="24" t="str">
        <f t="shared" si="142"/>
        <v>RJRJ</v>
      </c>
      <c r="M929" s="24" t="str">
        <f t="shared" si="142"/>
        <v>RJPR</v>
      </c>
      <c r="N929" s="24" t="str">
        <f t="shared" si="142"/>
        <v>RJAM</v>
      </c>
      <c r="O929" s="24">
        <f>VLOOKUP(H929, KM!$A:$E, 5, 0)</f>
        <v>429</v>
      </c>
      <c r="P929" s="24">
        <f>VLOOKUP(I929, KM!$A:$E, 5, 0)</f>
        <v>434</v>
      </c>
      <c r="Q929" s="24">
        <f>VLOOKUP(J929, KM!$A:$E, 5, 0)</f>
        <v>521</v>
      </c>
      <c r="R929" s="24">
        <f>VLOOKUP(K929, KM!$A:$E, 5, 0)</f>
        <v>1144</v>
      </c>
      <c r="S929" s="24">
        <f>VLOOKUP(L929, KM!$A:$E, 5, 0)</f>
        <v>0</v>
      </c>
      <c r="T929" s="24">
        <f>VLOOKUP(M929, KM!$A:$E, 5, 0)</f>
        <v>852</v>
      </c>
      <c r="U929" s="24">
        <f>VLOOKUP(N929, KM!$A:$E, 5, 0)</f>
        <v>4374</v>
      </c>
      <c r="V929" s="24">
        <f>VLOOKUP(H929, IMPOSTO!$A:$D, 4, 0)</f>
        <v>0.12</v>
      </c>
      <c r="W929" s="24">
        <f>VLOOKUP(I929, IMPOSTO!$A:$D, 4, 0)</f>
        <v>0.12</v>
      </c>
      <c r="X929" s="24">
        <f>VLOOKUP(J929, IMPOSTO!$A:$D, 4, 0)</f>
        <v>7.0000000000000007E-2</v>
      </c>
      <c r="Y929" s="24">
        <f>VLOOKUP(K929, IMPOSTO!$A:$D, 4, 0)</f>
        <v>0.12</v>
      </c>
      <c r="Z929" s="24">
        <f>VLOOKUP(L929, IMPOSTO!$A:$D, 4, 0)</f>
        <v>0.18</v>
      </c>
      <c r="AA929" s="24">
        <f>VLOOKUP(M929, IMPOSTO!$A:$D, 4, 0)</f>
        <v>0.12</v>
      </c>
      <c r="AB929" s="24">
        <f>VLOOKUP(N929, IMPOSTO!$A:$D, 4, 0)</f>
        <v>7.0000000000000007E-2</v>
      </c>
      <c r="AC929" s="25">
        <f t="shared" si="135"/>
        <v>1194.6910684252455</v>
      </c>
      <c r="AD929" s="25">
        <f t="shared" si="136"/>
        <v>1195.2592502434275</v>
      </c>
      <c r="AE929" s="25">
        <f t="shared" si="137"/>
        <v>1140.3528389400174</v>
      </c>
      <c r="AF929" s="25">
        <f t="shared" si="138"/>
        <v>1275.9410684252455</v>
      </c>
      <c r="AG929" s="25">
        <f t="shared" si="139"/>
        <v>1229.7904148953853</v>
      </c>
      <c r="AH929" s="25">
        <f t="shared" si="140"/>
        <v>1242.7592502434272</v>
      </c>
      <c r="AI929" s="25">
        <f t="shared" si="141"/>
        <v>1554.6539142088345</v>
      </c>
    </row>
    <row r="930" spans="1:35" ht="15.75" customHeight="1">
      <c r="A930" s="12" t="s">
        <v>716</v>
      </c>
      <c r="B930" s="12" t="s">
        <v>717</v>
      </c>
      <c r="C930" s="12" t="s">
        <v>192</v>
      </c>
      <c r="D930" s="12" t="s">
        <v>50</v>
      </c>
      <c r="E930" s="12" t="s">
        <v>27</v>
      </c>
      <c r="F930" s="13">
        <v>1693.0000000000002</v>
      </c>
      <c r="G930" s="14">
        <v>6774.799093333334</v>
      </c>
      <c r="H930" s="24" t="str">
        <f t="shared" si="134"/>
        <v>RJSP</v>
      </c>
      <c r="I930" s="24" t="str">
        <f t="shared" si="142"/>
        <v>RJMG</v>
      </c>
      <c r="J930" s="24" t="str">
        <f t="shared" si="142"/>
        <v>RJES</v>
      </c>
      <c r="K930" s="24" t="str">
        <f t="shared" si="142"/>
        <v>RJSC</v>
      </c>
      <c r="L930" s="24" t="str">
        <f t="shared" si="142"/>
        <v>RJRJ</v>
      </c>
      <c r="M930" s="24" t="str">
        <f t="shared" si="142"/>
        <v>RJPR</v>
      </c>
      <c r="N930" s="24" t="str">
        <f t="shared" si="142"/>
        <v>RJAM</v>
      </c>
      <c r="O930" s="24">
        <f>VLOOKUP(H930, KM!$A:$E, 5, 0)</f>
        <v>429</v>
      </c>
      <c r="P930" s="24">
        <f>VLOOKUP(I930, KM!$A:$E, 5, 0)</f>
        <v>434</v>
      </c>
      <c r="Q930" s="24">
        <f>VLOOKUP(J930, KM!$A:$E, 5, 0)</f>
        <v>521</v>
      </c>
      <c r="R930" s="24">
        <f>VLOOKUP(K930, KM!$A:$E, 5, 0)</f>
        <v>1144</v>
      </c>
      <c r="S930" s="24">
        <f>VLOOKUP(L930, KM!$A:$E, 5, 0)</f>
        <v>0</v>
      </c>
      <c r="T930" s="24">
        <f>VLOOKUP(M930, KM!$A:$E, 5, 0)</f>
        <v>852</v>
      </c>
      <c r="U930" s="24">
        <f>VLOOKUP(N930, KM!$A:$E, 5, 0)</f>
        <v>4374</v>
      </c>
      <c r="V930" s="24">
        <f>VLOOKUP(H930, IMPOSTO!$A:$D, 4, 0)</f>
        <v>0.12</v>
      </c>
      <c r="W930" s="24">
        <f>VLOOKUP(I930, IMPOSTO!$A:$D, 4, 0)</f>
        <v>0.12</v>
      </c>
      <c r="X930" s="24">
        <f>VLOOKUP(J930, IMPOSTO!$A:$D, 4, 0)</f>
        <v>7.0000000000000007E-2</v>
      </c>
      <c r="Y930" s="24">
        <f>VLOOKUP(K930, IMPOSTO!$A:$D, 4, 0)</f>
        <v>0.12</v>
      </c>
      <c r="Z930" s="24">
        <f>VLOOKUP(L930, IMPOSTO!$A:$D, 4, 0)</f>
        <v>0.18</v>
      </c>
      <c r="AA930" s="24">
        <f>VLOOKUP(M930, IMPOSTO!$A:$D, 4, 0)</f>
        <v>0.12</v>
      </c>
      <c r="AB930" s="24">
        <f>VLOOKUP(N930, IMPOSTO!$A:$D, 4, 0)</f>
        <v>7.0000000000000007E-2</v>
      </c>
      <c r="AC930" s="25">
        <f t="shared" si="135"/>
        <v>7747.3853333333336</v>
      </c>
      <c r="AD930" s="25">
        <f t="shared" si="136"/>
        <v>7747.9535151515156</v>
      </c>
      <c r="AE930" s="25">
        <f t="shared" si="137"/>
        <v>7340.7517132616504</v>
      </c>
      <c r="AF930" s="25">
        <f t="shared" si="138"/>
        <v>7828.6353333333336</v>
      </c>
      <c r="AG930" s="25">
        <f t="shared" si="139"/>
        <v>8261.9501138211381</v>
      </c>
      <c r="AH930" s="25">
        <f t="shared" si="140"/>
        <v>7795.4535151515156</v>
      </c>
      <c r="AI930" s="25">
        <f t="shared" si="141"/>
        <v>7755.0527885304664</v>
      </c>
    </row>
    <row r="931" spans="1:35" ht="15.75" customHeight="1">
      <c r="A931" s="12" t="s">
        <v>638</v>
      </c>
      <c r="B931" s="12" t="s">
        <v>639</v>
      </c>
      <c r="C931" s="12" t="s">
        <v>163</v>
      </c>
      <c r="D931" s="12" t="s">
        <v>33</v>
      </c>
      <c r="E931" s="12" t="s">
        <v>27</v>
      </c>
      <c r="F931" s="13">
        <v>3.8651685393258428</v>
      </c>
      <c r="G931" s="14">
        <v>108.28269662921349</v>
      </c>
      <c r="H931" s="24" t="str">
        <f t="shared" si="134"/>
        <v>RJSP</v>
      </c>
      <c r="I931" s="24" t="str">
        <f t="shared" si="142"/>
        <v>RJMG</v>
      </c>
      <c r="J931" s="24" t="str">
        <f t="shared" si="142"/>
        <v>RJES</v>
      </c>
      <c r="K931" s="24" t="str">
        <f t="shared" si="142"/>
        <v>RJSC</v>
      </c>
      <c r="L931" s="24" t="str">
        <f t="shared" si="142"/>
        <v>RJRJ</v>
      </c>
      <c r="M931" s="24" t="str">
        <f t="shared" si="142"/>
        <v>RJPR</v>
      </c>
      <c r="N931" s="24" t="str">
        <f t="shared" si="142"/>
        <v>RJAM</v>
      </c>
      <c r="O931" s="24">
        <f>VLOOKUP(H931, KM!$A:$E, 5, 0)</f>
        <v>429</v>
      </c>
      <c r="P931" s="24">
        <f>VLOOKUP(I931, KM!$A:$E, 5, 0)</f>
        <v>434</v>
      </c>
      <c r="Q931" s="24">
        <f>VLOOKUP(J931, KM!$A:$E, 5, 0)</f>
        <v>521</v>
      </c>
      <c r="R931" s="24">
        <f>VLOOKUP(K931, KM!$A:$E, 5, 0)</f>
        <v>1144</v>
      </c>
      <c r="S931" s="24">
        <f>VLOOKUP(L931, KM!$A:$E, 5, 0)</f>
        <v>0</v>
      </c>
      <c r="T931" s="24">
        <f>VLOOKUP(M931, KM!$A:$E, 5, 0)</f>
        <v>852</v>
      </c>
      <c r="U931" s="24">
        <f>VLOOKUP(N931, KM!$A:$E, 5, 0)</f>
        <v>4374</v>
      </c>
      <c r="V931" s="24">
        <f>VLOOKUP(H931, IMPOSTO!$A:$D, 4, 0)</f>
        <v>0.12</v>
      </c>
      <c r="W931" s="24">
        <f>VLOOKUP(I931, IMPOSTO!$A:$D, 4, 0)</f>
        <v>0.12</v>
      </c>
      <c r="X931" s="24">
        <f>VLOOKUP(J931, IMPOSTO!$A:$D, 4, 0)</f>
        <v>7.0000000000000007E-2</v>
      </c>
      <c r="Y931" s="24">
        <f>VLOOKUP(K931, IMPOSTO!$A:$D, 4, 0)</f>
        <v>0.12</v>
      </c>
      <c r="Z931" s="24">
        <f>VLOOKUP(L931, IMPOSTO!$A:$D, 4, 0)</f>
        <v>0.18</v>
      </c>
      <c r="AA931" s="24">
        <f>VLOOKUP(M931, IMPOSTO!$A:$D, 4, 0)</f>
        <v>0.12</v>
      </c>
      <c r="AB931" s="24">
        <f>VLOOKUP(N931, IMPOSTO!$A:$D, 4, 0)</f>
        <v>7.0000000000000007E-2</v>
      </c>
      <c r="AC931" s="25">
        <f t="shared" si="135"/>
        <v>171.79851889683351</v>
      </c>
      <c r="AD931" s="25">
        <f t="shared" si="136"/>
        <v>172.36670071501533</v>
      </c>
      <c r="AE931" s="25">
        <f t="shared" si="137"/>
        <v>172.45451250453064</v>
      </c>
      <c r="AF931" s="25">
        <f t="shared" si="138"/>
        <v>253.04851889683351</v>
      </c>
      <c r="AG931" s="25">
        <f t="shared" si="139"/>
        <v>132.05206906001644</v>
      </c>
      <c r="AH931" s="25">
        <f t="shared" si="140"/>
        <v>219.86670071501533</v>
      </c>
      <c r="AI931" s="25">
        <f t="shared" si="141"/>
        <v>586.75558777334788</v>
      </c>
    </row>
    <row r="932" spans="1:35" ht="15.75" customHeight="1">
      <c r="A932" s="12" t="s">
        <v>379</v>
      </c>
      <c r="B932" s="12" t="s">
        <v>380</v>
      </c>
      <c r="C932" s="12" t="s">
        <v>192</v>
      </c>
      <c r="D932" s="12" t="s">
        <v>33</v>
      </c>
      <c r="E932" s="12" t="s">
        <v>27</v>
      </c>
      <c r="F932" s="13">
        <v>26.808510638297872</v>
      </c>
      <c r="G932" s="14">
        <v>1139.5654468085106</v>
      </c>
      <c r="H932" s="24" t="str">
        <f t="shared" si="134"/>
        <v>RJSP</v>
      </c>
      <c r="I932" s="24" t="str">
        <f t="shared" si="142"/>
        <v>RJMG</v>
      </c>
      <c r="J932" s="24" t="str">
        <f t="shared" si="142"/>
        <v>RJES</v>
      </c>
      <c r="K932" s="24" t="str">
        <f t="shared" si="142"/>
        <v>RJSC</v>
      </c>
      <c r="L932" s="24" t="str">
        <f t="shared" si="142"/>
        <v>RJRJ</v>
      </c>
      <c r="M932" s="24" t="str">
        <f t="shared" si="142"/>
        <v>RJPR</v>
      </c>
      <c r="N932" s="24" t="str">
        <f t="shared" si="142"/>
        <v>RJAM</v>
      </c>
      <c r="O932" s="24">
        <f>VLOOKUP(H932, KM!$A:$E, 5, 0)</f>
        <v>429</v>
      </c>
      <c r="P932" s="24">
        <f>VLOOKUP(I932, KM!$A:$E, 5, 0)</f>
        <v>434</v>
      </c>
      <c r="Q932" s="24">
        <f>VLOOKUP(J932, KM!$A:$E, 5, 0)</f>
        <v>521</v>
      </c>
      <c r="R932" s="24">
        <f>VLOOKUP(K932, KM!$A:$E, 5, 0)</f>
        <v>1144</v>
      </c>
      <c r="S932" s="24">
        <f>VLOOKUP(L932, KM!$A:$E, 5, 0)</f>
        <v>0</v>
      </c>
      <c r="T932" s="24">
        <f>VLOOKUP(M932, KM!$A:$E, 5, 0)</f>
        <v>852</v>
      </c>
      <c r="U932" s="24">
        <f>VLOOKUP(N932, KM!$A:$E, 5, 0)</f>
        <v>4374</v>
      </c>
      <c r="V932" s="24">
        <f>VLOOKUP(H932, IMPOSTO!$A:$D, 4, 0)</f>
        <v>0.12</v>
      </c>
      <c r="W932" s="24">
        <f>VLOOKUP(I932, IMPOSTO!$A:$D, 4, 0)</f>
        <v>0.12</v>
      </c>
      <c r="X932" s="24">
        <f>VLOOKUP(J932, IMPOSTO!$A:$D, 4, 0)</f>
        <v>7.0000000000000007E-2</v>
      </c>
      <c r="Y932" s="24">
        <f>VLOOKUP(K932, IMPOSTO!$A:$D, 4, 0)</f>
        <v>0.12</v>
      </c>
      <c r="Z932" s="24">
        <f>VLOOKUP(L932, IMPOSTO!$A:$D, 4, 0)</f>
        <v>0.18</v>
      </c>
      <c r="AA932" s="24">
        <f>VLOOKUP(M932, IMPOSTO!$A:$D, 4, 0)</f>
        <v>0.12</v>
      </c>
      <c r="AB932" s="24">
        <f>VLOOKUP(N932, IMPOSTO!$A:$D, 4, 0)</f>
        <v>7.0000000000000007E-2</v>
      </c>
      <c r="AC932" s="25">
        <f t="shared" si="135"/>
        <v>1343.7107350096712</v>
      </c>
      <c r="AD932" s="25">
        <f t="shared" si="136"/>
        <v>1344.278916827853</v>
      </c>
      <c r="AE932" s="25">
        <f t="shared" si="137"/>
        <v>1281.3606954930221</v>
      </c>
      <c r="AF932" s="25">
        <f t="shared" si="138"/>
        <v>1424.9607350096712</v>
      </c>
      <c r="AG932" s="25">
        <f t="shared" si="139"/>
        <v>1389.7139595225738</v>
      </c>
      <c r="AH932" s="25">
        <f t="shared" si="140"/>
        <v>1391.778916827853</v>
      </c>
      <c r="AI932" s="25">
        <f t="shared" si="141"/>
        <v>1695.6617707618395</v>
      </c>
    </row>
    <row r="933" spans="1:35" ht="15.75" customHeight="1">
      <c r="A933" s="12" t="s">
        <v>79</v>
      </c>
      <c r="B933" s="12" t="s">
        <v>80</v>
      </c>
      <c r="C933" s="12" t="s">
        <v>81</v>
      </c>
      <c r="D933" s="12" t="s">
        <v>50</v>
      </c>
      <c r="E933" s="12" t="s">
        <v>27</v>
      </c>
      <c r="F933" s="13">
        <v>3538.7156585641601</v>
      </c>
      <c r="G933" s="14">
        <v>58963.162138925938</v>
      </c>
      <c r="H933" s="24" t="str">
        <f t="shared" si="134"/>
        <v>RJSP</v>
      </c>
      <c r="I933" s="24" t="str">
        <f t="shared" si="142"/>
        <v>RJMG</v>
      </c>
      <c r="J933" s="24" t="str">
        <f t="shared" si="142"/>
        <v>RJES</v>
      </c>
      <c r="K933" s="24" t="str">
        <f t="shared" si="142"/>
        <v>RJSC</v>
      </c>
      <c r="L933" s="24" t="str">
        <f t="shared" si="142"/>
        <v>RJRJ</v>
      </c>
      <c r="M933" s="24" t="str">
        <f t="shared" si="142"/>
        <v>RJPR</v>
      </c>
      <c r="N933" s="24" t="str">
        <f t="shared" si="142"/>
        <v>RJAM</v>
      </c>
      <c r="O933" s="24">
        <f>VLOOKUP(H933, KM!$A:$E, 5, 0)</f>
        <v>429</v>
      </c>
      <c r="P933" s="24">
        <f>VLOOKUP(I933, KM!$A:$E, 5, 0)</f>
        <v>434</v>
      </c>
      <c r="Q933" s="24">
        <f>VLOOKUP(J933, KM!$A:$E, 5, 0)</f>
        <v>521</v>
      </c>
      <c r="R933" s="24">
        <f>VLOOKUP(K933, KM!$A:$E, 5, 0)</f>
        <v>1144</v>
      </c>
      <c r="S933" s="24">
        <f>VLOOKUP(L933, KM!$A:$E, 5, 0)</f>
        <v>0</v>
      </c>
      <c r="T933" s="24">
        <f>VLOOKUP(M933, KM!$A:$E, 5, 0)</f>
        <v>852</v>
      </c>
      <c r="U933" s="24">
        <f>VLOOKUP(N933, KM!$A:$E, 5, 0)</f>
        <v>4374</v>
      </c>
      <c r="V933" s="24">
        <f>VLOOKUP(H933, IMPOSTO!$A:$D, 4, 0)</f>
        <v>0.12</v>
      </c>
      <c r="W933" s="24">
        <f>VLOOKUP(I933, IMPOSTO!$A:$D, 4, 0)</f>
        <v>0.12</v>
      </c>
      <c r="X933" s="24">
        <f>VLOOKUP(J933, IMPOSTO!$A:$D, 4, 0)</f>
        <v>7.0000000000000007E-2</v>
      </c>
      <c r="Y933" s="24">
        <f>VLOOKUP(K933, IMPOSTO!$A:$D, 4, 0)</f>
        <v>0.12</v>
      </c>
      <c r="Z933" s="24">
        <f>VLOOKUP(L933, IMPOSTO!$A:$D, 4, 0)</f>
        <v>0.18</v>
      </c>
      <c r="AA933" s="24">
        <f>VLOOKUP(M933, IMPOSTO!$A:$D, 4, 0)</f>
        <v>0.12</v>
      </c>
      <c r="AB933" s="24">
        <f>VLOOKUP(N933, IMPOSTO!$A:$D, 4, 0)</f>
        <v>7.0000000000000007E-2</v>
      </c>
      <c r="AC933" s="25">
        <f t="shared" si="135"/>
        <v>67052.343339688567</v>
      </c>
      <c r="AD933" s="25">
        <f t="shared" si="136"/>
        <v>67052.911521506743</v>
      </c>
      <c r="AE933" s="25">
        <f t="shared" si="137"/>
        <v>63457.27111712467</v>
      </c>
      <c r="AF933" s="25">
        <f t="shared" si="138"/>
        <v>67133.593339688567</v>
      </c>
      <c r="AG933" s="25">
        <f t="shared" si="139"/>
        <v>71906.295291373084</v>
      </c>
      <c r="AH933" s="25">
        <f t="shared" si="140"/>
        <v>67100.411521506743</v>
      </c>
      <c r="AI933" s="25">
        <f t="shared" si="141"/>
        <v>63871.572192393491</v>
      </c>
    </row>
    <row r="934" spans="1:35" ht="15.75" customHeight="1">
      <c r="A934" s="12" t="s">
        <v>383</v>
      </c>
      <c r="B934" s="12" t="s">
        <v>384</v>
      </c>
      <c r="C934" s="12" t="s">
        <v>163</v>
      </c>
      <c r="D934" s="12" t="s">
        <v>33</v>
      </c>
      <c r="E934" s="12" t="s">
        <v>27</v>
      </c>
      <c r="F934" s="13">
        <v>81.649484536082483</v>
      </c>
      <c r="G934" s="14">
        <v>4885.877938144331</v>
      </c>
      <c r="H934" s="24" t="str">
        <f t="shared" si="134"/>
        <v>RJSP</v>
      </c>
      <c r="I934" s="24" t="str">
        <f t="shared" si="142"/>
        <v>RJMG</v>
      </c>
      <c r="J934" s="24" t="str">
        <f t="shared" si="142"/>
        <v>RJES</v>
      </c>
      <c r="K934" s="24" t="str">
        <f t="shared" si="142"/>
        <v>RJSC</v>
      </c>
      <c r="L934" s="24" t="str">
        <f t="shared" si="142"/>
        <v>RJRJ</v>
      </c>
      <c r="M934" s="24" t="str">
        <f t="shared" si="142"/>
        <v>RJPR</v>
      </c>
      <c r="N934" s="24" t="str">
        <f t="shared" si="142"/>
        <v>RJAM</v>
      </c>
      <c r="O934" s="24">
        <f>VLOOKUP(H934, KM!$A:$E, 5, 0)</f>
        <v>429</v>
      </c>
      <c r="P934" s="24">
        <f>VLOOKUP(I934, KM!$A:$E, 5, 0)</f>
        <v>434</v>
      </c>
      <c r="Q934" s="24">
        <f>VLOOKUP(J934, KM!$A:$E, 5, 0)</f>
        <v>521</v>
      </c>
      <c r="R934" s="24">
        <f>VLOOKUP(K934, KM!$A:$E, 5, 0)</f>
        <v>1144</v>
      </c>
      <c r="S934" s="24">
        <f>VLOOKUP(L934, KM!$A:$E, 5, 0)</f>
        <v>0</v>
      </c>
      <c r="T934" s="24">
        <f>VLOOKUP(M934, KM!$A:$E, 5, 0)</f>
        <v>852</v>
      </c>
      <c r="U934" s="24">
        <f>VLOOKUP(N934, KM!$A:$E, 5, 0)</f>
        <v>4374</v>
      </c>
      <c r="V934" s="24">
        <f>VLOOKUP(H934, IMPOSTO!$A:$D, 4, 0)</f>
        <v>0.12</v>
      </c>
      <c r="W934" s="24">
        <f>VLOOKUP(I934, IMPOSTO!$A:$D, 4, 0)</f>
        <v>0.12</v>
      </c>
      <c r="X934" s="24">
        <f>VLOOKUP(J934, IMPOSTO!$A:$D, 4, 0)</f>
        <v>7.0000000000000007E-2</v>
      </c>
      <c r="Y934" s="24">
        <f>VLOOKUP(K934, IMPOSTO!$A:$D, 4, 0)</f>
        <v>0.12</v>
      </c>
      <c r="Z934" s="24">
        <f>VLOOKUP(L934, IMPOSTO!$A:$D, 4, 0)</f>
        <v>0.18</v>
      </c>
      <c r="AA934" s="24">
        <f>VLOOKUP(M934, IMPOSTO!$A:$D, 4, 0)</f>
        <v>0.12</v>
      </c>
      <c r="AB934" s="24">
        <f>VLOOKUP(N934, IMPOSTO!$A:$D, 4, 0)</f>
        <v>7.0000000000000007E-2</v>
      </c>
      <c r="AC934" s="25">
        <f t="shared" si="135"/>
        <v>5600.8840206185578</v>
      </c>
      <c r="AD934" s="25">
        <f t="shared" si="136"/>
        <v>5601.4522024367398</v>
      </c>
      <c r="AE934" s="25">
        <f t="shared" si="137"/>
        <v>5309.6536969293893</v>
      </c>
      <c r="AF934" s="25">
        <f t="shared" si="138"/>
        <v>5682.1340206185578</v>
      </c>
      <c r="AG934" s="25">
        <f t="shared" si="139"/>
        <v>5958.3877294443055</v>
      </c>
      <c r="AH934" s="25">
        <f t="shared" si="140"/>
        <v>5648.9522024367398</v>
      </c>
      <c r="AI934" s="25">
        <f t="shared" si="141"/>
        <v>5723.9547721982053</v>
      </c>
    </row>
    <row r="935" spans="1:35" ht="15.75" customHeight="1">
      <c r="A935" s="12" t="s">
        <v>383</v>
      </c>
      <c r="B935" s="12" t="s">
        <v>384</v>
      </c>
      <c r="C935" s="12" t="s">
        <v>163</v>
      </c>
      <c r="D935" s="12" t="s">
        <v>33</v>
      </c>
      <c r="E935" s="12" t="s">
        <v>27</v>
      </c>
      <c r="F935" s="13">
        <v>40.824742268041234</v>
      </c>
      <c r="G935" s="14">
        <v>2440.1220618556699</v>
      </c>
      <c r="H935" s="24" t="str">
        <f t="shared" si="134"/>
        <v>RJSP</v>
      </c>
      <c r="I935" s="24" t="str">
        <f t="shared" si="142"/>
        <v>RJMG</v>
      </c>
      <c r="J935" s="24" t="str">
        <f t="shared" si="142"/>
        <v>RJES</v>
      </c>
      <c r="K935" s="24" t="str">
        <f t="shared" si="142"/>
        <v>RJSC</v>
      </c>
      <c r="L935" s="24" t="str">
        <f t="shared" si="142"/>
        <v>RJRJ</v>
      </c>
      <c r="M935" s="24" t="str">
        <f t="shared" si="142"/>
        <v>RJPR</v>
      </c>
      <c r="N935" s="24" t="str">
        <f t="shared" si="142"/>
        <v>RJAM</v>
      </c>
      <c r="O935" s="24">
        <f>VLOOKUP(H935, KM!$A:$E, 5, 0)</f>
        <v>429</v>
      </c>
      <c r="P935" s="24">
        <f>VLOOKUP(I935, KM!$A:$E, 5, 0)</f>
        <v>434</v>
      </c>
      <c r="Q935" s="24">
        <f>VLOOKUP(J935, KM!$A:$E, 5, 0)</f>
        <v>521</v>
      </c>
      <c r="R935" s="24">
        <f>VLOOKUP(K935, KM!$A:$E, 5, 0)</f>
        <v>1144</v>
      </c>
      <c r="S935" s="24">
        <f>VLOOKUP(L935, KM!$A:$E, 5, 0)</f>
        <v>0</v>
      </c>
      <c r="T935" s="24">
        <f>VLOOKUP(M935, KM!$A:$E, 5, 0)</f>
        <v>852</v>
      </c>
      <c r="U935" s="24">
        <f>VLOOKUP(N935, KM!$A:$E, 5, 0)</f>
        <v>4374</v>
      </c>
      <c r="V935" s="24">
        <f>VLOOKUP(H935, IMPOSTO!$A:$D, 4, 0)</f>
        <v>0.12</v>
      </c>
      <c r="W935" s="24">
        <f>VLOOKUP(I935, IMPOSTO!$A:$D, 4, 0)</f>
        <v>0.12</v>
      </c>
      <c r="X935" s="24">
        <f>VLOOKUP(J935, IMPOSTO!$A:$D, 4, 0)</f>
        <v>7.0000000000000007E-2</v>
      </c>
      <c r="Y935" s="24">
        <f>VLOOKUP(K935, IMPOSTO!$A:$D, 4, 0)</f>
        <v>0.12</v>
      </c>
      <c r="Z935" s="24">
        <f>VLOOKUP(L935, IMPOSTO!$A:$D, 4, 0)</f>
        <v>0.18</v>
      </c>
      <c r="AA935" s="24">
        <f>VLOOKUP(M935, IMPOSTO!$A:$D, 4, 0)</f>
        <v>0.12</v>
      </c>
      <c r="AB935" s="24">
        <f>VLOOKUP(N935, IMPOSTO!$A:$D, 4, 0)</f>
        <v>7.0000000000000007E-2</v>
      </c>
      <c r="AC935" s="25">
        <f t="shared" si="135"/>
        <v>2821.6159793814431</v>
      </c>
      <c r="AD935" s="25">
        <f t="shared" si="136"/>
        <v>2822.1841611996251</v>
      </c>
      <c r="AE935" s="25">
        <f t="shared" si="137"/>
        <v>2679.8086686620109</v>
      </c>
      <c r="AF935" s="25">
        <f t="shared" si="138"/>
        <v>2902.8659793814431</v>
      </c>
      <c r="AG935" s="25">
        <f t="shared" si="139"/>
        <v>2975.7586120191095</v>
      </c>
      <c r="AH935" s="25">
        <f t="shared" si="140"/>
        <v>2869.6841611996247</v>
      </c>
      <c r="AI935" s="25">
        <f t="shared" si="141"/>
        <v>3094.1097439308282</v>
      </c>
    </row>
    <row r="936" spans="1:35" ht="15.75" customHeight="1">
      <c r="A936" s="12" t="s">
        <v>718</v>
      </c>
      <c r="B936" s="12" t="s">
        <v>719</v>
      </c>
      <c r="C936" s="12" t="s">
        <v>169</v>
      </c>
      <c r="D936" s="12" t="s">
        <v>33</v>
      </c>
      <c r="E936" s="12" t="s">
        <v>27</v>
      </c>
      <c r="F936" s="13">
        <v>10909</v>
      </c>
      <c r="G936" s="14">
        <v>328392.4390490994</v>
      </c>
      <c r="H936" s="24" t="str">
        <f t="shared" si="134"/>
        <v>RJSP</v>
      </c>
      <c r="I936" s="24" t="str">
        <f t="shared" si="142"/>
        <v>RJMG</v>
      </c>
      <c r="J936" s="24" t="str">
        <f t="shared" si="142"/>
        <v>RJES</v>
      </c>
      <c r="K936" s="24" t="str">
        <f t="shared" si="142"/>
        <v>RJSC</v>
      </c>
      <c r="L936" s="24" t="str">
        <f t="shared" si="142"/>
        <v>RJRJ</v>
      </c>
      <c r="M936" s="24" t="str">
        <f t="shared" si="142"/>
        <v>RJPR</v>
      </c>
      <c r="N936" s="24" t="str">
        <f t="shared" si="142"/>
        <v>RJAM</v>
      </c>
      <c r="O936" s="24">
        <f>VLOOKUP(H936, KM!$A:$E, 5, 0)</f>
        <v>429</v>
      </c>
      <c r="P936" s="24">
        <f>VLOOKUP(I936, KM!$A:$E, 5, 0)</f>
        <v>434</v>
      </c>
      <c r="Q936" s="24">
        <f>VLOOKUP(J936, KM!$A:$E, 5, 0)</f>
        <v>521</v>
      </c>
      <c r="R936" s="24">
        <f>VLOOKUP(K936, KM!$A:$E, 5, 0)</f>
        <v>1144</v>
      </c>
      <c r="S936" s="24">
        <f>VLOOKUP(L936, KM!$A:$E, 5, 0)</f>
        <v>0</v>
      </c>
      <c r="T936" s="24">
        <f>VLOOKUP(M936, KM!$A:$E, 5, 0)</f>
        <v>852</v>
      </c>
      <c r="U936" s="24">
        <f>VLOOKUP(N936, KM!$A:$E, 5, 0)</f>
        <v>4374</v>
      </c>
      <c r="V936" s="24">
        <f>VLOOKUP(H936, IMPOSTO!$A:$D, 4, 0)</f>
        <v>0.12</v>
      </c>
      <c r="W936" s="24">
        <f>VLOOKUP(I936, IMPOSTO!$A:$D, 4, 0)</f>
        <v>0.12</v>
      </c>
      <c r="X936" s="24">
        <f>VLOOKUP(J936, IMPOSTO!$A:$D, 4, 0)</f>
        <v>7.0000000000000007E-2</v>
      </c>
      <c r="Y936" s="24">
        <f>VLOOKUP(K936, IMPOSTO!$A:$D, 4, 0)</f>
        <v>0.12</v>
      </c>
      <c r="Z936" s="24">
        <f>VLOOKUP(L936, IMPOSTO!$A:$D, 4, 0)</f>
        <v>0.18</v>
      </c>
      <c r="AA936" s="24">
        <f>VLOOKUP(M936, IMPOSTO!$A:$D, 4, 0)</f>
        <v>0.12</v>
      </c>
      <c r="AB936" s="24">
        <f>VLOOKUP(N936, IMPOSTO!$A:$D, 4, 0)</f>
        <v>7.0000000000000007E-2</v>
      </c>
      <c r="AC936" s="25">
        <f t="shared" si="135"/>
        <v>373221.97619215841</v>
      </c>
      <c r="AD936" s="25">
        <f t="shared" si="136"/>
        <v>373222.54437397659</v>
      </c>
      <c r="AE936" s="25">
        <f t="shared" si="137"/>
        <v>353166.17102053697</v>
      </c>
      <c r="AF936" s="25">
        <f t="shared" si="138"/>
        <v>373303.22619215841</v>
      </c>
      <c r="AG936" s="25">
        <f t="shared" si="139"/>
        <v>400478.58420621877</v>
      </c>
      <c r="AH936" s="25">
        <f t="shared" si="140"/>
        <v>373270.04437397659</v>
      </c>
      <c r="AI936" s="25">
        <f t="shared" si="141"/>
        <v>353580.47209580586</v>
      </c>
    </row>
    <row r="937" spans="1:35" ht="15.75" customHeight="1">
      <c r="A937" s="12" t="s">
        <v>720</v>
      </c>
      <c r="B937" s="12" t="s">
        <v>721</v>
      </c>
      <c r="C937" s="12" t="s">
        <v>192</v>
      </c>
      <c r="D937" s="12" t="s">
        <v>50</v>
      </c>
      <c r="E937" s="12" t="s">
        <v>27</v>
      </c>
      <c r="F937" s="13">
        <v>55.774647887323944</v>
      </c>
      <c r="G937" s="14">
        <v>515.1160563380281</v>
      </c>
      <c r="H937" s="24" t="str">
        <f t="shared" si="134"/>
        <v>RJSP</v>
      </c>
      <c r="I937" s="24" t="str">
        <f t="shared" si="142"/>
        <v>RJMG</v>
      </c>
      <c r="J937" s="24" t="str">
        <f t="shared" si="142"/>
        <v>RJES</v>
      </c>
      <c r="K937" s="24" t="str">
        <f t="shared" si="142"/>
        <v>RJSC</v>
      </c>
      <c r="L937" s="24" t="str">
        <f t="shared" si="142"/>
        <v>RJRJ</v>
      </c>
      <c r="M937" s="24" t="str">
        <f t="shared" si="142"/>
        <v>RJPR</v>
      </c>
      <c r="N937" s="24" t="str">
        <f t="shared" si="142"/>
        <v>RJAM</v>
      </c>
      <c r="O937" s="24">
        <f>VLOOKUP(H937, KM!$A:$E, 5, 0)</f>
        <v>429</v>
      </c>
      <c r="P937" s="24">
        <f>VLOOKUP(I937, KM!$A:$E, 5, 0)</f>
        <v>434</v>
      </c>
      <c r="Q937" s="24">
        <f>VLOOKUP(J937, KM!$A:$E, 5, 0)</f>
        <v>521</v>
      </c>
      <c r="R937" s="24">
        <f>VLOOKUP(K937, KM!$A:$E, 5, 0)</f>
        <v>1144</v>
      </c>
      <c r="S937" s="24">
        <f>VLOOKUP(L937, KM!$A:$E, 5, 0)</f>
        <v>0</v>
      </c>
      <c r="T937" s="24">
        <f>VLOOKUP(M937, KM!$A:$E, 5, 0)</f>
        <v>852</v>
      </c>
      <c r="U937" s="24">
        <f>VLOOKUP(N937, KM!$A:$E, 5, 0)</f>
        <v>4374</v>
      </c>
      <c r="V937" s="24">
        <f>VLOOKUP(H937, IMPOSTO!$A:$D, 4, 0)</f>
        <v>0.12</v>
      </c>
      <c r="W937" s="24">
        <f>VLOOKUP(I937, IMPOSTO!$A:$D, 4, 0)</f>
        <v>0.12</v>
      </c>
      <c r="X937" s="24">
        <f>VLOOKUP(J937, IMPOSTO!$A:$D, 4, 0)</f>
        <v>7.0000000000000007E-2</v>
      </c>
      <c r="Y937" s="24">
        <f>VLOOKUP(K937, IMPOSTO!$A:$D, 4, 0)</f>
        <v>0.12</v>
      </c>
      <c r="Z937" s="24">
        <f>VLOOKUP(L937, IMPOSTO!$A:$D, 4, 0)</f>
        <v>0.18</v>
      </c>
      <c r="AA937" s="24">
        <f>VLOOKUP(M937, IMPOSTO!$A:$D, 4, 0)</f>
        <v>0.12</v>
      </c>
      <c r="AB937" s="24">
        <f>VLOOKUP(N937, IMPOSTO!$A:$D, 4, 0)</f>
        <v>7.0000000000000007E-2</v>
      </c>
      <c r="AC937" s="25">
        <f t="shared" si="135"/>
        <v>634.10915492957736</v>
      </c>
      <c r="AD937" s="25">
        <f t="shared" si="136"/>
        <v>634.67733674775923</v>
      </c>
      <c r="AE937" s="25">
        <f t="shared" si="137"/>
        <v>609.90973799787969</v>
      </c>
      <c r="AF937" s="25">
        <f t="shared" si="138"/>
        <v>715.35915492957736</v>
      </c>
      <c r="AG937" s="25">
        <f t="shared" si="139"/>
        <v>628.1903126073513</v>
      </c>
      <c r="AH937" s="25">
        <f t="shared" si="140"/>
        <v>682.17733674775923</v>
      </c>
      <c r="AI937" s="25">
        <f t="shared" si="141"/>
        <v>1024.210813266697</v>
      </c>
    </row>
    <row r="938" spans="1:35" ht="15.75" customHeight="1">
      <c r="A938" s="12" t="s">
        <v>722</v>
      </c>
      <c r="B938" s="12" t="s">
        <v>723</v>
      </c>
      <c r="C938" s="12" t="s">
        <v>176</v>
      </c>
      <c r="D938" s="12" t="s">
        <v>33</v>
      </c>
      <c r="E938" s="12" t="s">
        <v>27</v>
      </c>
      <c r="F938" s="13">
        <v>270.99999999999994</v>
      </c>
      <c r="G938" s="14">
        <v>8089.5614184397145</v>
      </c>
      <c r="H938" s="24" t="str">
        <f t="shared" si="134"/>
        <v>RJSP</v>
      </c>
      <c r="I938" s="24" t="str">
        <f t="shared" si="142"/>
        <v>RJMG</v>
      </c>
      <c r="J938" s="24" t="str">
        <f t="shared" si="142"/>
        <v>RJES</v>
      </c>
      <c r="K938" s="24" t="str">
        <f t="shared" si="142"/>
        <v>RJSC</v>
      </c>
      <c r="L938" s="24" t="str">
        <f t="shared" si="142"/>
        <v>RJRJ</v>
      </c>
      <c r="M938" s="24" t="str">
        <f t="shared" si="142"/>
        <v>RJPR</v>
      </c>
      <c r="N938" s="24" t="str">
        <f t="shared" si="142"/>
        <v>RJAM</v>
      </c>
      <c r="O938" s="24">
        <f>VLOOKUP(H938, KM!$A:$E, 5, 0)</f>
        <v>429</v>
      </c>
      <c r="P938" s="24">
        <f>VLOOKUP(I938, KM!$A:$E, 5, 0)</f>
        <v>434</v>
      </c>
      <c r="Q938" s="24">
        <f>VLOOKUP(J938, KM!$A:$E, 5, 0)</f>
        <v>521</v>
      </c>
      <c r="R938" s="24">
        <f>VLOOKUP(K938, KM!$A:$E, 5, 0)</f>
        <v>1144</v>
      </c>
      <c r="S938" s="24">
        <f>VLOOKUP(L938, KM!$A:$E, 5, 0)</f>
        <v>0</v>
      </c>
      <c r="T938" s="24">
        <f>VLOOKUP(M938, KM!$A:$E, 5, 0)</f>
        <v>852</v>
      </c>
      <c r="U938" s="24">
        <f>VLOOKUP(N938, KM!$A:$E, 5, 0)</f>
        <v>4374</v>
      </c>
      <c r="V938" s="24">
        <f>VLOOKUP(H938, IMPOSTO!$A:$D, 4, 0)</f>
        <v>0.12</v>
      </c>
      <c r="W938" s="24">
        <f>VLOOKUP(I938, IMPOSTO!$A:$D, 4, 0)</f>
        <v>0.12</v>
      </c>
      <c r="X938" s="24">
        <f>VLOOKUP(J938, IMPOSTO!$A:$D, 4, 0)</f>
        <v>7.0000000000000007E-2</v>
      </c>
      <c r="Y938" s="24">
        <f>VLOOKUP(K938, IMPOSTO!$A:$D, 4, 0)</f>
        <v>0.12</v>
      </c>
      <c r="Z938" s="24">
        <f>VLOOKUP(L938, IMPOSTO!$A:$D, 4, 0)</f>
        <v>0.18</v>
      </c>
      <c r="AA938" s="24">
        <f>VLOOKUP(M938, IMPOSTO!$A:$D, 4, 0)</f>
        <v>0.12</v>
      </c>
      <c r="AB938" s="24">
        <f>VLOOKUP(N938, IMPOSTO!$A:$D, 4, 0)</f>
        <v>7.0000000000000007E-2</v>
      </c>
      <c r="AC938" s="25">
        <f t="shared" si="135"/>
        <v>9241.4334300451301</v>
      </c>
      <c r="AD938" s="25">
        <f t="shared" si="136"/>
        <v>9242.0016118633121</v>
      </c>
      <c r="AE938" s="25">
        <f t="shared" si="137"/>
        <v>8754.4746434835652</v>
      </c>
      <c r="AF938" s="25">
        <f t="shared" si="138"/>
        <v>9322.6834300451301</v>
      </c>
      <c r="AG938" s="25">
        <f t="shared" si="139"/>
        <v>9865.31880297526</v>
      </c>
      <c r="AH938" s="25">
        <f t="shared" si="140"/>
        <v>9289.5016118633121</v>
      </c>
      <c r="AI938" s="25">
        <f t="shared" si="141"/>
        <v>9168.7757187523821</v>
      </c>
    </row>
    <row r="939" spans="1:35" ht="15.75" customHeight="1">
      <c r="A939" s="12" t="s">
        <v>170</v>
      </c>
      <c r="B939" s="12" t="s">
        <v>171</v>
      </c>
      <c r="C939" s="12" t="s">
        <v>163</v>
      </c>
      <c r="D939" s="12" t="s">
        <v>33</v>
      </c>
      <c r="E939" s="12" t="s">
        <v>27</v>
      </c>
      <c r="F939" s="13">
        <v>1695.1281806537945</v>
      </c>
      <c r="G939" s="14">
        <v>24738.96522603881</v>
      </c>
      <c r="H939" s="24" t="str">
        <f t="shared" si="134"/>
        <v>RJSP</v>
      </c>
      <c r="I939" s="24" t="str">
        <f t="shared" si="142"/>
        <v>RJMG</v>
      </c>
      <c r="J939" s="24" t="str">
        <f t="shared" si="142"/>
        <v>RJES</v>
      </c>
      <c r="K939" s="24" t="str">
        <f t="shared" si="142"/>
        <v>RJSC</v>
      </c>
      <c r="L939" s="24" t="str">
        <f t="shared" si="142"/>
        <v>RJRJ</v>
      </c>
      <c r="M939" s="24" t="str">
        <f t="shared" si="142"/>
        <v>RJPR</v>
      </c>
      <c r="N939" s="24" t="str">
        <f t="shared" si="142"/>
        <v>RJAM</v>
      </c>
      <c r="O939" s="24">
        <f>VLOOKUP(H939, KM!$A:$E, 5, 0)</f>
        <v>429</v>
      </c>
      <c r="P939" s="24">
        <f>VLOOKUP(I939, KM!$A:$E, 5, 0)</f>
        <v>434</v>
      </c>
      <c r="Q939" s="24">
        <f>VLOOKUP(J939, KM!$A:$E, 5, 0)</f>
        <v>521</v>
      </c>
      <c r="R939" s="24">
        <f>VLOOKUP(K939, KM!$A:$E, 5, 0)</f>
        <v>1144</v>
      </c>
      <c r="S939" s="24">
        <f>VLOOKUP(L939, KM!$A:$E, 5, 0)</f>
        <v>0</v>
      </c>
      <c r="T939" s="24">
        <f>VLOOKUP(M939, KM!$A:$E, 5, 0)</f>
        <v>852</v>
      </c>
      <c r="U939" s="24">
        <f>VLOOKUP(N939, KM!$A:$E, 5, 0)</f>
        <v>4374</v>
      </c>
      <c r="V939" s="24">
        <f>VLOOKUP(H939, IMPOSTO!$A:$D, 4, 0)</f>
        <v>0.12</v>
      </c>
      <c r="W939" s="24">
        <f>VLOOKUP(I939, IMPOSTO!$A:$D, 4, 0)</f>
        <v>0.12</v>
      </c>
      <c r="X939" s="24">
        <f>VLOOKUP(J939, IMPOSTO!$A:$D, 4, 0)</f>
        <v>7.0000000000000007E-2</v>
      </c>
      <c r="Y939" s="24">
        <f>VLOOKUP(K939, IMPOSTO!$A:$D, 4, 0)</f>
        <v>0.12</v>
      </c>
      <c r="Z939" s="24">
        <f>VLOOKUP(L939, IMPOSTO!$A:$D, 4, 0)</f>
        <v>0.18</v>
      </c>
      <c r="AA939" s="24">
        <f>VLOOKUP(M939, IMPOSTO!$A:$D, 4, 0)</f>
        <v>0.12</v>
      </c>
      <c r="AB939" s="24">
        <f>VLOOKUP(N939, IMPOSTO!$A:$D, 4, 0)</f>
        <v>7.0000000000000007E-2</v>
      </c>
      <c r="AC939" s="25">
        <f t="shared" si="135"/>
        <v>28161.210484135012</v>
      </c>
      <c r="AD939" s="25">
        <f t="shared" si="136"/>
        <v>28161.778665953196</v>
      </c>
      <c r="AE939" s="25">
        <f t="shared" si="137"/>
        <v>26657.059382837429</v>
      </c>
      <c r="AF939" s="25">
        <f t="shared" si="138"/>
        <v>28242.460484135012</v>
      </c>
      <c r="AG939" s="25">
        <f t="shared" si="139"/>
        <v>30169.469787852206</v>
      </c>
      <c r="AH939" s="25">
        <f t="shared" si="140"/>
        <v>28209.278665953196</v>
      </c>
      <c r="AI939" s="25">
        <f t="shared" si="141"/>
        <v>27071.36045810625</v>
      </c>
    </row>
    <row r="940" spans="1:35" ht="15.75" customHeight="1">
      <c r="A940" s="12" t="s">
        <v>170</v>
      </c>
      <c r="B940" s="12" t="s">
        <v>171</v>
      </c>
      <c r="C940" s="12" t="s">
        <v>163</v>
      </c>
      <c r="D940" s="12" t="s">
        <v>33</v>
      </c>
      <c r="E940" s="12" t="s">
        <v>27</v>
      </c>
      <c r="F940" s="13">
        <v>264.55757732747082</v>
      </c>
      <c r="G940" s="14">
        <v>3857.886375305869</v>
      </c>
      <c r="H940" s="24" t="str">
        <f t="shared" si="134"/>
        <v>RJSP</v>
      </c>
      <c r="I940" s="24" t="str">
        <f t="shared" si="142"/>
        <v>RJMG</v>
      </c>
      <c r="J940" s="24" t="str">
        <f t="shared" si="142"/>
        <v>RJES</v>
      </c>
      <c r="K940" s="24" t="str">
        <f t="shared" si="142"/>
        <v>RJSC</v>
      </c>
      <c r="L940" s="24" t="str">
        <f t="shared" si="142"/>
        <v>RJRJ</v>
      </c>
      <c r="M940" s="24" t="str">
        <f t="shared" si="142"/>
        <v>RJPR</v>
      </c>
      <c r="N940" s="24" t="str">
        <f t="shared" si="142"/>
        <v>RJAM</v>
      </c>
      <c r="O940" s="24">
        <f>VLOOKUP(H940, KM!$A:$E, 5, 0)</f>
        <v>429</v>
      </c>
      <c r="P940" s="24">
        <f>VLOOKUP(I940, KM!$A:$E, 5, 0)</f>
        <v>434</v>
      </c>
      <c r="Q940" s="24">
        <f>VLOOKUP(J940, KM!$A:$E, 5, 0)</f>
        <v>521</v>
      </c>
      <c r="R940" s="24">
        <f>VLOOKUP(K940, KM!$A:$E, 5, 0)</f>
        <v>1144</v>
      </c>
      <c r="S940" s="24">
        <f>VLOOKUP(L940, KM!$A:$E, 5, 0)</f>
        <v>0</v>
      </c>
      <c r="T940" s="24">
        <f>VLOOKUP(M940, KM!$A:$E, 5, 0)</f>
        <v>852</v>
      </c>
      <c r="U940" s="24">
        <f>VLOOKUP(N940, KM!$A:$E, 5, 0)</f>
        <v>4374</v>
      </c>
      <c r="V940" s="24">
        <f>VLOOKUP(H940, IMPOSTO!$A:$D, 4, 0)</f>
        <v>0.12</v>
      </c>
      <c r="W940" s="24">
        <f>VLOOKUP(I940, IMPOSTO!$A:$D, 4, 0)</f>
        <v>0.12</v>
      </c>
      <c r="X940" s="24">
        <f>VLOOKUP(J940, IMPOSTO!$A:$D, 4, 0)</f>
        <v>7.0000000000000007E-2</v>
      </c>
      <c r="Y940" s="24">
        <f>VLOOKUP(K940, IMPOSTO!$A:$D, 4, 0)</f>
        <v>0.12</v>
      </c>
      <c r="Z940" s="24">
        <f>VLOOKUP(L940, IMPOSTO!$A:$D, 4, 0)</f>
        <v>0.18</v>
      </c>
      <c r="AA940" s="24">
        <f>VLOOKUP(M940, IMPOSTO!$A:$D, 4, 0)</f>
        <v>0.12</v>
      </c>
      <c r="AB940" s="24">
        <f>VLOOKUP(N940, IMPOSTO!$A:$D, 4, 0)</f>
        <v>7.0000000000000007E-2</v>
      </c>
      <c r="AC940" s="25">
        <f t="shared" si="135"/>
        <v>4432.7117901203055</v>
      </c>
      <c r="AD940" s="25">
        <f t="shared" si="136"/>
        <v>4433.2799719384875</v>
      </c>
      <c r="AE940" s="25">
        <f t="shared" si="137"/>
        <v>4204.2864250600742</v>
      </c>
      <c r="AF940" s="25">
        <f t="shared" si="138"/>
        <v>4513.9617901203055</v>
      </c>
      <c r="AG940" s="25">
        <f t="shared" si="139"/>
        <v>4704.7394820803274</v>
      </c>
      <c r="AH940" s="25">
        <f t="shared" si="140"/>
        <v>4480.7799719384875</v>
      </c>
      <c r="AI940" s="25">
        <f t="shared" si="141"/>
        <v>4618.587500328892</v>
      </c>
    </row>
    <row r="941" spans="1:35" ht="15.75" customHeight="1">
      <c r="A941" s="12" t="s">
        <v>170</v>
      </c>
      <c r="B941" s="12" t="s">
        <v>171</v>
      </c>
      <c r="C941" s="12" t="s">
        <v>163</v>
      </c>
      <c r="D941" s="12" t="s">
        <v>33</v>
      </c>
      <c r="E941" s="12" t="s">
        <v>27</v>
      </c>
      <c r="F941" s="13">
        <v>156.77486063850125</v>
      </c>
      <c r="G941" s="14">
        <v>2390.1895252945901</v>
      </c>
      <c r="H941" s="24" t="str">
        <f t="shared" si="134"/>
        <v>RJSP</v>
      </c>
      <c r="I941" s="24" t="str">
        <f t="shared" si="142"/>
        <v>RJMG</v>
      </c>
      <c r="J941" s="24" t="str">
        <f t="shared" si="142"/>
        <v>RJES</v>
      </c>
      <c r="K941" s="24" t="str">
        <f t="shared" si="142"/>
        <v>RJSC</v>
      </c>
      <c r="L941" s="24" t="str">
        <f t="shared" si="142"/>
        <v>RJRJ</v>
      </c>
      <c r="M941" s="24" t="str">
        <f t="shared" si="142"/>
        <v>RJPR</v>
      </c>
      <c r="N941" s="24" t="str">
        <f t="shared" si="142"/>
        <v>RJAM</v>
      </c>
      <c r="O941" s="24">
        <f>VLOOKUP(H941, KM!$A:$E, 5, 0)</f>
        <v>429</v>
      </c>
      <c r="P941" s="24">
        <f>VLOOKUP(I941, KM!$A:$E, 5, 0)</f>
        <v>434</v>
      </c>
      <c r="Q941" s="24">
        <f>VLOOKUP(J941, KM!$A:$E, 5, 0)</f>
        <v>521</v>
      </c>
      <c r="R941" s="24">
        <f>VLOOKUP(K941, KM!$A:$E, 5, 0)</f>
        <v>1144</v>
      </c>
      <c r="S941" s="24">
        <f>VLOOKUP(L941, KM!$A:$E, 5, 0)</f>
        <v>0</v>
      </c>
      <c r="T941" s="24">
        <f>VLOOKUP(M941, KM!$A:$E, 5, 0)</f>
        <v>852</v>
      </c>
      <c r="U941" s="24">
        <f>VLOOKUP(N941, KM!$A:$E, 5, 0)</f>
        <v>4374</v>
      </c>
      <c r="V941" s="24">
        <f>VLOOKUP(H941, IMPOSTO!$A:$D, 4, 0)</f>
        <v>0.12</v>
      </c>
      <c r="W941" s="24">
        <f>VLOOKUP(I941, IMPOSTO!$A:$D, 4, 0)</f>
        <v>0.12</v>
      </c>
      <c r="X941" s="24">
        <f>VLOOKUP(J941, IMPOSTO!$A:$D, 4, 0)</f>
        <v>7.0000000000000007E-2</v>
      </c>
      <c r="Y941" s="24">
        <f>VLOOKUP(K941, IMPOSTO!$A:$D, 4, 0)</f>
        <v>0.12</v>
      </c>
      <c r="Z941" s="24">
        <f>VLOOKUP(L941, IMPOSTO!$A:$D, 4, 0)</f>
        <v>0.18</v>
      </c>
      <c r="AA941" s="24">
        <f>VLOOKUP(M941, IMPOSTO!$A:$D, 4, 0)</f>
        <v>0.12</v>
      </c>
      <c r="AB941" s="24">
        <f>VLOOKUP(N941, IMPOSTO!$A:$D, 4, 0)</f>
        <v>7.0000000000000007E-2</v>
      </c>
      <c r="AC941" s="25">
        <f t="shared" si="135"/>
        <v>2764.8744605620345</v>
      </c>
      <c r="AD941" s="25">
        <f t="shared" si="136"/>
        <v>2765.4426423802161</v>
      </c>
      <c r="AE941" s="25">
        <f t="shared" si="137"/>
        <v>2626.1177691339681</v>
      </c>
      <c r="AF941" s="25">
        <f t="shared" si="138"/>
        <v>2846.1244605620345</v>
      </c>
      <c r="AG941" s="25">
        <f t="shared" si="139"/>
        <v>2914.8652747494998</v>
      </c>
      <c r="AH941" s="25">
        <f t="shared" si="140"/>
        <v>2812.9426423802156</v>
      </c>
      <c r="AI941" s="25">
        <f t="shared" si="141"/>
        <v>3040.4188444027855</v>
      </c>
    </row>
    <row r="942" spans="1:35" ht="15.75" customHeight="1">
      <c r="A942" s="12" t="s">
        <v>172</v>
      </c>
      <c r="B942" s="12" t="s">
        <v>173</v>
      </c>
      <c r="C942" s="12" t="s">
        <v>111</v>
      </c>
      <c r="D942" s="12" t="s">
        <v>33</v>
      </c>
      <c r="E942" s="12" t="s">
        <v>27</v>
      </c>
      <c r="F942" s="13">
        <v>117.70847052186178</v>
      </c>
      <c r="G942" s="14">
        <v>7858.6098536078989</v>
      </c>
      <c r="H942" s="24" t="str">
        <f t="shared" si="134"/>
        <v>RJSP</v>
      </c>
      <c r="I942" s="24" t="str">
        <f t="shared" si="142"/>
        <v>RJMG</v>
      </c>
      <c r="J942" s="24" t="str">
        <f t="shared" si="142"/>
        <v>RJES</v>
      </c>
      <c r="K942" s="24" t="str">
        <f t="shared" si="142"/>
        <v>RJSC</v>
      </c>
      <c r="L942" s="24" t="str">
        <f t="shared" si="142"/>
        <v>RJRJ</v>
      </c>
      <c r="M942" s="24" t="str">
        <f t="shared" si="142"/>
        <v>RJPR</v>
      </c>
      <c r="N942" s="24" t="str">
        <f t="shared" si="142"/>
        <v>RJAM</v>
      </c>
      <c r="O942" s="24">
        <f>VLOOKUP(H942, KM!$A:$E, 5, 0)</f>
        <v>429</v>
      </c>
      <c r="P942" s="24">
        <f>VLOOKUP(I942, KM!$A:$E, 5, 0)</f>
        <v>434</v>
      </c>
      <c r="Q942" s="24">
        <f>VLOOKUP(J942, KM!$A:$E, 5, 0)</f>
        <v>521</v>
      </c>
      <c r="R942" s="24">
        <f>VLOOKUP(K942, KM!$A:$E, 5, 0)</f>
        <v>1144</v>
      </c>
      <c r="S942" s="24">
        <f>VLOOKUP(L942, KM!$A:$E, 5, 0)</f>
        <v>0</v>
      </c>
      <c r="T942" s="24">
        <f>VLOOKUP(M942, KM!$A:$E, 5, 0)</f>
        <v>852</v>
      </c>
      <c r="U942" s="24">
        <f>VLOOKUP(N942, KM!$A:$E, 5, 0)</f>
        <v>4374</v>
      </c>
      <c r="V942" s="24">
        <f>VLOOKUP(H942, IMPOSTO!$A:$D, 4, 0)</f>
        <v>0.12</v>
      </c>
      <c r="W942" s="24">
        <f>VLOOKUP(I942, IMPOSTO!$A:$D, 4, 0)</f>
        <v>0.12</v>
      </c>
      <c r="X942" s="24">
        <f>VLOOKUP(J942, IMPOSTO!$A:$D, 4, 0)</f>
        <v>7.0000000000000007E-2</v>
      </c>
      <c r="Y942" s="24">
        <f>VLOOKUP(K942, IMPOSTO!$A:$D, 4, 0)</f>
        <v>0.12</v>
      </c>
      <c r="Z942" s="24">
        <f>VLOOKUP(L942, IMPOSTO!$A:$D, 4, 0)</f>
        <v>0.18</v>
      </c>
      <c r="AA942" s="24">
        <f>VLOOKUP(M942, IMPOSTO!$A:$D, 4, 0)</f>
        <v>0.12</v>
      </c>
      <c r="AB942" s="24">
        <f>VLOOKUP(N942, IMPOSTO!$A:$D, 4, 0)</f>
        <v>7.0000000000000007E-2</v>
      </c>
      <c r="AC942" s="25">
        <f t="shared" si="135"/>
        <v>8978.9884700089751</v>
      </c>
      <c r="AD942" s="25">
        <f t="shared" si="136"/>
        <v>8979.5566518271571</v>
      </c>
      <c r="AE942" s="25">
        <f t="shared" si="137"/>
        <v>8506.1396275353763</v>
      </c>
      <c r="AF942" s="25">
        <f t="shared" si="138"/>
        <v>9060.2384700089751</v>
      </c>
      <c r="AG942" s="25">
        <f t="shared" si="139"/>
        <v>9583.6705531803636</v>
      </c>
      <c r="AH942" s="25">
        <f t="shared" si="140"/>
        <v>9027.0566518271571</v>
      </c>
      <c r="AI942" s="25">
        <f t="shared" si="141"/>
        <v>8920.4407028041933</v>
      </c>
    </row>
    <row r="943" spans="1:35" ht="15.75" customHeight="1">
      <c r="A943" s="12" t="s">
        <v>172</v>
      </c>
      <c r="B943" s="12" t="s">
        <v>173</v>
      </c>
      <c r="C943" s="12" t="s">
        <v>111</v>
      </c>
      <c r="D943" s="12" t="s">
        <v>33</v>
      </c>
      <c r="E943" s="12" t="s">
        <v>27</v>
      </c>
      <c r="F943" s="13">
        <v>13016.595031875881</v>
      </c>
      <c r="G943" s="14">
        <v>773650.83067853749</v>
      </c>
      <c r="H943" s="24" t="str">
        <f t="shared" si="134"/>
        <v>RJSP</v>
      </c>
      <c r="I943" s="24" t="str">
        <f t="shared" si="142"/>
        <v>RJMG</v>
      </c>
      <c r="J943" s="24" t="str">
        <f t="shared" si="142"/>
        <v>RJES</v>
      </c>
      <c r="K943" s="24" t="str">
        <f t="shared" si="142"/>
        <v>RJSC</v>
      </c>
      <c r="L943" s="24" t="str">
        <f t="shared" si="142"/>
        <v>RJRJ</v>
      </c>
      <c r="M943" s="24" t="str">
        <f t="shared" si="142"/>
        <v>RJPR</v>
      </c>
      <c r="N943" s="24" t="str">
        <f t="shared" si="142"/>
        <v>RJAM</v>
      </c>
      <c r="O943" s="24">
        <f>VLOOKUP(H943, KM!$A:$E, 5, 0)</f>
        <v>429</v>
      </c>
      <c r="P943" s="24">
        <f>VLOOKUP(I943, KM!$A:$E, 5, 0)</f>
        <v>434</v>
      </c>
      <c r="Q943" s="24">
        <f>VLOOKUP(J943, KM!$A:$E, 5, 0)</f>
        <v>521</v>
      </c>
      <c r="R943" s="24">
        <f>VLOOKUP(K943, KM!$A:$E, 5, 0)</f>
        <v>1144</v>
      </c>
      <c r="S943" s="24">
        <f>VLOOKUP(L943, KM!$A:$E, 5, 0)</f>
        <v>0</v>
      </c>
      <c r="T943" s="24">
        <f>VLOOKUP(M943, KM!$A:$E, 5, 0)</f>
        <v>852</v>
      </c>
      <c r="U943" s="24">
        <f>VLOOKUP(N943, KM!$A:$E, 5, 0)</f>
        <v>4374</v>
      </c>
      <c r="V943" s="24">
        <f>VLOOKUP(H943, IMPOSTO!$A:$D, 4, 0)</f>
        <v>0.12</v>
      </c>
      <c r="W943" s="24">
        <f>VLOOKUP(I943, IMPOSTO!$A:$D, 4, 0)</f>
        <v>0.12</v>
      </c>
      <c r="X943" s="24">
        <f>VLOOKUP(J943, IMPOSTO!$A:$D, 4, 0)</f>
        <v>7.0000000000000007E-2</v>
      </c>
      <c r="Y943" s="24">
        <f>VLOOKUP(K943, IMPOSTO!$A:$D, 4, 0)</f>
        <v>0.12</v>
      </c>
      <c r="Z943" s="24">
        <f>VLOOKUP(L943, IMPOSTO!$A:$D, 4, 0)</f>
        <v>0.18</v>
      </c>
      <c r="AA943" s="24">
        <f>VLOOKUP(M943, IMPOSTO!$A:$D, 4, 0)</f>
        <v>0.12</v>
      </c>
      <c r="AB943" s="24">
        <f>VLOOKUP(N943, IMPOSTO!$A:$D, 4, 0)</f>
        <v>7.0000000000000007E-2</v>
      </c>
      <c r="AC943" s="25">
        <f t="shared" si="135"/>
        <v>879197.42122561077</v>
      </c>
      <c r="AD943" s="25">
        <f t="shared" si="136"/>
        <v>879197.98940742901</v>
      </c>
      <c r="AE943" s="25">
        <f t="shared" si="137"/>
        <v>831938.63513821235</v>
      </c>
      <c r="AF943" s="25">
        <f t="shared" si="138"/>
        <v>879278.67122561077</v>
      </c>
      <c r="AG943" s="25">
        <f t="shared" si="139"/>
        <v>943476.62277870416</v>
      </c>
      <c r="AH943" s="25">
        <f t="shared" si="140"/>
        <v>879245.48940742889</v>
      </c>
      <c r="AI943" s="25">
        <f t="shared" si="141"/>
        <v>832352.93621348124</v>
      </c>
    </row>
    <row r="944" spans="1:35" ht="15.75" customHeight="1">
      <c r="A944" s="12" t="s">
        <v>642</v>
      </c>
      <c r="B944" s="12" t="s">
        <v>643</v>
      </c>
      <c r="C944" s="12" t="s">
        <v>223</v>
      </c>
      <c r="D944" s="12" t="s">
        <v>33</v>
      </c>
      <c r="E944" s="12" t="s">
        <v>27</v>
      </c>
      <c r="F944" s="13">
        <v>1827.1698389458272</v>
      </c>
      <c r="G944" s="14">
        <v>37875.033469985356</v>
      </c>
      <c r="H944" s="24" t="str">
        <f t="shared" si="134"/>
        <v>RJSP</v>
      </c>
      <c r="I944" s="24" t="str">
        <f t="shared" si="142"/>
        <v>RJMG</v>
      </c>
      <c r="J944" s="24" t="str">
        <f t="shared" si="142"/>
        <v>RJES</v>
      </c>
      <c r="K944" s="24" t="str">
        <f t="shared" si="142"/>
        <v>RJSC</v>
      </c>
      <c r="L944" s="24" t="str">
        <f t="shared" si="142"/>
        <v>RJRJ</v>
      </c>
      <c r="M944" s="24" t="str">
        <f t="shared" si="142"/>
        <v>RJPR</v>
      </c>
      <c r="N944" s="24" t="str">
        <f t="shared" si="142"/>
        <v>RJAM</v>
      </c>
      <c r="O944" s="24">
        <f>VLOOKUP(H944, KM!$A:$E, 5, 0)</f>
        <v>429</v>
      </c>
      <c r="P944" s="24">
        <f>VLOOKUP(I944, KM!$A:$E, 5, 0)</f>
        <v>434</v>
      </c>
      <c r="Q944" s="24">
        <f>VLOOKUP(J944, KM!$A:$E, 5, 0)</f>
        <v>521</v>
      </c>
      <c r="R944" s="24">
        <f>VLOOKUP(K944, KM!$A:$E, 5, 0)</f>
        <v>1144</v>
      </c>
      <c r="S944" s="24">
        <f>VLOOKUP(L944, KM!$A:$E, 5, 0)</f>
        <v>0</v>
      </c>
      <c r="T944" s="24">
        <f>VLOOKUP(M944, KM!$A:$E, 5, 0)</f>
        <v>852</v>
      </c>
      <c r="U944" s="24">
        <f>VLOOKUP(N944, KM!$A:$E, 5, 0)</f>
        <v>4374</v>
      </c>
      <c r="V944" s="24">
        <f>VLOOKUP(H944, IMPOSTO!$A:$D, 4, 0)</f>
        <v>0.12</v>
      </c>
      <c r="W944" s="24">
        <f>VLOOKUP(I944, IMPOSTO!$A:$D, 4, 0)</f>
        <v>0.12</v>
      </c>
      <c r="X944" s="24">
        <f>VLOOKUP(J944, IMPOSTO!$A:$D, 4, 0)</f>
        <v>7.0000000000000007E-2</v>
      </c>
      <c r="Y944" s="24">
        <f>VLOOKUP(K944, IMPOSTO!$A:$D, 4, 0)</f>
        <v>0.12</v>
      </c>
      <c r="Z944" s="24">
        <f>VLOOKUP(L944, IMPOSTO!$A:$D, 4, 0)</f>
        <v>0.18</v>
      </c>
      <c r="AA944" s="24">
        <f>VLOOKUP(M944, IMPOSTO!$A:$D, 4, 0)</f>
        <v>0.12</v>
      </c>
      <c r="AB944" s="24">
        <f>VLOOKUP(N944, IMPOSTO!$A:$D, 4, 0)</f>
        <v>7.0000000000000007E-2</v>
      </c>
      <c r="AC944" s="25">
        <f t="shared" si="135"/>
        <v>43088.560761346998</v>
      </c>
      <c r="AD944" s="25">
        <f t="shared" si="136"/>
        <v>43089.128943165175</v>
      </c>
      <c r="AE944" s="25">
        <f t="shared" si="137"/>
        <v>40781.863946220816</v>
      </c>
      <c r="AF944" s="25">
        <f t="shared" si="138"/>
        <v>43169.810761346998</v>
      </c>
      <c r="AG944" s="25">
        <f t="shared" si="139"/>
        <v>46189.065207299209</v>
      </c>
      <c r="AH944" s="25">
        <f t="shared" si="140"/>
        <v>43136.628943165175</v>
      </c>
      <c r="AI944" s="25">
        <f t="shared" si="141"/>
        <v>41196.165021489636</v>
      </c>
    </row>
    <row r="945" spans="1:35" ht="15.75" customHeight="1">
      <c r="A945" s="12" t="s">
        <v>642</v>
      </c>
      <c r="B945" s="12" t="s">
        <v>643</v>
      </c>
      <c r="C945" s="12" t="s">
        <v>223</v>
      </c>
      <c r="D945" s="12" t="s">
        <v>33</v>
      </c>
      <c r="E945" s="12" t="s">
        <v>27</v>
      </c>
      <c r="F945" s="13">
        <v>341.80087847730601</v>
      </c>
      <c r="G945" s="14">
        <v>7093.0420644216683</v>
      </c>
      <c r="H945" s="24" t="str">
        <f t="shared" si="134"/>
        <v>RJSP</v>
      </c>
      <c r="I945" s="24" t="str">
        <f t="shared" si="142"/>
        <v>RJMG</v>
      </c>
      <c r="J945" s="24" t="str">
        <f t="shared" si="142"/>
        <v>RJES</v>
      </c>
      <c r="K945" s="24" t="str">
        <f t="shared" si="142"/>
        <v>RJSC</v>
      </c>
      <c r="L945" s="24" t="str">
        <f t="shared" si="142"/>
        <v>RJRJ</v>
      </c>
      <c r="M945" s="24" t="str">
        <f t="shared" si="142"/>
        <v>RJPR</v>
      </c>
      <c r="N945" s="24" t="str">
        <f t="shared" si="142"/>
        <v>RJAM</v>
      </c>
      <c r="O945" s="24">
        <f>VLOOKUP(H945, KM!$A:$E, 5, 0)</f>
        <v>429</v>
      </c>
      <c r="P945" s="24">
        <f>VLOOKUP(I945, KM!$A:$E, 5, 0)</f>
        <v>434</v>
      </c>
      <c r="Q945" s="24">
        <f>VLOOKUP(J945, KM!$A:$E, 5, 0)</f>
        <v>521</v>
      </c>
      <c r="R945" s="24">
        <f>VLOOKUP(K945, KM!$A:$E, 5, 0)</f>
        <v>1144</v>
      </c>
      <c r="S945" s="24">
        <f>VLOOKUP(L945, KM!$A:$E, 5, 0)</f>
        <v>0</v>
      </c>
      <c r="T945" s="24">
        <f>VLOOKUP(M945, KM!$A:$E, 5, 0)</f>
        <v>852</v>
      </c>
      <c r="U945" s="24">
        <f>VLOOKUP(N945, KM!$A:$E, 5, 0)</f>
        <v>4374</v>
      </c>
      <c r="V945" s="24">
        <f>VLOOKUP(H945, IMPOSTO!$A:$D, 4, 0)</f>
        <v>0.12</v>
      </c>
      <c r="W945" s="24">
        <f>VLOOKUP(I945, IMPOSTO!$A:$D, 4, 0)</f>
        <v>0.12</v>
      </c>
      <c r="X945" s="24">
        <f>VLOOKUP(J945, IMPOSTO!$A:$D, 4, 0)</f>
        <v>7.0000000000000007E-2</v>
      </c>
      <c r="Y945" s="24">
        <f>VLOOKUP(K945, IMPOSTO!$A:$D, 4, 0)</f>
        <v>0.12</v>
      </c>
      <c r="Z945" s="24">
        <f>VLOOKUP(L945, IMPOSTO!$A:$D, 4, 0)</f>
        <v>0.18</v>
      </c>
      <c r="AA945" s="24">
        <f>VLOOKUP(M945, IMPOSTO!$A:$D, 4, 0)</f>
        <v>0.12</v>
      </c>
      <c r="AB945" s="24">
        <f>VLOOKUP(N945, IMPOSTO!$A:$D, 4, 0)</f>
        <v>7.0000000000000007E-2</v>
      </c>
      <c r="AC945" s="25">
        <f t="shared" si="135"/>
        <v>8109.0250732064405</v>
      </c>
      <c r="AD945" s="25">
        <f t="shared" si="136"/>
        <v>8109.5932550246225</v>
      </c>
      <c r="AE945" s="25">
        <f t="shared" si="137"/>
        <v>7682.9484563673859</v>
      </c>
      <c r="AF945" s="25">
        <f t="shared" si="138"/>
        <v>8190.2750732064405</v>
      </c>
      <c r="AG945" s="25">
        <f t="shared" si="139"/>
        <v>8650.0512980752046</v>
      </c>
      <c r="AH945" s="25">
        <f t="shared" si="140"/>
        <v>8157.0932550246225</v>
      </c>
      <c r="AI945" s="25">
        <f t="shared" si="141"/>
        <v>8097.2495316362028</v>
      </c>
    </row>
    <row r="946" spans="1:35" ht="15.75" customHeight="1">
      <c r="A946" s="12" t="s">
        <v>642</v>
      </c>
      <c r="B946" s="12" t="s">
        <v>643</v>
      </c>
      <c r="C946" s="12" t="s">
        <v>223</v>
      </c>
      <c r="D946" s="12" t="s">
        <v>33</v>
      </c>
      <c r="E946" s="12" t="s">
        <v>27</v>
      </c>
      <c r="F946" s="13">
        <v>328.12884333821376</v>
      </c>
      <c r="G946" s="14">
        <v>6190.5510248901901</v>
      </c>
      <c r="H946" s="24" t="str">
        <f t="shared" si="134"/>
        <v>RJSP</v>
      </c>
      <c r="I946" s="24" t="str">
        <f t="shared" si="142"/>
        <v>RJMG</v>
      </c>
      <c r="J946" s="24" t="str">
        <f t="shared" si="142"/>
        <v>RJES</v>
      </c>
      <c r="K946" s="24" t="str">
        <f t="shared" si="142"/>
        <v>RJSC</v>
      </c>
      <c r="L946" s="24" t="str">
        <f t="shared" si="142"/>
        <v>RJRJ</v>
      </c>
      <c r="M946" s="24" t="str">
        <f t="shared" si="142"/>
        <v>RJPR</v>
      </c>
      <c r="N946" s="24" t="str">
        <f t="shared" si="142"/>
        <v>RJAM</v>
      </c>
      <c r="O946" s="24">
        <f>VLOOKUP(H946, KM!$A:$E, 5, 0)</f>
        <v>429</v>
      </c>
      <c r="P946" s="24">
        <f>VLOOKUP(I946, KM!$A:$E, 5, 0)</f>
        <v>434</v>
      </c>
      <c r="Q946" s="24">
        <f>VLOOKUP(J946, KM!$A:$E, 5, 0)</f>
        <v>521</v>
      </c>
      <c r="R946" s="24">
        <f>VLOOKUP(K946, KM!$A:$E, 5, 0)</f>
        <v>1144</v>
      </c>
      <c r="S946" s="24">
        <f>VLOOKUP(L946, KM!$A:$E, 5, 0)</f>
        <v>0</v>
      </c>
      <c r="T946" s="24">
        <f>VLOOKUP(M946, KM!$A:$E, 5, 0)</f>
        <v>852</v>
      </c>
      <c r="U946" s="24">
        <f>VLOOKUP(N946, KM!$A:$E, 5, 0)</f>
        <v>4374</v>
      </c>
      <c r="V946" s="24">
        <f>VLOOKUP(H946, IMPOSTO!$A:$D, 4, 0)</f>
        <v>0.12</v>
      </c>
      <c r="W946" s="24">
        <f>VLOOKUP(I946, IMPOSTO!$A:$D, 4, 0)</f>
        <v>0.12</v>
      </c>
      <c r="X946" s="24">
        <f>VLOOKUP(J946, IMPOSTO!$A:$D, 4, 0)</f>
        <v>7.0000000000000007E-2</v>
      </c>
      <c r="Y946" s="24">
        <f>VLOOKUP(K946, IMPOSTO!$A:$D, 4, 0)</f>
        <v>0.12</v>
      </c>
      <c r="Z946" s="24">
        <f>VLOOKUP(L946, IMPOSTO!$A:$D, 4, 0)</f>
        <v>0.18</v>
      </c>
      <c r="AA946" s="24">
        <f>VLOOKUP(M946, IMPOSTO!$A:$D, 4, 0)</f>
        <v>0.12</v>
      </c>
      <c r="AB946" s="24">
        <f>VLOOKUP(N946, IMPOSTO!$A:$D, 4, 0)</f>
        <v>7.0000000000000007E-2</v>
      </c>
      <c r="AC946" s="25">
        <f t="shared" si="135"/>
        <v>7083.4670737388524</v>
      </c>
      <c r="AD946" s="25">
        <f t="shared" si="136"/>
        <v>7084.0352555570335</v>
      </c>
      <c r="AE946" s="25">
        <f t="shared" si="137"/>
        <v>6712.5279837528933</v>
      </c>
      <c r="AF946" s="25">
        <f t="shared" si="138"/>
        <v>7164.7170737388524</v>
      </c>
      <c r="AG946" s="25">
        <f t="shared" si="139"/>
        <v>7549.4524693782796</v>
      </c>
      <c r="AH946" s="25">
        <f t="shared" si="140"/>
        <v>7131.5352555570344</v>
      </c>
      <c r="AI946" s="25">
        <f t="shared" si="141"/>
        <v>7126.8290590217102</v>
      </c>
    </row>
    <row r="947" spans="1:35" ht="15" customHeight="1">
      <c r="A947" s="12" t="s">
        <v>394</v>
      </c>
      <c r="B947" s="12" t="s">
        <v>395</v>
      </c>
      <c r="C947" s="12" t="s">
        <v>163</v>
      </c>
      <c r="D947" s="12" t="s">
        <v>33</v>
      </c>
      <c r="E947" s="12" t="s">
        <v>27</v>
      </c>
      <c r="F947" s="13">
        <v>42.5</v>
      </c>
      <c r="G947" s="14">
        <v>2543.1750000000002</v>
      </c>
      <c r="H947" s="24" t="str">
        <f t="shared" si="134"/>
        <v>RJSP</v>
      </c>
      <c r="I947" s="24" t="str">
        <f t="shared" si="142"/>
        <v>RJMG</v>
      </c>
      <c r="J947" s="24" t="str">
        <f t="shared" si="142"/>
        <v>RJES</v>
      </c>
      <c r="K947" s="24" t="str">
        <f t="shared" si="142"/>
        <v>RJSC</v>
      </c>
      <c r="L947" s="24" t="str">
        <f t="shared" si="142"/>
        <v>RJRJ</v>
      </c>
      <c r="M947" s="24" t="str">
        <f t="shared" si="142"/>
        <v>RJPR</v>
      </c>
      <c r="N947" s="24" t="str">
        <f t="shared" si="142"/>
        <v>RJAM</v>
      </c>
      <c r="O947" s="24">
        <f>VLOOKUP(H947, KM!$A:$E, 5, 0)</f>
        <v>429</v>
      </c>
      <c r="P947" s="24">
        <f>VLOOKUP(I947, KM!$A:$E, 5, 0)</f>
        <v>434</v>
      </c>
      <c r="Q947" s="24">
        <f>VLOOKUP(J947, KM!$A:$E, 5, 0)</f>
        <v>521</v>
      </c>
      <c r="R947" s="24">
        <f>VLOOKUP(K947, KM!$A:$E, 5, 0)</f>
        <v>1144</v>
      </c>
      <c r="S947" s="24">
        <f>VLOOKUP(L947, KM!$A:$E, 5, 0)</f>
        <v>0</v>
      </c>
      <c r="T947" s="24">
        <f>VLOOKUP(M947, KM!$A:$E, 5, 0)</f>
        <v>852</v>
      </c>
      <c r="U947" s="24">
        <f>VLOOKUP(N947, KM!$A:$E, 5, 0)</f>
        <v>4374</v>
      </c>
      <c r="V947" s="24">
        <f>VLOOKUP(H947, IMPOSTO!$A:$D, 4, 0)</f>
        <v>0.12</v>
      </c>
      <c r="W947" s="24">
        <f>VLOOKUP(I947, IMPOSTO!$A:$D, 4, 0)</f>
        <v>0.12</v>
      </c>
      <c r="X947" s="24">
        <f>VLOOKUP(J947, IMPOSTO!$A:$D, 4, 0)</f>
        <v>7.0000000000000007E-2</v>
      </c>
      <c r="Y947" s="24">
        <f>VLOOKUP(K947, IMPOSTO!$A:$D, 4, 0)</f>
        <v>0.12</v>
      </c>
      <c r="Z947" s="24">
        <f>VLOOKUP(L947, IMPOSTO!$A:$D, 4, 0)</f>
        <v>0.18</v>
      </c>
      <c r="AA947" s="24">
        <f>VLOOKUP(M947, IMPOSTO!$A:$D, 4, 0)</f>
        <v>0.12</v>
      </c>
      <c r="AB947" s="24">
        <f>VLOOKUP(N947, IMPOSTO!$A:$D, 4, 0)</f>
        <v>7.0000000000000007E-2</v>
      </c>
      <c r="AC947" s="25">
        <f t="shared" si="135"/>
        <v>2938.721590909091</v>
      </c>
      <c r="AD947" s="25">
        <f t="shared" si="136"/>
        <v>2939.289772727273</v>
      </c>
      <c r="AE947" s="25">
        <f t="shared" si="137"/>
        <v>2790.6182795698928</v>
      </c>
      <c r="AF947" s="25">
        <f t="shared" si="138"/>
        <v>3019.971590909091</v>
      </c>
      <c r="AG947" s="25">
        <f t="shared" si="139"/>
        <v>3101.4329268292681</v>
      </c>
      <c r="AH947" s="25">
        <f t="shared" si="140"/>
        <v>2986.7897727272725</v>
      </c>
      <c r="AI947" s="25">
        <f t="shared" si="141"/>
        <v>3204.9193548387102</v>
      </c>
    </row>
    <row r="948" spans="1:35" ht="15.75" customHeight="1">
      <c r="A948" s="12" t="s">
        <v>394</v>
      </c>
      <c r="B948" s="12" t="s">
        <v>395</v>
      </c>
      <c r="C948" s="12" t="s">
        <v>163</v>
      </c>
      <c r="D948" s="12" t="s">
        <v>33</v>
      </c>
      <c r="E948" s="12" t="s">
        <v>27</v>
      </c>
      <c r="F948" s="13">
        <v>10</v>
      </c>
      <c r="G948" s="14">
        <v>598.18333333333339</v>
      </c>
      <c r="H948" s="24" t="str">
        <f t="shared" si="134"/>
        <v>RJSP</v>
      </c>
      <c r="I948" s="24" t="str">
        <f t="shared" si="142"/>
        <v>RJMG</v>
      </c>
      <c r="J948" s="24" t="str">
        <f t="shared" si="142"/>
        <v>RJES</v>
      </c>
      <c r="K948" s="24" t="str">
        <f t="shared" si="142"/>
        <v>RJSC</v>
      </c>
      <c r="L948" s="24" t="str">
        <f t="shared" si="142"/>
        <v>RJRJ</v>
      </c>
      <c r="M948" s="24" t="str">
        <f t="shared" si="142"/>
        <v>RJPR</v>
      </c>
      <c r="N948" s="24" t="str">
        <f t="shared" si="142"/>
        <v>RJAM</v>
      </c>
      <c r="O948" s="24">
        <f>VLOOKUP(H948, KM!$A:$E, 5, 0)</f>
        <v>429</v>
      </c>
      <c r="P948" s="24">
        <f>VLOOKUP(I948, KM!$A:$E, 5, 0)</f>
        <v>434</v>
      </c>
      <c r="Q948" s="24">
        <f>VLOOKUP(J948, KM!$A:$E, 5, 0)</f>
        <v>521</v>
      </c>
      <c r="R948" s="24">
        <f>VLOOKUP(K948, KM!$A:$E, 5, 0)</f>
        <v>1144</v>
      </c>
      <c r="S948" s="24">
        <f>VLOOKUP(L948, KM!$A:$E, 5, 0)</f>
        <v>0</v>
      </c>
      <c r="T948" s="24">
        <f>VLOOKUP(M948, KM!$A:$E, 5, 0)</f>
        <v>852</v>
      </c>
      <c r="U948" s="24">
        <f>VLOOKUP(N948, KM!$A:$E, 5, 0)</f>
        <v>4374</v>
      </c>
      <c r="V948" s="24">
        <f>VLOOKUP(H948, IMPOSTO!$A:$D, 4, 0)</f>
        <v>0.12</v>
      </c>
      <c r="W948" s="24">
        <f>VLOOKUP(I948, IMPOSTO!$A:$D, 4, 0)</f>
        <v>0.12</v>
      </c>
      <c r="X948" s="24">
        <f>VLOOKUP(J948, IMPOSTO!$A:$D, 4, 0)</f>
        <v>7.0000000000000007E-2</v>
      </c>
      <c r="Y948" s="24">
        <f>VLOOKUP(K948, IMPOSTO!$A:$D, 4, 0)</f>
        <v>0.12</v>
      </c>
      <c r="Z948" s="24">
        <f>VLOOKUP(L948, IMPOSTO!$A:$D, 4, 0)</f>
        <v>0.18</v>
      </c>
      <c r="AA948" s="24">
        <f>VLOOKUP(M948, IMPOSTO!$A:$D, 4, 0)</f>
        <v>0.12</v>
      </c>
      <c r="AB948" s="24">
        <f>VLOOKUP(N948, IMPOSTO!$A:$D, 4, 0)</f>
        <v>7.0000000000000007E-2</v>
      </c>
      <c r="AC948" s="25">
        <f t="shared" si="135"/>
        <v>728.50378787878788</v>
      </c>
      <c r="AD948" s="25">
        <f t="shared" si="136"/>
        <v>729.07196969696975</v>
      </c>
      <c r="AE948" s="25">
        <f t="shared" si="137"/>
        <v>699.22939068100368</v>
      </c>
      <c r="AF948" s="25">
        <f t="shared" si="138"/>
        <v>809.75378787878788</v>
      </c>
      <c r="AG948" s="25">
        <f t="shared" si="139"/>
        <v>729.49186991869919</v>
      </c>
      <c r="AH948" s="25">
        <f t="shared" si="140"/>
        <v>776.57196969696986</v>
      </c>
      <c r="AI948" s="25">
        <f t="shared" si="141"/>
        <v>1113.5304659498211</v>
      </c>
    </row>
    <row r="949" spans="1:35" ht="15.75" customHeight="1">
      <c r="A949" s="12" t="s">
        <v>394</v>
      </c>
      <c r="B949" s="12" t="s">
        <v>395</v>
      </c>
      <c r="C949" s="12" t="s">
        <v>163</v>
      </c>
      <c r="D949" s="12" t="s">
        <v>33</v>
      </c>
      <c r="E949" s="12" t="s">
        <v>27</v>
      </c>
      <c r="F949" s="13">
        <v>4.166666666666667</v>
      </c>
      <c r="G949" s="14">
        <v>249.04999999999998</v>
      </c>
      <c r="H949" s="24" t="str">
        <f t="shared" si="134"/>
        <v>RJSP</v>
      </c>
      <c r="I949" s="24" t="str">
        <f t="shared" si="142"/>
        <v>RJMG</v>
      </c>
      <c r="J949" s="24" t="str">
        <f t="shared" si="142"/>
        <v>RJES</v>
      </c>
      <c r="K949" s="24" t="str">
        <f t="shared" si="142"/>
        <v>RJSC</v>
      </c>
      <c r="L949" s="24" t="str">
        <f t="shared" si="142"/>
        <v>RJRJ</v>
      </c>
      <c r="M949" s="24" t="str">
        <f t="shared" si="142"/>
        <v>RJPR</v>
      </c>
      <c r="N949" s="24" t="str">
        <f t="shared" si="142"/>
        <v>RJAM</v>
      </c>
      <c r="O949" s="24">
        <f>VLOOKUP(H949, KM!$A:$E, 5, 0)</f>
        <v>429</v>
      </c>
      <c r="P949" s="24">
        <f>VLOOKUP(I949, KM!$A:$E, 5, 0)</f>
        <v>434</v>
      </c>
      <c r="Q949" s="24">
        <f>VLOOKUP(J949, KM!$A:$E, 5, 0)</f>
        <v>521</v>
      </c>
      <c r="R949" s="24">
        <f>VLOOKUP(K949, KM!$A:$E, 5, 0)</f>
        <v>1144</v>
      </c>
      <c r="S949" s="24">
        <f>VLOOKUP(L949, KM!$A:$E, 5, 0)</f>
        <v>0</v>
      </c>
      <c r="T949" s="24">
        <f>VLOOKUP(M949, KM!$A:$E, 5, 0)</f>
        <v>852</v>
      </c>
      <c r="U949" s="24">
        <f>VLOOKUP(N949, KM!$A:$E, 5, 0)</f>
        <v>4374</v>
      </c>
      <c r="V949" s="24">
        <f>VLOOKUP(H949, IMPOSTO!$A:$D, 4, 0)</f>
        <v>0.12</v>
      </c>
      <c r="W949" s="24">
        <f>VLOOKUP(I949, IMPOSTO!$A:$D, 4, 0)</f>
        <v>0.12</v>
      </c>
      <c r="X949" s="24">
        <f>VLOOKUP(J949, IMPOSTO!$A:$D, 4, 0)</f>
        <v>7.0000000000000007E-2</v>
      </c>
      <c r="Y949" s="24">
        <f>VLOOKUP(K949, IMPOSTO!$A:$D, 4, 0)</f>
        <v>0.12</v>
      </c>
      <c r="Z949" s="24">
        <f>VLOOKUP(L949, IMPOSTO!$A:$D, 4, 0)</f>
        <v>0.18</v>
      </c>
      <c r="AA949" s="24">
        <f>VLOOKUP(M949, IMPOSTO!$A:$D, 4, 0)</f>
        <v>0.12</v>
      </c>
      <c r="AB949" s="24">
        <f>VLOOKUP(N949, IMPOSTO!$A:$D, 4, 0)</f>
        <v>7.0000000000000007E-2</v>
      </c>
      <c r="AC949" s="25">
        <f t="shared" si="135"/>
        <v>331.76136363636363</v>
      </c>
      <c r="AD949" s="25">
        <f t="shared" si="136"/>
        <v>332.32954545454544</v>
      </c>
      <c r="AE949" s="25">
        <f t="shared" si="137"/>
        <v>323.81720430107526</v>
      </c>
      <c r="AF949" s="25">
        <f t="shared" si="138"/>
        <v>413.01136363636363</v>
      </c>
      <c r="AG949" s="25">
        <f t="shared" si="139"/>
        <v>303.71951219512192</v>
      </c>
      <c r="AH949" s="25">
        <f t="shared" si="140"/>
        <v>379.82954545454544</v>
      </c>
      <c r="AI949" s="25">
        <f t="shared" si="141"/>
        <v>738.11827956989259</v>
      </c>
    </row>
    <row r="950" spans="1:35" ht="15.75" customHeight="1">
      <c r="A950" s="12" t="s">
        <v>396</v>
      </c>
      <c r="B950" s="12" t="s">
        <v>397</v>
      </c>
      <c r="C950" s="12" t="s">
        <v>143</v>
      </c>
      <c r="D950" s="12" t="s">
        <v>33</v>
      </c>
      <c r="E950" s="12" t="s">
        <v>27</v>
      </c>
      <c r="F950" s="13">
        <v>358.875</v>
      </c>
      <c r="G950" s="14">
        <v>58955.66599999999</v>
      </c>
      <c r="H950" s="24" t="str">
        <f t="shared" si="134"/>
        <v>RJSP</v>
      </c>
      <c r="I950" s="24" t="str">
        <f t="shared" si="142"/>
        <v>RJMG</v>
      </c>
      <c r="J950" s="24" t="str">
        <f t="shared" si="142"/>
        <v>RJES</v>
      </c>
      <c r="K950" s="24" t="str">
        <f t="shared" si="142"/>
        <v>RJSC</v>
      </c>
      <c r="L950" s="24" t="str">
        <f t="shared" si="142"/>
        <v>RJRJ</v>
      </c>
      <c r="M950" s="24" t="str">
        <f t="shared" si="142"/>
        <v>RJPR</v>
      </c>
      <c r="N950" s="24" t="str">
        <f t="shared" si="142"/>
        <v>RJAM</v>
      </c>
      <c r="O950" s="24">
        <f>VLOOKUP(H950, KM!$A:$E, 5, 0)</f>
        <v>429</v>
      </c>
      <c r="P950" s="24">
        <f>VLOOKUP(I950, KM!$A:$E, 5, 0)</f>
        <v>434</v>
      </c>
      <c r="Q950" s="24">
        <f>VLOOKUP(J950, KM!$A:$E, 5, 0)</f>
        <v>521</v>
      </c>
      <c r="R950" s="24">
        <f>VLOOKUP(K950, KM!$A:$E, 5, 0)</f>
        <v>1144</v>
      </c>
      <c r="S950" s="24">
        <f>VLOOKUP(L950, KM!$A:$E, 5, 0)</f>
        <v>0</v>
      </c>
      <c r="T950" s="24">
        <f>VLOOKUP(M950, KM!$A:$E, 5, 0)</f>
        <v>852</v>
      </c>
      <c r="U950" s="24">
        <f>VLOOKUP(N950, KM!$A:$E, 5, 0)</f>
        <v>4374</v>
      </c>
      <c r="V950" s="24">
        <f>VLOOKUP(H950, IMPOSTO!$A:$D, 4, 0)</f>
        <v>0.12</v>
      </c>
      <c r="W950" s="24">
        <f>VLOOKUP(I950, IMPOSTO!$A:$D, 4, 0)</f>
        <v>0.12</v>
      </c>
      <c r="X950" s="24">
        <f>VLOOKUP(J950, IMPOSTO!$A:$D, 4, 0)</f>
        <v>7.0000000000000007E-2</v>
      </c>
      <c r="Y950" s="24">
        <f>VLOOKUP(K950, IMPOSTO!$A:$D, 4, 0)</f>
        <v>0.12</v>
      </c>
      <c r="Z950" s="24">
        <f>VLOOKUP(L950, IMPOSTO!$A:$D, 4, 0)</f>
        <v>0.18</v>
      </c>
      <c r="AA950" s="24">
        <f>VLOOKUP(M950, IMPOSTO!$A:$D, 4, 0)</f>
        <v>0.12</v>
      </c>
      <c r="AB950" s="24">
        <f>VLOOKUP(N950, IMPOSTO!$A:$D, 4, 0)</f>
        <v>7.0000000000000007E-2</v>
      </c>
      <c r="AC950" s="25">
        <f t="shared" si="135"/>
        <v>67043.824999999997</v>
      </c>
      <c r="AD950" s="25">
        <f t="shared" si="136"/>
        <v>67044.393181818174</v>
      </c>
      <c r="AE950" s="25">
        <f t="shared" si="137"/>
        <v>63449.210752688166</v>
      </c>
      <c r="AF950" s="25">
        <f t="shared" si="138"/>
        <v>67125.074999999997</v>
      </c>
      <c r="AG950" s="25">
        <f t="shared" si="139"/>
        <v>71897.153658536568</v>
      </c>
      <c r="AH950" s="25">
        <f t="shared" si="140"/>
        <v>67091.893181818174</v>
      </c>
      <c r="AI950" s="25">
        <f t="shared" si="141"/>
        <v>63863.511827956987</v>
      </c>
    </row>
    <row r="951" spans="1:35" ht="15.75" customHeight="1">
      <c r="A951" s="12" t="s">
        <v>398</v>
      </c>
      <c r="B951" s="12" t="s">
        <v>399</v>
      </c>
      <c r="C951" s="12" t="s">
        <v>98</v>
      </c>
      <c r="D951" s="12" t="s">
        <v>33</v>
      </c>
      <c r="E951" s="12" t="s">
        <v>27</v>
      </c>
      <c r="F951" s="13">
        <v>2.5131191709844556</v>
      </c>
      <c r="G951" s="14">
        <v>29.884979896373046</v>
      </c>
      <c r="H951" s="24" t="str">
        <f t="shared" si="134"/>
        <v>RJSP</v>
      </c>
      <c r="I951" s="24" t="str">
        <f t="shared" si="142"/>
        <v>RJMG</v>
      </c>
      <c r="J951" s="24" t="str">
        <f t="shared" si="142"/>
        <v>RJES</v>
      </c>
      <c r="K951" s="24" t="str">
        <f t="shared" si="142"/>
        <v>RJSC</v>
      </c>
      <c r="L951" s="24" t="str">
        <f t="shared" si="142"/>
        <v>RJRJ</v>
      </c>
      <c r="M951" s="24" t="str">
        <f t="shared" si="142"/>
        <v>RJPR</v>
      </c>
      <c r="N951" s="24" t="str">
        <f t="shared" si="142"/>
        <v>RJAM</v>
      </c>
      <c r="O951" s="24">
        <f>VLOOKUP(H951, KM!$A:$E, 5, 0)</f>
        <v>429</v>
      </c>
      <c r="P951" s="24">
        <f>VLOOKUP(I951, KM!$A:$E, 5, 0)</f>
        <v>434</v>
      </c>
      <c r="Q951" s="24">
        <f>VLOOKUP(J951, KM!$A:$E, 5, 0)</f>
        <v>521</v>
      </c>
      <c r="R951" s="24">
        <f>VLOOKUP(K951, KM!$A:$E, 5, 0)</f>
        <v>1144</v>
      </c>
      <c r="S951" s="24">
        <f>VLOOKUP(L951, KM!$A:$E, 5, 0)</f>
        <v>0</v>
      </c>
      <c r="T951" s="24">
        <f>VLOOKUP(M951, KM!$A:$E, 5, 0)</f>
        <v>852</v>
      </c>
      <c r="U951" s="24">
        <f>VLOOKUP(N951, KM!$A:$E, 5, 0)</f>
        <v>4374</v>
      </c>
      <c r="V951" s="24">
        <f>VLOOKUP(H951, IMPOSTO!$A:$D, 4, 0)</f>
        <v>0.12</v>
      </c>
      <c r="W951" s="24">
        <f>VLOOKUP(I951, IMPOSTO!$A:$D, 4, 0)</f>
        <v>0.12</v>
      </c>
      <c r="X951" s="24">
        <f>VLOOKUP(J951, IMPOSTO!$A:$D, 4, 0)</f>
        <v>7.0000000000000007E-2</v>
      </c>
      <c r="Y951" s="24">
        <f>VLOOKUP(K951, IMPOSTO!$A:$D, 4, 0)</f>
        <v>0.12</v>
      </c>
      <c r="Z951" s="24">
        <f>VLOOKUP(L951, IMPOSTO!$A:$D, 4, 0)</f>
        <v>0.18</v>
      </c>
      <c r="AA951" s="24">
        <f>VLOOKUP(M951, IMPOSTO!$A:$D, 4, 0)</f>
        <v>0.12</v>
      </c>
      <c r="AB951" s="24">
        <f>VLOOKUP(N951, IMPOSTO!$A:$D, 4, 0)</f>
        <v>7.0000000000000007E-2</v>
      </c>
      <c r="AC951" s="25">
        <f t="shared" si="135"/>
        <v>82.710204427696638</v>
      </c>
      <c r="AD951" s="25">
        <f t="shared" si="136"/>
        <v>83.278386245878465</v>
      </c>
      <c r="AE951" s="25">
        <f t="shared" si="137"/>
        <v>88.155892361691457</v>
      </c>
      <c r="AF951" s="25">
        <f t="shared" si="138"/>
        <v>163.96020442769665</v>
      </c>
      <c r="AG951" s="25">
        <f t="shared" si="139"/>
        <v>36.445097434601273</v>
      </c>
      <c r="AH951" s="25">
        <f t="shared" si="140"/>
        <v>130.77838624587847</v>
      </c>
      <c r="AI951" s="25">
        <f t="shared" si="141"/>
        <v>502.45696763050876</v>
      </c>
    </row>
    <row r="952" spans="1:35" ht="15.75" customHeight="1">
      <c r="A952" s="12" t="s">
        <v>398</v>
      </c>
      <c r="B952" s="12" t="s">
        <v>399</v>
      </c>
      <c r="C952" s="12" t="s">
        <v>98</v>
      </c>
      <c r="D952" s="12" t="s">
        <v>33</v>
      </c>
      <c r="E952" s="12" t="s">
        <v>27</v>
      </c>
      <c r="F952" s="13">
        <v>0.24414507772020724</v>
      </c>
      <c r="G952" s="14">
        <v>3.0742275647668396</v>
      </c>
      <c r="H952" s="24" t="str">
        <f t="shared" si="134"/>
        <v>RJSP</v>
      </c>
      <c r="I952" s="24" t="str">
        <f t="shared" si="142"/>
        <v>RJMG</v>
      </c>
      <c r="J952" s="24" t="str">
        <f t="shared" si="142"/>
        <v>RJES</v>
      </c>
      <c r="K952" s="24" t="str">
        <f t="shared" si="142"/>
        <v>RJSC</v>
      </c>
      <c r="L952" s="24" t="str">
        <f t="shared" si="142"/>
        <v>RJRJ</v>
      </c>
      <c r="M952" s="24" t="str">
        <f t="shared" si="142"/>
        <v>RJPR</v>
      </c>
      <c r="N952" s="24" t="str">
        <f t="shared" si="142"/>
        <v>RJAM</v>
      </c>
      <c r="O952" s="24">
        <f>VLOOKUP(H952, KM!$A:$E, 5, 0)</f>
        <v>429</v>
      </c>
      <c r="P952" s="24">
        <f>VLOOKUP(I952, KM!$A:$E, 5, 0)</f>
        <v>434</v>
      </c>
      <c r="Q952" s="24">
        <f>VLOOKUP(J952, KM!$A:$E, 5, 0)</f>
        <v>521</v>
      </c>
      <c r="R952" s="24">
        <f>VLOOKUP(K952, KM!$A:$E, 5, 0)</f>
        <v>1144</v>
      </c>
      <c r="S952" s="24">
        <f>VLOOKUP(L952, KM!$A:$E, 5, 0)</f>
        <v>0</v>
      </c>
      <c r="T952" s="24">
        <f>VLOOKUP(M952, KM!$A:$E, 5, 0)</f>
        <v>852</v>
      </c>
      <c r="U952" s="24">
        <f>VLOOKUP(N952, KM!$A:$E, 5, 0)</f>
        <v>4374</v>
      </c>
      <c r="V952" s="24">
        <f>VLOOKUP(H952, IMPOSTO!$A:$D, 4, 0)</f>
        <v>0.12</v>
      </c>
      <c r="W952" s="24">
        <f>VLOOKUP(I952, IMPOSTO!$A:$D, 4, 0)</f>
        <v>0.12</v>
      </c>
      <c r="X952" s="24">
        <f>VLOOKUP(J952, IMPOSTO!$A:$D, 4, 0)</f>
        <v>7.0000000000000007E-2</v>
      </c>
      <c r="Y952" s="24">
        <f>VLOOKUP(K952, IMPOSTO!$A:$D, 4, 0)</f>
        <v>0.12</v>
      </c>
      <c r="Z952" s="24">
        <f>VLOOKUP(L952, IMPOSTO!$A:$D, 4, 0)</f>
        <v>0.18</v>
      </c>
      <c r="AA952" s="24">
        <f>VLOOKUP(M952, IMPOSTO!$A:$D, 4, 0)</f>
        <v>0.12</v>
      </c>
      <c r="AB952" s="24">
        <f>VLOOKUP(N952, IMPOSTO!$A:$D, 4, 0)</f>
        <v>7.0000000000000007E-2</v>
      </c>
      <c r="AC952" s="25">
        <f t="shared" si="135"/>
        <v>52.243440414507774</v>
      </c>
      <c r="AD952" s="25">
        <f t="shared" si="136"/>
        <v>52.811622232689594</v>
      </c>
      <c r="AE952" s="25">
        <f t="shared" si="137"/>
        <v>59.32712641372779</v>
      </c>
      <c r="AF952" s="25">
        <f t="shared" si="138"/>
        <v>133.49344041450777</v>
      </c>
      <c r="AG952" s="25">
        <f t="shared" si="139"/>
        <v>3.7490580058132186</v>
      </c>
      <c r="AH952" s="25">
        <f t="shared" si="140"/>
        <v>100.3116222326896</v>
      </c>
      <c r="AI952" s="25">
        <f t="shared" si="141"/>
        <v>473.62820168254507</v>
      </c>
    </row>
    <row r="953" spans="1:35" ht="15.75" customHeight="1">
      <c r="A953" s="12" t="s">
        <v>99</v>
      </c>
      <c r="B953" s="12" t="s">
        <v>100</v>
      </c>
      <c r="C953" s="12" t="s">
        <v>101</v>
      </c>
      <c r="D953" s="12" t="s">
        <v>33</v>
      </c>
      <c r="E953" s="12" t="s">
        <v>27</v>
      </c>
      <c r="F953" s="13">
        <v>17874.636466404194</v>
      </c>
      <c r="G953" s="14">
        <v>118208.84204309424</v>
      </c>
      <c r="H953" s="24" t="str">
        <f t="shared" si="134"/>
        <v>RJSP</v>
      </c>
      <c r="I953" s="24" t="str">
        <f t="shared" si="142"/>
        <v>RJMG</v>
      </c>
      <c r="J953" s="24" t="str">
        <f t="shared" si="142"/>
        <v>RJES</v>
      </c>
      <c r="K953" s="24" t="str">
        <f t="shared" si="142"/>
        <v>RJSC</v>
      </c>
      <c r="L953" s="24" t="str">
        <f t="shared" si="142"/>
        <v>RJRJ</v>
      </c>
      <c r="M953" s="24" t="str">
        <f t="shared" si="142"/>
        <v>RJPR</v>
      </c>
      <c r="N953" s="24" t="str">
        <f t="shared" si="142"/>
        <v>RJAM</v>
      </c>
      <c r="O953" s="24">
        <f>VLOOKUP(H953, KM!$A:$E, 5, 0)</f>
        <v>429</v>
      </c>
      <c r="P953" s="24">
        <f>VLOOKUP(I953, KM!$A:$E, 5, 0)</f>
        <v>434</v>
      </c>
      <c r="Q953" s="24">
        <f>VLOOKUP(J953, KM!$A:$E, 5, 0)</f>
        <v>521</v>
      </c>
      <c r="R953" s="24">
        <f>VLOOKUP(K953, KM!$A:$E, 5, 0)</f>
        <v>1144</v>
      </c>
      <c r="S953" s="24">
        <f>VLOOKUP(L953, KM!$A:$E, 5, 0)</f>
        <v>0</v>
      </c>
      <c r="T953" s="24">
        <f>VLOOKUP(M953, KM!$A:$E, 5, 0)</f>
        <v>852</v>
      </c>
      <c r="U953" s="24">
        <f>VLOOKUP(N953, KM!$A:$E, 5, 0)</f>
        <v>4374</v>
      </c>
      <c r="V953" s="24">
        <f>VLOOKUP(H953, IMPOSTO!$A:$D, 4, 0)</f>
        <v>0.12</v>
      </c>
      <c r="W953" s="24">
        <f>VLOOKUP(I953, IMPOSTO!$A:$D, 4, 0)</f>
        <v>0.12</v>
      </c>
      <c r="X953" s="24">
        <f>VLOOKUP(J953, IMPOSTO!$A:$D, 4, 0)</f>
        <v>7.0000000000000007E-2</v>
      </c>
      <c r="Y953" s="24">
        <f>VLOOKUP(K953, IMPOSTO!$A:$D, 4, 0)</f>
        <v>0.12</v>
      </c>
      <c r="Z953" s="24">
        <f>VLOOKUP(L953, IMPOSTO!$A:$D, 4, 0)</f>
        <v>0.18</v>
      </c>
      <c r="AA953" s="24">
        <f>VLOOKUP(M953, IMPOSTO!$A:$D, 4, 0)</f>
        <v>0.12</v>
      </c>
      <c r="AB953" s="24">
        <f>VLOOKUP(N953, IMPOSTO!$A:$D, 4, 0)</f>
        <v>7.0000000000000007E-2</v>
      </c>
      <c r="AC953" s="25">
        <f t="shared" si="135"/>
        <v>134376.97959442527</v>
      </c>
      <c r="AD953" s="25">
        <f t="shared" si="136"/>
        <v>134377.54777624345</v>
      </c>
      <c r="AE953" s="25">
        <f t="shared" si="137"/>
        <v>127162.30327214436</v>
      </c>
      <c r="AF953" s="25">
        <f t="shared" si="138"/>
        <v>134458.22959442527</v>
      </c>
      <c r="AG953" s="25">
        <f t="shared" si="139"/>
        <v>144157.12444279782</v>
      </c>
      <c r="AH953" s="25">
        <f t="shared" si="140"/>
        <v>134425.04777624345</v>
      </c>
      <c r="AI953" s="25">
        <f t="shared" si="141"/>
        <v>127576.60434741316</v>
      </c>
    </row>
    <row r="954" spans="1:35" ht="15.75" customHeight="1">
      <c r="A954" s="12" t="s">
        <v>400</v>
      </c>
      <c r="B954" s="12" t="s">
        <v>401</v>
      </c>
      <c r="C954" s="12" t="s">
        <v>122</v>
      </c>
      <c r="D954" s="12" t="s">
        <v>33</v>
      </c>
      <c r="E954" s="12" t="s">
        <v>27</v>
      </c>
      <c r="F954" s="13">
        <v>5.2597171799027578</v>
      </c>
      <c r="G954" s="14">
        <v>260.57891970502442</v>
      </c>
      <c r="H954" s="24" t="str">
        <f t="shared" si="134"/>
        <v>RJSP</v>
      </c>
      <c r="I954" s="24" t="str">
        <f t="shared" si="142"/>
        <v>RJMG</v>
      </c>
      <c r="J954" s="24" t="str">
        <f t="shared" si="142"/>
        <v>RJES</v>
      </c>
      <c r="K954" s="24" t="str">
        <f t="shared" si="142"/>
        <v>RJSC</v>
      </c>
      <c r="L954" s="24" t="str">
        <f t="shared" si="142"/>
        <v>RJRJ</v>
      </c>
      <c r="M954" s="24" t="str">
        <f t="shared" si="142"/>
        <v>RJPR</v>
      </c>
      <c r="N954" s="24" t="str">
        <f t="shared" si="142"/>
        <v>RJAM</v>
      </c>
      <c r="O954" s="24">
        <f>VLOOKUP(H954, KM!$A:$E, 5, 0)</f>
        <v>429</v>
      </c>
      <c r="P954" s="24">
        <f>VLOOKUP(I954, KM!$A:$E, 5, 0)</f>
        <v>434</v>
      </c>
      <c r="Q954" s="24">
        <f>VLOOKUP(J954, KM!$A:$E, 5, 0)</f>
        <v>521</v>
      </c>
      <c r="R954" s="24">
        <f>VLOOKUP(K954, KM!$A:$E, 5, 0)</f>
        <v>1144</v>
      </c>
      <c r="S954" s="24">
        <f>VLOOKUP(L954, KM!$A:$E, 5, 0)</f>
        <v>0</v>
      </c>
      <c r="T954" s="24">
        <f>VLOOKUP(M954, KM!$A:$E, 5, 0)</f>
        <v>852</v>
      </c>
      <c r="U954" s="24">
        <f>VLOOKUP(N954, KM!$A:$E, 5, 0)</f>
        <v>4374</v>
      </c>
      <c r="V954" s="24">
        <f>VLOOKUP(H954, IMPOSTO!$A:$D, 4, 0)</f>
        <v>0.12</v>
      </c>
      <c r="W954" s="24">
        <f>VLOOKUP(I954, IMPOSTO!$A:$D, 4, 0)</f>
        <v>0.12</v>
      </c>
      <c r="X954" s="24">
        <f>VLOOKUP(J954, IMPOSTO!$A:$D, 4, 0)</f>
        <v>7.0000000000000007E-2</v>
      </c>
      <c r="Y954" s="24">
        <f>VLOOKUP(K954, IMPOSTO!$A:$D, 4, 0)</f>
        <v>0.12</v>
      </c>
      <c r="Z954" s="24">
        <f>VLOOKUP(L954, IMPOSTO!$A:$D, 4, 0)</f>
        <v>0.18</v>
      </c>
      <c r="AA954" s="24">
        <f>VLOOKUP(M954, IMPOSTO!$A:$D, 4, 0)</f>
        <v>0.12</v>
      </c>
      <c r="AB954" s="24">
        <f>VLOOKUP(N954, IMPOSTO!$A:$D, 4, 0)</f>
        <v>7.0000000000000007E-2</v>
      </c>
      <c r="AC954" s="25">
        <f t="shared" si="135"/>
        <v>344.86240875570957</v>
      </c>
      <c r="AD954" s="25">
        <f t="shared" si="136"/>
        <v>345.43059057389138</v>
      </c>
      <c r="AE954" s="25">
        <f t="shared" si="137"/>
        <v>336.2138921559403</v>
      </c>
      <c r="AF954" s="25">
        <f t="shared" si="138"/>
        <v>426.11240875570957</v>
      </c>
      <c r="AG954" s="25">
        <f t="shared" si="139"/>
        <v>317.77917037198097</v>
      </c>
      <c r="AH954" s="25">
        <f t="shared" si="140"/>
        <v>392.93059057389138</v>
      </c>
      <c r="AI954" s="25">
        <f t="shared" si="141"/>
        <v>750.51496742475763</v>
      </c>
    </row>
    <row r="955" spans="1:35" ht="15.75" customHeight="1">
      <c r="A955" s="12" t="s">
        <v>179</v>
      </c>
      <c r="B955" s="12" t="s">
        <v>180</v>
      </c>
      <c r="C955" s="12" t="s">
        <v>181</v>
      </c>
      <c r="D955" s="12" t="s">
        <v>33</v>
      </c>
      <c r="E955" s="12" t="s">
        <v>27</v>
      </c>
      <c r="F955" s="13">
        <v>139.196</v>
      </c>
      <c r="G955" s="14">
        <v>1216.3019741052631</v>
      </c>
      <c r="H955" s="24" t="str">
        <f t="shared" si="134"/>
        <v>RJSP</v>
      </c>
      <c r="I955" s="24" t="str">
        <f t="shared" si="142"/>
        <v>RJMG</v>
      </c>
      <c r="J955" s="24" t="str">
        <f t="shared" si="142"/>
        <v>RJES</v>
      </c>
      <c r="K955" s="24" t="str">
        <f t="shared" si="142"/>
        <v>RJSC</v>
      </c>
      <c r="L955" s="24" t="str">
        <f t="shared" si="142"/>
        <v>RJRJ</v>
      </c>
      <c r="M955" s="24" t="str">
        <f t="shared" si="142"/>
        <v>RJPR</v>
      </c>
      <c r="N955" s="24" t="str">
        <f t="shared" si="142"/>
        <v>RJAM</v>
      </c>
      <c r="O955" s="24">
        <f>VLOOKUP(H955, KM!$A:$E, 5, 0)</f>
        <v>429</v>
      </c>
      <c r="P955" s="24">
        <f>VLOOKUP(I955, KM!$A:$E, 5, 0)</f>
        <v>434</v>
      </c>
      <c r="Q955" s="24">
        <f>VLOOKUP(J955, KM!$A:$E, 5, 0)</f>
        <v>521</v>
      </c>
      <c r="R955" s="24">
        <f>VLOOKUP(K955, KM!$A:$E, 5, 0)</f>
        <v>1144</v>
      </c>
      <c r="S955" s="24">
        <f>VLOOKUP(L955, KM!$A:$E, 5, 0)</f>
        <v>0</v>
      </c>
      <c r="T955" s="24">
        <f>VLOOKUP(M955, KM!$A:$E, 5, 0)</f>
        <v>852</v>
      </c>
      <c r="U955" s="24">
        <f>VLOOKUP(N955, KM!$A:$E, 5, 0)</f>
        <v>4374</v>
      </c>
      <c r="V955" s="24">
        <f>VLOOKUP(H955, IMPOSTO!$A:$D, 4, 0)</f>
        <v>0.12</v>
      </c>
      <c r="W955" s="24">
        <f>VLOOKUP(I955, IMPOSTO!$A:$D, 4, 0)</f>
        <v>0.12</v>
      </c>
      <c r="X955" s="24">
        <f>VLOOKUP(J955, IMPOSTO!$A:$D, 4, 0)</f>
        <v>7.0000000000000007E-2</v>
      </c>
      <c r="Y955" s="24">
        <f>VLOOKUP(K955, IMPOSTO!$A:$D, 4, 0)</f>
        <v>0.12</v>
      </c>
      <c r="Z955" s="24">
        <f>VLOOKUP(L955, IMPOSTO!$A:$D, 4, 0)</f>
        <v>0.18</v>
      </c>
      <c r="AA955" s="24">
        <f>VLOOKUP(M955, IMPOSTO!$A:$D, 4, 0)</f>
        <v>0.12</v>
      </c>
      <c r="AB955" s="24">
        <f>VLOOKUP(N955, IMPOSTO!$A:$D, 4, 0)</f>
        <v>7.0000000000000007E-2</v>
      </c>
      <c r="AC955" s="25">
        <f t="shared" si="135"/>
        <v>1430.9113342105263</v>
      </c>
      <c r="AD955" s="25">
        <f t="shared" si="136"/>
        <v>1431.4795160287081</v>
      </c>
      <c r="AE955" s="25">
        <f t="shared" si="137"/>
        <v>1363.8730904357667</v>
      </c>
      <c r="AF955" s="25">
        <f t="shared" si="138"/>
        <v>1512.1613342105263</v>
      </c>
      <c r="AG955" s="25">
        <f t="shared" si="139"/>
        <v>1483.2950903722719</v>
      </c>
      <c r="AH955" s="25">
        <f t="shared" si="140"/>
        <v>1478.9795160287081</v>
      </c>
      <c r="AI955" s="25">
        <f t="shared" si="141"/>
        <v>1778.1741657045841</v>
      </c>
    </row>
    <row r="956" spans="1:35" ht="15.75" customHeight="1">
      <c r="A956" s="12" t="s">
        <v>182</v>
      </c>
      <c r="B956" s="12" t="s">
        <v>183</v>
      </c>
      <c r="C956" s="12" t="s">
        <v>160</v>
      </c>
      <c r="D956" s="12" t="s">
        <v>33</v>
      </c>
      <c r="E956" s="12" t="s">
        <v>27</v>
      </c>
      <c r="F956" s="13">
        <v>220.85157245831087</v>
      </c>
      <c r="G956" s="14">
        <v>1347.3108296654113</v>
      </c>
      <c r="H956" s="24" t="str">
        <f t="shared" si="134"/>
        <v>RJSP</v>
      </c>
      <c r="I956" s="24" t="str">
        <f t="shared" si="142"/>
        <v>RJMG</v>
      </c>
      <c r="J956" s="24" t="str">
        <f t="shared" si="142"/>
        <v>RJES</v>
      </c>
      <c r="K956" s="24" t="str">
        <f t="shared" si="142"/>
        <v>RJSC</v>
      </c>
      <c r="L956" s="24" t="str">
        <f t="shared" si="142"/>
        <v>RJRJ</v>
      </c>
      <c r="M956" s="24" t="str">
        <f t="shared" si="142"/>
        <v>RJPR</v>
      </c>
      <c r="N956" s="24" t="str">
        <f t="shared" si="142"/>
        <v>RJAM</v>
      </c>
      <c r="O956" s="24">
        <f>VLOOKUP(H956, KM!$A:$E, 5, 0)</f>
        <v>429</v>
      </c>
      <c r="P956" s="24">
        <f>VLOOKUP(I956, KM!$A:$E, 5, 0)</f>
        <v>434</v>
      </c>
      <c r="Q956" s="24">
        <f>VLOOKUP(J956, KM!$A:$E, 5, 0)</f>
        <v>521</v>
      </c>
      <c r="R956" s="24">
        <f>VLOOKUP(K956, KM!$A:$E, 5, 0)</f>
        <v>1144</v>
      </c>
      <c r="S956" s="24">
        <f>VLOOKUP(L956, KM!$A:$E, 5, 0)</f>
        <v>0</v>
      </c>
      <c r="T956" s="24">
        <f>VLOOKUP(M956, KM!$A:$E, 5, 0)</f>
        <v>852</v>
      </c>
      <c r="U956" s="24">
        <f>VLOOKUP(N956, KM!$A:$E, 5, 0)</f>
        <v>4374</v>
      </c>
      <c r="V956" s="24">
        <f>VLOOKUP(H956, IMPOSTO!$A:$D, 4, 0)</f>
        <v>0.12</v>
      </c>
      <c r="W956" s="24">
        <f>VLOOKUP(I956, IMPOSTO!$A:$D, 4, 0)</f>
        <v>0.12</v>
      </c>
      <c r="X956" s="24">
        <f>VLOOKUP(J956, IMPOSTO!$A:$D, 4, 0)</f>
        <v>7.0000000000000007E-2</v>
      </c>
      <c r="Y956" s="24">
        <f>VLOOKUP(K956, IMPOSTO!$A:$D, 4, 0)</f>
        <v>0.12</v>
      </c>
      <c r="Z956" s="24">
        <f>VLOOKUP(L956, IMPOSTO!$A:$D, 4, 0)</f>
        <v>0.18</v>
      </c>
      <c r="AA956" s="24">
        <f>VLOOKUP(M956, IMPOSTO!$A:$D, 4, 0)</f>
        <v>0.12</v>
      </c>
      <c r="AB956" s="24">
        <f>VLOOKUP(N956, IMPOSTO!$A:$D, 4, 0)</f>
        <v>7.0000000000000007E-2</v>
      </c>
      <c r="AC956" s="25">
        <f t="shared" si="135"/>
        <v>1579.7850337106947</v>
      </c>
      <c r="AD956" s="25">
        <f t="shared" si="136"/>
        <v>1580.3532155288767</v>
      </c>
      <c r="AE956" s="25">
        <f t="shared" si="137"/>
        <v>1504.7428275972165</v>
      </c>
      <c r="AF956" s="25">
        <f t="shared" si="138"/>
        <v>1661.0350337106947</v>
      </c>
      <c r="AG956" s="25">
        <f t="shared" si="139"/>
        <v>1643.0619873968431</v>
      </c>
      <c r="AH956" s="25">
        <f t="shared" si="140"/>
        <v>1627.8532155288765</v>
      </c>
      <c r="AI956" s="25">
        <f t="shared" si="141"/>
        <v>1919.0439028660339</v>
      </c>
    </row>
    <row r="957" spans="1:35" ht="15.75" customHeight="1">
      <c r="A957" s="12" t="s">
        <v>184</v>
      </c>
      <c r="B957" s="12" t="s">
        <v>185</v>
      </c>
      <c r="C957" s="12" t="s">
        <v>181</v>
      </c>
      <c r="D957" s="12" t="s">
        <v>33</v>
      </c>
      <c r="E957" s="12" t="s">
        <v>27</v>
      </c>
      <c r="F957" s="13">
        <v>1486.9711999999997</v>
      </c>
      <c r="G957" s="14">
        <v>26811.089933347124</v>
      </c>
      <c r="H957" s="24" t="str">
        <f t="shared" si="134"/>
        <v>RJSP</v>
      </c>
      <c r="I957" s="24" t="str">
        <f t="shared" si="142"/>
        <v>RJMG</v>
      </c>
      <c r="J957" s="24" t="str">
        <f t="shared" si="142"/>
        <v>RJES</v>
      </c>
      <c r="K957" s="24" t="str">
        <f t="shared" si="142"/>
        <v>RJSC</v>
      </c>
      <c r="L957" s="24" t="str">
        <f t="shared" si="142"/>
        <v>RJRJ</v>
      </c>
      <c r="M957" s="24" t="str">
        <f t="shared" si="142"/>
        <v>RJPR</v>
      </c>
      <c r="N957" s="24" t="str">
        <f t="shared" si="142"/>
        <v>RJAM</v>
      </c>
      <c r="O957" s="24">
        <f>VLOOKUP(H957, KM!$A:$E, 5, 0)</f>
        <v>429</v>
      </c>
      <c r="P957" s="24">
        <f>VLOOKUP(I957, KM!$A:$E, 5, 0)</f>
        <v>434</v>
      </c>
      <c r="Q957" s="24">
        <f>VLOOKUP(J957, KM!$A:$E, 5, 0)</f>
        <v>521</v>
      </c>
      <c r="R957" s="24">
        <f>VLOOKUP(K957, KM!$A:$E, 5, 0)</f>
        <v>1144</v>
      </c>
      <c r="S957" s="24">
        <f>VLOOKUP(L957, KM!$A:$E, 5, 0)</f>
        <v>0</v>
      </c>
      <c r="T957" s="24">
        <f>VLOOKUP(M957, KM!$A:$E, 5, 0)</f>
        <v>852</v>
      </c>
      <c r="U957" s="24">
        <f>VLOOKUP(N957, KM!$A:$E, 5, 0)</f>
        <v>4374</v>
      </c>
      <c r="V957" s="24">
        <f>VLOOKUP(H957, IMPOSTO!$A:$D, 4, 0)</f>
        <v>0.12</v>
      </c>
      <c r="W957" s="24">
        <f>VLOOKUP(I957, IMPOSTO!$A:$D, 4, 0)</f>
        <v>0.12</v>
      </c>
      <c r="X957" s="24">
        <f>VLOOKUP(J957, IMPOSTO!$A:$D, 4, 0)</f>
        <v>7.0000000000000007E-2</v>
      </c>
      <c r="Y957" s="24">
        <f>VLOOKUP(K957, IMPOSTO!$A:$D, 4, 0)</f>
        <v>0.12</v>
      </c>
      <c r="Z957" s="24">
        <f>VLOOKUP(L957, IMPOSTO!$A:$D, 4, 0)</f>
        <v>0.18</v>
      </c>
      <c r="AA957" s="24">
        <f>VLOOKUP(M957, IMPOSTO!$A:$D, 4, 0)</f>
        <v>0.12</v>
      </c>
      <c r="AB957" s="24">
        <f>VLOOKUP(N957, IMPOSTO!$A:$D, 4, 0)</f>
        <v>7.0000000000000007E-2</v>
      </c>
      <c r="AC957" s="25">
        <f t="shared" si="135"/>
        <v>30515.897651530824</v>
      </c>
      <c r="AD957" s="25">
        <f t="shared" si="136"/>
        <v>30516.465833349008</v>
      </c>
      <c r="AE957" s="25">
        <f t="shared" si="137"/>
        <v>28885.150465964649</v>
      </c>
      <c r="AF957" s="25">
        <f t="shared" si="138"/>
        <v>30597.147651530824</v>
      </c>
      <c r="AG957" s="25">
        <f t="shared" si="139"/>
        <v>32696.451138228196</v>
      </c>
      <c r="AH957" s="25">
        <f t="shared" si="140"/>
        <v>30563.965833349004</v>
      </c>
      <c r="AI957" s="25">
        <f t="shared" si="141"/>
        <v>29299.451541233469</v>
      </c>
    </row>
    <row r="958" spans="1:35" ht="15.75" customHeight="1">
      <c r="A958" s="12" t="s">
        <v>186</v>
      </c>
      <c r="B958" s="12" t="s">
        <v>187</v>
      </c>
      <c r="C958" s="12" t="s">
        <v>181</v>
      </c>
      <c r="D958" s="12" t="s">
        <v>33</v>
      </c>
      <c r="E958" s="12" t="s">
        <v>27</v>
      </c>
      <c r="F958" s="13">
        <v>79.192051310043666</v>
      </c>
      <c r="G958" s="14">
        <v>3387.5895797729258</v>
      </c>
      <c r="H958" s="24" t="str">
        <f t="shared" si="134"/>
        <v>RJSP</v>
      </c>
      <c r="I958" s="24" t="str">
        <f t="shared" si="142"/>
        <v>RJMG</v>
      </c>
      <c r="J958" s="24" t="str">
        <f t="shared" si="142"/>
        <v>RJES</v>
      </c>
      <c r="K958" s="24" t="str">
        <f t="shared" si="142"/>
        <v>RJSC</v>
      </c>
      <c r="L958" s="24" t="str">
        <f t="shared" si="142"/>
        <v>RJRJ</v>
      </c>
      <c r="M958" s="24" t="str">
        <f t="shared" si="142"/>
        <v>RJPR</v>
      </c>
      <c r="N958" s="24" t="str">
        <f t="shared" si="142"/>
        <v>RJAM</v>
      </c>
      <c r="O958" s="24">
        <f>VLOOKUP(H958, KM!$A:$E, 5, 0)</f>
        <v>429</v>
      </c>
      <c r="P958" s="24">
        <f>VLOOKUP(I958, KM!$A:$E, 5, 0)</f>
        <v>434</v>
      </c>
      <c r="Q958" s="24">
        <f>VLOOKUP(J958, KM!$A:$E, 5, 0)</f>
        <v>521</v>
      </c>
      <c r="R958" s="24">
        <f>VLOOKUP(K958, KM!$A:$E, 5, 0)</f>
        <v>1144</v>
      </c>
      <c r="S958" s="24">
        <f>VLOOKUP(L958, KM!$A:$E, 5, 0)</f>
        <v>0</v>
      </c>
      <c r="T958" s="24">
        <f>VLOOKUP(M958, KM!$A:$E, 5, 0)</f>
        <v>852</v>
      </c>
      <c r="U958" s="24">
        <f>VLOOKUP(N958, KM!$A:$E, 5, 0)</f>
        <v>4374</v>
      </c>
      <c r="V958" s="24">
        <f>VLOOKUP(H958, IMPOSTO!$A:$D, 4, 0)</f>
        <v>0.12</v>
      </c>
      <c r="W958" s="24">
        <f>VLOOKUP(I958, IMPOSTO!$A:$D, 4, 0)</f>
        <v>0.12</v>
      </c>
      <c r="X958" s="24">
        <f>VLOOKUP(J958, IMPOSTO!$A:$D, 4, 0)</f>
        <v>7.0000000000000007E-2</v>
      </c>
      <c r="Y958" s="24">
        <f>VLOOKUP(K958, IMPOSTO!$A:$D, 4, 0)</f>
        <v>0.12</v>
      </c>
      <c r="Z958" s="24">
        <f>VLOOKUP(L958, IMPOSTO!$A:$D, 4, 0)</f>
        <v>0.18</v>
      </c>
      <c r="AA958" s="24">
        <f>VLOOKUP(M958, IMPOSTO!$A:$D, 4, 0)</f>
        <v>0.12</v>
      </c>
      <c r="AB958" s="24">
        <f>VLOOKUP(N958, IMPOSTO!$A:$D, 4, 0)</f>
        <v>7.0000000000000007E-2</v>
      </c>
      <c r="AC958" s="25">
        <f t="shared" si="135"/>
        <v>3898.2836133783248</v>
      </c>
      <c r="AD958" s="25">
        <f t="shared" si="136"/>
        <v>3898.8517951965068</v>
      </c>
      <c r="AE958" s="25">
        <f t="shared" si="137"/>
        <v>3698.5909459923937</v>
      </c>
      <c r="AF958" s="25">
        <f t="shared" si="138"/>
        <v>3979.5336133783248</v>
      </c>
      <c r="AG958" s="25">
        <f t="shared" si="139"/>
        <v>4131.2068046011291</v>
      </c>
      <c r="AH958" s="25">
        <f t="shared" si="140"/>
        <v>3946.3517951965064</v>
      </c>
      <c r="AI958" s="25">
        <f t="shared" si="141"/>
        <v>4112.8920212612111</v>
      </c>
    </row>
    <row r="959" spans="1:35" ht="15.75" customHeight="1">
      <c r="A959" s="12" t="s">
        <v>417</v>
      </c>
      <c r="B959" s="12" t="s">
        <v>418</v>
      </c>
      <c r="C959" s="12" t="s">
        <v>192</v>
      </c>
      <c r="D959" s="12" t="s">
        <v>33</v>
      </c>
      <c r="E959" s="12" t="s">
        <v>27</v>
      </c>
      <c r="F959" s="13">
        <v>9.780274473924977E-2</v>
      </c>
      <c r="G959" s="14">
        <v>0.93105798109179627</v>
      </c>
      <c r="H959" s="24" t="str">
        <f t="shared" si="134"/>
        <v>RJSP</v>
      </c>
      <c r="I959" s="24" t="str">
        <f t="shared" si="142"/>
        <v>RJMG</v>
      </c>
      <c r="J959" s="24" t="str">
        <f t="shared" si="142"/>
        <v>RJES</v>
      </c>
      <c r="K959" s="24" t="str">
        <f t="shared" si="142"/>
        <v>RJSC</v>
      </c>
      <c r="L959" s="24" t="str">
        <f t="shared" si="142"/>
        <v>RJRJ</v>
      </c>
      <c r="M959" s="24" t="str">
        <f t="shared" si="142"/>
        <v>RJPR</v>
      </c>
      <c r="N959" s="24" t="str">
        <f t="shared" si="142"/>
        <v>RJAM</v>
      </c>
      <c r="O959" s="24">
        <f>VLOOKUP(H959, KM!$A:$E, 5, 0)</f>
        <v>429</v>
      </c>
      <c r="P959" s="24">
        <f>VLOOKUP(I959, KM!$A:$E, 5, 0)</f>
        <v>434</v>
      </c>
      <c r="Q959" s="24">
        <f>VLOOKUP(J959, KM!$A:$E, 5, 0)</f>
        <v>521</v>
      </c>
      <c r="R959" s="24">
        <f>VLOOKUP(K959, KM!$A:$E, 5, 0)</f>
        <v>1144</v>
      </c>
      <c r="S959" s="24">
        <f>VLOOKUP(L959, KM!$A:$E, 5, 0)</f>
        <v>0</v>
      </c>
      <c r="T959" s="24">
        <f>VLOOKUP(M959, KM!$A:$E, 5, 0)</f>
        <v>852</v>
      </c>
      <c r="U959" s="24">
        <f>VLOOKUP(N959, KM!$A:$E, 5, 0)</f>
        <v>4374</v>
      </c>
      <c r="V959" s="24">
        <f>VLOOKUP(H959, IMPOSTO!$A:$D, 4, 0)</f>
        <v>0.12</v>
      </c>
      <c r="W959" s="24">
        <f>VLOOKUP(I959, IMPOSTO!$A:$D, 4, 0)</f>
        <v>0.12</v>
      </c>
      <c r="X959" s="24">
        <f>VLOOKUP(J959, IMPOSTO!$A:$D, 4, 0)</f>
        <v>7.0000000000000007E-2</v>
      </c>
      <c r="Y959" s="24">
        <f>VLOOKUP(K959, IMPOSTO!$A:$D, 4, 0)</f>
        <v>0.12</v>
      </c>
      <c r="Z959" s="24">
        <f>VLOOKUP(L959, IMPOSTO!$A:$D, 4, 0)</f>
        <v>0.18</v>
      </c>
      <c r="AA959" s="24">
        <f>VLOOKUP(M959, IMPOSTO!$A:$D, 4, 0)</f>
        <v>0.12</v>
      </c>
      <c r="AB959" s="24">
        <f>VLOOKUP(N959, IMPOSTO!$A:$D, 4, 0)</f>
        <v>7.0000000000000007E-2</v>
      </c>
      <c r="AC959" s="25">
        <f t="shared" si="135"/>
        <v>49.808020433058864</v>
      </c>
      <c r="AD959" s="25">
        <f t="shared" si="136"/>
        <v>50.376202251240684</v>
      </c>
      <c r="AE959" s="25">
        <f t="shared" si="137"/>
        <v>57.022642990421289</v>
      </c>
      <c r="AF959" s="25">
        <f t="shared" si="138"/>
        <v>131.05802043305886</v>
      </c>
      <c r="AG959" s="25">
        <f t="shared" si="139"/>
        <v>1.1354365623070686</v>
      </c>
      <c r="AH959" s="25">
        <f t="shared" si="140"/>
        <v>97.876202251240684</v>
      </c>
      <c r="AI959" s="25">
        <f t="shared" si="141"/>
        <v>471.32371825923855</v>
      </c>
    </row>
    <row r="960" spans="1:35" ht="15.75" customHeight="1">
      <c r="A960" s="12" t="s">
        <v>193</v>
      </c>
      <c r="B960" s="12" t="s">
        <v>194</v>
      </c>
      <c r="C960" s="12" t="s">
        <v>176</v>
      </c>
      <c r="D960" s="12" t="s">
        <v>33</v>
      </c>
      <c r="E960" s="12" t="s">
        <v>27</v>
      </c>
      <c r="F960" s="13">
        <v>9.2714999999999979</v>
      </c>
      <c r="G960" s="14">
        <v>236.17923634615386</v>
      </c>
      <c r="H960" s="24" t="str">
        <f t="shared" si="134"/>
        <v>RJSP</v>
      </c>
      <c r="I960" s="24" t="str">
        <f t="shared" si="142"/>
        <v>RJMG</v>
      </c>
      <c r="J960" s="24" t="str">
        <f t="shared" si="142"/>
        <v>RJES</v>
      </c>
      <c r="K960" s="24" t="str">
        <f t="shared" si="142"/>
        <v>RJSC</v>
      </c>
      <c r="L960" s="24" t="str">
        <f t="shared" si="142"/>
        <v>RJRJ</v>
      </c>
      <c r="M960" s="24" t="str">
        <f t="shared" ref="I960:N1023" si="143">$E960 &amp; M$17</f>
        <v>RJPR</v>
      </c>
      <c r="N960" s="24" t="str">
        <f t="shared" si="143"/>
        <v>RJAM</v>
      </c>
      <c r="O960" s="24">
        <f>VLOOKUP(H960, KM!$A:$E, 5, 0)</f>
        <v>429</v>
      </c>
      <c r="P960" s="24">
        <f>VLOOKUP(I960, KM!$A:$E, 5, 0)</f>
        <v>434</v>
      </c>
      <c r="Q960" s="24">
        <f>VLOOKUP(J960, KM!$A:$E, 5, 0)</f>
        <v>521</v>
      </c>
      <c r="R960" s="24">
        <f>VLOOKUP(K960, KM!$A:$E, 5, 0)</f>
        <v>1144</v>
      </c>
      <c r="S960" s="24">
        <f>VLOOKUP(L960, KM!$A:$E, 5, 0)</f>
        <v>0</v>
      </c>
      <c r="T960" s="24">
        <f>VLOOKUP(M960, KM!$A:$E, 5, 0)</f>
        <v>852</v>
      </c>
      <c r="U960" s="24">
        <f>VLOOKUP(N960, KM!$A:$E, 5, 0)</f>
        <v>4374</v>
      </c>
      <c r="V960" s="24">
        <f>VLOOKUP(H960, IMPOSTO!$A:$D, 4, 0)</f>
        <v>0.12</v>
      </c>
      <c r="W960" s="24">
        <f>VLOOKUP(I960, IMPOSTO!$A:$D, 4, 0)</f>
        <v>0.12</v>
      </c>
      <c r="X960" s="24">
        <f>VLOOKUP(J960, IMPOSTO!$A:$D, 4, 0)</f>
        <v>7.0000000000000007E-2</v>
      </c>
      <c r="Y960" s="24">
        <f>VLOOKUP(K960, IMPOSTO!$A:$D, 4, 0)</f>
        <v>0.12</v>
      </c>
      <c r="Z960" s="24">
        <f>VLOOKUP(L960, IMPOSTO!$A:$D, 4, 0)</f>
        <v>0.18</v>
      </c>
      <c r="AA960" s="24">
        <f>VLOOKUP(M960, IMPOSTO!$A:$D, 4, 0)</f>
        <v>0.12</v>
      </c>
      <c r="AB960" s="24">
        <f>VLOOKUP(N960, IMPOSTO!$A:$D, 4, 0)</f>
        <v>7.0000000000000007E-2</v>
      </c>
      <c r="AC960" s="25">
        <f t="shared" si="135"/>
        <v>317.13549584790206</v>
      </c>
      <c r="AD960" s="25">
        <f t="shared" si="136"/>
        <v>317.70367766608388</v>
      </c>
      <c r="AE960" s="25">
        <f t="shared" si="137"/>
        <v>309.97767349048809</v>
      </c>
      <c r="AF960" s="25">
        <f t="shared" si="138"/>
        <v>398.38549584790206</v>
      </c>
      <c r="AG960" s="25">
        <f t="shared" si="139"/>
        <v>288.02345895872418</v>
      </c>
      <c r="AH960" s="25">
        <f t="shared" si="140"/>
        <v>365.20367766608393</v>
      </c>
      <c r="AI960" s="25">
        <f t="shared" si="141"/>
        <v>724.27874875930536</v>
      </c>
    </row>
    <row r="961" spans="1:35" ht="15.75" customHeight="1">
      <c r="A961" s="12" t="s">
        <v>459</v>
      </c>
      <c r="B961" s="12" t="s">
        <v>460</v>
      </c>
      <c r="C961" s="12" t="s">
        <v>192</v>
      </c>
      <c r="D961" s="12" t="s">
        <v>50</v>
      </c>
      <c r="E961" s="12" t="s">
        <v>27</v>
      </c>
      <c r="F961" s="13">
        <v>98.79648981042655</v>
      </c>
      <c r="G961" s="14">
        <v>344.57467350236976</v>
      </c>
      <c r="H961" s="24" t="str">
        <f t="shared" si="134"/>
        <v>RJSP</v>
      </c>
      <c r="I961" s="24" t="str">
        <f t="shared" si="143"/>
        <v>RJMG</v>
      </c>
      <c r="J961" s="24" t="str">
        <f t="shared" si="143"/>
        <v>RJES</v>
      </c>
      <c r="K961" s="24" t="str">
        <f t="shared" si="143"/>
        <v>RJSC</v>
      </c>
      <c r="L961" s="24" t="str">
        <f t="shared" si="143"/>
        <v>RJRJ</v>
      </c>
      <c r="M961" s="24" t="str">
        <f t="shared" si="143"/>
        <v>RJPR</v>
      </c>
      <c r="N961" s="24" t="str">
        <f t="shared" si="143"/>
        <v>RJAM</v>
      </c>
      <c r="O961" s="24">
        <f>VLOOKUP(H961, KM!$A:$E, 5, 0)</f>
        <v>429</v>
      </c>
      <c r="P961" s="24">
        <f>VLOOKUP(I961, KM!$A:$E, 5, 0)</f>
        <v>434</v>
      </c>
      <c r="Q961" s="24">
        <f>VLOOKUP(J961, KM!$A:$E, 5, 0)</f>
        <v>521</v>
      </c>
      <c r="R961" s="24">
        <f>VLOOKUP(K961, KM!$A:$E, 5, 0)</f>
        <v>1144</v>
      </c>
      <c r="S961" s="24">
        <f>VLOOKUP(L961, KM!$A:$E, 5, 0)</f>
        <v>0</v>
      </c>
      <c r="T961" s="24">
        <f>VLOOKUP(M961, KM!$A:$E, 5, 0)</f>
        <v>852</v>
      </c>
      <c r="U961" s="24">
        <f>VLOOKUP(N961, KM!$A:$E, 5, 0)</f>
        <v>4374</v>
      </c>
      <c r="V961" s="24">
        <f>VLOOKUP(H961, IMPOSTO!$A:$D, 4, 0)</f>
        <v>0.12</v>
      </c>
      <c r="W961" s="24">
        <f>VLOOKUP(I961, IMPOSTO!$A:$D, 4, 0)</f>
        <v>0.12</v>
      </c>
      <c r="X961" s="24">
        <f>VLOOKUP(J961, IMPOSTO!$A:$D, 4, 0)</f>
        <v>7.0000000000000007E-2</v>
      </c>
      <c r="Y961" s="24">
        <f>VLOOKUP(K961, IMPOSTO!$A:$D, 4, 0)</f>
        <v>0.12</v>
      </c>
      <c r="Z961" s="24">
        <f>VLOOKUP(L961, IMPOSTO!$A:$D, 4, 0)</f>
        <v>0.18</v>
      </c>
      <c r="AA961" s="24">
        <f>VLOOKUP(M961, IMPOSTO!$A:$D, 4, 0)</f>
        <v>0.12</v>
      </c>
      <c r="AB961" s="24">
        <f>VLOOKUP(N961, IMPOSTO!$A:$D, 4, 0)</f>
        <v>7.0000000000000007E-2</v>
      </c>
      <c r="AC961" s="25">
        <f t="shared" si="135"/>
        <v>440.31212897996568</v>
      </c>
      <c r="AD961" s="25">
        <f t="shared" si="136"/>
        <v>440.88031079814749</v>
      </c>
      <c r="AE961" s="25">
        <f t="shared" si="137"/>
        <v>426.53190699179549</v>
      </c>
      <c r="AF961" s="25">
        <f t="shared" si="138"/>
        <v>521.56212897996568</v>
      </c>
      <c r="AG961" s="25">
        <f t="shared" si="139"/>
        <v>420.21301646630457</v>
      </c>
      <c r="AH961" s="25">
        <f t="shared" si="140"/>
        <v>488.38031079814743</v>
      </c>
      <c r="AI961" s="25">
        <f t="shared" si="141"/>
        <v>840.83298226061277</v>
      </c>
    </row>
    <row r="962" spans="1:35" ht="15.75" customHeight="1">
      <c r="A962" s="12" t="s">
        <v>197</v>
      </c>
      <c r="B962" s="12" t="s">
        <v>198</v>
      </c>
      <c r="C962" s="12" t="s">
        <v>181</v>
      </c>
      <c r="D962" s="12" t="s">
        <v>33</v>
      </c>
      <c r="E962" s="12" t="s">
        <v>27</v>
      </c>
      <c r="F962" s="13">
        <v>60.524866468842745</v>
      </c>
      <c r="G962" s="14">
        <v>1190.9477975074185</v>
      </c>
      <c r="H962" s="24" t="str">
        <f t="shared" si="134"/>
        <v>RJSP</v>
      </c>
      <c r="I962" s="24" t="str">
        <f t="shared" si="143"/>
        <v>RJMG</v>
      </c>
      <c r="J962" s="24" t="str">
        <f t="shared" si="143"/>
        <v>RJES</v>
      </c>
      <c r="K962" s="24" t="str">
        <f t="shared" si="143"/>
        <v>RJSC</v>
      </c>
      <c r="L962" s="24" t="str">
        <f t="shared" si="143"/>
        <v>RJRJ</v>
      </c>
      <c r="M962" s="24" t="str">
        <f t="shared" si="143"/>
        <v>RJPR</v>
      </c>
      <c r="N962" s="24" t="str">
        <f t="shared" si="143"/>
        <v>RJAM</v>
      </c>
      <c r="O962" s="24">
        <f>VLOOKUP(H962, KM!$A:$E, 5, 0)</f>
        <v>429</v>
      </c>
      <c r="P962" s="24">
        <f>VLOOKUP(I962, KM!$A:$E, 5, 0)</f>
        <v>434</v>
      </c>
      <c r="Q962" s="24">
        <f>VLOOKUP(J962, KM!$A:$E, 5, 0)</f>
        <v>521</v>
      </c>
      <c r="R962" s="24">
        <f>VLOOKUP(K962, KM!$A:$E, 5, 0)</f>
        <v>1144</v>
      </c>
      <c r="S962" s="24">
        <f>VLOOKUP(L962, KM!$A:$E, 5, 0)</f>
        <v>0</v>
      </c>
      <c r="T962" s="24">
        <f>VLOOKUP(M962, KM!$A:$E, 5, 0)</f>
        <v>852</v>
      </c>
      <c r="U962" s="24">
        <f>VLOOKUP(N962, KM!$A:$E, 5, 0)</f>
        <v>4374</v>
      </c>
      <c r="V962" s="24">
        <f>VLOOKUP(H962, IMPOSTO!$A:$D, 4, 0)</f>
        <v>0.12</v>
      </c>
      <c r="W962" s="24">
        <f>VLOOKUP(I962, IMPOSTO!$A:$D, 4, 0)</f>
        <v>0.12</v>
      </c>
      <c r="X962" s="24">
        <f>VLOOKUP(J962, IMPOSTO!$A:$D, 4, 0)</f>
        <v>7.0000000000000007E-2</v>
      </c>
      <c r="Y962" s="24">
        <f>VLOOKUP(K962, IMPOSTO!$A:$D, 4, 0)</f>
        <v>0.12</v>
      </c>
      <c r="Z962" s="24">
        <f>VLOOKUP(L962, IMPOSTO!$A:$D, 4, 0)</f>
        <v>0.18</v>
      </c>
      <c r="AA962" s="24">
        <f>VLOOKUP(M962, IMPOSTO!$A:$D, 4, 0)</f>
        <v>0.12</v>
      </c>
      <c r="AB962" s="24">
        <f>VLOOKUP(N962, IMPOSTO!$A:$D, 4, 0)</f>
        <v>7.0000000000000007E-2</v>
      </c>
      <c r="AC962" s="25">
        <f t="shared" si="135"/>
        <v>1402.0997698947938</v>
      </c>
      <c r="AD962" s="25">
        <f t="shared" si="136"/>
        <v>1402.6679517129758</v>
      </c>
      <c r="AE962" s="25">
        <f t="shared" si="137"/>
        <v>1336.6105349542133</v>
      </c>
      <c r="AF962" s="25">
        <f t="shared" si="138"/>
        <v>1483.3497698947938</v>
      </c>
      <c r="AG962" s="25">
        <f t="shared" si="139"/>
        <v>1452.375362813925</v>
      </c>
      <c r="AH962" s="25">
        <f t="shared" si="140"/>
        <v>1450.1679517129755</v>
      </c>
      <c r="AI962" s="25">
        <f t="shared" si="141"/>
        <v>1750.9116102230309</v>
      </c>
    </row>
    <row r="963" spans="1:35" ht="15.75" customHeight="1">
      <c r="A963" s="12" t="s">
        <v>197</v>
      </c>
      <c r="B963" s="12" t="s">
        <v>198</v>
      </c>
      <c r="C963" s="12" t="s">
        <v>181</v>
      </c>
      <c r="D963" s="12" t="s">
        <v>33</v>
      </c>
      <c r="E963" s="12" t="s">
        <v>27</v>
      </c>
      <c r="F963" s="13">
        <v>77.925765578634994</v>
      </c>
      <c r="G963" s="14">
        <v>1579.7469303560831</v>
      </c>
      <c r="H963" s="24" t="str">
        <f t="shared" si="134"/>
        <v>RJSP</v>
      </c>
      <c r="I963" s="24" t="str">
        <f t="shared" si="143"/>
        <v>RJMG</v>
      </c>
      <c r="J963" s="24" t="str">
        <f t="shared" si="143"/>
        <v>RJES</v>
      </c>
      <c r="K963" s="24" t="str">
        <f t="shared" si="143"/>
        <v>RJSC</v>
      </c>
      <c r="L963" s="24" t="str">
        <f t="shared" si="143"/>
        <v>RJRJ</v>
      </c>
      <c r="M963" s="24" t="str">
        <f t="shared" si="143"/>
        <v>RJPR</v>
      </c>
      <c r="N963" s="24" t="str">
        <f t="shared" si="143"/>
        <v>RJAM</v>
      </c>
      <c r="O963" s="24">
        <f>VLOOKUP(H963, KM!$A:$E, 5, 0)</f>
        <v>429</v>
      </c>
      <c r="P963" s="24">
        <f>VLOOKUP(I963, KM!$A:$E, 5, 0)</f>
        <v>434</v>
      </c>
      <c r="Q963" s="24">
        <f>VLOOKUP(J963, KM!$A:$E, 5, 0)</f>
        <v>521</v>
      </c>
      <c r="R963" s="24">
        <f>VLOOKUP(K963, KM!$A:$E, 5, 0)</f>
        <v>1144</v>
      </c>
      <c r="S963" s="24">
        <f>VLOOKUP(L963, KM!$A:$E, 5, 0)</f>
        <v>0</v>
      </c>
      <c r="T963" s="24">
        <f>VLOOKUP(M963, KM!$A:$E, 5, 0)</f>
        <v>852</v>
      </c>
      <c r="U963" s="24">
        <f>VLOOKUP(N963, KM!$A:$E, 5, 0)</f>
        <v>4374</v>
      </c>
      <c r="V963" s="24">
        <f>VLOOKUP(H963, IMPOSTO!$A:$D, 4, 0)</f>
        <v>0.12</v>
      </c>
      <c r="W963" s="24">
        <f>VLOOKUP(I963, IMPOSTO!$A:$D, 4, 0)</f>
        <v>0.12</v>
      </c>
      <c r="X963" s="24">
        <f>VLOOKUP(J963, IMPOSTO!$A:$D, 4, 0)</f>
        <v>7.0000000000000007E-2</v>
      </c>
      <c r="Y963" s="24">
        <f>VLOOKUP(K963, IMPOSTO!$A:$D, 4, 0)</f>
        <v>0.12</v>
      </c>
      <c r="Z963" s="24">
        <f>VLOOKUP(L963, IMPOSTO!$A:$D, 4, 0)</f>
        <v>0.18</v>
      </c>
      <c r="AA963" s="24">
        <f>VLOOKUP(M963, IMPOSTO!$A:$D, 4, 0)</f>
        <v>0.12</v>
      </c>
      <c r="AB963" s="24">
        <f>VLOOKUP(N963, IMPOSTO!$A:$D, 4, 0)</f>
        <v>7.0000000000000007E-2</v>
      </c>
      <c r="AC963" s="25">
        <f t="shared" si="135"/>
        <v>1843.9169663137309</v>
      </c>
      <c r="AD963" s="25">
        <f t="shared" si="136"/>
        <v>1844.4851481319126</v>
      </c>
      <c r="AE963" s="25">
        <f t="shared" si="137"/>
        <v>1754.6741186624549</v>
      </c>
      <c r="AF963" s="25">
        <f t="shared" si="138"/>
        <v>1925.1669663137309</v>
      </c>
      <c r="AG963" s="25">
        <f t="shared" si="139"/>
        <v>1926.5206467757109</v>
      </c>
      <c r="AH963" s="25">
        <f t="shared" si="140"/>
        <v>1891.9851481319126</v>
      </c>
      <c r="AI963" s="25">
        <f t="shared" si="141"/>
        <v>2168.9751939312723</v>
      </c>
    </row>
    <row r="964" spans="1:35" ht="15.75" customHeight="1">
      <c r="A964" s="12" t="s">
        <v>197</v>
      </c>
      <c r="B964" s="12" t="s">
        <v>198</v>
      </c>
      <c r="C964" s="12" t="s">
        <v>181</v>
      </c>
      <c r="D964" s="12" t="s">
        <v>33</v>
      </c>
      <c r="E964" s="12" t="s">
        <v>27</v>
      </c>
      <c r="F964" s="13">
        <v>23.957759643916912</v>
      </c>
      <c r="G964" s="14">
        <v>509.04691130563793</v>
      </c>
      <c r="H964" s="24" t="str">
        <f t="shared" si="134"/>
        <v>RJSP</v>
      </c>
      <c r="I964" s="24" t="str">
        <f t="shared" si="143"/>
        <v>RJMG</v>
      </c>
      <c r="J964" s="24" t="str">
        <f t="shared" si="143"/>
        <v>RJES</v>
      </c>
      <c r="K964" s="24" t="str">
        <f t="shared" si="143"/>
        <v>RJSC</v>
      </c>
      <c r="L964" s="24" t="str">
        <f t="shared" si="143"/>
        <v>RJRJ</v>
      </c>
      <c r="M964" s="24" t="str">
        <f t="shared" si="143"/>
        <v>RJPR</v>
      </c>
      <c r="N964" s="24" t="str">
        <f t="shared" si="143"/>
        <v>RJAM</v>
      </c>
      <c r="O964" s="24">
        <f>VLOOKUP(H964, KM!$A:$E, 5, 0)</f>
        <v>429</v>
      </c>
      <c r="P964" s="24">
        <f>VLOOKUP(I964, KM!$A:$E, 5, 0)</f>
        <v>434</v>
      </c>
      <c r="Q964" s="24">
        <f>VLOOKUP(J964, KM!$A:$E, 5, 0)</f>
        <v>521</v>
      </c>
      <c r="R964" s="24">
        <f>VLOOKUP(K964, KM!$A:$E, 5, 0)</f>
        <v>1144</v>
      </c>
      <c r="S964" s="24">
        <f>VLOOKUP(L964, KM!$A:$E, 5, 0)</f>
        <v>0</v>
      </c>
      <c r="T964" s="24">
        <f>VLOOKUP(M964, KM!$A:$E, 5, 0)</f>
        <v>852</v>
      </c>
      <c r="U964" s="24">
        <f>VLOOKUP(N964, KM!$A:$E, 5, 0)</f>
        <v>4374</v>
      </c>
      <c r="V964" s="24">
        <f>VLOOKUP(H964, IMPOSTO!$A:$D, 4, 0)</f>
        <v>0.12</v>
      </c>
      <c r="W964" s="24">
        <f>VLOOKUP(I964, IMPOSTO!$A:$D, 4, 0)</f>
        <v>0.12</v>
      </c>
      <c r="X964" s="24">
        <f>VLOOKUP(J964, IMPOSTO!$A:$D, 4, 0)</f>
        <v>7.0000000000000007E-2</v>
      </c>
      <c r="Y964" s="24">
        <f>VLOOKUP(K964, IMPOSTO!$A:$D, 4, 0)</f>
        <v>0.12</v>
      </c>
      <c r="Z964" s="24">
        <f>VLOOKUP(L964, IMPOSTO!$A:$D, 4, 0)</f>
        <v>0.18</v>
      </c>
      <c r="AA964" s="24">
        <f>VLOOKUP(M964, IMPOSTO!$A:$D, 4, 0)</f>
        <v>0.12</v>
      </c>
      <c r="AB964" s="24">
        <f>VLOOKUP(N964, IMPOSTO!$A:$D, 4, 0)</f>
        <v>7.0000000000000007E-2</v>
      </c>
      <c r="AC964" s="25">
        <f t="shared" si="135"/>
        <v>627.21239921095219</v>
      </c>
      <c r="AD964" s="25">
        <f t="shared" si="136"/>
        <v>627.78058102913405</v>
      </c>
      <c r="AE964" s="25">
        <f t="shared" si="137"/>
        <v>603.38377559746016</v>
      </c>
      <c r="AF964" s="25">
        <f t="shared" si="138"/>
        <v>708.46239921095219</v>
      </c>
      <c r="AG964" s="25">
        <f t="shared" si="139"/>
        <v>620.78891622638764</v>
      </c>
      <c r="AH964" s="25">
        <f t="shared" si="140"/>
        <v>675.28058102913405</v>
      </c>
      <c r="AI964" s="25">
        <f t="shared" si="141"/>
        <v>1017.6848508662774</v>
      </c>
    </row>
    <row r="965" spans="1:35" ht="15.75" customHeight="1">
      <c r="A965" s="12" t="s">
        <v>199</v>
      </c>
      <c r="B965" s="12" t="s">
        <v>200</v>
      </c>
      <c r="C965" s="12" t="s">
        <v>181</v>
      </c>
      <c r="D965" s="12" t="s">
        <v>33</v>
      </c>
      <c r="E965" s="12" t="s">
        <v>27</v>
      </c>
      <c r="F965" s="13">
        <v>336.57726502732214</v>
      </c>
      <c r="G965" s="14">
        <v>4321.0802283743169</v>
      </c>
      <c r="H965" s="24" t="str">
        <f t="shared" ref="H965:H1028" si="144">$E965 &amp; H$17</f>
        <v>RJSP</v>
      </c>
      <c r="I965" s="24" t="str">
        <f t="shared" si="143"/>
        <v>RJMG</v>
      </c>
      <c r="J965" s="24" t="str">
        <f t="shared" si="143"/>
        <v>RJES</v>
      </c>
      <c r="K965" s="24" t="str">
        <f t="shared" si="143"/>
        <v>RJSC</v>
      </c>
      <c r="L965" s="24" t="str">
        <f t="shared" si="143"/>
        <v>RJRJ</v>
      </c>
      <c r="M965" s="24" t="str">
        <f t="shared" si="143"/>
        <v>RJPR</v>
      </c>
      <c r="N965" s="24" t="str">
        <f t="shared" si="143"/>
        <v>RJAM</v>
      </c>
      <c r="O965" s="24">
        <f>VLOOKUP(H965, KM!$A:$E, 5, 0)</f>
        <v>429</v>
      </c>
      <c r="P965" s="24">
        <f>VLOOKUP(I965, KM!$A:$E, 5, 0)</f>
        <v>434</v>
      </c>
      <c r="Q965" s="24">
        <f>VLOOKUP(J965, KM!$A:$E, 5, 0)</f>
        <v>521</v>
      </c>
      <c r="R965" s="24">
        <f>VLOOKUP(K965, KM!$A:$E, 5, 0)</f>
        <v>1144</v>
      </c>
      <c r="S965" s="24">
        <f>VLOOKUP(L965, KM!$A:$E, 5, 0)</f>
        <v>0</v>
      </c>
      <c r="T965" s="24">
        <f>VLOOKUP(M965, KM!$A:$E, 5, 0)</f>
        <v>852</v>
      </c>
      <c r="U965" s="24">
        <f>VLOOKUP(N965, KM!$A:$E, 5, 0)</f>
        <v>4374</v>
      </c>
      <c r="V965" s="24">
        <f>VLOOKUP(H965, IMPOSTO!$A:$D, 4, 0)</f>
        <v>0.12</v>
      </c>
      <c r="W965" s="24">
        <f>VLOOKUP(I965, IMPOSTO!$A:$D, 4, 0)</f>
        <v>0.12</v>
      </c>
      <c r="X965" s="24">
        <f>VLOOKUP(J965, IMPOSTO!$A:$D, 4, 0)</f>
        <v>7.0000000000000007E-2</v>
      </c>
      <c r="Y965" s="24">
        <f>VLOOKUP(K965, IMPOSTO!$A:$D, 4, 0)</f>
        <v>0.12</v>
      </c>
      <c r="Z965" s="24">
        <f>VLOOKUP(L965, IMPOSTO!$A:$D, 4, 0)</f>
        <v>0.18</v>
      </c>
      <c r="AA965" s="24">
        <f>VLOOKUP(M965, IMPOSTO!$A:$D, 4, 0)</f>
        <v>0.12</v>
      </c>
      <c r="AB965" s="24">
        <f>VLOOKUP(N965, IMPOSTO!$A:$D, 4, 0)</f>
        <v>7.0000000000000007E-2</v>
      </c>
      <c r="AC965" s="25">
        <f t="shared" si="135"/>
        <v>4959.0684413344507</v>
      </c>
      <c r="AD965" s="25">
        <f t="shared" si="136"/>
        <v>4959.6366231526326</v>
      </c>
      <c r="AE965" s="25">
        <f t="shared" si="137"/>
        <v>4702.3443315852874</v>
      </c>
      <c r="AF965" s="25">
        <f t="shared" si="138"/>
        <v>5040.3184413344507</v>
      </c>
      <c r="AG965" s="25">
        <f t="shared" si="139"/>
        <v>5269.6100346028252</v>
      </c>
      <c r="AH965" s="25">
        <f t="shared" si="140"/>
        <v>5007.1366231526326</v>
      </c>
      <c r="AI965" s="25">
        <f t="shared" si="141"/>
        <v>5116.6454068541043</v>
      </c>
    </row>
    <row r="966" spans="1:35" ht="15.75" customHeight="1">
      <c r="A966" s="12" t="s">
        <v>199</v>
      </c>
      <c r="B966" s="12" t="s">
        <v>200</v>
      </c>
      <c r="C966" s="12" t="s">
        <v>181</v>
      </c>
      <c r="D966" s="12" t="s">
        <v>33</v>
      </c>
      <c r="E966" s="12" t="s">
        <v>27</v>
      </c>
      <c r="F966" s="13">
        <v>39.212885245901639</v>
      </c>
      <c r="G966" s="14">
        <v>538.66086914207654</v>
      </c>
      <c r="H966" s="24" t="str">
        <f t="shared" si="144"/>
        <v>RJSP</v>
      </c>
      <c r="I966" s="24" t="str">
        <f t="shared" si="143"/>
        <v>RJMG</v>
      </c>
      <c r="J966" s="24" t="str">
        <f t="shared" si="143"/>
        <v>RJES</v>
      </c>
      <c r="K966" s="24" t="str">
        <f t="shared" si="143"/>
        <v>RJSC</v>
      </c>
      <c r="L966" s="24" t="str">
        <f t="shared" si="143"/>
        <v>RJRJ</v>
      </c>
      <c r="M966" s="24" t="str">
        <f t="shared" si="143"/>
        <v>RJPR</v>
      </c>
      <c r="N966" s="24" t="str">
        <f t="shared" si="143"/>
        <v>RJAM</v>
      </c>
      <c r="O966" s="24">
        <f>VLOOKUP(H966, KM!$A:$E, 5, 0)</f>
        <v>429</v>
      </c>
      <c r="P966" s="24">
        <f>VLOOKUP(I966, KM!$A:$E, 5, 0)</f>
        <v>434</v>
      </c>
      <c r="Q966" s="24">
        <f>VLOOKUP(J966, KM!$A:$E, 5, 0)</f>
        <v>521</v>
      </c>
      <c r="R966" s="24">
        <f>VLOOKUP(K966, KM!$A:$E, 5, 0)</f>
        <v>1144</v>
      </c>
      <c r="S966" s="24">
        <f>VLOOKUP(L966, KM!$A:$E, 5, 0)</f>
        <v>0</v>
      </c>
      <c r="T966" s="24">
        <f>VLOOKUP(M966, KM!$A:$E, 5, 0)</f>
        <v>852</v>
      </c>
      <c r="U966" s="24">
        <f>VLOOKUP(N966, KM!$A:$E, 5, 0)</f>
        <v>4374</v>
      </c>
      <c r="V966" s="24">
        <f>VLOOKUP(H966, IMPOSTO!$A:$D, 4, 0)</f>
        <v>0.12</v>
      </c>
      <c r="W966" s="24">
        <f>VLOOKUP(I966, IMPOSTO!$A:$D, 4, 0)</f>
        <v>0.12</v>
      </c>
      <c r="X966" s="24">
        <f>VLOOKUP(J966, IMPOSTO!$A:$D, 4, 0)</f>
        <v>7.0000000000000007E-2</v>
      </c>
      <c r="Y966" s="24">
        <f>VLOOKUP(K966, IMPOSTO!$A:$D, 4, 0)</f>
        <v>0.12</v>
      </c>
      <c r="Z966" s="24">
        <f>VLOOKUP(L966, IMPOSTO!$A:$D, 4, 0)</f>
        <v>0.18</v>
      </c>
      <c r="AA966" s="24">
        <f>VLOOKUP(M966, IMPOSTO!$A:$D, 4, 0)</f>
        <v>0.12</v>
      </c>
      <c r="AB966" s="24">
        <f>VLOOKUP(N966, IMPOSTO!$A:$D, 4, 0)</f>
        <v>7.0000000000000007E-2</v>
      </c>
      <c r="AC966" s="25">
        <f t="shared" si="135"/>
        <v>660.86462402508698</v>
      </c>
      <c r="AD966" s="25">
        <f t="shared" si="136"/>
        <v>661.43280584326874</v>
      </c>
      <c r="AE966" s="25">
        <f t="shared" si="137"/>
        <v>635.2267410129856</v>
      </c>
      <c r="AF966" s="25">
        <f t="shared" si="138"/>
        <v>742.11462402508698</v>
      </c>
      <c r="AG966" s="25">
        <f t="shared" si="139"/>
        <v>656.90349895375186</v>
      </c>
      <c r="AH966" s="25">
        <f t="shared" si="140"/>
        <v>708.93280584326885</v>
      </c>
      <c r="AI966" s="25">
        <f t="shared" si="141"/>
        <v>1049.5278162818029</v>
      </c>
    </row>
    <row r="967" spans="1:35" ht="15.75" customHeight="1">
      <c r="A967" s="12" t="s">
        <v>221</v>
      </c>
      <c r="B967" s="12" t="s">
        <v>222</v>
      </c>
      <c r="C967" s="12" t="s">
        <v>223</v>
      </c>
      <c r="D967" s="12" t="s">
        <v>33</v>
      </c>
      <c r="E967" s="12" t="s">
        <v>27</v>
      </c>
      <c r="F967" s="13">
        <v>0.22378656429942417</v>
      </c>
      <c r="G967" s="14">
        <v>4.954976795393474</v>
      </c>
      <c r="H967" s="24" t="str">
        <f t="shared" si="144"/>
        <v>RJSP</v>
      </c>
      <c r="I967" s="24" t="str">
        <f t="shared" si="143"/>
        <v>RJMG</v>
      </c>
      <c r="J967" s="24" t="str">
        <f t="shared" si="143"/>
        <v>RJES</v>
      </c>
      <c r="K967" s="24" t="str">
        <f t="shared" si="143"/>
        <v>RJSC</v>
      </c>
      <c r="L967" s="24" t="str">
        <f t="shared" si="143"/>
        <v>RJRJ</v>
      </c>
      <c r="M967" s="24" t="str">
        <f t="shared" si="143"/>
        <v>RJPR</v>
      </c>
      <c r="N967" s="24" t="str">
        <f t="shared" si="143"/>
        <v>RJAM</v>
      </c>
      <c r="O967" s="24">
        <f>VLOOKUP(H967, KM!$A:$E, 5, 0)</f>
        <v>429</v>
      </c>
      <c r="P967" s="24">
        <f>VLOOKUP(I967, KM!$A:$E, 5, 0)</f>
        <v>434</v>
      </c>
      <c r="Q967" s="24">
        <f>VLOOKUP(J967, KM!$A:$E, 5, 0)</f>
        <v>521</v>
      </c>
      <c r="R967" s="24">
        <f>VLOOKUP(K967, KM!$A:$E, 5, 0)</f>
        <v>1144</v>
      </c>
      <c r="S967" s="24">
        <f>VLOOKUP(L967, KM!$A:$E, 5, 0)</f>
        <v>0</v>
      </c>
      <c r="T967" s="24">
        <f>VLOOKUP(M967, KM!$A:$E, 5, 0)</f>
        <v>852</v>
      </c>
      <c r="U967" s="24">
        <f>VLOOKUP(N967, KM!$A:$E, 5, 0)</f>
        <v>4374</v>
      </c>
      <c r="V967" s="24">
        <f>VLOOKUP(H967, IMPOSTO!$A:$D, 4, 0)</f>
        <v>0.12</v>
      </c>
      <c r="W967" s="24">
        <f>VLOOKUP(I967, IMPOSTO!$A:$D, 4, 0)</f>
        <v>0.12</v>
      </c>
      <c r="X967" s="24">
        <f>VLOOKUP(J967, IMPOSTO!$A:$D, 4, 0)</f>
        <v>7.0000000000000007E-2</v>
      </c>
      <c r="Y967" s="24">
        <f>VLOOKUP(K967, IMPOSTO!$A:$D, 4, 0)</f>
        <v>0.12</v>
      </c>
      <c r="Z967" s="24">
        <f>VLOOKUP(L967, IMPOSTO!$A:$D, 4, 0)</f>
        <v>0.18</v>
      </c>
      <c r="AA967" s="24">
        <f>VLOOKUP(M967, IMPOSTO!$A:$D, 4, 0)</f>
        <v>0.12</v>
      </c>
      <c r="AB967" s="24">
        <f>VLOOKUP(N967, IMPOSTO!$A:$D, 4, 0)</f>
        <v>7.0000000000000007E-2</v>
      </c>
      <c r="AC967" s="25">
        <f t="shared" si="135"/>
        <v>54.38065544931078</v>
      </c>
      <c r="AD967" s="25">
        <f t="shared" si="136"/>
        <v>54.948837267492593</v>
      </c>
      <c r="AE967" s="25">
        <f t="shared" si="137"/>
        <v>61.349437414401585</v>
      </c>
      <c r="AF967" s="25">
        <f t="shared" si="138"/>
        <v>135.63065544931078</v>
      </c>
      <c r="AG967" s="25">
        <f t="shared" si="139"/>
        <v>6.0426546285286262</v>
      </c>
      <c r="AH967" s="25">
        <f t="shared" si="140"/>
        <v>102.44883726749259</v>
      </c>
      <c r="AI967" s="25">
        <f t="shared" si="141"/>
        <v>475.65051268321884</v>
      </c>
    </row>
    <row r="968" spans="1:35" ht="15.75" customHeight="1">
      <c r="A968" s="12" t="s">
        <v>221</v>
      </c>
      <c r="B968" s="12" t="s">
        <v>222</v>
      </c>
      <c r="C968" s="12" t="s">
        <v>223</v>
      </c>
      <c r="D968" s="12" t="s">
        <v>33</v>
      </c>
      <c r="E968" s="12" t="s">
        <v>27</v>
      </c>
      <c r="F968" s="13">
        <v>0.18758579654510554</v>
      </c>
      <c r="G968" s="14">
        <v>4.2643385481765828</v>
      </c>
      <c r="H968" s="24" t="str">
        <f t="shared" si="144"/>
        <v>RJSP</v>
      </c>
      <c r="I968" s="24" t="str">
        <f t="shared" si="143"/>
        <v>RJMG</v>
      </c>
      <c r="J968" s="24" t="str">
        <f t="shared" si="143"/>
        <v>RJES</v>
      </c>
      <c r="K968" s="24" t="str">
        <f t="shared" si="143"/>
        <v>RJSC</v>
      </c>
      <c r="L968" s="24" t="str">
        <f t="shared" si="143"/>
        <v>RJRJ</v>
      </c>
      <c r="M968" s="24" t="str">
        <f t="shared" si="143"/>
        <v>RJPR</v>
      </c>
      <c r="N968" s="24" t="str">
        <f t="shared" si="143"/>
        <v>RJAM</v>
      </c>
      <c r="O968" s="24">
        <f>VLOOKUP(H968, KM!$A:$E, 5, 0)</f>
        <v>429</v>
      </c>
      <c r="P968" s="24">
        <f>VLOOKUP(I968, KM!$A:$E, 5, 0)</f>
        <v>434</v>
      </c>
      <c r="Q968" s="24">
        <f>VLOOKUP(J968, KM!$A:$E, 5, 0)</f>
        <v>521</v>
      </c>
      <c r="R968" s="24">
        <f>VLOOKUP(K968, KM!$A:$E, 5, 0)</f>
        <v>1144</v>
      </c>
      <c r="S968" s="24">
        <f>VLOOKUP(L968, KM!$A:$E, 5, 0)</f>
        <v>0</v>
      </c>
      <c r="T968" s="24">
        <f>VLOOKUP(M968, KM!$A:$E, 5, 0)</f>
        <v>852</v>
      </c>
      <c r="U968" s="24">
        <f>VLOOKUP(N968, KM!$A:$E, 5, 0)</f>
        <v>4374</v>
      </c>
      <c r="V968" s="24">
        <f>VLOOKUP(H968, IMPOSTO!$A:$D, 4, 0)</f>
        <v>0.12</v>
      </c>
      <c r="W968" s="24">
        <f>VLOOKUP(I968, IMPOSTO!$A:$D, 4, 0)</f>
        <v>0.12</v>
      </c>
      <c r="X968" s="24">
        <f>VLOOKUP(J968, IMPOSTO!$A:$D, 4, 0)</f>
        <v>7.0000000000000007E-2</v>
      </c>
      <c r="Y968" s="24">
        <f>VLOOKUP(K968, IMPOSTO!$A:$D, 4, 0)</f>
        <v>0.12</v>
      </c>
      <c r="Z968" s="24">
        <f>VLOOKUP(L968, IMPOSTO!$A:$D, 4, 0)</f>
        <v>0.18</v>
      </c>
      <c r="AA968" s="24">
        <f>VLOOKUP(M968, IMPOSTO!$A:$D, 4, 0)</f>
        <v>0.12</v>
      </c>
      <c r="AB968" s="24">
        <f>VLOOKUP(N968, IMPOSTO!$A:$D, 4, 0)</f>
        <v>7.0000000000000007E-2</v>
      </c>
      <c r="AC968" s="25">
        <f t="shared" si="135"/>
        <v>53.59583925929158</v>
      </c>
      <c r="AD968" s="25">
        <f t="shared" si="136"/>
        <v>54.164021077473393</v>
      </c>
      <c r="AE968" s="25">
        <f t="shared" si="137"/>
        <v>60.606815643200633</v>
      </c>
      <c r="AF968" s="25">
        <f t="shared" si="138"/>
        <v>134.84583925929158</v>
      </c>
      <c r="AG968" s="25">
        <f t="shared" si="139"/>
        <v>5.2004128636299782</v>
      </c>
      <c r="AH968" s="25">
        <f t="shared" si="140"/>
        <v>101.66402107747339</v>
      </c>
      <c r="AI968" s="25">
        <f t="shared" si="141"/>
        <v>474.90789091201788</v>
      </c>
    </row>
    <row r="969" spans="1:35" ht="15.75" customHeight="1">
      <c r="A969" s="12" t="s">
        <v>224</v>
      </c>
      <c r="B969" s="12" t="s">
        <v>225</v>
      </c>
      <c r="C969" s="12" t="s">
        <v>223</v>
      </c>
      <c r="D969" s="12" t="s">
        <v>33</v>
      </c>
      <c r="E969" s="12" t="s">
        <v>27</v>
      </c>
      <c r="F969" s="13">
        <v>3.6738976744186039E-2</v>
      </c>
      <c r="G969" s="14">
        <v>0.83936113116279065</v>
      </c>
      <c r="H969" s="24" t="str">
        <f t="shared" si="144"/>
        <v>RJSP</v>
      </c>
      <c r="I969" s="24" t="str">
        <f t="shared" si="143"/>
        <v>RJMG</v>
      </c>
      <c r="J969" s="24" t="str">
        <f t="shared" si="143"/>
        <v>RJES</v>
      </c>
      <c r="K969" s="24" t="str">
        <f t="shared" si="143"/>
        <v>RJSC</v>
      </c>
      <c r="L969" s="24" t="str">
        <f t="shared" si="143"/>
        <v>RJRJ</v>
      </c>
      <c r="M969" s="24" t="str">
        <f t="shared" si="143"/>
        <v>RJPR</v>
      </c>
      <c r="N969" s="24" t="str">
        <f t="shared" si="143"/>
        <v>RJAM</v>
      </c>
      <c r="O969" s="24">
        <f>VLOOKUP(H969, KM!$A:$E, 5, 0)</f>
        <v>429</v>
      </c>
      <c r="P969" s="24">
        <f>VLOOKUP(I969, KM!$A:$E, 5, 0)</f>
        <v>434</v>
      </c>
      <c r="Q969" s="24">
        <f>VLOOKUP(J969, KM!$A:$E, 5, 0)</f>
        <v>521</v>
      </c>
      <c r="R969" s="24">
        <f>VLOOKUP(K969, KM!$A:$E, 5, 0)</f>
        <v>1144</v>
      </c>
      <c r="S969" s="24">
        <f>VLOOKUP(L969, KM!$A:$E, 5, 0)</f>
        <v>0</v>
      </c>
      <c r="T969" s="24">
        <f>VLOOKUP(M969, KM!$A:$E, 5, 0)</f>
        <v>852</v>
      </c>
      <c r="U969" s="24">
        <f>VLOOKUP(N969, KM!$A:$E, 5, 0)</f>
        <v>4374</v>
      </c>
      <c r="V969" s="24">
        <f>VLOOKUP(H969, IMPOSTO!$A:$D, 4, 0)</f>
        <v>0.12</v>
      </c>
      <c r="W969" s="24">
        <f>VLOOKUP(I969, IMPOSTO!$A:$D, 4, 0)</f>
        <v>0.12</v>
      </c>
      <c r="X969" s="24">
        <f>VLOOKUP(J969, IMPOSTO!$A:$D, 4, 0)</f>
        <v>7.0000000000000007E-2</v>
      </c>
      <c r="Y969" s="24">
        <f>VLOOKUP(K969, IMPOSTO!$A:$D, 4, 0)</f>
        <v>0.12</v>
      </c>
      <c r="Z969" s="24">
        <f>VLOOKUP(L969, IMPOSTO!$A:$D, 4, 0)</f>
        <v>0.18</v>
      </c>
      <c r="AA969" s="24">
        <f>VLOOKUP(M969, IMPOSTO!$A:$D, 4, 0)</f>
        <v>0.12</v>
      </c>
      <c r="AB969" s="24">
        <f>VLOOKUP(N969, IMPOSTO!$A:$D, 4, 0)</f>
        <v>7.0000000000000007E-2</v>
      </c>
      <c r="AC969" s="25">
        <f t="shared" si="135"/>
        <v>49.703819467230446</v>
      </c>
      <c r="AD969" s="25">
        <f t="shared" si="136"/>
        <v>50.272001285412266</v>
      </c>
      <c r="AE969" s="25">
        <f t="shared" si="137"/>
        <v>56.924044227056768</v>
      </c>
      <c r="AF969" s="25">
        <f t="shared" si="138"/>
        <v>130.95381946723046</v>
      </c>
      <c r="AG969" s="25">
        <f t="shared" si="139"/>
        <v>1.0236111355643787</v>
      </c>
      <c r="AH969" s="25">
        <f t="shared" si="140"/>
        <v>97.772001285412259</v>
      </c>
      <c r="AI969" s="25">
        <f t="shared" si="141"/>
        <v>471.22511949587403</v>
      </c>
    </row>
    <row r="970" spans="1:35" ht="15.75" customHeight="1">
      <c r="A970" s="12" t="s">
        <v>224</v>
      </c>
      <c r="B970" s="12" t="s">
        <v>225</v>
      </c>
      <c r="C970" s="12" t="s">
        <v>223</v>
      </c>
      <c r="D970" s="12" t="s">
        <v>33</v>
      </c>
      <c r="E970" s="12" t="s">
        <v>27</v>
      </c>
      <c r="F970" s="13">
        <v>3.2488186046511623E-2</v>
      </c>
      <c r="G970" s="14">
        <v>0.73854148465116265</v>
      </c>
      <c r="H970" s="24" t="str">
        <f t="shared" si="144"/>
        <v>RJSP</v>
      </c>
      <c r="I970" s="24" t="str">
        <f t="shared" si="143"/>
        <v>RJMG</v>
      </c>
      <c r="J970" s="24" t="str">
        <f t="shared" si="143"/>
        <v>RJES</v>
      </c>
      <c r="K970" s="24" t="str">
        <f t="shared" si="143"/>
        <v>RJSC</v>
      </c>
      <c r="L970" s="24" t="str">
        <f t="shared" si="143"/>
        <v>RJRJ</v>
      </c>
      <c r="M970" s="24" t="str">
        <f t="shared" si="143"/>
        <v>RJPR</v>
      </c>
      <c r="N970" s="24" t="str">
        <f t="shared" si="143"/>
        <v>RJAM</v>
      </c>
      <c r="O970" s="24">
        <f>VLOOKUP(H970, KM!$A:$E, 5, 0)</f>
        <v>429</v>
      </c>
      <c r="P970" s="24">
        <f>VLOOKUP(I970, KM!$A:$E, 5, 0)</f>
        <v>434</v>
      </c>
      <c r="Q970" s="24">
        <f>VLOOKUP(J970, KM!$A:$E, 5, 0)</f>
        <v>521</v>
      </c>
      <c r="R970" s="24">
        <f>VLOOKUP(K970, KM!$A:$E, 5, 0)</f>
        <v>1144</v>
      </c>
      <c r="S970" s="24">
        <f>VLOOKUP(L970, KM!$A:$E, 5, 0)</f>
        <v>0</v>
      </c>
      <c r="T970" s="24">
        <f>VLOOKUP(M970, KM!$A:$E, 5, 0)</f>
        <v>852</v>
      </c>
      <c r="U970" s="24">
        <f>VLOOKUP(N970, KM!$A:$E, 5, 0)</f>
        <v>4374</v>
      </c>
      <c r="V970" s="24">
        <f>VLOOKUP(H970, IMPOSTO!$A:$D, 4, 0)</f>
        <v>0.12</v>
      </c>
      <c r="W970" s="24">
        <f>VLOOKUP(I970, IMPOSTO!$A:$D, 4, 0)</f>
        <v>0.12</v>
      </c>
      <c r="X970" s="24">
        <f>VLOOKUP(J970, IMPOSTO!$A:$D, 4, 0)</f>
        <v>7.0000000000000007E-2</v>
      </c>
      <c r="Y970" s="24">
        <f>VLOOKUP(K970, IMPOSTO!$A:$D, 4, 0)</f>
        <v>0.12</v>
      </c>
      <c r="Z970" s="24">
        <f>VLOOKUP(L970, IMPOSTO!$A:$D, 4, 0)</f>
        <v>0.18</v>
      </c>
      <c r="AA970" s="24">
        <f>VLOOKUP(M970, IMPOSTO!$A:$D, 4, 0)</f>
        <v>0.12</v>
      </c>
      <c r="AB970" s="24">
        <f>VLOOKUP(N970, IMPOSTO!$A:$D, 4, 0)</f>
        <v>7.0000000000000007E-2</v>
      </c>
      <c r="AC970" s="25">
        <f t="shared" si="135"/>
        <v>49.589251687103605</v>
      </c>
      <c r="AD970" s="25">
        <f t="shared" si="136"/>
        <v>50.157433505285418</v>
      </c>
      <c r="AE970" s="25">
        <f t="shared" si="137"/>
        <v>56.815636005001259</v>
      </c>
      <c r="AF970" s="25">
        <f t="shared" si="138"/>
        <v>130.8392516871036</v>
      </c>
      <c r="AG970" s="25">
        <f t="shared" si="139"/>
        <v>0.90066034713556409</v>
      </c>
      <c r="AH970" s="25">
        <f t="shared" si="140"/>
        <v>97.657433505285411</v>
      </c>
      <c r="AI970" s="25">
        <f t="shared" si="141"/>
        <v>471.11671127381851</v>
      </c>
    </row>
    <row r="971" spans="1:35" ht="15.75" customHeight="1">
      <c r="A971" s="12" t="s">
        <v>465</v>
      </c>
      <c r="B971" s="12" t="s">
        <v>466</v>
      </c>
      <c r="C971" s="12" t="s">
        <v>57</v>
      </c>
      <c r="D971" s="12" t="s">
        <v>33</v>
      </c>
      <c r="E971" s="12" t="s">
        <v>27</v>
      </c>
      <c r="F971" s="13">
        <v>2.376542967379867</v>
      </c>
      <c r="G971" s="14">
        <v>34.838459642230802</v>
      </c>
      <c r="H971" s="24" t="str">
        <f t="shared" si="144"/>
        <v>RJSP</v>
      </c>
      <c r="I971" s="24" t="str">
        <f t="shared" si="143"/>
        <v>RJMG</v>
      </c>
      <c r="J971" s="24" t="str">
        <f t="shared" si="143"/>
        <v>RJES</v>
      </c>
      <c r="K971" s="24" t="str">
        <f t="shared" si="143"/>
        <v>RJSC</v>
      </c>
      <c r="L971" s="24" t="str">
        <f t="shared" si="143"/>
        <v>RJRJ</v>
      </c>
      <c r="M971" s="24" t="str">
        <f t="shared" si="143"/>
        <v>RJPR</v>
      </c>
      <c r="N971" s="24" t="str">
        <f t="shared" si="143"/>
        <v>RJAM</v>
      </c>
      <c r="O971" s="24">
        <f>VLOOKUP(H971, KM!$A:$E, 5, 0)</f>
        <v>429</v>
      </c>
      <c r="P971" s="24">
        <f>VLOOKUP(I971, KM!$A:$E, 5, 0)</f>
        <v>434</v>
      </c>
      <c r="Q971" s="24">
        <f>VLOOKUP(J971, KM!$A:$E, 5, 0)</f>
        <v>521</v>
      </c>
      <c r="R971" s="24">
        <f>VLOOKUP(K971, KM!$A:$E, 5, 0)</f>
        <v>1144</v>
      </c>
      <c r="S971" s="24">
        <f>VLOOKUP(L971, KM!$A:$E, 5, 0)</f>
        <v>0</v>
      </c>
      <c r="T971" s="24">
        <f>VLOOKUP(M971, KM!$A:$E, 5, 0)</f>
        <v>852</v>
      </c>
      <c r="U971" s="24">
        <f>VLOOKUP(N971, KM!$A:$E, 5, 0)</f>
        <v>4374</v>
      </c>
      <c r="V971" s="24">
        <f>VLOOKUP(H971, IMPOSTO!$A:$D, 4, 0)</f>
        <v>0.12</v>
      </c>
      <c r="W971" s="24">
        <f>VLOOKUP(I971, IMPOSTO!$A:$D, 4, 0)</f>
        <v>0.12</v>
      </c>
      <c r="X971" s="24">
        <f>VLOOKUP(J971, IMPOSTO!$A:$D, 4, 0)</f>
        <v>7.0000000000000007E-2</v>
      </c>
      <c r="Y971" s="24">
        <f>VLOOKUP(K971, IMPOSTO!$A:$D, 4, 0)</f>
        <v>0.12</v>
      </c>
      <c r="Z971" s="24">
        <f>VLOOKUP(L971, IMPOSTO!$A:$D, 4, 0)</f>
        <v>0.18</v>
      </c>
      <c r="AA971" s="24">
        <f>VLOOKUP(M971, IMPOSTO!$A:$D, 4, 0)</f>
        <v>0.12</v>
      </c>
      <c r="AB971" s="24">
        <f>VLOOKUP(N971, IMPOSTO!$A:$D, 4, 0)</f>
        <v>7.0000000000000007E-2</v>
      </c>
      <c r="AC971" s="25">
        <f t="shared" si="135"/>
        <v>88.339158684353194</v>
      </c>
      <c r="AD971" s="25">
        <f t="shared" si="136"/>
        <v>88.907340502535007</v>
      </c>
      <c r="AE971" s="25">
        <f t="shared" si="137"/>
        <v>93.482214669065399</v>
      </c>
      <c r="AF971" s="25">
        <f t="shared" si="138"/>
        <v>169.58915868435318</v>
      </c>
      <c r="AG971" s="25">
        <f t="shared" si="139"/>
        <v>42.485926392964387</v>
      </c>
      <c r="AH971" s="25">
        <f t="shared" si="140"/>
        <v>136.40734050253499</v>
      </c>
      <c r="AI971" s="25">
        <f t="shared" si="141"/>
        <v>507.78328993788267</v>
      </c>
    </row>
    <row r="972" spans="1:35" ht="15.75" customHeight="1">
      <c r="A972" s="12" t="s">
        <v>39</v>
      </c>
      <c r="B972" s="12" t="s">
        <v>40</v>
      </c>
      <c r="C972" s="12" t="s">
        <v>32</v>
      </c>
      <c r="D972" s="12" t="s">
        <v>33</v>
      </c>
      <c r="E972" s="12" t="s">
        <v>27</v>
      </c>
      <c r="F972" s="13">
        <v>0.15394761171032356</v>
      </c>
      <c r="G972" s="14">
        <v>11.20640086779661</v>
      </c>
      <c r="H972" s="24" t="str">
        <f t="shared" si="144"/>
        <v>RJSP</v>
      </c>
      <c r="I972" s="24" t="str">
        <f t="shared" si="143"/>
        <v>RJMG</v>
      </c>
      <c r="J972" s="24" t="str">
        <f t="shared" si="143"/>
        <v>RJES</v>
      </c>
      <c r="K972" s="24" t="str">
        <f t="shared" si="143"/>
        <v>RJSC</v>
      </c>
      <c r="L972" s="24" t="str">
        <f t="shared" si="143"/>
        <v>RJRJ</v>
      </c>
      <c r="M972" s="24" t="str">
        <f t="shared" si="143"/>
        <v>RJPR</v>
      </c>
      <c r="N972" s="24" t="str">
        <f t="shared" si="143"/>
        <v>RJAM</v>
      </c>
      <c r="O972" s="24">
        <f>VLOOKUP(H972, KM!$A:$E, 5, 0)</f>
        <v>429</v>
      </c>
      <c r="P972" s="24">
        <f>VLOOKUP(I972, KM!$A:$E, 5, 0)</f>
        <v>434</v>
      </c>
      <c r="Q972" s="24">
        <f>VLOOKUP(J972, KM!$A:$E, 5, 0)</f>
        <v>521</v>
      </c>
      <c r="R972" s="24">
        <f>VLOOKUP(K972, KM!$A:$E, 5, 0)</f>
        <v>1144</v>
      </c>
      <c r="S972" s="24">
        <f>VLOOKUP(L972, KM!$A:$E, 5, 0)</f>
        <v>0</v>
      </c>
      <c r="T972" s="24">
        <f>VLOOKUP(M972, KM!$A:$E, 5, 0)</f>
        <v>852</v>
      </c>
      <c r="U972" s="24">
        <f>VLOOKUP(N972, KM!$A:$E, 5, 0)</f>
        <v>4374</v>
      </c>
      <c r="V972" s="24">
        <f>VLOOKUP(H972, IMPOSTO!$A:$D, 4, 0)</f>
        <v>0.12</v>
      </c>
      <c r="W972" s="24">
        <f>VLOOKUP(I972, IMPOSTO!$A:$D, 4, 0)</f>
        <v>0.12</v>
      </c>
      <c r="X972" s="24">
        <f>VLOOKUP(J972, IMPOSTO!$A:$D, 4, 0)</f>
        <v>7.0000000000000007E-2</v>
      </c>
      <c r="Y972" s="24">
        <f>VLOOKUP(K972, IMPOSTO!$A:$D, 4, 0)</f>
        <v>0.12</v>
      </c>
      <c r="Z972" s="24">
        <f>VLOOKUP(L972, IMPOSTO!$A:$D, 4, 0)</f>
        <v>0.18</v>
      </c>
      <c r="AA972" s="24">
        <f>VLOOKUP(M972, IMPOSTO!$A:$D, 4, 0)</f>
        <v>0.12</v>
      </c>
      <c r="AB972" s="24">
        <f>VLOOKUP(N972, IMPOSTO!$A:$D, 4, 0)</f>
        <v>7.0000000000000007E-2</v>
      </c>
      <c r="AC972" s="25">
        <f t="shared" si="135"/>
        <v>61.484546440677974</v>
      </c>
      <c r="AD972" s="25">
        <f t="shared" si="136"/>
        <v>62.052728258859787</v>
      </c>
      <c r="AE972" s="25">
        <f t="shared" si="137"/>
        <v>68.071398782577006</v>
      </c>
      <c r="AF972" s="25">
        <f t="shared" si="138"/>
        <v>142.73454644067797</v>
      </c>
      <c r="AG972" s="25">
        <f t="shared" si="139"/>
        <v>13.666342521703182</v>
      </c>
      <c r="AH972" s="25">
        <f t="shared" si="140"/>
        <v>109.55272825885977</v>
      </c>
      <c r="AI972" s="25">
        <f t="shared" si="141"/>
        <v>482.37247405139431</v>
      </c>
    </row>
    <row r="973" spans="1:35" ht="15.75" customHeight="1">
      <c r="A973" s="12" t="s">
        <v>479</v>
      </c>
      <c r="B973" s="12" t="s">
        <v>480</v>
      </c>
      <c r="C973" s="12" t="s">
        <v>57</v>
      </c>
      <c r="D973" s="12" t="s">
        <v>33</v>
      </c>
      <c r="E973" s="12" t="s">
        <v>27</v>
      </c>
      <c r="F973" s="13">
        <v>16620.670199999986</v>
      </c>
      <c r="G973" s="14">
        <v>675902.71606583998</v>
      </c>
      <c r="H973" s="24" t="str">
        <f t="shared" si="144"/>
        <v>RJSP</v>
      </c>
      <c r="I973" s="24" t="str">
        <f t="shared" si="143"/>
        <v>RJMG</v>
      </c>
      <c r="J973" s="24" t="str">
        <f t="shared" si="143"/>
        <v>RJES</v>
      </c>
      <c r="K973" s="24" t="str">
        <f t="shared" si="143"/>
        <v>RJSC</v>
      </c>
      <c r="L973" s="24" t="str">
        <f t="shared" si="143"/>
        <v>RJRJ</v>
      </c>
      <c r="M973" s="24" t="str">
        <f t="shared" si="143"/>
        <v>RJPR</v>
      </c>
      <c r="N973" s="24" t="str">
        <f t="shared" si="143"/>
        <v>RJAM</v>
      </c>
      <c r="O973" s="24">
        <f>VLOOKUP(H973, KM!$A:$E, 5, 0)</f>
        <v>429</v>
      </c>
      <c r="P973" s="24">
        <f>VLOOKUP(I973, KM!$A:$E, 5, 0)</f>
        <v>434</v>
      </c>
      <c r="Q973" s="24">
        <f>VLOOKUP(J973, KM!$A:$E, 5, 0)</f>
        <v>521</v>
      </c>
      <c r="R973" s="24">
        <f>VLOOKUP(K973, KM!$A:$E, 5, 0)</f>
        <v>1144</v>
      </c>
      <c r="S973" s="24">
        <f>VLOOKUP(L973, KM!$A:$E, 5, 0)</f>
        <v>0</v>
      </c>
      <c r="T973" s="24">
        <f>VLOOKUP(M973, KM!$A:$E, 5, 0)</f>
        <v>852</v>
      </c>
      <c r="U973" s="24">
        <f>VLOOKUP(N973, KM!$A:$E, 5, 0)</f>
        <v>4374</v>
      </c>
      <c r="V973" s="24">
        <f>VLOOKUP(H973, IMPOSTO!$A:$D, 4, 0)</f>
        <v>0.12</v>
      </c>
      <c r="W973" s="24">
        <f>VLOOKUP(I973, IMPOSTO!$A:$D, 4, 0)</f>
        <v>0.12</v>
      </c>
      <c r="X973" s="24">
        <f>VLOOKUP(J973, IMPOSTO!$A:$D, 4, 0)</f>
        <v>7.0000000000000007E-2</v>
      </c>
      <c r="Y973" s="24">
        <f>VLOOKUP(K973, IMPOSTO!$A:$D, 4, 0)</f>
        <v>0.12</v>
      </c>
      <c r="Z973" s="24">
        <f>VLOOKUP(L973, IMPOSTO!$A:$D, 4, 0)</f>
        <v>0.18</v>
      </c>
      <c r="AA973" s="24">
        <f>VLOOKUP(M973, IMPOSTO!$A:$D, 4, 0)</f>
        <v>0.12</v>
      </c>
      <c r="AB973" s="24">
        <f>VLOOKUP(N973, IMPOSTO!$A:$D, 4, 0)</f>
        <v>7.0000000000000007E-2</v>
      </c>
      <c r="AC973" s="25">
        <f t="shared" si="135"/>
        <v>768120.01825663634</v>
      </c>
      <c r="AD973" s="25">
        <f t="shared" si="136"/>
        <v>768120.58643845457</v>
      </c>
      <c r="AE973" s="25">
        <f t="shared" si="137"/>
        <v>726833.13555466663</v>
      </c>
      <c r="AF973" s="25">
        <f t="shared" si="138"/>
        <v>768201.26825663634</v>
      </c>
      <c r="AG973" s="25">
        <f t="shared" si="139"/>
        <v>824271.60495834134</v>
      </c>
      <c r="AH973" s="25">
        <f t="shared" si="140"/>
        <v>768168.08643845445</v>
      </c>
      <c r="AI973" s="25">
        <f t="shared" si="141"/>
        <v>727247.43662993552</v>
      </c>
    </row>
    <row r="974" spans="1:35" ht="15.75" customHeight="1">
      <c r="A974" s="12" t="s">
        <v>724</v>
      </c>
      <c r="B974" s="12" t="s">
        <v>725</v>
      </c>
      <c r="C974" s="12" t="s">
        <v>223</v>
      </c>
      <c r="D974" s="12" t="s">
        <v>33</v>
      </c>
      <c r="E974" s="12" t="s">
        <v>27</v>
      </c>
      <c r="F974" s="13">
        <v>27</v>
      </c>
      <c r="G974" s="14">
        <v>999.9899999999999</v>
      </c>
      <c r="H974" s="24" t="str">
        <f t="shared" si="144"/>
        <v>RJSP</v>
      </c>
      <c r="I974" s="24" t="str">
        <f t="shared" si="143"/>
        <v>RJMG</v>
      </c>
      <c r="J974" s="24" t="str">
        <f t="shared" si="143"/>
        <v>RJES</v>
      </c>
      <c r="K974" s="24" t="str">
        <f t="shared" si="143"/>
        <v>RJSC</v>
      </c>
      <c r="L974" s="24" t="str">
        <f t="shared" si="143"/>
        <v>RJRJ</v>
      </c>
      <c r="M974" s="24" t="str">
        <f t="shared" si="143"/>
        <v>RJPR</v>
      </c>
      <c r="N974" s="24" t="str">
        <f t="shared" si="143"/>
        <v>RJAM</v>
      </c>
      <c r="O974" s="24">
        <f>VLOOKUP(H974, KM!$A:$E, 5, 0)</f>
        <v>429</v>
      </c>
      <c r="P974" s="24">
        <f>VLOOKUP(I974, KM!$A:$E, 5, 0)</f>
        <v>434</v>
      </c>
      <c r="Q974" s="24">
        <f>VLOOKUP(J974, KM!$A:$E, 5, 0)</f>
        <v>521</v>
      </c>
      <c r="R974" s="24">
        <f>VLOOKUP(K974, KM!$A:$E, 5, 0)</f>
        <v>1144</v>
      </c>
      <c r="S974" s="24">
        <f>VLOOKUP(L974, KM!$A:$E, 5, 0)</f>
        <v>0</v>
      </c>
      <c r="T974" s="24">
        <f>VLOOKUP(M974, KM!$A:$E, 5, 0)</f>
        <v>852</v>
      </c>
      <c r="U974" s="24">
        <f>VLOOKUP(N974, KM!$A:$E, 5, 0)</f>
        <v>4374</v>
      </c>
      <c r="V974" s="24">
        <f>VLOOKUP(H974, IMPOSTO!$A:$D, 4, 0)</f>
        <v>0.12</v>
      </c>
      <c r="W974" s="24">
        <f>VLOOKUP(I974, IMPOSTO!$A:$D, 4, 0)</f>
        <v>0.12</v>
      </c>
      <c r="X974" s="24">
        <f>VLOOKUP(J974, IMPOSTO!$A:$D, 4, 0)</f>
        <v>7.0000000000000007E-2</v>
      </c>
      <c r="Y974" s="24">
        <f>VLOOKUP(K974, IMPOSTO!$A:$D, 4, 0)</f>
        <v>0.12</v>
      </c>
      <c r="Z974" s="24">
        <f>VLOOKUP(L974, IMPOSTO!$A:$D, 4, 0)</f>
        <v>0.18</v>
      </c>
      <c r="AA974" s="24">
        <f>VLOOKUP(M974, IMPOSTO!$A:$D, 4, 0)</f>
        <v>0.12</v>
      </c>
      <c r="AB974" s="24">
        <f>VLOOKUP(N974, IMPOSTO!$A:$D, 4, 0)</f>
        <v>7.0000000000000007E-2</v>
      </c>
      <c r="AC974" s="25">
        <f t="shared" si="135"/>
        <v>1185.1022727272725</v>
      </c>
      <c r="AD974" s="25">
        <f t="shared" si="136"/>
        <v>1185.6704545454545</v>
      </c>
      <c r="AE974" s="25">
        <f t="shared" si="137"/>
        <v>1131.2795698924731</v>
      </c>
      <c r="AF974" s="25">
        <f t="shared" si="138"/>
        <v>1266.3522727272725</v>
      </c>
      <c r="AG974" s="25">
        <f t="shared" si="139"/>
        <v>1219.4999999999998</v>
      </c>
      <c r="AH974" s="25">
        <f t="shared" si="140"/>
        <v>1233.1704545454543</v>
      </c>
      <c r="AI974" s="25">
        <f t="shared" si="141"/>
        <v>1545.5806451612902</v>
      </c>
    </row>
    <row r="975" spans="1:35" ht="15.75" customHeight="1">
      <c r="A975" s="12" t="s">
        <v>170</v>
      </c>
      <c r="B975" s="12" t="s">
        <v>171</v>
      </c>
      <c r="C975" s="12" t="s">
        <v>163</v>
      </c>
      <c r="D975" s="12" t="s">
        <v>33</v>
      </c>
      <c r="E975" s="12" t="s">
        <v>27</v>
      </c>
      <c r="F975" s="13">
        <v>7.0997342764289808</v>
      </c>
      <c r="G975" s="14">
        <v>103.68618989868094</v>
      </c>
      <c r="H975" s="24" t="str">
        <f t="shared" si="144"/>
        <v>RJSP</v>
      </c>
      <c r="I975" s="24" t="str">
        <f t="shared" si="143"/>
        <v>RJMG</v>
      </c>
      <c r="J975" s="24" t="str">
        <f t="shared" si="143"/>
        <v>RJES</v>
      </c>
      <c r="K975" s="24" t="str">
        <f t="shared" si="143"/>
        <v>RJSC</v>
      </c>
      <c r="L975" s="24" t="str">
        <f t="shared" si="143"/>
        <v>RJRJ</v>
      </c>
      <c r="M975" s="24" t="str">
        <f t="shared" si="143"/>
        <v>RJPR</v>
      </c>
      <c r="N975" s="24" t="str">
        <f t="shared" si="143"/>
        <v>RJAM</v>
      </c>
      <c r="O975" s="24">
        <f>VLOOKUP(H975, KM!$A:$E, 5, 0)</f>
        <v>429</v>
      </c>
      <c r="P975" s="24">
        <f>VLOOKUP(I975, KM!$A:$E, 5, 0)</f>
        <v>434</v>
      </c>
      <c r="Q975" s="24">
        <f>VLOOKUP(J975, KM!$A:$E, 5, 0)</f>
        <v>521</v>
      </c>
      <c r="R975" s="24">
        <f>VLOOKUP(K975, KM!$A:$E, 5, 0)</f>
        <v>1144</v>
      </c>
      <c r="S975" s="24">
        <f>VLOOKUP(L975, KM!$A:$E, 5, 0)</f>
        <v>0</v>
      </c>
      <c r="T975" s="24">
        <f>VLOOKUP(M975, KM!$A:$E, 5, 0)</f>
        <v>852</v>
      </c>
      <c r="U975" s="24">
        <f>VLOOKUP(N975, KM!$A:$E, 5, 0)</f>
        <v>4374</v>
      </c>
      <c r="V975" s="24">
        <f>VLOOKUP(H975, IMPOSTO!$A:$D, 4, 0)</f>
        <v>0.12</v>
      </c>
      <c r="W975" s="24">
        <f>VLOOKUP(I975, IMPOSTO!$A:$D, 4, 0)</f>
        <v>0.12</v>
      </c>
      <c r="X975" s="24">
        <f>VLOOKUP(J975, IMPOSTO!$A:$D, 4, 0)</f>
        <v>7.0000000000000007E-2</v>
      </c>
      <c r="Y975" s="24">
        <f>VLOOKUP(K975, IMPOSTO!$A:$D, 4, 0)</f>
        <v>0.12</v>
      </c>
      <c r="Z975" s="24">
        <f>VLOOKUP(L975, IMPOSTO!$A:$D, 4, 0)</f>
        <v>0.18</v>
      </c>
      <c r="AA975" s="24">
        <f>VLOOKUP(M975, IMPOSTO!$A:$D, 4, 0)</f>
        <v>0.12</v>
      </c>
      <c r="AB975" s="24">
        <f>VLOOKUP(N975, IMPOSTO!$A:$D, 4, 0)</f>
        <v>7.0000000000000007E-2</v>
      </c>
      <c r="AC975" s="25">
        <f t="shared" si="135"/>
        <v>166.57521579395561</v>
      </c>
      <c r="AD975" s="25">
        <f t="shared" si="136"/>
        <v>167.14339761213742</v>
      </c>
      <c r="AE975" s="25">
        <f t="shared" si="137"/>
        <v>167.51203214911928</v>
      </c>
      <c r="AF975" s="25">
        <f t="shared" si="138"/>
        <v>247.82521579395561</v>
      </c>
      <c r="AG975" s="25">
        <f t="shared" si="139"/>
        <v>126.44657304717187</v>
      </c>
      <c r="AH975" s="25">
        <f t="shared" si="140"/>
        <v>214.64339761213742</v>
      </c>
      <c r="AI975" s="25">
        <f t="shared" si="141"/>
        <v>581.81310741793652</v>
      </c>
    </row>
    <row r="976" spans="1:35" ht="15.75" customHeight="1">
      <c r="A976" s="12" t="s">
        <v>170</v>
      </c>
      <c r="B976" s="12" t="s">
        <v>171</v>
      </c>
      <c r="C976" s="12" t="s">
        <v>163</v>
      </c>
      <c r="D976" s="12" t="s">
        <v>33</v>
      </c>
      <c r="E976" s="12" t="s">
        <v>27</v>
      </c>
      <c r="F976" s="13">
        <v>3.7586828522271079</v>
      </c>
      <c r="G976" s="14">
        <v>54.810644666411775</v>
      </c>
      <c r="H976" s="24" t="str">
        <f t="shared" si="144"/>
        <v>RJSP</v>
      </c>
      <c r="I976" s="24" t="str">
        <f t="shared" si="143"/>
        <v>RJMG</v>
      </c>
      <c r="J976" s="24" t="str">
        <f t="shared" si="143"/>
        <v>RJES</v>
      </c>
      <c r="K976" s="24" t="str">
        <f t="shared" si="143"/>
        <v>RJSC</v>
      </c>
      <c r="L976" s="24" t="str">
        <f t="shared" si="143"/>
        <v>RJRJ</v>
      </c>
      <c r="M976" s="24" t="str">
        <f t="shared" si="143"/>
        <v>RJPR</v>
      </c>
      <c r="N976" s="24" t="str">
        <f t="shared" si="143"/>
        <v>RJAM</v>
      </c>
      <c r="O976" s="24">
        <f>VLOOKUP(H976, KM!$A:$E, 5, 0)</f>
        <v>429</v>
      </c>
      <c r="P976" s="24">
        <f>VLOOKUP(I976, KM!$A:$E, 5, 0)</f>
        <v>434</v>
      </c>
      <c r="Q976" s="24">
        <f>VLOOKUP(J976, KM!$A:$E, 5, 0)</f>
        <v>521</v>
      </c>
      <c r="R976" s="24">
        <f>VLOOKUP(K976, KM!$A:$E, 5, 0)</f>
        <v>1144</v>
      </c>
      <c r="S976" s="24">
        <f>VLOOKUP(L976, KM!$A:$E, 5, 0)</f>
        <v>0</v>
      </c>
      <c r="T976" s="24">
        <f>VLOOKUP(M976, KM!$A:$E, 5, 0)</f>
        <v>852</v>
      </c>
      <c r="U976" s="24">
        <f>VLOOKUP(N976, KM!$A:$E, 5, 0)</f>
        <v>4374</v>
      </c>
      <c r="V976" s="24">
        <f>VLOOKUP(H976, IMPOSTO!$A:$D, 4, 0)</f>
        <v>0.12</v>
      </c>
      <c r="W976" s="24">
        <f>VLOOKUP(I976, IMPOSTO!$A:$D, 4, 0)</f>
        <v>0.12</v>
      </c>
      <c r="X976" s="24">
        <f>VLOOKUP(J976, IMPOSTO!$A:$D, 4, 0)</f>
        <v>7.0000000000000007E-2</v>
      </c>
      <c r="Y976" s="24">
        <f>VLOOKUP(K976, IMPOSTO!$A:$D, 4, 0)</f>
        <v>0.12</v>
      </c>
      <c r="Z976" s="24">
        <f>VLOOKUP(L976, IMPOSTO!$A:$D, 4, 0)</f>
        <v>0.18</v>
      </c>
      <c r="AA976" s="24">
        <f>VLOOKUP(M976, IMPOSTO!$A:$D, 4, 0)</f>
        <v>0.12</v>
      </c>
      <c r="AB976" s="24">
        <f>VLOOKUP(N976, IMPOSTO!$A:$D, 4, 0)</f>
        <v>7.0000000000000007E-2</v>
      </c>
      <c r="AC976" s="25">
        <f t="shared" si="135"/>
        <v>111.03482348455884</v>
      </c>
      <c r="AD976" s="25">
        <f t="shared" si="136"/>
        <v>111.60300530274066</v>
      </c>
      <c r="AE976" s="25">
        <f t="shared" si="137"/>
        <v>114.95768243700191</v>
      </c>
      <c r="AF976" s="25">
        <f t="shared" si="138"/>
        <v>192.28482348455884</v>
      </c>
      <c r="AG976" s="25">
        <f t="shared" si="139"/>
        <v>66.842249593185088</v>
      </c>
      <c r="AH976" s="25">
        <f t="shared" si="140"/>
        <v>159.10300530274068</v>
      </c>
      <c r="AI976" s="25">
        <f t="shared" si="141"/>
        <v>529.25875770581911</v>
      </c>
    </row>
    <row r="977" spans="1:35" ht="15.75" customHeight="1">
      <c r="A977" s="12" t="s">
        <v>42</v>
      </c>
      <c r="B977" s="12" t="s">
        <v>43</v>
      </c>
      <c r="C977" s="12" t="s">
        <v>32</v>
      </c>
      <c r="D977" s="12" t="s">
        <v>33</v>
      </c>
      <c r="E977" s="12" t="s">
        <v>27</v>
      </c>
      <c r="F977" s="13">
        <v>942.1542829694323</v>
      </c>
      <c r="G977" s="14">
        <v>68400.400943580782</v>
      </c>
      <c r="H977" s="24" t="str">
        <f t="shared" si="144"/>
        <v>RJSP</v>
      </c>
      <c r="I977" s="24" t="str">
        <f t="shared" si="143"/>
        <v>RJMG</v>
      </c>
      <c r="J977" s="24" t="str">
        <f t="shared" si="143"/>
        <v>RJES</v>
      </c>
      <c r="K977" s="24" t="str">
        <f t="shared" si="143"/>
        <v>RJSC</v>
      </c>
      <c r="L977" s="24" t="str">
        <f t="shared" si="143"/>
        <v>RJRJ</v>
      </c>
      <c r="M977" s="24" t="str">
        <f t="shared" si="143"/>
        <v>RJPR</v>
      </c>
      <c r="N977" s="24" t="str">
        <f t="shared" si="143"/>
        <v>RJAM</v>
      </c>
      <c r="O977" s="24">
        <f>VLOOKUP(H977, KM!$A:$E, 5, 0)</f>
        <v>429</v>
      </c>
      <c r="P977" s="24">
        <f>VLOOKUP(I977, KM!$A:$E, 5, 0)</f>
        <v>434</v>
      </c>
      <c r="Q977" s="24">
        <f>VLOOKUP(J977, KM!$A:$E, 5, 0)</f>
        <v>521</v>
      </c>
      <c r="R977" s="24">
        <f>VLOOKUP(K977, KM!$A:$E, 5, 0)</f>
        <v>1144</v>
      </c>
      <c r="S977" s="24">
        <f>VLOOKUP(L977, KM!$A:$E, 5, 0)</f>
        <v>0</v>
      </c>
      <c r="T977" s="24">
        <f>VLOOKUP(M977, KM!$A:$E, 5, 0)</f>
        <v>852</v>
      </c>
      <c r="U977" s="24">
        <f>VLOOKUP(N977, KM!$A:$E, 5, 0)</f>
        <v>4374</v>
      </c>
      <c r="V977" s="24">
        <f>VLOOKUP(H977, IMPOSTO!$A:$D, 4, 0)</f>
        <v>0.12</v>
      </c>
      <c r="W977" s="24">
        <f>VLOOKUP(I977, IMPOSTO!$A:$D, 4, 0)</f>
        <v>0.12</v>
      </c>
      <c r="X977" s="24">
        <f>VLOOKUP(J977, IMPOSTO!$A:$D, 4, 0)</f>
        <v>7.0000000000000007E-2</v>
      </c>
      <c r="Y977" s="24">
        <f>VLOOKUP(K977, IMPOSTO!$A:$D, 4, 0)</f>
        <v>0.12</v>
      </c>
      <c r="Z977" s="24">
        <f>VLOOKUP(L977, IMPOSTO!$A:$D, 4, 0)</f>
        <v>0.18</v>
      </c>
      <c r="AA977" s="24">
        <f>VLOOKUP(M977, IMPOSTO!$A:$D, 4, 0)</f>
        <v>0.12</v>
      </c>
      <c r="AB977" s="24">
        <f>VLOOKUP(N977, IMPOSTO!$A:$D, 4, 0)</f>
        <v>7.0000000000000007E-2</v>
      </c>
      <c r="AC977" s="25">
        <f t="shared" si="135"/>
        <v>77776.478344978153</v>
      </c>
      <c r="AD977" s="25">
        <f t="shared" si="136"/>
        <v>77777.04652679633</v>
      </c>
      <c r="AE977" s="25">
        <f t="shared" si="137"/>
        <v>73604.83972428042</v>
      </c>
      <c r="AF977" s="25">
        <f t="shared" si="138"/>
        <v>77857.728344978153</v>
      </c>
      <c r="AG977" s="25">
        <f t="shared" si="139"/>
        <v>83415.123101927777</v>
      </c>
      <c r="AH977" s="25">
        <f t="shared" si="140"/>
        <v>77824.546526796345</v>
      </c>
      <c r="AI977" s="25">
        <f t="shared" si="141"/>
        <v>74019.140799549234</v>
      </c>
    </row>
    <row r="978" spans="1:35" ht="15.75" customHeight="1">
      <c r="A978" s="12" t="s">
        <v>182</v>
      </c>
      <c r="B978" s="12" t="s">
        <v>183</v>
      </c>
      <c r="C978" s="12" t="s">
        <v>160</v>
      </c>
      <c r="D978" s="12" t="s">
        <v>33</v>
      </c>
      <c r="E978" s="12" t="s">
        <v>27</v>
      </c>
      <c r="F978" s="13">
        <v>0.21876600322754167</v>
      </c>
      <c r="G978" s="14">
        <v>1.1786674721893491</v>
      </c>
      <c r="H978" s="24" t="str">
        <f t="shared" si="144"/>
        <v>RJSP</v>
      </c>
      <c r="I978" s="24" t="str">
        <f t="shared" si="143"/>
        <v>RJMG</v>
      </c>
      <c r="J978" s="24" t="str">
        <f t="shared" si="143"/>
        <v>RJES</v>
      </c>
      <c r="K978" s="24" t="str">
        <f t="shared" si="143"/>
        <v>RJSC</v>
      </c>
      <c r="L978" s="24" t="str">
        <f t="shared" si="143"/>
        <v>RJRJ</v>
      </c>
      <c r="M978" s="24" t="str">
        <f t="shared" si="143"/>
        <v>RJPR</v>
      </c>
      <c r="N978" s="24" t="str">
        <f t="shared" si="143"/>
        <v>RJAM</v>
      </c>
      <c r="O978" s="24">
        <f>VLOOKUP(H978, KM!$A:$E, 5, 0)</f>
        <v>429</v>
      </c>
      <c r="P978" s="24">
        <f>VLOOKUP(I978, KM!$A:$E, 5, 0)</f>
        <v>434</v>
      </c>
      <c r="Q978" s="24">
        <f>VLOOKUP(J978, KM!$A:$E, 5, 0)</f>
        <v>521</v>
      </c>
      <c r="R978" s="24">
        <f>VLOOKUP(K978, KM!$A:$E, 5, 0)</f>
        <v>1144</v>
      </c>
      <c r="S978" s="24">
        <f>VLOOKUP(L978, KM!$A:$E, 5, 0)</f>
        <v>0</v>
      </c>
      <c r="T978" s="24">
        <f>VLOOKUP(M978, KM!$A:$E, 5, 0)</f>
        <v>852</v>
      </c>
      <c r="U978" s="24">
        <f>VLOOKUP(N978, KM!$A:$E, 5, 0)</f>
        <v>4374</v>
      </c>
      <c r="V978" s="24">
        <f>VLOOKUP(H978, IMPOSTO!$A:$D, 4, 0)</f>
        <v>0.12</v>
      </c>
      <c r="W978" s="24">
        <f>VLOOKUP(I978, IMPOSTO!$A:$D, 4, 0)</f>
        <v>0.12</v>
      </c>
      <c r="X978" s="24">
        <f>VLOOKUP(J978, IMPOSTO!$A:$D, 4, 0)</f>
        <v>7.0000000000000007E-2</v>
      </c>
      <c r="Y978" s="24">
        <f>VLOOKUP(K978, IMPOSTO!$A:$D, 4, 0)</f>
        <v>0.12</v>
      </c>
      <c r="Z978" s="24">
        <f>VLOOKUP(L978, IMPOSTO!$A:$D, 4, 0)</f>
        <v>0.18</v>
      </c>
      <c r="AA978" s="24">
        <f>VLOOKUP(M978, IMPOSTO!$A:$D, 4, 0)</f>
        <v>0.12</v>
      </c>
      <c r="AB978" s="24">
        <f>VLOOKUP(N978, IMPOSTO!$A:$D, 4, 0)</f>
        <v>7.0000000000000007E-2</v>
      </c>
      <c r="AC978" s="25">
        <f t="shared" si="135"/>
        <v>50.089394854760627</v>
      </c>
      <c r="AD978" s="25">
        <f t="shared" si="136"/>
        <v>50.657576672942447</v>
      </c>
      <c r="AE978" s="25">
        <f t="shared" si="137"/>
        <v>57.288889755042312</v>
      </c>
      <c r="AF978" s="25">
        <f t="shared" si="138"/>
        <v>131.33939485476063</v>
      </c>
      <c r="AG978" s="25">
        <f t="shared" si="139"/>
        <v>1.4373993563284744</v>
      </c>
      <c r="AH978" s="25">
        <f t="shared" si="140"/>
        <v>98.15757667294244</v>
      </c>
      <c r="AI978" s="25">
        <f t="shared" si="141"/>
        <v>471.58996502385963</v>
      </c>
    </row>
    <row r="979" spans="1:35" ht="15.75" customHeight="1">
      <c r="A979" s="12" t="s">
        <v>182</v>
      </c>
      <c r="B979" s="12" t="s">
        <v>183</v>
      </c>
      <c r="C979" s="12" t="s">
        <v>160</v>
      </c>
      <c r="D979" s="12" t="s">
        <v>33</v>
      </c>
      <c r="E979" s="12" t="s">
        <v>27</v>
      </c>
      <c r="F979" s="13">
        <v>0.20053550295857986</v>
      </c>
      <c r="G979" s="14">
        <v>1.1114771403980632</v>
      </c>
      <c r="H979" s="24" t="str">
        <f t="shared" si="144"/>
        <v>RJSP</v>
      </c>
      <c r="I979" s="24" t="str">
        <f t="shared" si="143"/>
        <v>RJMG</v>
      </c>
      <c r="J979" s="24" t="str">
        <f t="shared" si="143"/>
        <v>RJES</v>
      </c>
      <c r="K979" s="24" t="str">
        <f t="shared" si="143"/>
        <v>RJSC</v>
      </c>
      <c r="L979" s="24" t="str">
        <f t="shared" si="143"/>
        <v>RJRJ</v>
      </c>
      <c r="M979" s="24" t="str">
        <f t="shared" si="143"/>
        <v>RJPR</v>
      </c>
      <c r="N979" s="24" t="str">
        <f t="shared" si="143"/>
        <v>RJAM</v>
      </c>
      <c r="O979" s="24">
        <f>VLOOKUP(H979, KM!$A:$E, 5, 0)</f>
        <v>429</v>
      </c>
      <c r="P979" s="24">
        <f>VLOOKUP(I979, KM!$A:$E, 5, 0)</f>
        <v>434</v>
      </c>
      <c r="Q979" s="24">
        <f>VLOOKUP(J979, KM!$A:$E, 5, 0)</f>
        <v>521</v>
      </c>
      <c r="R979" s="24">
        <f>VLOOKUP(K979, KM!$A:$E, 5, 0)</f>
        <v>1144</v>
      </c>
      <c r="S979" s="24">
        <f>VLOOKUP(L979, KM!$A:$E, 5, 0)</f>
        <v>0</v>
      </c>
      <c r="T979" s="24">
        <f>VLOOKUP(M979, KM!$A:$E, 5, 0)</f>
        <v>852</v>
      </c>
      <c r="U979" s="24">
        <f>VLOOKUP(N979, KM!$A:$E, 5, 0)</f>
        <v>4374</v>
      </c>
      <c r="V979" s="24">
        <f>VLOOKUP(H979, IMPOSTO!$A:$D, 4, 0)</f>
        <v>0.12</v>
      </c>
      <c r="W979" s="24">
        <f>VLOOKUP(I979, IMPOSTO!$A:$D, 4, 0)</f>
        <v>0.12</v>
      </c>
      <c r="X979" s="24">
        <f>VLOOKUP(J979, IMPOSTO!$A:$D, 4, 0)</f>
        <v>7.0000000000000007E-2</v>
      </c>
      <c r="Y979" s="24">
        <f>VLOOKUP(K979, IMPOSTO!$A:$D, 4, 0)</f>
        <v>0.12</v>
      </c>
      <c r="Z979" s="24">
        <f>VLOOKUP(L979, IMPOSTO!$A:$D, 4, 0)</f>
        <v>0.18</v>
      </c>
      <c r="AA979" s="24">
        <f>VLOOKUP(M979, IMPOSTO!$A:$D, 4, 0)</f>
        <v>0.12</v>
      </c>
      <c r="AB979" s="24">
        <f>VLOOKUP(N979, IMPOSTO!$A:$D, 4, 0)</f>
        <v>7.0000000000000007E-2</v>
      </c>
      <c r="AC979" s="25">
        <f t="shared" ref="AC979:AC1042" si="145">($G979 + O979 * $AE$5) / (1 - V979)</f>
        <v>50.013042204997809</v>
      </c>
      <c r="AD979" s="25">
        <f t="shared" ref="AD979:AD1042" si="146">($G979 + P979 * $AE$5) / (1 - W979)</f>
        <v>50.58122402317963</v>
      </c>
      <c r="AE979" s="25">
        <f t="shared" ref="AE979:AE1042" si="147">($G979 + Q979 * $AE$5) / (1 - X979)</f>
        <v>57.216642086449539</v>
      </c>
      <c r="AF979" s="25">
        <f t="shared" ref="AF979:AF1042" si="148">($G979 + R979 * $AE$5) / (1 - Y979)</f>
        <v>131.26304220499782</v>
      </c>
      <c r="AG979" s="25">
        <f t="shared" ref="AG979:AG1042" si="149">($G979 + S979 * $AE$5) / (1 - Z979)</f>
        <v>1.3554599273147112</v>
      </c>
      <c r="AH979" s="25">
        <f t="shared" ref="AH979:AH1042" si="150">($G979 + T979 * $AE$5) / (1 - AA979)</f>
        <v>98.08122402317963</v>
      </c>
      <c r="AI979" s="25">
        <f t="shared" ref="AI979:AI1042" si="151">($G979 + U979 * $AE$5) / (1 - AB979)</f>
        <v>471.51771735526677</v>
      </c>
    </row>
    <row r="980" spans="1:35" ht="15.75" customHeight="1">
      <c r="A980" s="12" t="s">
        <v>190</v>
      </c>
      <c r="B980" s="12" t="s">
        <v>191</v>
      </c>
      <c r="C980" s="12" t="s">
        <v>192</v>
      </c>
      <c r="D980" s="12" t="s">
        <v>50</v>
      </c>
      <c r="E980" s="12" t="s">
        <v>27</v>
      </c>
      <c r="F980" s="13">
        <v>28.156286153846157</v>
      </c>
      <c r="G980" s="14">
        <v>161.58938781538458</v>
      </c>
      <c r="H980" s="24" t="str">
        <f t="shared" si="144"/>
        <v>RJSP</v>
      </c>
      <c r="I980" s="24" t="str">
        <f t="shared" si="143"/>
        <v>RJMG</v>
      </c>
      <c r="J980" s="24" t="str">
        <f t="shared" si="143"/>
        <v>RJES</v>
      </c>
      <c r="K980" s="24" t="str">
        <f t="shared" si="143"/>
        <v>RJSC</v>
      </c>
      <c r="L980" s="24" t="str">
        <f t="shared" si="143"/>
        <v>RJRJ</v>
      </c>
      <c r="M980" s="24" t="str">
        <f t="shared" si="143"/>
        <v>RJPR</v>
      </c>
      <c r="N980" s="24" t="str">
        <f t="shared" si="143"/>
        <v>RJAM</v>
      </c>
      <c r="O980" s="24">
        <f>VLOOKUP(H980, KM!$A:$E, 5, 0)</f>
        <v>429</v>
      </c>
      <c r="P980" s="24">
        <f>VLOOKUP(I980, KM!$A:$E, 5, 0)</f>
        <v>434</v>
      </c>
      <c r="Q980" s="24">
        <f>VLOOKUP(J980, KM!$A:$E, 5, 0)</f>
        <v>521</v>
      </c>
      <c r="R980" s="24">
        <f>VLOOKUP(K980, KM!$A:$E, 5, 0)</f>
        <v>1144</v>
      </c>
      <c r="S980" s="24">
        <f>VLOOKUP(L980, KM!$A:$E, 5, 0)</f>
        <v>0</v>
      </c>
      <c r="T980" s="24">
        <f>VLOOKUP(M980, KM!$A:$E, 5, 0)</f>
        <v>852</v>
      </c>
      <c r="U980" s="24">
        <f>VLOOKUP(N980, KM!$A:$E, 5, 0)</f>
        <v>4374</v>
      </c>
      <c r="V980" s="24">
        <f>VLOOKUP(H980, IMPOSTO!$A:$D, 4, 0)</f>
        <v>0.12</v>
      </c>
      <c r="W980" s="24">
        <f>VLOOKUP(I980, IMPOSTO!$A:$D, 4, 0)</f>
        <v>0.12</v>
      </c>
      <c r="X980" s="24">
        <f>VLOOKUP(J980, IMPOSTO!$A:$D, 4, 0)</f>
        <v>7.0000000000000007E-2</v>
      </c>
      <c r="Y980" s="24">
        <f>VLOOKUP(K980, IMPOSTO!$A:$D, 4, 0)</f>
        <v>0.12</v>
      </c>
      <c r="Z980" s="24">
        <f>VLOOKUP(L980, IMPOSTO!$A:$D, 4, 0)</f>
        <v>0.18</v>
      </c>
      <c r="AA980" s="24">
        <f>VLOOKUP(M980, IMPOSTO!$A:$D, 4, 0)</f>
        <v>0.12</v>
      </c>
      <c r="AB980" s="24">
        <f>VLOOKUP(N980, IMPOSTO!$A:$D, 4, 0)</f>
        <v>7.0000000000000007E-2</v>
      </c>
      <c r="AC980" s="25">
        <f t="shared" si="145"/>
        <v>232.37430433566431</v>
      </c>
      <c r="AD980" s="25">
        <f t="shared" si="146"/>
        <v>232.94248615384612</v>
      </c>
      <c r="AE980" s="25">
        <f t="shared" si="147"/>
        <v>229.77353528535977</v>
      </c>
      <c r="AF980" s="25">
        <f t="shared" si="148"/>
        <v>313.62430433566431</v>
      </c>
      <c r="AG980" s="25">
        <f t="shared" si="149"/>
        <v>197.06022904315191</v>
      </c>
      <c r="AH980" s="25">
        <f t="shared" si="150"/>
        <v>280.44248615384612</v>
      </c>
      <c r="AI980" s="25">
        <f t="shared" si="151"/>
        <v>644.07461055417707</v>
      </c>
    </row>
    <row r="981" spans="1:35" ht="15.75" customHeight="1">
      <c r="A981" s="12" t="s">
        <v>193</v>
      </c>
      <c r="B981" s="12" t="s">
        <v>194</v>
      </c>
      <c r="C981" s="12" t="s">
        <v>176</v>
      </c>
      <c r="D981" s="12" t="s">
        <v>33</v>
      </c>
      <c r="E981" s="12" t="s">
        <v>27</v>
      </c>
      <c r="F981" s="13">
        <v>9.2714999999999979</v>
      </c>
      <c r="G981" s="14">
        <v>236.17923634615383</v>
      </c>
      <c r="H981" s="24" t="str">
        <f t="shared" si="144"/>
        <v>RJSP</v>
      </c>
      <c r="I981" s="24" t="str">
        <f t="shared" si="143"/>
        <v>RJMG</v>
      </c>
      <c r="J981" s="24" t="str">
        <f t="shared" si="143"/>
        <v>RJES</v>
      </c>
      <c r="K981" s="24" t="str">
        <f t="shared" si="143"/>
        <v>RJSC</v>
      </c>
      <c r="L981" s="24" t="str">
        <f t="shared" si="143"/>
        <v>RJRJ</v>
      </c>
      <c r="M981" s="24" t="str">
        <f t="shared" si="143"/>
        <v>RJPR</v>
      </c>
      <c r="N981" s="24" t="str">
        <f t="shared" si="143"/>
        <v>RJAM</v>
      </c>
      <c r="O981" s="24">
        <f>VLOOKUP(H981, KM!$A:$E, 5, 0)</f>
        <v>429</v>
      </c>
      <c r="P981" s="24">
        <f>VLOOKUP(I981, KM!$A:$E, 5, 0)</f>
        <v>434</v>
      </c>
      <c r="Q981" s="24">
        <f>VLOOKUP(J981, KM!$A:$E, 5, 0)</f>
        <v>521</v>
      </c>
      <c r="R981" s="24">
        <f>VLOOKUP(K981, KM!$A:$E, 5, 0)</f>
        <v>1144</v>
      </c>
      <c r="S981" s="24">
        <f>VLOOKUP(L981, KM!$A:$E, 5, 0)</f>
        <v>0</v>
      </c>
      <c r="T981" s="24">
        <f>VLOOKUP(M981, KM!$A:$E, 5, 0)</f>
        <v>852</v>
      </c>
      <c r="U981" s="24">
        <f>VLOOKUP(N981, KM!$A:$E, 5, 0)</f>
        <v>4374</v>
      </c>
      <c r="V981" s="24">
        <f>VLOOKUP(H981, IMPOSTO!$A:$D, 4, 0)</f>
        <v>0.12</v>
      </c>
      <c r="W981" s="24">
        <f>VLOOKUP(I981, IMPOSTO!$A:$D, 4, 0)</f>
        <v>0.12</v>
      </c>
      <c r="X981" s="24">
        <f>VLOOKUP(J981, IMPOSTO!$A:$D, 4, 0)</f>
        <v>7.0000000000000007E-2</v>
      </c>
      <c r="Y981" s="24">
        <f>VLOOKUP(K981, IMPOSTO!$A:$D, 4, 0)</f>
        <v>0.12</v>
      </c>
      <c r="Z981" s="24">
        <f>VLOOKUP(L981, IMPOSTO!$A:$D, 4, 0)</f>
        <v>0.18</v>
      </c>
      <c r="AA981" s="24">
        <f>VLOOKUP(M981, IMPOSTO!$A:$D, 4, 0)</f>
        <v>0.12</v>
      </c>
      <c r="AB981" s="24">
        <f>VLOOKUP(N981, IMPOSTO!$A:$D, 4, 0)</f>
        <v>7.0000000000000007E-2</v>
      </c>
      <c r="AC981" s="25">
        <f t="shared" si="145"/>
        <v>317.13549584790206</v>
      </c>
      <c r="AD981" s="25">
        <f t="shared" si="146"/>
        <v>317.70367766608388</v>
      </c>
      <c r="AE981" s="25">
        <f t="shared" si="147"/>
        <v>309.97767349048803</v>
      </c>
      <c r="AF981" s="25">
        <f t="shared" si="148"/>
        <v>398.38549584790206</v>
      </c>
      <c r="AG981" s="25">
        <f t="shared" si="149"/>
        <v>288.02345895872418</v>
      </c>
      <c r="AH981" s="25">
        <f t="shared" si="150"/>
        <v>365.20367766608393</v>
      </c>
      <c r="AI981" s="25">
        <f t="shared" si="151"/>
        <v>724.27874875930524</v>
      </c>
    </row>
    <row r="982" spans="1:35" ht="15.75" customHeight="1">
      <c r="A982" s="12" t="s">
        <v>195</v>
      </c>
      <c r="B982" s="12" t="s">
        <v>196</v>
      </c>
      <c r="C982" s="12" t="s">
        <v>98</v>
      </c>
      <c r="D982" s="12" t="s">
        <v>33</v>
      </c>
      <c r="E982" s="12" t="s">
        <v>27</v>
      </c>
      <c r="F982" s="13">
        <v>407.51999999999992</v>
      </c>
      <c r="G982" s="14">
        <v>2443.5350606769234</v>
      </c>
      <c r="H982" s="24" t="str">
        <f t="shared" si="144"/>
        <v>RJSP</v>
      </c>
      <c r="I982" s="24" t="str">
        <f t="shared" si="143"/>
        <v>RJMG</v>
      </c>
      <c r="J982" s="24" t="str">
        <f t="shared" si="143"/>
        <v>RJES</v>
      </c>
      <c r="K982" s="24" t="str">
        <f t="shared" si="143"/>
        <v>RJSC</v>
      </c>
      <c r="L982" s="24" t="str">
        <f t="shared" si="143"/>
        <v>RJRJ</v>
      </c>
      <c r="M982" s="24" t="str">
        <f t="shared" si="143"/>
        <v>RJPR</v>
      </c>
      <c r="N982" s="24" t="str">
        <f t="shared" si="143"/>
        <v>RJAM</v>
      </c>
      <c r="O982" s="24">
        <f>VLOOKUP(H982, KM!$A:$E, 5, 0)</f>
        <v>429</v>
      </c>
      <c r="P982" s="24">
        <f>VLOOKUP(I982, KM!$A:$E, 5, 0)</f>
        <v>434</v>
      </c>
      <c r="Q982" s="24">
        <f>VLOOKUP(J982, KM!$A:$E, 5, 0)</f>
        <v>521</v>
      </c>
      <c r="R982" s="24">
        <f>VLOOKUP(K982, KM!$A:$E, 5, 0)</f>
        <v>1144</v>
      </c>
      <c r="S982" s="24">
        <f>VLOOKUP(L982, KM!$A:$E, 5, 0)</f>
        <v>0</v>
      </c>
      <c r="T982" s="24">
        <f>VLOOKUP(M982, KM!$A:$E, 5, 0)</f>
        <v>852</v>
      </c>
      <c r="U982" s="24">
        <f>VLOOKUP(N982, KM!$A:$E, 5, 0)</f>
        <v>4374</v>
      </c>
      <c r="V982" s="24">
        <f>VLOOKUP(H982, IMPOSTO!$A:$D, 4, 0)</f>
        <v>0.12</v>
      </c>
      <c r="W982" s="24">
        <f>VLOOKUP(I982, IMPOSTO!$A:$D, 4, 0)</f>
        <v>0.12</v>
      </c>
      <c r="X982" s="24">
        <f>VLOOKUP(J982, IMPOSTO!$A:$D, 4, 0)</f>
        <v>7.0000000000000007E-2</v>
      </c>
      <c r="Y982" s="24">
        <f>VLOOKUP(K982, IMPOSTO!$A:$D, 4, 0)</f>
        <v>0.12</v>
      </c>
      <c r="Z982" s="24">
        <f>VLOOKUP(L982, IMPOSTO!$A:$D, 4, 0)</f>
        <v>0.18</v>
      </c>
      <c r="AA982" s="24">
        <f>VLOOKUP(M982, IMPOSTO!$A:$D, 4, 0)</f>
        <v>0.12</v>
      </c>
      <c r="AB982" s="24">
        <f>VLOOKUP(N982, IMPOSTO!$A:$D, 4, 0)</f>
        <v>7.0000000000000007E-2</v>
      </c>
      <c r="AC982" s="25">
        <f t="shared" si="145"/>
        <v>2825.4943871328678</v>
      </c>
      <c r="AD982" s="25">
        <f t="shared" si="146"/>
        <v>2826.0625689510493</v>
      </c>
      <c r="AE982" s="25">
        <f t="shared" si="147"/>
        <v>2683.4785598676599</v>
      </c>
      <c r="AF982" s="25">
        <f t="shared" si="148"/>
        <v>2906.7443871328678</v>
      </c>
      <c r="AG982" s="25">
        <f t="shared" si="149"/>
        <v>2979.9208057035648</v>
      </c>
      <c r="AH982" s="25">
        <f t="shared" si="150"/>
        <v>2873.5625689510493</v>
      </c>
      <c r="AI982" s="25">
        <f t="shared" si="151"/>
        <v>3097.7796351364773</v>
      </c>
    </row>
    <row r="983" spans="1:35" ht="15.75" customHeight="1">
      <c r="A983" s="12" t="s">
        <v>195</v>
      </c>
      <c r="B983" s="12" t="s">
        <v>196</v>
      </c>
      <c r="C983" s="12" t="s">
        <v>98</v>
      </c>
      <c r="D983" s="12" t="s">
        <v>33</v>
      </c>
      <c r="E983" s="12" t="s">
        <v>27</v>
      </c>
      <c r="F983" s="13">
        <v>250.78153846153847</v>
      </c>
      <c r="G983" s="14">
        <v>1503.1945727999996</v>
      </c>
      <c r="H983" s="24" t="str">
        <f t="shared" si="144"/>
        <v>RJSP</v>
      </c>
      <c r="I983" s="24" t="str">
        <f t="shared" si="143"/>
        <v>RJMG</v>
      </c>
      <c r="J983" s="24" t="str">
        <f t="shared" si="143"/>
        <v>RJES</v>
      </c>
      <c r="K983" s="24" t="str">
        <f t="shared" si="143"/>
        <v>RJSC</v>
      </c>
      <c r="L983" s="24" t="str">
        <f t="shared" si="143"/>
        <v>RJRJ</v>
      </c>
      <c r="M983" s="24" t="str">
        <f t="shared" si="143"/>
        <v>RJPR</v>
      </c>
      <c r="N983" s="24" t="str">
        <f t="shared" si="143"/>
        <v>RJAM</v>
      </c>
      <c r="O983" s="24">
        <f>VLOOKUP(H983, KM!$A:$E, 5, 0)</f>
        <v>429</v>
      </c>
      <c r="P983" s="24">
        <f>VLOOKUP(I983, KM!$A:$E, 5, 0)</f>
        <v>434</v>
      </c>
      <c r="Q983" s="24">
        <f>VLOOKUP(J983, KM!$A:$E, 5, 0)</f>
        <v>521</v>
      </c>
      <c r="R983" s="24">
        <f>VLOOKUP(K983, KM!$A:$E, 5, 0)</f>
        <v>1144</v>
      </c>
      <c r="S983" s="24">
        <f>VLOOKUP(L983, KM!$A:$E, 5, 0)</f>
        <v>0</v>
      </c>
      <c r="T983" s="24">
        <f>VLOOKUP(M983, KM!$A:$E, 5, 0)</f>
        <v>852</v>
      </c>
      <c r="U983" s="24">
        <f>VLOOKUP(N983, KM!$A:$E, 5, 0)</f>
        <v>4374</v>
      </c>
      <c r="V983" s="24">
        <f>VLOOKUP(H983, IMPOSTO!$A:$D, 4, 0)</f>
        <v>0.12</v>
      </c>
      <c r="W983" s="24">
        <f>VLOOKUP(I983, IMPOSTO!$A:$D, 4, 0)</f>
        <v>0.12</v>
      </c>
      <c r="X983" s="24">
        <f>VLOOKUP(J983, IMPOSTO!$A:$D, 4, 0)</f>
        <v>7.0000000000000007E-2</v>
      </c>
      <c r="Y983" s="24">
        <f>VLOOKUP(K983, IMPOSTO!$A:$D, 4, 0)</f>
        <v>0.12</v>
      </c>
      <c r="Z983" s="24">
        <f>VLOOKUP(L983, IMPOSTO!$A:$D, 4, 0)</f>
        <v>0.18</v>
      </c>
      <c r="AA983" s="24">
        <f>VLOOKUP(M983, IMPOSTO!$A:$D, 4, 0)</f>
        <v>0.12</v>
      </c>
      <c r="AB983" s="24">
        <f>VLOOKUP(N983, IMPOSTO!$A:$D, 4, 0)</f>
        <v>7.0000000000000007E-2</v>
      </c>
      <c r="AC983" s="25">
        <f t="shared" si="145"/>
        <v>1756.9256509090906</v>
      </c>
      <c r="AD983" s="25">
        <f t="shared" si="146"/>
        <v>1757.4938327272723</v>
      </c>
      <c r="AE983" s="25">
        <f t="shared" si="147"/>
        <v>1672.3597556989243</v>
      </c>
      <c r="AF983" s="25">
        <f t="shared" si="148"/>
        <v>1838.1756509090906</v>
      </c>
      <c r="AG983" s="25">
        <f t="shared" si="149"/>
        <v>1833.1641131707311</v>
      </c>
      <c r="AH983" s="25">
        <f t="shared" si="150"/>
        <v>1804.9938327272723</v>
      </c>
      <c r="AI983" s="25">
        <f t="shared" si="151"/>
        <v>2086.6608309677417</v>
      </c>
    </row>
    <row r="984" spans="1:35" ht="15.75" customHeight="1">
      <c r="A984" s="12" t="s">
        <v>195</v>
      </c>
      <c r="B984" s="12" t="s">
        <v>196</v>
      </c>
      <c r="C984" s="12" t="s">
        <v>98</v>
      </c>
      <c r="D984" s="12" t="s">
        <v>33</v>
      </c>
      <c r="E984" s="12" t="s">
        <v>27</v>
      </c>
      <c r="F984" s="13">
        <v>125.39076923076922</v>
      </c>
      <c r="G984" s="14">
        <v>750.98914116923061</v>
      </c>
      <c r="H984" s="24" t="str">
        <f t="shared" si="144"/>
        <v>RJSP</v>
      </c>
      <c r="I984" s="24" t="str">
        <f t="shared" si="143"/>
        <v>RJMG</v>
      </c>
      <c r="J984" s="24" t="str">
        <f t="shared" si="143"/>
        <v>RJES</v>
      </c>
      <c r="K984" s="24" t="str">
        <f t="shared" si="143"/>
        <v>RJSC</v>
      </c>
      <c r="L984" s="24" t="str">
        <f t="shared" si="143"/>
        <v>RJRJ</v>
      </c>
      <c r="M984" s="24" t="str">
        <f t="shared" si="143"/>
        <v>RJPR</v>
      </c>
      <c r="N984" s="24" t="str">
        <f t="shared" si="143"/>
        <v>RJAM</v>
      </c>
      <c r="O984" s="24">
        <f>VLOOKUP(H984, KM!$A:$E, 5, 0)</f>
        <v>429</v>
      </c>
      <c r="P984" s="24">
        <f>VLOOKUP(I984, KM!$A:$E, 5, 0)</f>
        <v>434</v>
      </c>
      <c r="Q984" s="24">
        <f>VLOOKUP(J984, KM!$A:$E, 5, 0)</f>
        <v>521</v>
      </c>
      <c r="R984" s="24">
        <f>VLOOKUP(K984, KM!$A:$E, 5, 0)</f>
        <v>1144</v>
      </c>
      <c r="S984" s="24">
        <f>VLOOKUP(L984, KM!$A:$E, 5, 0)</f>
        <v>0</v>
      </c>
      <c r="T984" s="24">
        <f>VLOOKUP(M984, KM!$A:$E, 5, 0)</f>
        <v>852</v>
      </c>
      <c r="U984" s="24">
        <f>VLOOKUP(N984, KM!$A:$E, 5, 0)</f>
        <v>4374</v>
      </c>
      <c r="V984" s="24">
        <f>VLOOKUP(H984, IMPOSTO!$A:$D, 4, 0)</f>
        <v>0.12</v>
      </c>
      <c r="W984" s="24">
        <f>VLOOKUP(I984, IMPOSTO!$A:$D, 4, 0)</f>
        <v>0.12</v>
      </c>
      <c r="X984" s="24">
        <f>VLOOKUP(J984, IMPOSTO!$A:$D, 4, 0)</f>
        <v>7.0000000000000007E-2</v>
      </c>
      <c r="Y984" s="24">
        <f>VLOOKUP(K984, IMPOSTO!$A:$D, 4, 0)</f>
        <v>0.12</v>
      </c>
      <c r="Z984" s="24">
        <f>VLOOKUP(L984, IMPOSTO!$A:$D, 4, 0)</f>
        <v>0.18</v>
      </c>
      <c r="AA984" s="24">
        <f>VLOOKUP(M984, IMPOSTO!$A:$D, 4, 0)</f>
        <v>0.12</v>
      </c>
      <c r="AB984" s="24">
        <f>VLOOKUP(N984, IMPOSTO!$A:$D, 4, 0)</f>
        <v>7.0000000000000007E-2</v>
      </c>
      <c r="AC984" s="25">
        <f t="shared" si="145"/>
        <v>902.14675132867114</v>
      </c>
      <c r="AD984" s="25">
        <f t="shared" si="146"/>
        <v>902.7149331468529</v>
      </c>
      <c r="AE984" s="25">
        <f t="shared" si="147"/>
        <v>863.53671093465664</v>
      </c>
      <c r="AF984" s="25">
        <f t="shared" si="148"/>
        <v>983.39675132867114</v>
      </c>
      <c r="AG984" s="25">
        <f t="shared" si="149"/>
        <v>915.84041606003723</v>
      </c>
      <c r="AH984" s="25">
        <f t="shared" si="150"/>
        <v>950.21493314685301</v>
      </c>
      <c r="AI984" s="25">
        <f t="shared" si="151"/>
        <v>1277.837786203474</v>
      </c>
    </row>
    <row r="985" spans="1:35" ht="15.75" customHeight="1">
      <c r="A985" s="12" t="s">
        <v>199</v>
      </c>
      <c r="B985" s="12" t="s">
        <v>200</v>
      </c>
      <c r="C985" s="12" t="s">
        <v>181</v>
      </c>
      <c r="D985" s="12" t="s">
        <v>33</v>
      </c>
      <c r="E985" s="12" t="s">
        <v>27</v>
      </c>
      <c r="F985" s="13">
        <v>22.016068306010926</v>
      </c>
      <c r="G985" s="14">
        <v>266.50958747540983</v>
      </c>
      <c r="H985" s="24" t="str">
        <f t="shared" si="144"/>
        <v>RJSP</v>
      </c>
      <c r="I985" s="24" t="str">
        <f t="shared" si="143"/>
        <v>RJMG</v>
      </c>
      <c r="J985" s="24" t="str">
        <f t="shared" si="143"/>
        <v>RJES</v>
      </c>
      <c r="K985" s="24" t="str">
        <f t="shared" si="143"/>
        <v>RJSC</v>
      </c>
      <c r="L985" s="24" t="str">
        <f t="shared" si="143"/>
        <v>RJRJ</v>
      </c>
      <c r="M985" s="24" t="str">
        <f t="shared" si="143"/>
        <v>RJPR</v>
      </c>
      <c r="N985" s="24" t="str">
        <f t="shared" si="143"/>
        <v>RJAM</v>
      </c>
      <c r="O985" s="24">
        <f>VLOOKUP(H985, KM!$A:$E, 5, 0)</f>
        <v>429</v>
      </c>
      <c r="P985" s="24">
        <f>VLOOKUP(I985, KM!$A:$E, 5, 0)</f>
        <v>434</v>
      </c>
      <c r="Q985" s="24">
        <f>VLOOKUP(J985, KM!$A:$E, 5, 0)</f>
        <v>521</v>
      </c>
      <c r="R985" s="24">
        <f>VLOOKUP(K985, KM!$A:$E, 5, 0)</f>
        <v>1144</v>
      </c>
      <c r="S985" s="24">
        <f>VLOOKUP(L985, KM!$A:$E, 5, 0)</f>
        <v>0</v>
      </c>
      <c r="T985" s="24">
        <f>VLOOKUP(M985, KM!$A:$E, 5, 0)</f>
        <v>852</v>
      </c>
      <c r="U985" s="24">
        <f>VLOOKUP(N985, KM!$A:$E, 5, 0)</f>
        <v>4374</v>
      </c>
      <c r="V985" s="24">
        <f>VLOOKUP(H985, IMPOSTO!$A:$D, 4, 0)</f>
        <v>0.12</v>
      </c>
      <c r="W985" s="24">
        <f>VLOOKUP(I985, IMPOSTO!$A:$D, 4, 0)</f>
        <v>0.12</v>
      </c>
      <c r="X985" s="24">
        <f>VLOOKUP(J985, IMPOSTO!$A:$D, 4, 0)</f>
        <v>7.0000000000000007E-2</v>
      </c>
      <c r="Y985" s="24">
        <f>VLOOKUP(K985, IMPOSTO!$A:$D, 4, 0)</f>
        <v>0.12</v>
      </c>
      <c r="Z985" s="24">
        <f>VLOOKUP(L985, IMPOSTO!$A:$D, 4, 0)</f>
        <v>0.18</v>
      </c>
      <c r="AA985" s="24">
        <f>VLOOKUP(M985, IMPOSTO!$A:$D, 4, 0)</f>
        <v>0.12</v>
      </c>
      <c r="AB985" s="24">
        <f>VLOOKUP(N985, IMPOSTO!$A:$D, 4, 0)</f>
        <v>7.0000000000000007E-2</v>
      </c>
      <c r="AC985" s="25">
        <f t="shared" si="145"/>
        <v>351.60180394932934</v>
      </c>
      <c r="AD985" s="25">
        <f t="shared" si="146"/>
        <v>352.16998576751115</v>
      </c>
      <c r="AE985" s="25">
        <f t="shared" si="147"/>
        <v>342.59095427463427</v>
      </c>
      <c r="AF985" s="25">
        <f t="shared" si="148"/>
        <v>432.85180394932934</v>
      </c>
      <c r="AG985" s="25">
        <f t="shared" si="149"/>
        <v>325.01169204318268</v>
      </c>
      <c r="AH985" s="25">
        <f t="shared" si="150"/>
        <v>399.66998576751115</v>
      </c>
      <c r="AI985" s="25">
        <f t="shared" si="151"/>
        <v>756.89202954345149</v>
      </c>
    </row>
    <row r="986" spans="1:35" ht="15.75" customHeight="1">
      <c r="A986" s="12" t="s">
        <v>463</v>
      </c>
      <c r="B986" s="12" t="s">
        <v>464</v>
      </c>
      <c r="C986" s="12" t="s">
        <v>217</v>
      </c>
      <c r="D986" s="12" t="s">
        <v>33</v>
      </c>
      <c r="E986" s="12" t="s">
        <v>27</v>
      </c>
      <c r="F986" s="13">
        <v>50.09321739130435</v>
      </c>
      <c r="G986" s="14">
        <v>1952.1535539130434</v>
      </c>
      <c r="H986" s="24" t="str">
        <f t="shared" si="144"/>
        <v>RJSP</v>
      </c>
      <c r="I986" s="24" t="str">
        <f t="shared" si="143"/>
        <v>RJMG</v>
      </c>
      <c r="J986" s="24" t="str">
        <f t="shared" si="143"/>
        <v>RJES</v>
      </c>
      <c r="K986" s="24" t="str">
        <f t="shared" si="143"/>
        <v>RJSC</v>
      </c>
      <c r="L986" s="24" t="str">
        <f t="shared" si="143"/>
        <v>RJRJ</v>
      </c>
      <c r="M986" s="24" t="str">
        <f t="shared" si="143"/>
        <v>RJPR</v>
      </c>
      <c r="N986" s="24" t="str">
        <f t="shared" si="143"/>
        <v>RJAM</v>
      </c>
      <c r="O986" s="24">
        <f>VLOOKUP(H986, KM!$A:$E, 5, 0)</f>
        <v>429</v>
      </c>
      <c r="P986" s="24">
        <f>VLOOKUP(I986, KM!$A:$E, 5, 0)</f>
        <v>434</v>
      </c>
      <c r="Q986" s="24">
        <f>VLOOKUP(J986, KM!$A:$E, 5, 0)</f>
        <v>521</v>
      </c>
      <c r="R986" s="24">
        <f>VLOOKUP(K986, KM!$A:$E, 5, 0)</f>
        <v>1144</v>
      </c>
      <c r="S986" s="24">
        <f>VLOOKUP(L986, KM!$A:$E, 5, 0)</f>
        <v>0</v>
      </c>
      <c r="T986" s="24">
        <f>VLOOKUP(M986, KM!$A:$E, 5, 0)</f>
        <v>852</v>
      </c>
      <c r="U986" s="24">
        <f>VLOOKUP(N986, KM!$A:$E, 5, 0)</f>
        <v>4374</v>
      </c>
      <c r="V986" s="24">
        <f>VLOOKUP(H986, IMPOSTO!$A:$D, 4, 0)</f>
        <v>0.12</v>
      </c>
      <c r="W986" s="24">
        <f>VLOOKUP(I986, IMPOSTO!$A:$D, 4, 0)</f>
        <v>0.12</v>
      </c>
      <c r="X986" s="24">
        <f>VLOOKUP(J986, IMPOSTO!$A:$D, 4, 0)</f>
        <v>7.0000000000000007E-2</v>
      </c>
      <c r="Y986" s="24">
        <f>VLOOKUP(K986, IMPOSTO!$A:$D, 4, 0)</f>
        <v>0.12</v>
      </c>
      <c r="Z986" s="24">
        <f>VLOOKUP(L986, IMPOSTO!$A:$D, 4, 0)</f>
        <v>0.18</v>
      </c>
      <c r="AA986" s="24">
        <f>VLOOKUP(M986, IMPOSTO!$A:$D, 4, 0)</f>
        <v>0.12</v>
      </c>
      <c r="AB986" s="24">
        <f>VLOOKUP(N986, IMPOSTO!$A:$D, 4, 0)</f>
        <v>7.0000000000000007E-2</v>
      </c>
      <c r="AC986" s="25">
        <f t="shared" si="145"/>
        <v>2267.1063112648221</v>
      </c>
      <c r="AD986" s="25">
        <f t="shared" si="146"/>
        <v>2267.6744930830041</v>
      </c>
      <c r="AE986" s="25">
        <f t="shared" si="147"/>
        <v>2155.1113482935953</v>
      </c>
      <c r="AF986" s="25">
        <f t="shared" si="148"/>
        <v>2348.3563112648221</v>
      </c>
      <c r="AG986" s="25">
        <f t="shared" si="149"/>
        <v>2380.6750657476136</v>
      </c>
      <c r="AH986" s="25">
        <f t="shared" si="150"/>
        <v>2315.1744930830041</v>
      </c>
      <c r="AI986" s="25">
        <f t="shared" si="151"/>
        <v>2569.4124235624122</v>
      </c>
    </row>
    <row r="987" spans="1:35" ht="15.75" customHeight="1">
      <c r="A987" s="12" t="s">
        <v>213</v>
      </c>
      <c r="B987" s="12" t="s">
        <v>214</v>
      </c>
      <c r="C987" s="12" t="s">
        <v>192</v>
      </c>
      <c r="D987" s="12" t="s">
        <v>33</v>
      </c>
      <c r="E987" s="12" t="s">
        <v>27</v>
      </c>
      <c r="F987" s="13">
        <v>128.98879999999997</v>
      </c>
      <c r="G987" s="14">
        <v>1539.4580167710844</v>
      </c>
      <c r="H987" s="24" t="str">
        <f t="shared" si="144"/>
        <v>RJSP</v>
      </c>
      <c r="I987" s="24" t="str">
        <f t="shared" si="143"/>
        <v>RJMG</v>
      </c>
      <c r="J987" s="24" t="str">
        <f t="shared" si="143"/>
        <v>RJES</v>
      </c>
      <c r="K987" s="24" t="str">
        <f t="shared" si="143"/>
        <v>RJSC</v>
      </c>
      <c r="L987" s="24" t="str">
        <f t="shared" si="143"/>
        <v>RJRJ</v>
      </c>
      <c r="M987" s="24" t="str">
        <f t="shared" si="143"/>
        <v>RJPR</v>
      </c>
      <c r="N987" s="24" t="str">
        <f t="shared" si="143"/>
        <v>RJAM</v>
      </c>
      <c r="O987" s="24">
        <f>VLOOKUP(H987, KM!$A:$E, 5, 0)</f>
        <v>429</v>
      </c>
      <c r="P987" s="24">
        <f>VLOOKUP(I987, KM!$A:$E, 5, 0)</f>
        <v>434</v>
      </c>
      <c r="Q987" s="24">
        <f>VLOOKUP(J987, KM!$A:$E, 5, 0)</f>
        <v>521</v>
      </c>
      <c r="R987" s="24">
        <f>VLOOKUP(K987, KM!$A:$E, 5, 0)</f>
        <v>1144</v>
      </c>
      <c r="S987" s="24">
        <f>VLOOKUP(L987, KM!$A:$E, 5, 0)</f>
        <v>0</v>
      </c>
      <c r="T987" s="24">
        <f>VLOOKUP(M987, KM!$A:$E, 5, 0)</f>
        <v>852</v>
      </c>
      <c r="U987" s="24">
        <f>VLOOKUP(N987, KM!$A:$E, 5, 0)</f>
        <v>4374</v>
      </c>
      <c r="V987" s="24">
        <f>VLOOKUP(H987, IMPOSTO!$A:$D, 4, 0)</f>
        <v>0.12</v>
      </c>
      <c r="W987" s="24">
        <f>VLOOKUP(I987, IMPOSTO!$A:$D, 4, 0)</f>
        <v>0.12</v>
      </c>
      <c r="X987" s="24">
        <f>VLOOKUP(J987, IMPOSTO!$A:$D, 4, 0)</f>
        <v>7.0000000000000007E-2</v>
      </c>
      <c r="Y987" s="24">
        <f>VLOOKUP(K987, IMPOSTO!$A:$D, 4, 0)</f>
        <v>0.12</v>
      </c>
      <c r="Z987" s="24">
        <f>VLOOKUP(L987, IMPOSTO!$A:$D, 4, 0)</f>
        <v>0.18</v>
      </c>
      <c r="AA987" s="24">
        <f>VLOOKUP(M987, IMPOSTO!$A:$D, 4, 0)</f>
        <v>0.12</v>
      </c>
      <c r="AB987" s="24">
        <f>VLOOKUP(N987, IMPOSTO!$A:$D, 4, 0)</f>
        <v>7.0000000000000007E-2</v>
      </c>
      <c r="AC987" s="25">
        <f t="shared" si="145"/>
        <v>1798.1341099671415</v>
      </c>
      <c r="AD987" s="25">
        <f t="shared" si="146"/>
        <v>1798.7022917853233</v>
      </c>
      <c r="AE987" s="25">
        <f t="shared" si="147"/>
        <v>1711.3527062054673</v>
      </c>
      <c r="AF987" s="25">
        <f t="shared" si="148"/>
        <v>1879.3841099671415</v>
      </c>
      <c r="AG987" s="25">
        <f t="shared" si="149"/>
        <v>1877.3878253305907</v>
      </c>
      <c r="AH987" s="25">
        <f t="shared" si="150"/>
        <v>1846.2022917853233</v>
      </c>
      <c r="AI987" s="25">
        <f t="shared" si="151"/>
        <v>2125.6537814742846</v>
      </c>
    </row>
    <row r="988" spans="1:35" ht="15.75" customHeight="1">
      <c r="A988" s="12" t="s">
        <v>591</v>
      </c>
      <c r="B988" s="12" t="s">
        <v>592</v>
      </c>
      <c r="C988" s="12" t="s">
        <v>192</v>
      </c>
      <c r="D988" s="12" t="s">
        <v>50</v>
      </c>
      <c r="E988" s="12" t="s">
        <v>27</v>
      </c>
      <c r="F988" s="13">
        <v>117.65498169336384</v>
      </c>
      <c r="G988" s="14">
        <v>838.22306272311209</v>
      </c>
      <c r="H988" s="24" t="str">
        <f t="shared" si="144"/>
        <v>RJSP</v>
      </c>
      <c r="I988" s="24" t="str">
        <f t="shared" si="143"/>
        <v>RJMG</v>
      </c>
      <c r="J988" s="24" t="str">
        <f t="shared" si="143"/>
        <v>RJES</v>
      </c>
      <c r="K988" s="24" t="str">
        <f t="shared" si="143"/>
        <v>RJSC</v>
      </c>
      <c r="L988" s="24" t="str">
        <f t="shared" si="143"/>
        <v>RJRJ</v>
      </c>
      <c r="M988" s="24" t="str">
        <f t="shared" si="143"/>
        <v>RJPR</v>
      </c>
      <c r="N988" s="24" t="str">
        <f t="shared" si="143"/>
        <v>RJAM</v>
      </c>
      <c r="O988" s="24">
        <f>VLOOKUP(H988, KM!$A:$E, 5, 0)</f>
        <v>429</v>
      </c>
      <c r="P988" s="24">
        <f>VLOOKUP(I988, KM!$A:$E, 5, 0)</f>
        <v>434</v>
      </c>
      <c r="Q988" s="24">
        <f>VLOOKUP(J988, KM!$A:$E, 5, 0)</f>
        <v>521</v>
      </c>
      <c r="R988" s="24">
        <f>VLOOKUP(K988, KM!$A:$E, 5, 0)</f>
        <v>1144</v>
      </c>
      <c r="S988" s="24">
        <f>VLOOKUP(L988, KM!$A:$E, 5, 0)</f>
        <v>0</v>
      </c>
      <c r="T988" s="24">
        <f>VLOOKUP(M988, KM!$A:$E, 5, 0)</f>
        <v>852</v>
      </c>
      <c r="U988" s="24">
        <f>VLOOKUP(N988, KM!$A:$E, 5, 0)</f>
        <v>4374</v>
      </c>
      <c r="V988" s="24">
        <f>VLOOKUP(H988, IMPOSTO!$A:$D, 4, 0)</f>
        <v>0.12</v>
      </c>
      <c r="W988" s="24">
        <f>VLOOKUP(I988, IMPOSTO!$A:$D, 4, 0)</f>
        <v>0.12</v>
      </c>
      <c r="X988" s="24">
        <f>VLOOKUP(J988, IMPOSTO!$A:$D, 4, 0)</f>
        <v>7.0000000000000007E-2</v>
      </c>
      <c r="Y988" s="24">
        <f>VLOOKUP(K988, IMPOSTO!$A:$D, 4, 0)</f>
        <v>0.12</v>
      </c>
      <c r="Z988" s="24">
        <f>VLOOKUP(L988, IMPOSTO!$A:$D, 4, 0)</f>
        <v>0.18</v>
      </c>
      <c r="AA988" s="24">
        <f>VLOOKUP(M988, IMPOSTO!$A:$D, 4, 0)</f>
        <v>0.12</v>
      </c>
      <c r="AB988" s="24">
        <f>VLOOKUP(N988, IMPOSTO!$A:$D, 4, 0)</f>
        <v>7.0000000000000007E-2</v>
      </c>
      <c r="AC988" s="25">
        <f t="shared" si="145"/>
        <v>1001.2762076399001</v>
      </c>
      <c r="AD988" s="25">
        <f t="shared" si="146"/>
        <v>1001.8443894580819</v>
      </c>
      <c r="AE988" s="25">
        <f t="shared" si="147"/>
        <v>957.33662658399157</v>
      </c>
      <c r="AF988" s="25">
        <f t="shared" si="148"/>
        <v>1082.5262076399001</v>
      </c>
      <c r="AG988" s="25">
        <f t="shared" si="149"/>
        <v>1022.2232472233073</v>
      </c>
      <c r="AH988" s="25">
        <f t="shared" si="150"/>
        <v>1049.3443894580819</v>
      </c>
      <c r="AI988" s="25">
        <f t="shared" si="151"/>
        <v>1371.6377018528087</v>
      </c>
    </row>
    <row r="989" spans="1:35" ht="15.75" customHeight="1">
      <c r="A989" s="12" t="s">
        <v>591</v>
      </c>
      <c r="B989" s="12" t="s">
        <v>592</v>
      </c>
      <c r="C989" s="12" t="s">
        <v>192</v>
      </c>
      <c r="D989" s="12" t="s">
        <v>50</v>
      </c>
      <c r="E989" s="12" t="s">
        <v>27</v>
      </c>
      <c r="F989" s="13">
        <v>137.36368421052632</v>
      </c>
      <c r="G989" s="14">
        <v>1009.2050155606407</v>
      </c>
      <c r="H989" s="24" t="str">
        <f t="shared" si="144"/>
        <v>RJSP</v>
      </c>
      <c r="I989" s="24" t="str">
        <f t="shared" si="143"/>
        <v>RJMG</v>
      </c>
      <c r="J989" s="24" t="str">
        <f t="shared" si="143"/>
        <v>RJES</v>
      </c>
      <c r="K989" s="24" t="str">
        <f t="shared" si="143"/>
        <v>RJSC</v>
      </c>
      <c r="L989" s="24" t="str">
        <f t="shared" si="143"/>
        <v>RJRJ</v>
      </c>
      <c r="M989" s="24" t="str">
        <f t="shared" si="143"/>
        <v>RJPR</v>
      </c>
      <c r="N989" s="24" t="str">
        <f t="shared" si="143"/>
        <v>RJAM</v>
      </c>
      <c r="O989" s="24">
        <f>VLOOKUP(H989, KM!$A:$E, 5, 0)</f>
        <v>429</v>
      </c>
      <c r="P989" s="24">
        <f>VLOOKUP(I989, KM!$A:$E, 5, 0)</f>
        <v>434</v>
      </c>
      <c r="Q989" s="24">
        <f>VLOOKUP(J989, KM!$A:$E, 5, 0)</f>
        <v>521</v>
      </c>
      <c r="R989" s="24">
        <f>VLOOKUP(K989, KM!$A:$E, 5, 0)</f>
        <v>1144</v>
      </c>
      <c r="S989" s="24">
        <f>VLOOKUP(L989, KM!$A:$E, 5, 0)</f>
        <v>0</v>
      </c>
      <c r="T989" s="24">
        <f>VLOOKUP(M989, KM!$A:$E, 5, 0)</f>
        <v>852</v>
      </c>
      <c r="U989" s="24">
        <f>VLOOKUP(N989, KM!$A:$E, 5, 0)</f>
        <v>4374</v>
      </c>
      <c r="V989" s="24">
        <f>VLOOKUP(H989, IMPOSTO!$A:$D, 4, 0)</f>
        <v>0.12</v>
      </c>
      <c r="W989" s="24">
        <f>VLOOKUP(I989, IMPOSTO!$A:$D, 4, 0)</f>
        <v>0.12</v>
      </c>
      <c r="X989" s="24">
        <f>VLOOKUP(J989, IMPOSTO!$A:$D, 4, 0)</f>
        <v>7.0000000000000007E-2</v>
      </c>
      <c r="Y989" s="24">
        <f>VLOOKUP(K989, IMPOSTO!$A:$D, 4, 0)</f>
        <v>0.12</v>
      </c>
      <c r="Z989" s="24">
        <f>VLOOKUP(L989, IMPOSTO!$A:$D, 4, 0)</f>
        <v>0.18</v>
      </c>
      <c r="AA989" s="24">
        <f>VLOOKUP(M989, IMPOSTO!$A:$D, 4, 0)</f>
        <v>0.12</v>
      </c>
      <c r="AB989" s="24">
        <f>VLOOKUP(N989, IMPOSTO!$A:$D, 4, 0)</f>
        <v>7.0000000000000007E-2</v>
      </c>
      <c r="AC989" s="25">
        <f t="shared" si="145"/>
        <v>1195.57388131891</v>
      </c>
      <c r="AD989" s="25">
        <f t="shared" si="146"/>
        <v>1196.1420631370918</v>
      </c>
      <c r="AE989" s="25">
        <f t="shared" si="147"/>
        <v>1141.1881887748825</v>
      </c>
      <c r="AF989" s="25">
        <f t="shared" si="148"/>
        <v>1276.82388131891</v>
      </c>
      <c r="AG989" s="25">
        <f t="shared" si="149"/>
        <v>1230.7378238544397</v>
      </c>
      <c r="AH989" s="25">
        <f t="shared" si="150"/>
        <v>1243.6420631370918</v>
      </c>
      <c r="AI989" s="25">
        <f t="shared" si="151"/>
        <v>1555.4892640436999</v>
      </c>
    </row>
    <row r="990" spans="1:35" ht="15.75" customHeight="1">
      <c r="A990" s="12" t="s">
        <v>593</v>
      </c>
      <c r="B990" s="12" t="s">
        <v>594</v>
      </c>
      <c r="C990" s="12" t="s">
        <v>192</v>
      </c>
      <c r="D990" s="12" t="s">
        <v>33</v>
      </c>
      <c r="E990" s="12" t="s">
        <v>27</v>
      </c>
      <c r="F990" s="13">
        <v>8.9979999999999993</v>
      </c>
      <c r="G990" s="14">
        <v>1426.2003038461537</v>
      </c>
      <c r="H990" s="24" t="str">
        <f t="shared" si="144"/>
        <v>RJSP</v>
      </c>
      <c r="I990" s="24" t="str">
        <f t="shared" si="143"/>
        <v>RJMG</v>
      </c>
      <c r="J990" s="24" t="str">
        <f t="shared" si="143"/>
        <v>RJES</v>
      </c>
      <c r="K990" s="24" t="str">
        <f t="shared" si="143"/>
        <v>RJSC</v>
      </c>
      <c r="L990" s="24" t="str">
        <f t="shared" si="143"/>
        <v>RJRJ</v>
      </c>
      <c r="M990" s="24" t="str">
        <f t="shared" si="143"/>
        <v>RJPR</v>
      </c>
      <c r="N990" s="24" t="str">
        <f t="shared" si="143"/>
        <v>RJAM</v>
      </c>
      <c r="O990" s="24">
        <f>VLOOKUP(H990, KM!$A:$E, 5, 0)</f>
        <v>429</v>
      </c>
      <c r="P990" s="24">
        <f>VLOOKUP(I990, KM!$A:$E, 5, 0)</f>
        <v>434</v>
      </c>
      <c r="Q990" s="24">
        <f>VLOOKUP(J990, KM!$A:$E, 5, 0)</f>
        <v>521</v>
      </c>
      <c r="R990" s="24">
        <f>VLOOKUP(K990, KM!$A:$E, 5, 0)</f>
        <v>1144</v>
      </c>
      <c r="S990" s="24">
        <f>VLOOKUP(L990, KM!$A:$E, 5, 0)</f>
        <v>0</v>
      </c>
      <c r="T990" s="24">
        <f>VLOOKUP(M990, KM!$A:$E, 5, 0)</f>
        <v>852</v>
      </c>
      <c r="U990" s="24">
        <f>VLOOKUP(N990, KM!$A:$E, 5, 0)</f>
        <v>4374</v>
      </c>
      <c r="V990" s="24">
        <f>VLOOKUP(H990, IMPOSTO!$A:$D, 4, 0)</f>
        <v>0.12</v>
      </c>
      <c r="W990" s="24">
        <f>VLOOKUP(I990, IMPOSTO!$A:$D, 4, 0)</f>
        <v>0.12</v>
      </c>
      <c r="X990" s="24">
        <f>VLOOKUP(J990, IMPOSTO!$A:$D, 4, 0)</f>
        <v>7.0000000000000007E-2</v>
      </c>
      <c r="Y990" s="24">
        <f>VLOOKUP(K990, IMPOSTO!$A:$D, 4, 0)</f>
        <v>0.12</v>
      </c>
      <c r="Z990" s="24">
        <f>VLOOKUP(L990, IMPOSTO!$A:$D, 4, 0)</f>
        <v>0.18</v>
      </c>
      <c r="AA990" s="24">
        <f>VLOOKUP(M990, IMPOSTO!$A:$D, 4, 0)</f>
        <v>0.12</v>
      </c>
      <c r="AB990" s="24">
        <f>VLOOKUP(N990, IMPOSTO!$A:$D, 4, 0)</f>
        <v>7.0000000000000007E-2</v>
      </c>
      <c r="AC990" s="25">
        <f t="shared" si="145"/>
        <v>1669.4321634615385</v>
      </c>
      <c r="AD990" s="25">
        <f t="shared" si="146"/>
        <v>1670.0003452797202</v>
      </c>
      <c r="AE990" s="25">
        <f t="shared" si="147"/>
        <v>1589.5702191894127</v>
      </c>
      <c r="AF990" s="25">
        <f t="shared" si="148"/>
        <v>1750.6821634615385</v>
      </c>
      <c r="AG990" s="25">
        <f t="shared" si="149"/>
        <v>1739.2686632270165</v>
      </c>
      <c r="AH990" s="25">
        <f t="shared" si="150"/>
        <v>1717.5003452797202</v>
      </c>
      <c r="AI990" s="25">
        <f t="shared" si="151"/>
        <v>2003.8712944582301</v>
      </c>
    </row>
    <row r="991" spans="1:35" ht="15.75" customHeight="1">
      <c r="A991" s="12" t="s">
        <v>467</v>
      </c>
      <c r="B991" s="12" t="s">
        <v>468</v>
      </c>
      <c r="C991" s="12" t="s">
        <v>192</v>
      </c>
      <c r="D991" s="12" t="s">
        <v>33</v>
      </c>
      <c r="E991" s="12" t="s">
        <v>27</v>
      </c>
      <c r="F991" s="13">
        <v>4.0169999999999995</v>
      </c>
      <c r="G991" s="14">
        <v>36.042552152641875</v>
      </c>
      <c r="H991" s="24" t="str">
        <f t="shared" si="144"/>
        <v>RJSP</v>
      </c>
      <c r="I991" s="24" t="str">
        <f t="shared" si="143"/>
        <v>RJMG</v>
      </c>
      <c r="J991" s="24" t="str">
        <f t="shared" si="143"/>
        <v>RJES</v>
      </c>
      <c r="K991" s="24" t="str">
        <f t="shared" si="143"/>
        <v>RJSC</v>
      </c>
      <c r="L991" s="24" t="str">
        <f t="shared" si="143"/>
        <v>RJRJ</v>
      </c>
      <c r="M991" s="24" t="str">
        <f t="shared" si="143"/>
        <v>RJPR</v>
      </c>
      <c r="N991" s="24" t="str">
        <f t="shared" si="143"/>
        <v>RJAM</v>
      </c>
      <c r="O991" s="24">
        <f>VLOOKUP(H991, KM!$A:$E, 5, 0)</f>
        <v>429</v>
      </c>
      <c r="P991" s="24">
        <f>VLOOKUP(I991, KM!$A:$E, 5, 0)</f>
        <v>434</v>
      </c>
      <c r="Q991" s="24">
        <f>VLOOKUP(J991, KM!$A:$E, 5, 0)</f>
        <v>521</v>
      </c>
      <c r="R991" s="24">
        <f>VLOOKUP(K991, KM!$A:$E, 5, 0)</f>
        <v>1144</v>
      </c>
      <c r="S991" s="24">
        <f>VLOOKUP(L991, KM!$A:$E, 5, 0)</f>
        <v>0</v>
      </c>
      <c r="T991" s="24">
        <f>VLOOKUP(M991, KM!$A:$E, 5, 0)</f>
        <v>852</v>
      </c>
      <c r="U991" s="24">
        <f>VLOOKUP(N991, KM!$A:$E, 5, 0)</f>
        <v>4374</v>
      </c>
      <c r="V991" s="24">
        <f>VLOOKUP(H991, IMPOSTO!$A:$D, 4, 0)</f>
        <v>0.12</v>
      </c>
      <c r="W991" s="24">
        <f>VLOOKUP(I991, IMPOSTO!$A:$D, 4, 0)</f>
        <v>0.12</v>
      </c>
      <c r="X991" s="24">
        <f>VLOOKUP(J991, IMPOSTO!$A:$D, 4, 0)</f>
        <v>7.0000000000000007E-2</v>
      </c>
      <c r="Y991" s="24">
        <f>VLOOKUP(K991, IMPOSTO!$A:$D, 4, 0)</f>
        <v>0.12</v>
      </c>
      <c r="Z991" s="24">
        <f>VLOOKUP(L991, IMPOSTO!$A:$D, 4, 0)</f>
        <v>0.18</v>
      </c>
      <c r="AA991" s="24">
        <f>VLOOKUP(M991, IMPOSTO!$A:$D, 4, 0)</f>
        <v>0.12</v>
      </c>
      <c r="AB991" s="24">
        <f>VLOOKUP(N991, IMPOSTO!$A:$D, 4, 0)</f>
        <v>7.0000000000000007E-2</v>
      </c>
      <c r="AC991" s="25">
        <f t="shared" si="145"/>
        <v>89.707445628002134</v>
      </c>
      <c r="AD991" s="25">
        <f t="shared" si="146"/>
        <v>90.275627446183961</v>
      </c>
      <c r="AE991" s="25">
        <f t="shared" si="147"/>
        <v>94.776937798539663</v>
      </c>
      <c r="AF991" s="25">
        <f t="shared" si="148"/>
        <v>170.95744562800215</v>
      </c>
      <c r="AG991" s="25">
        <f t="shared" si="149"/>
        <v>43.954331893465699</v>
      </c>
      <c r="AH991" s="25">
        <f t="shared" si="150"/>
        <v>137.77562744618396</v>
      </c>
      <c r="AI991" s="25">
        <f t="shared" si="151"/>
        <v>509.07801306735689</v>
      </c>
    </row>
    <row r="992" spans="1:35" ht="15.75" customHeight="1">
      <c r="A992" s="12" t="s">
        <v>429</v>
      </c>
      <c r="B992" s="12" t="s">
        <v>430</v>
      </c>
      <c r="C992" s="12" t="s">
        <v>299</v>
      </c>
      <c r="D992" s="12" t="s">
        <v>33</v>
      </c>
      <c r="E992" s="12" t="s">
        <v>27</v>
      </c>
      <c r="F992" s="13">
        <v>1295.8101612412534</v>
      </c>
      <c r="G992" s="14">
        <v>39795.625861880137</v>
      </c>
      <c r="H992" s="24" t="str">
        <f t="shared" si="144"/>
        <v>RJSP</v>
      </c>
      <c r="I992" s="24" t="str">
        <f t="shared" si="143"/>
        <v>RJMG</v>
      </c>
      <c r="J992" s="24" t="str">
        <f t="shared" si="143"/>
        <v>RJES</v>
      </c>
      <c r="K992" s="24" t="str">
        <f t="shared" si="143"/>
        <v>RJSC</v>
      </c>
      <c r="L992" s="24" t="str">
        <f t="shared" si="143"/>
        <v>RJRJ</v>
      </c>
      <c r="M992" s="24" t="str">
        <f t="shared" si="143"/>
        <v>RJPR</v>
      </c>
      <c r="N992" s="24" t="str">
        <f t="shared" si="143"/>
        <v>RJAM</v>
      </c>
      <c r="O992" s="24">
        <f>VLOOKUP(H992, KM!$A:$E, 5, 0)</f>
        <v>429</v>
      </c>
      <c r="P992" s="24">
        <f>VLOOKUP(I992, KM!$A:$E, 5, 0)</f>
        <v>434</v>
      </c>
      <c r="Q992" s="24">
        <f>VLOOKUP(J992, KM!$A:$E, 5, 0)</f>
        <v>521</v>
      </c>
      <c r="R992" s="24">
        <f>VLOOKUP(K992, KM!$A:$E, 5, 0)</f>
        <v>1144</v>
      </c>
      <c r="S992" s="24">
        <f>VLOOKUP(L992, KM!$A:$E, 5, 0)</f>
        <v>0</v>
      </c>
      <c r="T992" s="24">
        <f>VLOOKUP(M992, KM!$A:$E, 5, 0)</f>
        <v>852</v>
      </c>
      <c r="U992" s="24">
        <f>VLOOKUP(N992, KM!$A:$E, 5, 0)</f>
        <v>4374</v>
      </c>
      <c r="V992" s="24">
        <f>VLOOKUP(H992, IMPOSTO!$A:$D, 4, 0)</f>
        <v>0.12</v>
      </c>
      <c r="W992" s="24">
        <f>VLOOKUP(I992, IMPOSTO!$A:$D, 4, 0)</f>
        <v>0.12</v>
      </c>
      <c r="X992" s="24">
        <f>VLOOKUP(J992, IMPOSTO!$A:$D, 4, 0)</f>
        <v>7.0000000000000007E-2</v>
      </c>
      <c r="Y992" s="24">
        <f>VLOOKUP(K992, IMPOSTO!$A:$D, 4, 0)</f>
        <v>0.12</v>
      </c>
      <c r="Z992" s="24">
        <f>VLOOKUP(L992, IMPOSTO!$A:$D, 4, 0)</f>
        <v>0.18</v>
      </c>
      <c r="AA992" s="24">
        <f>VLOOKUP(M992, IMPOSTO!$A:$D, 4, 0)</f>
        <v>0.12</v>
      </c>
      <c r="AB992" s="24">
        <f>VLOOKUP(N992, IMPOSTO!$A:$D, 4, 0)</f>
        <v>7.0000000000000007E-2</v>
      </c>
      <c r="AC992" s="25">
        <f t="shared" si="145"/>
        <v>45271.052115772887</v>
      </c>
      <c r="AD992" s="25">
        <f t="shared" si="146"/>
        <v>45271.620297591064</v>
      </c>
      <c r="AE992" s="25">
        <f t="shared" si="147"/>
        <v>42847.017055785094</v>
      </c>
      <c r="AF992" s="25">
        <f t="shared" si="148"/>
        <v>45352.302115772887</v>
      </c>
      <c r="AG992" s="25">
        <f t="shared" si="149"/>
        <v>48531.251051073334</v>
      </c>
      <c r="AH992" s="25">
        <f t="shared" si="150"/>
        <v>45319.120297591064</v>
      </c>
      <c r="AI992" s="25">
        <f t="shared" si="151"/>
        <v>43261.318131053915</v>
      </c>
    </row>
    <row r="993" spans="1:35" ht="15.75" customHeight="1">
      <c r="A993" s="12" t="s">
        <v>434</v>
      </c>
      <c r="B993" s="12" t="s">
        <v>435</v>
      </c>
      <c r="C993" s="12" t="s">
        <v>220</v>
      </c>
      <c r="D993" s="12" t="s">
        <v>33</v>
      </c>
      <c r="E993" s="12" t="s">
        <v>27</v>
      </c>
      <c r="F993" s="13">
        <v>401.66125892277745</v>
      </c>
      <c r="G993" s="14">
        <v>17432.741295262818</v>
      </c>
      <c r="H993" s="24" t="str">
        <f t="shared" si="144"/>
        <v>RJSP</v>
      </c>
      <c r="I993" s="24" t="str">
        <f t="shared" si="143"/>
        <v>RJMG</v>
      </c>
      <c r="J993" s="24" t="str">
        <f t="shared" si="143"/>
        <v>RJES</v>
      </c>
      <c r="K993" s="24" t="str">
        <f t="shared" si="143"/>
        <v>RJSC</v>
      </c>
      <c r="L993" s="24" t="str">
        <f t="shared" si="143"/>
        <v>RJRJ</v>
      </c>
      <c r="M993" s="24" t="str">
        <f t="shared" si="143"/>
        <v>RJPR</v>
      </c>
      <c r="N993" s="24" t="str">
        <f t="shared" si="143"/>
        <v>RJAM</v>
      </c>
      <c r="O993" s="24">
        <f>VLOOKUP(H993, KM!$A:$E, 5, 0)</f>
        <v>429</v>
      </c>
      <c r="P993" s="24">
        <f>VLOOKUP(I993, KM!$A:$E, 5, 0)</f>
        <v>434</v>
      </c>
      <c r="Q993" s="24">
        <f>VLOOKUP(J993, KM!$A:$E, 5, 0)</f>
        <v>521</v>
      </c>
      <c r="R993" s="24">
        <f>VLOOKUP(K993, KM!$A:$E, 5, 0)</f>
        <v>1144</v>
      </c>
      <c r="S993" s="24">
        <f>VLOOKUP(L993, KM!$A:$E, 5, 0)</f>
        <v>0</v>
      </c>
      <c r="T993" s="24">
        <f>VLOOKUP(M993, KM!$A:$E, 5, 0)</f>
        <v>852</v>
      </c>
      <c r="U993" s="24">
        <f>VLOOKUP(N993, KM!$A:$E, 5, 0)</f>
        <v>4374</v>
      </c>
      <c r="V993" s="24">
        <f>VLOOKUP(H993, IMPOSTO!$A:$D, 4, 0)</f>
        <v>0.12</v>
      </c>
      <c r="W993" s="24">
        <f>VLOOKUP(I993, IMPOSTO!$A:$D, 4, 0)</f>
        <v>0.12</v>
      </c>
      <c r="X993" s="24">
        <f>VLOOKUP(J993, IMPOSTO!$A:$D, 4, 0)</f>
        <v>7.0000000000000007E-2</v>
      </c>
      <c r="Y993" s="24">
        <f>VLOOKUP(K993, IMPOSTO!$A:$D, 4, 0)</f>
        <v>0.12</v>
      </c>
      <c r="Z993" s="24">
        <f>VLOOKUP(L993, IMPOSTO!$A:$D, 4, 0)</f>
        <v>0.18</v>
      </c>
      <c r="AA993" s="24">
        <f>VLOOKUP(M993, IMPOSTO!$A:$D, 4, 0)</f>
        <v>0.12</v>
      </c>
      <c r="AB993" s="24">
        <f>VLOOKUP(N993, IMPOSTO!$A:$D, 4, 0)</f>
        <v>7.0000000000000007E-2</v>
      </c>
      <c r="AC993" s="25">
        <f t="shared" si="145"/>
        <v>19858.683290071385</v>
      </c>
      <c r="AD993" s="25">
        <f t="shared" si="146"/>
        <v>19859.251471889569</v>
      </c>
      <c r="AE993" s="25">
        <f t="shared" si="147"/>
        <v>18800.90461856217</v>
      </c>
      <c r="AF993" s="25">
        <f t="shared" si="148"/>
        <v>19939.933290071385</v>
      </c>
      <c r="AG993" s="25">
        <f t="shared" si="149"/>
        <v>21259.440603979045</v>
      </c>
      <c r="AH993" s="25">
        <f t="shared" si="150"/>
        <v>19906.751471889565</v>
      </c>
      <c r="AI993" s="25">
        <f t="shared" si="151"/>
        <v>19215.205693830991</v>
      </c>
    </row>
    <row r="994" spans="1:35" ht="15.75" customHeight="1">
      <c r="A994" s="12" t="s">
        <v>434</v>
      </c>
      <c r="B994" s="12" t="s">
        <v>435</v>
      </c>
      <c r="C994" s="12" t="s">
        <v>220</v>
      </c>
      <c r="D994" s="12" t="s">
        <v>33</v>
      </c>
      <c r="E994" s="12" t="s">
        <v>27</v>
      </c>
      <c r="F994" s="13">
        <v>120.49837767683323</v>
      </c>
      <c r="G994" s="14">
        <v>5205.3692511356267</v>
      </c>
      <c r="H994" s="24" t="str">
        <f t="shared" si="144"/>
        <v>RJSP</v>
      </c>
      <c r="I994" s="24" t="str">
        <f t="shared" si="143"/>
        <v>RJMG</v>
      </c>
      <c r="J994" s="24" t="str">
        <f t="shared" si="143"/>
        <v>RJES</v>
      </c>
      <c r="K994" s="24" t="str">
        <f t="shared" si="143"/>
        <v>RJSC</v>
      </c>
      <c r="L994" s="24" t="str">
        <f t="shared" si="143"/>
        <v>RJRJ</v>
      </c>
      <c r="M994" s="24" t="str">
        <f t="shared" si="143"/>
        <v>RJPR</v>
      </c>
      <c r="N994" s="24" t="str">
        <f t="shared" si="143"/>
        <v>RJAM</v>
      </c>
      <c r="O994" s="24">
        <f>VLOOKUP(H994, KM!$A:$E, 5, 0)</f>
        <v>429</v>
      </c>
      <c r="P994" s="24">
        <f>VLOOKUP(I994, KM!$A:$E, 5, 0)</f>
        <v>434</v>
      </c>
      <c r="Q994" s="24">
        <f>VLOOKUP(J994, KM!$A:$E, 5, 0)</f>
        <v>521</v>
      </c>
      <c r="R994" s="24">
        <f>VLOOKUP(K994, KM!$A:$E, 5, 0)</f>
        <v>1144</v>
      </c>
      <c r="S994" s="24">
        <f>VLOOKUP(L994, KM!$A:$E, 5, 0)</f>
        <v>0</v>
      </c>
      <c r="T994" s="24">
        <f>VLOOKUP(M994, KM!$A:$E, 5, 0)</f>
        <v>852</v>
      </c>
      <c r="U994" s="24">
        <f>VLOOKUP(N994, KM!$A:$E, 5, 0)</f>
        <v>4374</v>
      </c>
      <c r="V994" s="24">
        <f>VLOOKUP(H994, IMPOSTO!$A:$D, 4, 0)</f>
        <v>0.12</v>
      </c>
      <c r="W994" s="24">
        <f>VLOOKUP(I994, IMPOSTO!$A:$D, 4, 0)</f>
        <v>0.12</v>
      </c>
      <c r="X994" s="24">
        <f>VLOOKUP(J994, IMPOSTO!$A:$D, 4, 0)</f>
        <v>7.0000000000000007E-2</v>
      </c>
      <c r="Y994" s="24">
        <f>VLOOKUP(K994, IMPOSTO!$A:$D, 4, 0)</f>
        <v>0.12</v>
      </c>
      <c r="Z994" s="24">
        <f>VLOOKUP(L994, IMPOSTO!$A:$D, 4, 0)</f>
        <v>0.18</v>
      </c>
      <c r="AA994" s="24">
        <f>VLOOKUP(M994, IMPOSTO!$A:$D, 4, 0)</f>
        <v>0.12</v>
      </c>
      <c r="AB994" s="24">
        <f>VLOOKUP(N994, IMPOSTO!$A:$D, 4, 0)</f>
        <v>7.0000000000000007E-2</v>
      </c>
      <c r="AC994" s="25">
        <f t="shared" si="145"/>
        <v>5963.9423308359392</v>
      </c>
      <c r="AD994" s="25">
        <f t="shared" si="146"/>
        <v>5964.5105126541212</v>
      </c>
      <c r="AE994" s="25">
        <f t="shared" si="147"/>
        <v>5653.1927431565882</v>
      </c>
      <c r="AF994" s="25">
        <f t="shared" si="148"/>
        <v>6045.1923308359392</v>
      </c>
      <c r="AG994" s="25">
        <f t="shared" si="149"/>
        <v>6348.0112818727148</v>
      </c>
      <c r="AH994" s="25">
        <f t="shared" si="150"/>
        <v>6012.0105126541212</v>
      </c>
      <c r="AI994" s="25">
        <f t="shared" si="151"/>
        <v>6067.4938184254052</v>
      </c>
    </row>
    <row r="995" spans="1:35" ht="15.75" customHeight="1">
      <c r="A995" s="12" t="s">
        <v>726</v>
      </c>
      <c r="B995" s="12" t="s">
        <v>727</v>
      </c>
      <c r="C995" s="12" t="s">
        <v>192</v>
      </c>
      <c r="D995" s="12" t="s">
        <v>33</v>
      </c>
      <c r="E995" s="12" t="s">
        <v>27</v>
      </c>
      <c r="F995" s="13">
        <v>2285.9999999999991</v>
      </c>
      <c r="G995" s="14">
        <v>62154.083523985246</v>
      </c>
      <c r="H995" s="24" t="str">
        <f t="shared" si="144"/>
        <v>RJSP</v>
      </c>
      <c r="I995" s="24" t="str">
        <f t="shared" si="143"/>
        <v>RJMG</v>
      </c>
      <c r="J995" s="24" t="str">
        <f t="shared" si="143"/>
        <v>RJES</v>
      </c>
      <c r="K995" s="24" t="str">
        <f t="shared" si="143"/>
        <v>RJSC</v>
      </c>
      <c r="L995" s="24" t="str">
        <f t="shared" si="143"/>
        <v>RJRJ</v>
      </c>
      <c r="M995" s="24" t="str">
        <f t="shared" si="143"/>
        <v>RJPR</v>
      </c>
      <c r="N995" s="24" t="str">
        <f t="shared" si="143"/>
        <v>RJAM</v>
      </c>
      <c r="O995" s="24">
        <f>VLOOKUP(H995, KM!$A:$E, 5, 0)</f>
        <v>429</v>
      </c>
      <c r="P995" s="24">
        <f>VLOOKUP(I995, KM!$A:$E, 5, 0)</f>
        <v>434</v>
      </c>
      <c r="Q995" s="24">
        <f>VLOOKUP(J995, KM!$A:$E, 5, 0)</f>
        <v>521</v>
      </c>
      <c r="R995" s="24">
        <f>VLOOKUP(K995, KM!$A:$E, 5, 0)</f>
        <v>1144</v>
      </c>
      <c r="S995" s="24">
        <f>VLOOKUP(L995, KM!$A:$E, 5, 0)</f>
        <v>0</v>
      </c>
      <c r="T995" s="24">
        <f>VLOOKUP(M995, KM!$A:$E, 5, 0)</f>
        <v>852</v>
      </c>
      <c r="U995" s="24">
        <f>VLOOKUP(N995, KM!$A:$E, 5, 0)</f>
        <v>4374</v>
      </c>
      <c r="V995" s="24">
        <f>VLOOKUP(H995, IMPOSTO!$A:$D, 4, 0)</f>
        <v>0.12</v>
      </c>
      <c r="W995" s="24">
        <f>VLOOKUP(I995, IMPOSTO!$A:$D, 4, 0)</f>
        <v>0.12</v>
      </c>
      <c r="X995" s="24">
        <f>VLOOKUP(J995, IMPOSTO!$A:$D, 4, 0)</f>
        <v>7.0000000000000007E-2</v>
      </c>
      <c r="Y995" s="24">
        <f>VLOOKUP(K995, IMPOSTO!$A:$D, 4, 0)</f>
        <v>0.12</v>
      </c>
      <c r="Z995" s="24">
        <f>VLOOKUP(L995, IMPOSTO!$A:$D, 4, 0)</f>
        <v>0.18</v>
      </c>
      <c r="AA995" s="24">
        <f>VLOOKUP(M995, IMPOSTO!$A:$D, 4, 0)</f>
        <v>0.12</v>
      </c>
      <c r="AB995" s="24">
        <f>VLOOKUP(N995, IMPOSTO!$A:$D, 4, 0)</f>
        <v>7.0000000000000007E-2</v>
      </c>
      <c r="AC995" s="25">
        <f t="shared" si="145"/>
        <v>70678.390368165055</v>
      </c>
      <c r="AD995" s="25">
        <f t="shared" si="146"/>
        <v>70678.958549983232</v>
      </c>
      <c r="AE995" s="25">
        <f t="shared" si="147"/>
        <v>66888.369380629301</v>
      </c>
      <c r="AF995" s="25">
        <f t="shared" si="148"/>
        <v>70759.640368165055</v>
      </c>
      <c r="AG995" s="25">
        <f t="shared" si="149"/>
        <v>75797.662834128336</v>
      </c>
      <c r="AH995" s="25">
        <f t="shared" si="150"/>
        <v>70726.458549983232</v>
      </c>
      <c r="AI995" s="25">
        <f t="shared" si="151"/>
        <v>67302.670455898115</v>
      </c>
    </row>
    <row r="996" spans="1:35" ht="15.75" customHeight="1">
      <c r="A996" s="12" t="s">
        <v>438</v>
      </c>
      <c r="B996" s="12" t="s">
        <v>439</v>
      </c>
      <c r="C996" s="12" t="s">
        <v>333</v>
      </c>
      <c r="D996" s="12" t="s">
        <v>50</v>
      </c>
      <c r="E996" s="12" t="s">
        <v>27</v>
      </c>
      <c r="F996" s="13">
        <v>8387.0706476030282</v>
      </c>
      <c r="G996" s="14">
        <v>29874.377093776282</v>
      </c>
      <c r="H996" s="24" t="str">
        <f t="shared" si="144"/>
        <v>RJSP</v>
      </c>
      <c r="I996" s="24" t="str">
        <f t="shared" si="143"/>
        <v>RJMG</v>
      </c>
      <c r="J996" s="24" t="str">
        <f t="shared" si="143"/>
        <v>RJES</v>
      </c>
      <c r="K996" s="24" t="str">
        <f t="shared" si="143"/>
        <v>RJSC</v>
      </c>
      <c r="L996" s="24" t="str">
        <f t="shared" si="143"/>
        <v>RJRJ</v>
      </c>
      <c r="M996" s="24" t="str">
        <f t="shared" si="143"/>
        <v>RJPR</v>
      </c>
      <c r="N996" s="24" t="str">
        <f t="shared" si="143"/>
        <v>RJAM</v>
      </c>
      <c r="O996" s="24">
        <f>VLOOKUP(H996, KM!$A:$E, 5, 0)</f>
        <v>429</v>
      </c>
      <c r="P996" s="24">
        <f>VLOOKUP(I996, KM!$A:$E, 5, 0)</f>
        <v>434</v>
      </c>
      <c r="Q996" s="24">
        <f>VLOOKUP(J996, KM!$A:$E, 5, 0)</f>
        <v>521</v>
      </c>
      <c r="R996" s="24">
        <f>VLOOKUP(K996, KM!$A:$E, 5, 0)</f>
        <v>1144</v>
      </c>
      <c r="S996" s="24">
        <f>VLOOKUP(L996, KM!$A:$E, 5, 0)</f>
        <v>0</v>
      </c>
      <c r="T996" s="24">
        <f>VLOOKUP(M996, KM!$A:$E, 5, 0)</f>
        <v>852</v>
      </c>
      <c r="U996" s="24">
        <f>VLOOKUP(N996, KM!$A:$E, 5, 0)</f>
        <v>4374</v>
      </c>
      <c r="V996" s="24">
        <f>VLOOKUP(H996, IMPOSTO!$A:$D, 4, 0)</f>
        <v>0.12</v>
      </c>
      <c r="W996" s="24">
        <f>VLOOKUP(I996, IMPOSTO!$A:$D, 4, 0)</f>
        <v>0.12</v>
      </c>
      <c r="X996" s="24">
        <f>VLOOKUP(J996, IMPOSTO!$A:$D, 4, 0)</f>
        <v>7.0000000000000007E-2</v>
      </c>
      <c r="Y996" s="24">
        <f>VLOOKUP(K996, IMPOSTO!$A:$D, 4, 0)</f>
        <v>0.12</v>
      </c>
      <c r="Z996" s="24">
        <f>VLOOKUP(L996, IMPOSTO!$A:$D, 4, 0)</f>
        <v>0.18</v>
      </c>
      <c r="AA996" s="24">
        <f>VLOOKUP(M996, IMPOSTO!$A:$D, 4, 0)</f>
        <v>0.12</v>
      </c>
      <c r="AB996" s="24">
        <f>VLOOKUP(N996, IMPOSTO!$A:$D, 4, 0)</f>
        <v>7.0000000000000007E-2</v>
      </c>
      <c r="AC996" s="25">
        <f t="shared" si="145"/>
        <v>33996.905788382137</v>
      </c>
      <c r="AD996" s="25">
        <f t="shared" si="146"/>
        <v>33997.473970200321</v>
      </c>
      <c r="AE996" s="25">
        <f t="shared" si="147"/>
        <v>32179.007627716433</v>
      </c>
      <c r="AF996" s="25">
        <f t="shared" si="148"/>
        <v>34078.155788382137</v>
      </c>
      <c r="AG996" s="25">
        <f t="shared" si="149"/>
        <v>36432.167187532046</v>
      </c>
      <c r="AH996" s="25">
        <f t="shared" si="150"/>
        <v>34044.973970200321</v>
      </c>
      <c r="AI996" s="25">
        <f t="shared" si="151"/>
        <v>32593.308702985254</v>
      </c>
    </row>
    <row r="997" spans="1:35" ht="15.75" customHeight="1">
      <c r="A997" s="12" t="s">
        <v>687</v>
      </c>
      <c r="B997" s="12" t="s">
        <v>688</v>
      </c>
      <c r="C997" s="12" t="s">
        <v>689</v>
      </c>
      <c r="D997" s="12" t="s">
        <v>50</v>
      </c>
      <c r="E997" s="12" t="s">
        <v>27</v>
      </c>
      <c r="F997" s="13">
        <v>548.94980905619207</v>
      </c>
      <c r="G997" s="14">
        <v>8828.7997026732137</v>
      </c>
      <c r="H997" s="24" t="str">
        <f t="shared" si="144"/>
        <v>RJSP</v>
      </c>
      <c r="I997" s="24" t="str">
        <f t="shared" si="143"/>
        <v>RJMG</v>
      </c>
      <c r="J997" s="24" t="str">
        <f t="shared" si="143"/>
        <v>RJES</v>
      </c>
      <c r="K997" s="24" t="str">
        <f t="shared" si="143"/>
        <v>RJSC</v>
      </c>
      <c r="L997" s="24" t="str">
        <f t="shared" si="143"/>
        <v>RJRJ</v>
      </c>
      <c r="M997" s="24" t="str">
        <f t="shared" si="143"/>
        <v>RJPR</v>
      </c>
      <c r="N997" s="24" t="str">
        <f t="shared" si="143"/>
        <v>RJAM</v>
      </c>
      <c r="O997" s="24">
        <f>VLOOKUP(H997, KM!$A:$E, 5, 0)</f>
        <v>429</v>
      </c>
      <c r="P997" s="24">
        <f>VLOOKUP(I997, KM!$A:$E, 5, 0)</f>
        <v>434</v>
      </c>
      <c r="Q997" s="24">
        <f>VLOOKUP(J997, KM!$A:$E, 5, 0)</f>
        <v>521</v>
      </c>
      <c r="R997" s="24">
        <f>VLOOKUP(K997, KM!$A:$E, 5, 0)</f>
        <v>1144</v>
      </c>
      <c r="S997" s="24">
        <f>VLOOKUP(L997, KM!$A:$E, 5, 0)</f>
        <v>0</v>
      </c>
      <c r="T997" s="24">
        <f>VLOOKUP(M997, KM!$A:$E, 5, 0)</f>
        <v>852</v>
      </c>
      <c r="U997" s="24">
        <f>VLOOKUP(N997, KM!$A:$E, 5, 0)</f>
        <v>4374</v>
      </c>
      <c r="V997" s="24">
        <f>VLOOKUP(H997, IMPOSTO!$A:$D, 4, 0)</f>
        <v>0.12</v>
      </c>
      <c r="W997" s="24">
        <f>VLOOKUP(I997, IMPOSTO!$A:$D, 4, 0)</f>
        <v>0.12</v>
      </c>
      <c r="X997" s="24">
        <f>VLOOKUP(J997, IMPOSTO!$A:$D, 4, 0)</f>
        <v>7.0000000000000007E-2</v>
      </c>
      <c r="Y997" s="24">
        <f>VLOOKUP(K997, IMPOSTO!$A:$D, 4, 0)</f>
        <v>0.12</v>
      </c>
      <c r="Z997" s="24">
        <f>VLOOKUP(L997, IMPOSTO!$A:$D, 4, 0)</f>
        <v>0.18</v>
      </c>
      <c r="AA997" s="24">
        <f>VLOOKUP(M997, IMPOSTO!$A:$D, 4, 0)</f>
        <v>0.12</v>
      </c>
      <c r="AB997" s="24">
        <f>VLOOKUP(N997, IMPOSTO!$A:$D, 4, 0)</f>
        <v>7.0000000000000007E-2</v>
      </c>
      <c r="AC997" s="25">
        <f t="shared" si="145"/>
        <v>10081.476934855924</v>
      </c>
      <c r="AD997" s="25">
        <f t="shared" si="146"/>
        <v>10082.045116674106</v>
      </c>
      <c r="AE997" s="25">
        <f t="shared" si="147"/>
        <v>9549.3545190034565</v>
      </c>
      <c r="AF997" s="25">
        <f t="shared" si="148"/>
        <v>10162.726934855924</v>
      </c>
      <c r="AG997" s="25">
        <f t="shared" si="149"/>
        <v>10766.82890569904</v>
      </c>
      <c r="AH997" s="25">
        <f t="shared" si="150"/>
        <v>10129.545116674108</v>
      </c>
      <c r="AI997" s="25">
        <f t="shared" si="151"/>
        <v>9963.6555942722734</v>
      </c>
    </row>
    <row r="998" spans="1:35" ht="15.75" customHeight="1">
      <c r="A998" s="12" t="s">
        <v>440</v>
      </c>
      <c r="B998" s="12" t="s">
        <v>441</v>
      </c>
      <c r="C998" s="12" t="s">
        <v>442</v>
      </c>
      <c r="D998" s="12" t="s">
        <v>33</v>
      </c>
      <c r="E998" s="12" t="s">
        <v>27</v>
      </c>
      <c r="F998" s="13">
        <v>160.31888720666163</v>
      </c>
      <c r="G998" s="14">
        <v>2016.5550908402722</v>
      </c>
      <c r="H998" s="24" t="str">
        <f t="shared" si="144"/>
        <v>RJSP</v>
      </c>
      <c r="I998" s="24" t="str">
        <f t="shared" si="143"/>
        <v>RJMG</v>
      </c>
      <c r="J998" s="24" t="str">
        <f t="shared" si="143"/>
        <v>RJES</v>
      </c>
      <c r="K998" s="24" t="str">
        <f t="shared" si="143"/>
        <v>RJSC</v>
      </c>
      <c r="L998" s="24" t="str">
        <f t="shared" si="143"/>
        <v>RJRJ</v>
      </c>
      <c r="M998" s="24" t="str">
        <f t="shared" si="143"/>
        <v>RJPR</v>
      </c>
      <c r="N998" s="24" t="str">
        <f t="shared" si="143"/>
        <v>RJAM</v>
      </c>
      <c r="O998" s="24">
        <f>VLOOKUP(H998, KM!$A:$E, 5, 0)</f>
        <v>429</v>
      </c>
      <c r="P998" s="24">
        <f>VLOOKUP(I998, KM!$A:$E, 5, 0)</f>
        <v>434</v>
      </c>
      <c r="Q998" s="24">
        <f>VLOOKUP(J998, KM!$A:$E, 5, 0)</f>
        <v>521</v>
      </c>
      <c r="R998" s="24">
        <f>VLOOKUP(K998, KM!$A:$E, 5, 0)</f>
        <v>1144</v>
      </c>
      <c r="S998" s="24">
        <f>VLOOKUP(L998, KM!$A:$E, 5, 0)</f>
        <v>0</v>
      </c>
      <c r="T998" s="24">
        <f>VLOOKUP(M998, KM!$A:$E, 5, 0)</f>
        <v>852</v>
      </c>
      <c r="U998" s="24">
        <f>VLOOKUP(N998, KM!$A:$E, 5, 0)</f>
        <v>4374</v>
      </c>
      <c r="V998" s="24">
        <f>VLOOKUP(H998, IMPOSTO!$A:$D, 4, 0)</f>
        <v>0.12</v>
      </c>
      <c r="W998" s="24">
        <f>VLOOKUP(I998, IMPOSTO!$A:$D, 4, 0)</f>
        <v>0.12</v>
      </c>
      <c r="X998" s="24">
        <f>VLOOKUP(J998, IMPOSTO!$A:$D, 4, 0)</f>
        <v>7.0000000000000007E-2</v>
      </c>
      <c r="Y998" s="24">
        <f>VLOOKUP(K998, IMPOSTO!$A:$D, 4, 0)</f>
        <v>0.12</v>
      </c>
      <c r="Z998" s="24">
        <f>VLOOKUP(L998, IMPOSTO!$A:$D, 4, 0)</f>
        <v>0.18</v>
      </c>
      <c r="AA998" s="24">
        <f>VLOOKUP(M998, IMPOSTO!$A:$D, 4, 0)</f>
        <v>0.12</v>
      </c>
      <c r="AB998" s="24">
        <f>VLOOKUP(N998, IMPOSTO!$A:$D, 4, 0)</f>
        <v>7.0000000000000007E-2</v>
      </c>
      <c r="AC998" s="25">
        <f t="shared" si="145"/>
        <v>2340.2898759548548</v>
      </c>
      <c r="AD998" s="25">
        <f t="shared" si="146"/>
        <v>2340.8580577730363</v>
      </c>
      <c r="AE998" s="25">
        <f t="shared" si="147"/>
        <v>2224.3603127314759</v>
      </c>
      <c r="AF998" s="25">
        <f t="shared" si="148"/>
        <v>2421.5398759548548</v>
      </c>
      <c r="AG998" s="25">
        <f t="shared" si="149"/>
        <v>2459.2135254149657</v>
      </c>
      <c r="AH998" s="25">
        <f t="shared" si="150"/>
        <v>2388.3580577730368</v>
      </c>
      <c r="AI998" s="25">
        <f t="shared" si="151"/>
        <v>2638.6613880002928</v>
      </c>
    </row>
    <row r="999" spans="1:35" ht="15.75" customHeight="1">
      <c r="A999" s="12" t="s">
        <v>728</v>
      </c>
      <c r="B999" s="12" t="s">
        <v>729</v>
      </c>
      <c r="C999" s="12" t="s">
        <v>160</v>
      </c>
      <c r="D999" s="12" t="s">
        <v>33</v>
      </c>
      <c r="E999" s="12" t="s">
        <v>27</v>
      </c>
      <c r="F999" s="13">
        <v>2187.0000000000005</v>
      </c>
      <c r="G999" s="14">
        <v>129032.85759069765</v>
      </c>
      <c r="H999" s="24" t="str">
        <f t="shared" si="144"/>
        <v>RJSP</v>
      </c>
      <c r="I999" s="24" t="str">
        <f t="shared" si="143"/>
        <v>RJMG</v>
      </c>
      <c r="J999" s="24" t="str">
        <f t="shared" si="143"/>
        <v>RJES</v>
      </c>
      <c r="K999" s="24" t="str">
        <f t="shared" si="143"/>
        <v>RJSC</v>
      </c>
      <c r="L999" s="24" t="str">
        <f t="shared" si="143"/>
        <v>RJRJ</v>
      </c>
      <c r="M999" s="24" t="str">
        <f t="shared" si="143"/>
        <v>RJPR</v>
      </c>
      <c r="N999" s="24" t="str">
        <f t="shared" si="143"/>
        <v>RJAM</v>
      </c>
      <c r="O999" s="24">
        <f>VLOOKUP(H999, KM!$A:$E, 5, 0)</f>
        <v>429</v>
      </c>
      <c r="P999" s="24">
        <f>VLOOKUP(I999, KM!$A:$E, 5, 0)</f>
        <v>434</v>
      </c>
      <c r="Q999" s="24">
        <f>VLOOKUP(J999, KM!$A:$E, 5, 0)</f>
        <v>521</v>
      </c>
      <c r="R999" s="24">
        <f>VLOOKUP(K999, KM!$A:$E, 5, 0)</f>
        <v>1144</v>
      </c>
      <c r="S999" s="24">
        <f>VLOOKUP(L999, KM!$A:$E, 5, 0)</f>
        <v>0</v>
      </c>
      <c r="T999" s="24">
        <f>VLOOKUP(M999, KM!$A:$E, 5, 0)</f>
        <v>852</v>
      </c>
      <c r="U999" s="24">
        <f>VLOOKUP(N999, KM!$A:$E, 5, 0)</f>
        <v>4374</v>
      </c>
      <c r="V999" s="24">
        <f>VLOOKUP(H999, IMPOSTO!$A:$D, 4, 0)</f>
        <v>0.12</v>
      </c>
      <c r="W999" s="24">
        <f>VLOOKUP(I999, IMPOSTO!$A:$D, 4, 0)</f>
        <v>0.12</v>
      </c>
      <c r="X999" s="24">
        <f>VLOOKUP(J999, IMPOSTO!$A:$D, 4, 0)</f>
        <v>7.0000000000000007E-2</v>
      </c>
      <c r="Y999" s="24">
        <f>VLOOKUP(K999, IMPOSTO!$A:$D, 4, 0)</f>
        <v>0.12</v>
      </c>
      <c r="Z999" s="24">
        <f>VLOOKUP(L999, IMPOSTO!$A:$D, 4, 0)</f>
        <v>0.18</v>
      </c>
      <c r="AA999" s="24">
        <f>VLOOKUP(M999, IMPOSTO!$A:$D, 4, 0)</f>
        <v>0.12</v>
      </c>
      <c r="AB999" s="24">
        <f>VLOOKUP(N999, IMPOSTO!$A:$D, 4, 0)</f>
        <v>7.0000000000000007E-2</v>
      </c>
      <c r="AC999" s="25">
        <f t="shared" si="145"/>
        <v>146676.99726215642</v>
      </c>
      <c r="AD999" s="25">
        <f t="shared" si="146"/>
        <v>146677.5654439746</v>
      </c>
      <c r="AE999" s="25">
        <f t="shared" si="147"/>
        <v>138801.02966741685</v>
      </c>
      <c r="AF999" s="25">
        <f t="shared" si="148"/>
        <v>146758.24726215642</v>
      </c>
      <c r="AG999" s="25">
        <f t="shared" si="149"/>
        <v>157357.14340328981</v>
      </c>
      <c r="AH999" s="25">
        <f t="shared" si="150"/>
        <v>146725.0654439746</v>
      </c>
      <c r="AI999" s="25">
        <f t="shared" si="151"/>
        <v>139215.33074268565</v>
      </c>
    </row>
    <row r="1000" spans="1:35" ht="15.75" customHeight="1">
      <c r="A1000" s="12" t="s">
        <v>730</v>
      </c>
      <c r="B1000" s="12" t="s">
        <v>731</v>
      </c>
      <c r="C1000" s="12" t="s">
        <v>160</v>
      </c>
      <c r="D1000" s="12" t="s">
        <v>33</v>
      </c>
      <c r="E1000" s="12" t="s">
        <v>27</v>
      </c>
      <c r="F1000" s="13">
        <v>35</v>
      </c>
      <c r="G1000" s="14">
        <v>206.43</v>
      </c>
      <c r="H1000" s="24" t="str">
        <f t="shared" si="144"/>
        <v>RJSP</v>
      </c>
      <c r="I1000" s="24" t="str">
        <f t="shared" si="143"/>
        <v>RJMG</v>
      </c>
      <c r="J1000" s="24" t="str">
        <f t="shared" si="143"/>
        <v>RJES</v>
      </c>
      <c r="K1000" s="24" t="str">
        <f t="shared" si="143"/>
        <v>RJSC</v>
      </c>
      <c r="L1000" s="24" t="str">
        <f t="shared" si="143"/>
        <v>RJRJ</v>
      </c>
      <c r="M1000" s="24" t="str">
        <f t="shared" si="143"/>
        <v>RJPR</v>
      </c>
      <c r="N1000" s="24" t="str">
        <f t="shared" si="143"/>
        <v>RJAM</v>
      </c>
      <c r="O1000" s="24">
        <f>VLOOKUP(H1000, KM!$A:$E, 5, 0)</f>
        <v>429</v>
      </c>
      <c r="P1000" s="24">
        <f>VLOOKUP(I1000, KM!$A:$E, 5, 0)</f>
        <v>434</v>
      </c>
      <c r="Q1000" s="24">
        <f>VLOOKUP(J1000, KM!$A:$E, 5, 0)</f>
        <v>521</v>
      </c>
      <c r="R1000" s="24">
        <f>VLOOKUP(K1000, KM!$A:$E, 5, 0)</f>
        <v>1144</v>
      </c>
      <c r="S1000" s="24">
        <f>VLOOKUP(L1000, KM!$A:$E, 5, 0)</f>
        <v>0</v>
      </c>
      <c r="T1000" s="24">
        <f>VLOOKUP(M1000, KM!$A:$E, 5, 0)</f>
        <v>852</v>
      </c>
      <c r="U1000" s="24">
        <f>VLOOKUP(N1000, KM!$A:$E, 5, 0)</f>
        <v>4374</v>
      </c>
      <c r="V1000" s="24">
        <f>VLOOKUP(H1000, IMPOSTO!$A:$D, 4, 0)</f>
        <v>0.12</v>
      </c>
      <c r="W1000" s="24">
        <f>VLOOKUP(I1000, IMPOSTO!$A:$D, 4, 0)</f>
        <v>0.12</v>
      </c>
      <c r="X1000" s="24">
        <f>VLOOKUP(J1000, IMPOSTO!$A:$D, 4, 0)</f>
        <v>7.0000000000000007E-2</v>
      </c>
      <c r="Y1000" s="24">
        <f>VLOOKUP(K1000, IMPOSTO!$A:$D, 4, 0)</f>
        <v>0.12</v>
      </c>
      <c r="Z1000" s="24">
        <f>VLOOKUP(L1000, IMPOSTO!$A:$D, 4, 0)</f>
        <v>0.18</v>
      </c>
      <c r="AA1000" s="24">
        <f>VLOOKUP(M1000, IMPOSTO!$A:$D, 4, 0)</f>
        <v>0.12</v>
      </c>
      <c r="AB1000" s="24">
        <f>VLOOKUP(N1000, IMPOSTO!$A:$D, 4, 0)</f>
        <v>7.0000000000000007E-2</v>
      </c>
      <c r="AC1000" s="25">
        <f t="shared" si="145"/>
        <v>283.32954545454544</v>
      </c>
      <c r="AD1000" s="25">
        <f t="shared" si="146"/>
        <v>283.89772727272731</v>
      </c>
      <c r="AE1000" s="25">
        <f t="shared" si="147"/>
        <v>277.98924731182802</v>
      </c>
      <c r="AF1000" s="25">
        <f t="shared" si="148"/>
        <v>364.5795454545455</v>
      </c>
      <c r="AG1000" s="25">
        <f t="shared" si="149"/>
        <v>251.74390243902437</v>
      </c>
      <c r="AH1000" s="25">
        <f t="shared" si="150"/>
        <v>331.39772727272725</v>
      </c>
      <c r="AI1000" s="25">
        <f t="shared" si="151"/>
        <v>692.29032258064524</v>
      </c>
    </row>
    <row r="1001" spans="1:35" ht="15.75" customHeight="1">
      <c r="A1001" s="12" t="s">
        <v>479</v>
      </c>
      <c r="B1001" s="12" t="s">
        <v>480</v>
      </c>
      <c r="C1001" s="12" t="s">
        <v>57</v>
      </c>
      <c r="D1001" s="12" t="s">
        <v>33</v>
      </c>
      <c r="E1001" s="12" t="s">
        <v>27</v>
      </c>
      <c r="F1001" s="13">
        <v>30457.071400000008</v>
      </c>
      <c r="G1001" s="14">
        <v>1238579.2531200824</v>
      </c>
      <c r="H1001" s="24" t="str">
        <f t="shared" si="144"/>
        <v>RJSP</v>
      </c>
      <c r="I1001" s="24" t="str">
        <f t="shared" si="143"/>
        <v>RJMG</v>
      </c>
      <c r="J1001" s="24" t="str">
        <f t="shared" si="143"/>
        <v>RJES</v>
      </c>
      <c r="K1001" s="24" t="str">
        <f t="shared" si="143"/>
        <v>RJSC</v>
      </c>
      <c r="L1001" s="24" t="str">
        <f t="shared" si="143"/>
        <v>RJRJ</v>
      </c>
      <c r="M1001" s="24" t="str">
        <f t="shared" si="143"/>
        <v>RJPR</v>
      </c>
      <c r="N1001" s="24" t="str">
        <f t="shared" si="143"/>
        <v>RJAM</v>
      </c>
      <c r="O1001" s="24">
        <f>VLOOKUP(H1001, KM!$A:$E, 5, 0)</f>
        <v>429</v>
      </c>
      <c r="P1001" s="24">
        <f>VLOOKUP(I1001, KM!$A:$E, 5, 0)</f>
        <v>434</v>
      </c>
      <c r="Q1001" s="24">
        <f>VLOOKUP(J1001, KM!$A:$E, 5, 0)</f>
        <v>521</v>
      </c>
      <c r="R1001" s="24">
        <f>VLOOKUP(K1001, KM!$A:$E, 5, 0)</f>
        <v>1144</v>
      </c>
      <c r="S1001" s="24">
        <f>VLOOKUP(L1001, KM!$A:$E, 5, 0)</f>
        <v>0</v>
      </c>
      <c r="T1001" s="24">
        <f>VLOOKUP(M1001, KM!$A:$E, 5, 0)</f>
        <v>852</v>
      </c>
      <c r="U1001" s="24">
        <f>VLOOKUP(N1001, KM!$A:$E, 5, 0)</f>
        <v>4374</v>
      </c>
      <c r="V1001" s="24">
        <f>VLOOKUP(H1001, IMPOSTO!$A:$D, 4, 0)</f>
        <v>0.12</v>
      </c>
      <c r="W1001" s="24">
        <f>VLOOKUP(I1001, IMPOSTO!$A:$D, 4, 0)</f>
        <v>0.12</v>
      </c>
      <c r="X1001" s="24">
        <f>VLOOKUP(J1001, IMPOSTO!$A:$D, 4, 0)</f>
        <v>7.0000000000000007E-2</v>
      </c>
      <c r="Y1001" s="24">
        <f>VLOOKUP(K1001, IMPOSTO!$A:$D, 4, 0)</f>
        <v>0.12</v>
      </c>
      <c r="Z1001" s="24">
        <f>VLOOKUP(L1001, IMPOSTO!$A:$D, 4, 0)</f>
        <v>0.18</v>
      </c>
      <c r="AA1001" s="24">
        <f>VLOOKUP(M1001, IMPOSTO!$A:$D, 4, 0)</f>
        <v>0.12</v>
      </c>
      <c r="AB1001" s="24">
        <f>VLOOKUP(N1001, IMPOSTO!$A:$D, 4, 0)</f>
        <v>7.0000000000000007E-2</v>
      </c>
      <c r="AC1001" s="25">
        <f t="shared" si="145"/>
        <v>1407525.1740000935</v>
      </c>
      <c r="AD1001" s="25">
        <f t="shared" si="146"/>
        <v>1407525.7421819118</v>
      </c>
      <c r="AE1001" s="25">
        <f t="shared" si="147"/>
        <v>1331861.6700215943</v>
      </c>
      <c r="AF1001" s="25">
        <f t="shared" si="148"/>
        <v>1407606.4240000935</v>
      </c>
      <c r="AG1001" s="25">
        <f t="shared" si="149"/>
        <v>1510462.5038049784</v>
      </c>
      <c r="AH1001" s="25">
        <f t="shared" si="150"/>
        <v>1407573.2421819118</v>
      </c>
      <c r="AI1001" s="25">
        <f t="shared" si="151"/>
        <v>1332275.9710968628</v>
      </c>
    </row>
    <row r="1002" spans="1:35" ht="15.75" customHeight="1">
      <c r="A1002" s="12" t="s">
        <v>445</v>
      </c>
      <c r="B1002" s="12" t="s">
        <v>446</v>
      </c>
      <c r="C1002" s="12" t="s">
        <v>433</v>
      </c>
      <c r="D1002" s="12" t="s">
        <v>33</v>
      </c>
      <c r="E1002" s="12" t="s">
        <v>27</v>
      </c>
      <c r="F1002" s="13">
        <v>12.109839816933638</v>
      </c>
      <c r="G1002" s="14">
        <v>604.29109839816942</v>
      </c>
      <c r="H1002" s="24" t="str">
        <f t="shared" si="144"/>
        <v>RJSP</v>
      </c>
      <c r="I1002" s="24" t="str">
        <f t="shared" si="143"/>
        <v>RJMG</v>
      </c>
      <c r="J1002" s="24" t="str">
        <f t="shared" si="143"/>
        <v>RJES</v>
      </c>
      <c r="K1002" s="24" t="str">
        <f t="shared" si="143"/>
        <v>RJSC</v>
      </c>
      <c r="L1002" s="24" t="str">
        <f t="shared" si="143"/>
        <v>RJRJ</v>
      </c>
      <c r="M1002" s="24" t="str">
        <f t="shared" si="143"/>
        <v>RJPR</v>
      </c>
      <c r="N1002" s="24" t="str">
        <f t="shared" si="143"/>
        <v>RJAM</v>
      </c>
      <c r="O1002" s="24">
        <f>VLOOKUP(H1002, KM!$A:$E, 5, 0)</f>
        <v>429</v>
      </c>
      <c r="P1002" s="24">
        <f>VLOOKUP(I1002, KM!$A:$E, 5, 0)</f>
        <v>434</v>
      </c>
      <c r="Q1002" s="24">
        <f>VLOOKUP(J1002, KM!$A:$E, 5, 0)</f>
        <v>521</v>
      </c>
      <c r="R1002" s="24">
        <f>VLOOKUP(K1002, KM!$A:$E, 5, 0)</f>
        <v>1144</v>
      </c>
      <c r="S1002" s="24">
        <f>VLOOKUP(L1002, KM!$A:$E, 5, 0)</f>
        <v>0</v>
      </c>
      <c r="T1002" s="24">
        <f>VLOOKUP(M1002, KM!$A:$E, 5, 0)</f>
        <v>852</v>
      </c>
      <c r="U1002" s="24">
        <f>VLOOKUP(N1002, KM!$A:$E, 5, 0)</f>
        <v>4374</v>
      </c>
      <c r="V1002" s="24">
        <f>VLOOKUP(H1002, IMPOSTO!$A:$D, 4, 0)</f>
        <v>0.12</v>
      </c>
      <c r="W1002" s="24">
        <f>VLOOKUP(I1002, IMPOSTO!$A:$D, 4, 0)</f>
        <v>0.12</v>
      </c>
      <c r="X1002" s="24">
        <f>VLOOKUP(J1002, IMPOSTO!$A:$D, 4, 0)</f>
        <v>7.0000000000000007E-2</v>
      </c>
      <c r="Y1002" s="24">
        <f>VLOOKUP(K1002, IMPOSTO!$A:$D, 4, 0)</f>
        <v>0.12</v>
      </c>
      <c r="Z1002" s="24">
        <f>VLOOKUP(L1002, IMPOSTO!$A:$D, 4, 0)</f>
        <v>0.18</v>
      </c>
      <c r="AA1002" s="24">
        <f>VLOOKUP(M1002, IMPOSTO!$A:$D, 4, 0)</f>
        <v>0.12</v>
      </c>
      <c r="AB1002" s="24">
        <f>VLOOKUP(N1002, IMPOSTO!$A:$D, 4, 0)</f>
        <v>7.0000000000000007E-2</v>
      </c>
      <c r="AC1002" s="25">
        <f t="shared" si="145"/>
        <v>735.44442999791977</v>
      </c>
      <c r="AD1002" s="25">
        <f t="shared" si="146"/>
        <v>736.01261181610164</v>
      </c>
      <c r="AE1002" s="25">
        <f t="shared" si="147"/>
        <v>705.79687999803173</v>
      </c>
      <c r="AF1002" s="25">
        <f t="shared" si="148"/>
        <v>816.69442999791977</v>
      </c>
      <c r="AG1002" s="25">
        <f t="shared" si="149"/>
        <v>736.94036390020653</v>
      </c>
      <c r="AH1002" s="25">
        <f t="shared" si="150"/>
        <v>783.51261181610164</v>
      </c>
      <c r="AI1002" s="25">
        <f t="shared" si="151"/>
        <v>1120.0979552668491</v>
      </c>
    </row>
    <row r="1003" spans="1:35" ht="15.75" customHeight="1">
      <c r="A1003" s="12" t="s">
        <v>447</v>
      </c>
      <c r="B1003" s="12" t="s">
        <v>448</v>
      </c>
      <c r="C1003" s="12" t="s">
        <v>433</v>
      </c>
      <c r="D1003" s="12" t="s">
        <v>33</v>
      </c>
      <c r="E1003" s="12" t="s">
        <v>27</v>
      </c>
      <c r="F1003" s="13">
        <v>556.31144465290811</v>
      </c>
      <c r="G1003" s="14">
        <v>49092.64146341462</v>
      </c>
      <c r="H1003" s="24" t="str">
        <f t="shared" si="144"/>
        <v>RJSP</v>
      </c>
      <c r="I1003" s="24" t="str">
        <f t="shared" si="143"/>
        <v>RJMG</v>
      </c>
      <c r="J1003" s="24" t="str">
        <f t="shared" ref="I1003:N1066" si="152">$E1003 &amp; J$17</f>
        <v>RJES</v>
      </c>
      <c r="K1003" s="24" t="str">
        <f t="shared" si="152"/>
        <v>RJSC</v>
      </c>
      <c r="L1003" s="24" t="str">
        <f t="shared" si="152"/>
        <v>RJRJ</v>
      </c>
      <c r="M1003" s="24" t="str">
        <f t="shared" si="152"/>
        <v>RJPR</v>
      </c>
      <c r="N1003" s="24" t="str">
        <f t="shared" si="152"/>
        <v>RJAM</v>
      </c>
      <c r="O1003" s="24">
        <f>VLOOKUP(H1003, KM!$A:$E, 5, 0)</f>
        <v>429</v>
      </c>
      <c r="P1003" s="24">
        <f>VLOOKUP(I1003, KM!$A:$E, 5, 0)</f>
        <v>434</v>
      </c>
      <c r="Q1003" s="24">
        <f>VLOOKUP(J1003, KM!$A:$E, 5, 0)</f>
        <v>521</v>
      </c>
      <c r="R1003" s="24">
        <f>VLOOKUP(K1003, KM!$A:$E, 5, 0)</f>
        <v>1144</v>
      </c>
      <c r="S1003" s="24">
        <f>VLOOKUP(L1003, KM!$A:$E, 5, 0)</f>
        <v>0</v>
      </c>
      <c r="T1003" s="24">
        <f>VLOOKUP(M1003, KM!$A:$E, 5, 0)</f>
        <v>852</v>
      </c>
      <c r="U1003" s="24">
        <f>VLOOKUP(N1003, KM!$A:$E, 5, 0)</f>
        <v>4374</v>
      </c>
      <c r="V1003" s="24">
        <f>VLOOKUP(H1003, IMPOSTO!$A:$D, 4, 0)</f>
        <v>0.12</v>
      </c>
      <c r="W1003" s="24">
        <f>VLOOKUP(I1003, IMPOSTO!$A:$D, 4, 0)</f>
        <v>0.12</v>
      </c>
      <c r="X1003" s="24">
        <f>VLOOKUP(J1003, IMPOSTO!$A:$D, 4, 0)</f>
        <v>7.0000000000000007E-2</v>
      </c>
      <c r="Y1003" s="24">
        <f>VLOOKUP(K1003, IMPOSTO!$A:$D, 4, 0)</f>
        <v>0.12</v>
      </c>
      <c r="Z1003" s="24">
        <f>VLOOKUP(L1003, IMPOSTO!$A:$D, 4, 0)</f>
        <v>0.18</v>
      </c>
      <c r="AA1003" s="24">
        <f>VLOOKUP(M1003, IMPOSTO!$A:$D, 4, 0)</f>
        <v>0.12</v>
      </c>
      <c r="AB1003" s="24">
        <f>VLOOKUP(N1003, IMPOSTO!$A:$D, 4, 0)</f>
        <v>7.0000000000000007E-2</v>
      </c>
      <c r="AC1003" s="25">
        <f t="shared" si="145"/>
        <v>55835.842572062073</v>
      </c>
      <c r="AD1003" s="25">
        <f t="shared" si="146"/>
        <v>55836.410753880249</v>
      </c>
      <c r="AE1003" s="25">
        <f t="shared" si="147"/>
        <v>52843.808025177015</v>
      </c>
      <c r="AF1003" s="25">
        <f t="shared" si="148"/>
        <v>55917.092572062073</v>
      </c>
      <c r="AG1003" s="25">
        <f t="shared" si="149"/>
        <v>59869.074955383679</v>
      </c>
      <c r="AH1003" s="25">
        <f t="shared" si="150"/>
        <v>55883.910753880249</v>
      </c>
      <c r="AI1003" s="25">
        <f t="shared" si="151"/>
        <v>53258.109100445836</v>
      </c>
    </row>
    <row r="1004" spans="1:35" ht="15.75" customHeight="1">
      <c r="A1004" s="12" t="s">
        <v>663</v>
      </c>
      <c r="B1004" s="12" t="s">
        <v>664</v>
      </c>
      <c r="C1004" s="12" t="s">
        <v>333</v>
      </c>
      <c r="D1004" s="12" t="s">
        <v>33</v>
      </c>
      <c r="E1004" s="12" t="s">
        <v>27</v>
      </c>
      <c r="F1004" s="13">
        <v>5115.1639344262294</v>
      </c>
      <c r="G1004" s="14">
        <v>22840.473579234971</v>
      </c>
      <c r="H1004" s="24" t="str">
        <f t="shared" si="144"/>
        <v>RJSP</v>
      </c>
      <c r="I1004" s="24" t="str">
        <f t="shared" si="152"/>
        <v>RJMG</v>
      </c>
      <c r="J1004" s="24" t="str">
        <f t="shared" si="152"/>
        <v>RJES</v>
      </c>
      <c r="K1004" s="24" t="str">
        <f t="shared" si="152"/>
        <v>RJSC</v>
      </c>
      <c r="L1004" s="24" t="str">
        <f t="shared" si="152"/>
        <v>RJRJ</v>
      </c>
      <c r="M1004" s="24" t="str">
        <f t="shared" si="152"/>
        <v>RJPR</v>
      </c>
      <c r="N1004" s="24" t="str">
        <f t="shared" si="152"/>
        <v>RJAM</v>
      </c>
      <c r="O1004" s="24">
        <f>VLOOKUP(H1004, KM!$A:$E, 5, 0)</f>
        <v>429</v>
      </c>
      <c r="P1004" s="24">
        <f>VLOOKUP(I1004, KM!$A:$E, 5, 0)</f>
        <v>434</v>
      </c>
      <c r="Q1004" s="24">
        <f>VLOOKUP(J1004, KM!$A:$E, 5, 0)</f>
        <v>521</v>
      </c>
      <c r="R1004" s="24">
        <f>VLOOKUP(K1004, KM!$A:$E, 5, 0)</f>
        <v>1144</v>
      </c>
      <c r="S1004" s="24">
        <f>VLOOKUP(L1004, KM!$A:$E, 5, 0)</f>
        <v>0</v>
      </c>
      <c r="T1004" s="24">
        <f>VLOOKUP(M1004, KM!$A:$E, 5, 0)</f>
        <v>852</v>
      </c>
      <c r="U1004" s="24">
        <f>VLOOKUP(N1004, KM!$A:$E, 5, 0)</f>
        <v>4374</v>
      </c>
      <c r="V1004" s="24">
        <f>VLOOKUP(H1004, IMPOSTO!$A:$D, 4, 0)</f>
        <v>0.12</v>
      </c>
      <c r="W1004" s="24">
        <f>VLOOKUP(I1004, IMPOSTO!$A:$D, 4, 0)</f>
        <v>0.12</v>
      </c>
      <c r="X1004" s="24">
        <f>VLOOKUP(J1004, IMPOSTO!$A:$D, 4, 0)</f>
        <v>7.0000000000000007E-2</v>
      </c>
      <c r="Y1004" s="24">
        <f>VLOOKUP(K1004, IMPOSTO!$A:$D, 4, 0)</f>
        <v>0.12</v>
      </c>
      <c r="Z1004" s="24">
        <f>VLOOKUP(L1004, IMPOSTO!$A:$D, 4, 0)</f>
        <v>0.18</v>
      </c>
      <c r="AA1004" s="24">
        <f>VLOOKUP(M1004, IMPOSTO!$A:$D, 4, 0)</f>
        <v>0.12</v>
      </c>
      <c r="AB1004" s="24">
        <f>VLOOKUP(N1004, IMPOSTO!$A:$D, 4, 0)</f>
        <v>7.0000000000000007E-2</v>
      </c>
      <c r="AC1004" s="25">
        <f t="shared" si="145"/>
        <v>26003.833612767015</v>
      </c>
      <c r="AD1004" s="25">
        <f t="shared" si="146"/>
        <v>26004.401794585196</v>
      </c>
      <c r="AE1004" s="25">
        <f t="shared" si="147"/>
        <v>24615.670515306421</v>
      </c>
      <c r="AF1004" s="25">
        <f t="shared" si="148"/>
        <v>26085.083612767015</v>
      </c>
      <c r="AG1004" s="25">
        <f t="shared" si="149"/>
        <v>27854.236072237767</v>
      </c>
      <c r="AH1004" s="25">
        <f t="shared" si="150"/>
        <v>26051.901794585196</v>
      </c>
      <c r="AI1004" s="25">
        <f t="shared" si="151"/>
        <v>25029.971590575242</v>
      </c>
    </row>
    <row r="1005" spans="1:35" ht="15.75" customHeight="1">
      <c r="A1005" s="12" t="s">
        <v>572</v>
      </c>
      <c r="B1005" s="12" t="s">
        <v>573</v>
      </c>
      <c r="C1005" s="12" t="s">
        <v>451</v>
      </c>
      <c r="D1005" s="12" t="s">
        <v>33</v>
      </c>
      <c r="E1005" s="12" t="s">
        <v>27</v>
      </c>
      <c r="F1005" s="13">
        <v>181.62393162393164</v>
      </c>
      <c r="G1005" s="14">
        <v>3196.4957264957266</v>
      </c>
      <c r="H1005" s="24" t="str">
        <f t="shared" si="144"/>
        <v>RJSP</v>
      </c>
      <c r="I1005" s="24" t="str">
        <f t="shared" si="152"/>
        <v>RJMG</v>
      </c>
      <c r="J1005" s="24" t="str">
        <f t="shared" si="152"/>
        <v>RJES</v>
      </c>
      <c r="K1005" s="24" t="str">
        <f t="shared" si="152"/>
        <v>RJSC</v>
      </c>
      <c r="L1005" s="24" t="str">
        <f t="shared" si="152"/>
        <v>RJRJ</v>
      </c>
      <c r="M1005" s="24" t="str">
        <f t="shared" si="152"/>
        <v>RJPR</v>
      </c>
      <c r="N1005" s="24" t="str">
        <f t="shared" si="152"/>
        <v>RJAM</v>
      </c>
      <c r="O1005" s="24">
        <f>VLOOKUP(H1005, KM!$A:$E, 5, 0)</f>
        <v>429</v>
      </c>
      <c r="P1005" s="24">
        <f>VLOOKUP(I1005, KM!$A:$E, 5, 0)</f>
        <v>434</v>
      </c>
      <c r="Q1005" s="24">
        <f>VLOOKUP(J1005, KM!$A:$E, 5, 0)</f>
        <v>521</v>
      </c>
      <c r="R1005" s="24">
        <f>VLOOKUP(K1005, KM!$A:$E, 5, 0)</f>
        <v>1144</v>
      </c>
      <c r="S1005" s="24">
        <f>VLOOKUP(L1005, KM!$A:$E, 5, 0)</f>
        <v>0</v>
      </c>
      <c r="T1005" s="24">
        <f>VLOOKUP(M1005, KM!$A:$E, 5, 0)</f>
        <v>852</v>
      </c>
      <c r="U1005" s="24">
        <f>VLOOKUP(N1005, KM!$A:$E, 5, 0)</f>
        <v>4374</v>
      </c>
      <c r="V1005" s="24">
        <f>VLOOKUP(H1005, IMPOSTO!$A:$D, 4, 0)</f>
        <v>0.12</v>
      </c>
      <c r="W1005" s="24">
        <f>VLOOKUP(I1005, IMPOSTO!$A:$D, 4, 0)</f>
        <v>0.12</v>
      </c>
      <c r="X1005" s="24">
        <f>VLOOKUP(J1005, IMPOSTO!$A:$D, 4, 0)</f>
        <v>7.0000000000000007E-2</v>
      </c>
      <c r="Y1005" s="24">
        <f>VLOOKUP(K1005, IMPOSTO!$A:$D, 4, 0)</f>
        <v>0.12</v>
      </c>
      <c r="Z1005" s="24">
        <f>VLOOKUP(L1005, IMPOSTO!$A:$D, 4, 0)</f>
        <v>0.18</v>
      </c>
      <c r="AA1005" s="24">
        <f>VLOOKUP(M1005, IMPOSTO!$A:$D, 4, 0)</f>
        <v>0.12</v>
      </c>
      <c r="AB1005" s="24">
        <f>VLOOKUP(N1005, IMPOSTO!$A:$D, 4, 0)</f>
        <v>7.0000000000000007E-2</v>
      </c>
      <c r="AC1005" s="25">
        <f t="shared" si="145"/>
        <v>3681.1315073815076</v>
      </c>
      <c r="AD1005" s="25">
        <f t="shared" si="146"/>
        <v>3681.6996891996891</v>
      </c>
      <c r="AE1005" s="25">
        <f t="shared" si="147"/>
        <v>3493.113684404007</v>
      </c>
      <c r="AF1005" s="25">
        <f t="shared" si="148"/>
        <v>3762.3815073815076</v>
      </c>
      <c r="AG1005" s="25">
        <f t="shared" si="149"/>
        <v>3898.1655201167396</v>
      </c>
      <c r="AH1005" s="25">
        <f t="shared" si="150"/>
        <v>3729.1996891996891</v>
      </c>
      <c r="AI1005" s="25">
        <f t="shared" si="151"/>
        <v>3907.4147596728244</v>
      </c>
    </row>
    <row r="1006" spans="1:35" ht="15.75" customHeight="1">
      <c r="A1006" s="12" t="s">
        <v>30</v>
      </c>
      <c r="B1006" s="12" t="s">
        <v>31</v>
      </c>
      <c r="C1006" s="12" t="s">
        <v>32</v>
      </c>
      <c r="D1006" s="12" t="s">
        <v>33</v>
      </c>
      <c r="E1006" s="12" t="s">
        <v>732</v>
      </c>
      <c r="F1006" s="13">
        <v>0.10075684931506851</v>
      </c>
      <c r="G1006" s="14">
        <v>2.8881950856164389</v>
      </c>
      <c r="H1006" s="24" t="str">
        <f t="shared" si="144"/>
        <v>RNSP</v>
      </c>
      <c r="I1006" s="24" t="str">
        <f t="shared" si="152"/>
        <v>RNMG</v>
      </c>
      <c r="J1006" s="24" t="str">
        <f t="shared" si="152"/>
        <v>RNES</v>
      </c>
      <c r="K1006" s="24" t="str">
        <f t="shared" si="152"/>
        <v>RNSC</v>
      </c>
      <c r="L1006" s="24" t="str">
        <f t="shared" si="152"/>
        <v>RNRJ</v>
      </c>
      <c r="M1006" s="24" t="str">
        <f t="shared" si="152"/>
        <v>RNPR</v>
      </c>
      <c r="N1006" s="24" t="str">
        <f t="shared" si="152"/>
        <v>RNAM</v>
      </c>
      <c r="O1006" s="24">
        <f>VLOOKUP(H1006, KM!$A:$E, 5, 0)</f>
        <v>2947</v>
      </c>
      <c r="P1006" s="24">
        <f>VLOOKUP(I1006, KM!$A:$E, 5, 0)</f>
        <v>2348</v>
      </c>
      <c r="Q1006" s="24">
        <f>VLOOKUP(J1006, KM!$A:$E, 5, 0)</f>
        <v>2178</v>
      </c>
      <c r="R1006" s="24">
        <f>VLOOKUP(K1006, KM!$A:$E, 5, 0)</f>
        <v>3662</v>
      </c>
      <c r="S1006" s="24">
        <f>VLOOKUP(L1006, KM!$A:$E, 5, 0)</f>
        <v>2625</v>
      </c>
      <c r="T1006" s="24">
        <f>VLOOKUP(M1006, KM!$A:$E, 5, 0)</f>
        <v>3365</v>
      </c>
      <c r="U1006" s="24">
        <f>VLOOKUP(N1006, KM!$A:$E, 5, 0)</f>
        <v>5985</v>
      </c>
      <c r="V1006" s="24">
        <f>VLOOKUP(H1006, IMPOSTO!$A:$D, 4, 0)</f>
        <v>0.12</v>
      </c>
      <c r="W1006" s="24">
        <f>VLOOKUP(I1006, IMPOSTO!$A:$D, 4, 0)</f>
        <v>0.12</v>
      </c>
      <c r="X1006" s="24">
        <f>VLOOKUP(J1006, IMPOSTO!$A:$D, 4, 0)</f>
        <v>0.12</v>
      </c>
      <c r="Y1006" s="24">
        <f>VLOOKUP(K1006, IMPOSTO!$A:$D, 4, 0)</f>
        <v>0.12</v>
      </c>
      <c r="Z1006" s="24">
        <f>VLOOKUP(L1006, IMPOSTO!$A:$D, 4, 0)</f>
        <v>0.12</v>
      </c>
      <c r="AA1006" s="24">
        <f>VLOOKUP(M1006, IMPOSTO!$A:$D, 4, 0)</f>
        <v>0.12</v>
      </c>
      <c r="AB1006" s="24">
        <f>VLOOKUP(N1006, IMPOSTO!$A:$D, 4, 0)</f>
        <v>0.12</v>
      </c>
      <c r="AC1006" s="25">
        <f t="shared" si="145"/>
        <v>338.16840350638228</v>
      </c>
      <c r="AD1006" s="25">
        <f t="shared" si="146"/>
        <v>270.10022168820052</v>
      </c>
      <c r="AE1006" s="25">
        <f t="shared" si="147"/>
        <v>250.78203987001871</v>
      </c>
      <c r="AF1006" s="25">
        <f t="shared" si="148"/>
        <v>419.41840350638233</v>
      </c>
      <c r="AG1006" s="25">
        <f t="shared" si="149"/>
        <v>301.57749441547321</v>
      </c>
      <c r="AH1006" s="25">
        <f t="shared" si="150"/>
        <v>385.66840350638228</v>
      </c>
      <c r="AI1006" s="25">
        <f t="shared" si="151"/>
        <v>683.39567623365497</v>
      </c>
    </row>
    <row r="1007" spans="1:35" ht="15.75" customHeight="1">
      <c r="A1007" s="12" t="s">
        <v>30</v>
      </c>
      <c r="B1007" s="12" t="s">
        <v>31</v>
      </c>
      <c r="C1007" s="12" t="s">
        <v>32</v>
      </c>
      <c r="D1007" s="12" t="s">
        <v>33</v>
      </c>
      <c r="E1007" s="12" t="s">
        <v>732</v>
      </c>
      <c r="F1007" s="13">
        <v>597.28660273972605</v>
      </c>
      <c r="G1007" s="14">
        <v>17121.220467534247</v>
      </c>
      <c r="H1007" s="24" t="str">
        <f t="shared" si="144"/>
        <v>RNSP</v>
      </c>
      <c r="I1007" s="24" t="str">
        <f t="shared" si="152"/>
        <v>RNMG</v>
      </c>
      <c r="J1007" s="24" t="str">
        <f t="shared" si="152"/>
        <v>RNES</v>
      </c>
      <c r="K1007" s="24" t="str">
        <f t="shared" si="152"/>
        <v>RNSC</v>
      </c>
      <c r="L1007" s="24" t="str">
        <f t="shared" si="152"/>
        <v>RNRJ</v>
      </c>
      <c r="M1007" s="24" t="str">
        <f t="shared" si="152"/>
        <v>RNPR</v>
      </c>
      <c r="N1007" s="24" t="str">
        <f t="shared" si="152"/>
        <v>RNAM</v>
      </c>
      <c r="O1007" s="24">
        <f>VLOOKUP(H1007, KM!$A:$E, 5, 0)</f>
        <v>2947</v>
      </c>
      <c r="P1007" s="24">
        <f>VLOOKUP(I1007, KM!$A:$E, 5, 0)</f>
        <v>2348</v>
      </c>
      <c r="Q1007" s="24">
        <f>VLOOKUP(J1007, KM!$A:$E, 5, 0)</f>
        <v>2178</v>
      </c>
      <c r="R1007" s="24">
        <f>VLOOKUP(K1007, KM!$A:$E, 5, 0)</f>
        <v>3662</v>
      </c>
      <c r="S1007" s="24">
        <f>VLOOKUP(L1007, KM!$A:$E, 5, 0)</f>
        <v>2625</v>
      </c>
      <c r="T1007" s="24">
        <f>VLOOKUP(M1007, KM!$A:$E, 5, 0)</f>
        <v>3365</v>
      </c>
      <c r="U1007" s="24">
        <f>VLOOKUP(N1007, KM!$A:$E, 5, 0)</f>
        <v>5985</v>
      </c>
      <c r="V1007" s="24">
        <f>VLOOKUP(H1007, IMPOSTO!$A:$D, 4, 0)</f>
        <v>0.12</v>
      </c>
      <c r="W1007" s="24">
        <f>VLOOKUP(I1007, IMPOSTO!$A:$D, 4, 0)</f>
        <v>0.12</v>
      </c>
      <c r="X1007" s="24">
        <f>VLOOKUP(J1007, IMPOSTO!$A:$D, 4, 0)</f>
        <v>0.12</v>
      </c>
      <c r="Y1007" s="24">
        <f>VLOOKUP(K1007, IMPOSTO!$A:$D, 4, 0)</f>
        <v>0.12</v>
      </c>
      <c r="Z1007" s="24">
        <f>VLOOKUP(L1007, IMPOSTO!$A:$D, 4, 0)</f>
        <v>0.12</v>
      </c>
      <c r="AA1007" s="24">
        <f>VLOOKUP(M1007, IMPOSTO!$A:$D, 4, 0)</f>
        <v>0.12</v>
      </c>
      <c r="AB1007" s="24">
        <f>VLOOKUP(N1007, IMPOSTO!$A:$D, 4, 0)</f>
        <v>0.12</v>
      </c>
      <c r="AC1007" s="25">
        <f t="shared" si="145"/>
        <v>19790.818713107099</v>
      </c>
      <c r="AD1007" s="25">
        <f t="shared" si="146"/>
        <v>19722.750531288915</v>
      </c>
      <c r="AE1007" s="25">
        <f t="shared" si="147"/>
        <v>19703.432349470735</v>
      </c>
      <c r="AF1007" s="25">
        <f t="shared" si="148"/>
        <v>19872.068713107099</v>
      </c>
      <c r="AG1007" s="25">
        <f t="shared" si="149"/>
        <v>19754.227804016191</v>
      </c>
      <c r="AH1007" s="25">
        <f t="shared" si="150"/>
        <v>19838.318713107099</v>
      </c>
      <c r="AI1007" s="25">
        <f t="shared" si="151"/>
        <v>20136.045985834371</v>
      </c>
    </row>
    <row r="1008" spans="1:35" ht="15.75" customHeight="1">
      <c r="A1008" s="12" t="s">
        <v>30</v>
      </c>
      <c r="B1008" s="12" t="s">
        <v>31</v>
      </c>
      <c r="C1008" s="12" t="s">
        <v>32</v>
      </c>
      <c r="D1008" s="12" t="s">
        <v>33</v>
      </c>
      <c r="E1008" s="12" t="s">
        <v>732</v>
      </c>
      <c r="F1008" s="13">
        <v>410.18113356164389</v>
      </c>
      <c r="G1008" s="14">
        <v>11757.842193544522</v>
      </c>
      <c r="H1008" s="24" t="str">
        <f t="shared" si="144"/>
        <v>RNSP</v>
      </c>
      <c r="I1008" s="24" t="str">
        <f t="shared" si="152"/>
        <v>RNMG</v>
      </c>
      <c r="J1008" s="24" t="str">
        <f t="shared" si="152"/>
        <v>RNES</v>
      </c>
      <c r="K1008" s="24" t="str">
        <f t="shared" si="152"/>
        <v>RNSC</v>
      </c>
      <c r="L1008" s="24" t="str">
        <f t="shared" si="152"/>
        <v>RNRJ</v>
      </c>
      <c r="M1008" s="24" t="str">
        <f t="shared" si="152"/>
        <v>RNPR</v>
      </c>
      <c r="N1008" s="24" t="str">
        <f t="shared" si="152"/>
        <v>RNAM</v>
      </c>
      <c r="O1008" s="24">
        <f>VLOOKUP(H1008, KM!$A:$E, 5, 0)</f>
        <v>2947</v>
      </c>
      <c r="P1008" s="24">
        <f>VLOOKUP(I1008, KM!$A:$E, 5, 0)</f>
        <v>2348</v>
      </c>
      <c r="Q1008" s="24">
        <f>VLOOKUP(J1008, KM!$A:$E, 5, 0)</f>
        <v>2178</v>
      </c>
      <c r="R1008" s="24">
        <f>VLOOKUP(K1008, KM!$A:$E, 5, 0)</f>
        <v>3662</v>
      </c>
      <c r="S1008" s="24">
        <f>VLOOKUP(L1008, KM!$A:$E, 5, 0)</f>
        <v>2625</v>
      </c>
      <c r="T1008" s="24">
        <f>VLOOKUP(M1008, KM!$A:$E, 5, 0)</f>
        <v>3365</v>
      </c>
      <c r="U1008" s="24">
        <f>VLOOKUP(N1008, KM!$A:$E, 5, 0)</f>
        <v>5985</v>
      </c>
      <c r="V1008" s="24">
        <f>VLOOKUP(H1008, IMPOSTO!$A:$D, 4, 0)</f>
        <v>0.12</v>
      </c>
      <c r="W1008" s="24">
        <f>VLOOKUP(I1008, IMPOSTO!$A:$D, 4, 0)</f>
        <v>0.12</v>
      </c>
      <c r="X1008" s="24">
        <f>VLOOKUP(J1008, IMPOSTO!$A:$D, 4, 0)</f>
        <v>0.12</v>
      </c>
      <c r="Y1008" s="24">
        <f>VLOOKUP(K1008, IMPOSTO!$A:$D, 4, 0)</f>
        <v>0.12</v>
      </c>
      <c r="Z1008" s="24">
        <f>VLOOKUP(L1008, IMPOSTO!$A:$D, 4, 0)</f>
        <v>0.12</v>
      </c>
      <c r="AA1008" s="24">
        <f>VLOOKUP(M1008, IMPOSTO!$A:$D, 4, 0)</f>
        <v>0.12</v>
      </c>
      <c r="AB1008" s="24">
        <f>VLOOKUP(N1008, IMPOSTO!$A:$D, 4, 0)</f>
        <v>0.12</v>
      </c>
      <c r="AC1008" s="25">
        <f t="shared" si="145"/>
        <v>13696.070674482413</v>
      </c>
      <c r="AD1008" s="25">
        <f t="shared" si="146"/>
        <v>13628.002492664229</v>
      </c>
      <c r="AE1008" s="25">
        <f t="shared" si="147"/>
        <v>13608.684310846047</v>
      </c>
      <c r="AF1008" s="25">
        <f t="shared" si="148"/>
        <v>13777.320674482413</v>
      </c>
      <c r="AG1008" s="25">
        <f t="shared" si="149"/>
        <v>13659.479765391503</v>
      </c>
      <c r="AH1008" s="25">
        <f t="shared" si="150"/>
        <v>13743.570674482411</v>
      </c>
      <c r="AI1008" s="25">
        <f t="shared" si="151"/>
        <v>14041.297947209685</v>
      </c>
    </row>
    <row r="1009" spans="1:35" ht="15.75" customHeight="1">
      <c r="A1009" s="12" t="s">
        <v>47</v>
      </c>
      <c r="B1009" s="12" t="s">
        <v>48</v>
      </c>
      <c r="C1009" s="12" t="s">
        <v>49</v>
      </c>
      <c r="D1009" s="12" t="s">
        <v>50</v>
      </c>
      <c r="E1009" s="12" t="s">
        <v>733</v>
      </c>
      <c r="F1009" s="13">
        <v>4320.5484431430868</v>
      </c>
      <c r="G1009" s="14">
        <v>41096.307896113562</v>
      </c>
      <c r="H1009" s="24" t="str">
        <f t="shared" si="144"/>
        <v>ROSP</v>
      </c>
      <c r="I1009" s="24" t="str">
        <f t="shared" si="152"/>
        <v>ROMG</v>
      </c>
      <c r="J1009" s="24" t="str">
        <f t="shared" si="152"/>
        <v>ROES</v>
      </c>
      <c r="K1009" s="24" t="str">
        <f t="shared" si="152"/>
        <v>ROSC</v>
      </c>
      <c r="L1009" s="24" t="str">
        <f t="shared" si="152"/>
        <v>RORJ</v>
      </c>
      <c r="M1009" s="24" t="str">
        <f t="shared" si="152"/>
        <v>ROPR</v>
      </c>
      <c r="N1009" s="24" t="str">
        <f t="shared" si="152"/>
        <v>ROAM</v>
      </c>
      <c r="O1009" s="24">
        <f>VLOOKUP(H1009, KM!$A:$E, 5, 0)</f>
        <v>3070</v>
      </c>
      <c r="P1009" s="24">
        <f>VLOOKUP(I1009, KM!$A:$E, 5, 0)</f>
        <v>3050</v>
      </c>
      <c r="Q1009" s="24">
        <f>VLOOKUP(J1009, KM!$A:$E, 5, 0)</f>
        <v>3575</v>
      </c>
      <c r="R1009" s="24">
        <f>VLOOKUP(K1009, KM!$A:$E, 5, 0)</f>
        <v>3442</v>
      </c>
      <c r="S1009" s="24">
        <f>VLOOKUP(L1009, KM!$A:$E, 5, 0)</f>
        <v>3473</v>
      </c>
      <c r="T1009" s="24">
        <f>VLOOKUP(M1009, KM!$A:$E, 5, 0)</f>
        <v>3135</v>
      </c>
      <c r="U1009" s="24">
        <f>VLOOKUP(N1009, KM!$A:$E, 5, 0)</f>
        <v>901</v>
      </c>
      <c r="V1009" s="24">
        <f>VLOOKUP(H1009, IMPOSTO!$A:$D, 4, 0)</f>
        <v>0.12</v>
      </c>
      <c r="W1009" s="24">
        <f>VLOOKUP(I1009, IMPOSTO!$A:$D, 4, 0)</f>
        <v>0.12</v>
      </c>
      <c r="X1009" s="24">
        <f>VLOOKUP(J1009, IMPOSTO!$A:$D, 4, 0)</f>
        <v>0.12</v>
      </c>
      <c r="Y1009" s="24">
        <f>VLOOKUP(K1009, IMPOSTO!$A:$D, 4, 0)</f>
        <v>0.12</v>
      </c>
      <c r="Z1009" s="24">
        <f>VLOOKUP(L1009, IMPOSTO!$A:$D, 4, 0)</f>
        <v>0.12</v>
      </c>
      <c r="AA1009" s="24">
        <f>VLOOKUP(M1009, IMPOSTO!$A:$D, 4, 0)</f>
        <v>0.12</v>
      </c>
      <c r="AB1009" s="24">
        <f>VLOOKUP(N1009, IMPOSTO!$A:$D, 4, 0)</f>
        <v>0.12</v>
      </c>
      <c r="AC1009" s="25">
        <f t="shared" si="145"/>
        <v>47049.213518310862</v>
      </c>
      <c r="AD1009" s="25">
        <f t="shared" si="146"/>
        <v>47046.940791038141</v>
      </c>
      <c r="AE1009" s="25">
        <f t="shared" si="147"/>
        <v>47106.59988194723</v>
      </c>
      <c r="AF1009" s="25">
        <f t="shared" si="148"/>
        <v>47091.48624558359</v>
      </c>
      <c r="AG1009" s="25">
        <f t="shared" si="149"/>
        <v>47095.008972856325</v>
      </c>
      <c r="AH1009" s="25">
        <f t="shared" si="150"/>
        <v>47056.59988194723</v>
      </c>
      <c r="AI1009" s="25">
        <f t="shared" si="151"/>
        <v>46802.73624558359</v>
      </c>
    </row>
    <row r="1010" spans="1:35" ht="15.75" customHeight="1">
      <c r="A1010" s="12" t="s">
        <v>47</v>
      </c>
      <c r="B1010" s="12" t="s">
        <v>48</v>
      </c>
      <c r="C1010" s="12" t="s">
        <v>49</v>
      </c>
      <c r="D1010" s="12" t="s">
        <v>50</v>
      </c>
      <c r="E1010" s="12" t="s">
        <v>733</v>
      </c>
      <c r="F1010" s="13">
        <v>3.4592061194099974</v>
      </c>
      <c r="G1010" s="14">
        <v>32.903369012100534</v>
      </c>
      <c r="H1010" s="24" t="str">
        <f t="shared" si="144"/>
        <v>ROSP</v>
      </c>
      <c r="I1010" s="24" t="str">
        <f t="shared" si="152"/>
        <v>ROMG</v>
      </c>
      <c r="J1010" s="24" t="str">
        <f t="shared" si="152"/>
        <v>ROES</v>
      </c>
      <c r="K1010" s="24" t="str">
        <f t="shared" si="152"/>
        <v>ROSC</v>
      </c>
      <c r="L1010" s="24" t="str">
        <f t="shared" si="152"/>
        <v>RORJ</v>
      </c>
      <c r="M1010" s="24" t="str">
        <f t="shared" si="152"/>
        <v>ROPR</v>
      </c>
      <c r="N1010" s="24" t="str">
        <f t="shared" si="152"/>
        <v>ROAM</v>
      </c>
      <c r="O1010" s="24">
        <f>VLOOKUP(H1010, KM!$A:$E, 5, 0)</f>
        <v>3070</v>
      </c>
      <c r="P1010" s="24">
        <f>VLOOKUP(I1010, KM!$A:$E, 5, 0)</f>
        <v>3050</v>
      </c>
      <c r="Q1010" s="24">
        <f>VLOOKUP(J1010, KM!$A:$E, 5, 0)</f>
        <v>3575</v>
      </c>
      <c r="R1010" s="24">
        <f>VLOOKUP(K1010, KM!$A:$E, 5, 0)</f>
        <v>3442</v>
      </c>
      <c r="S1010" s="24">
        <f>VLOOKUP(L1010, KM!$A:$E, 5, 0)</f>
        <v>3473</v>
      </c>
      <c r="T1010" s="24">
        <f>VLOOKUP(M1010, KM!$A:$E, 5, 0)</f>
        <v>3135</v>
      </c>
      <c r="U1010" s="24">
        <f>VLOOKUP(N1010, KM!$A:$E, 5, 0)</f>
        <v>901</v>
      </c>
      <c r="V1010" s="24">
        <f>VLOOKUP(H1010, IMPOSTO!$A:$D, 4, 0)</f>
        <v>0.12</v>
      </c>
      <c r="W1010" s="24">
        <f>VLOOKUP(I1010, IMPOSTO!$A:$D, 4, 0)</f>
        <v>0.12</v>
      </c>
      <c r="X1010" s="24">
        <f>VLOOKUP(J1010, IMPOSTO!$A:$D, 4, 0)</f>
        <v>0.12</v>
      </c>
      <c r="Y1010" s="24">
        <f>VLOOKUP(K1010, IMPOSTO!$A:$D, 4, 0)</f>
        <v>0.12</v>
      </c>
      <c r="Z1010" s="24">
        <f>VLOOKUP(L1010, IMPOSTO!$A:$D, 4, 0)</f>
        <v>0.12</v>
      </c>
      <c r="AA1010" s="24">
        <f>VLOOKUP(M1010, IMPOSTO!$A:$D, 4, 0)</f>
        <v>0.12</v>
      </c>
      <c r="AB1010" s="24">
        <f>VLOOKUP(N1010, IMPOSTO!$A:$D, 4, 0)</f>
        <v>0.12</v>
      </c>
      <c r="AC1010" s="25">
        <f t="shared" si="145"/>
        <v>386.25382842284154</v>
      </c>
      <c r="AD1010" s="25">
        <f t="shared" si="146"/>
        <v>383.98110115011423</v>
      </c>
      <c r="AE1010" s="25">
        <f t="shared" si="147"/>
        <v>443.64019205920516</v>
      </c>
      <c r="AF1010" s="25">
        <f t="shared" si="148"/>
        <v>428.52655569556885</v>
      </c>
      <c r="AG1010" s="25">
        <f t="shared" si="149"/>
        <v>432.0492829682961</v>
      </c>
      <c r="AH1010" s="25">
        <f t="shared" si="150"/>
        <v>393.64019205920516</v>
      </c>
      <c r="AI1010" s="25">
        <f t="shared" si="151"/>
        <v>139.77655569556879</v>
      </c>
    </row>
    <row r="1011" spans="1:35" ht="15.75" customHeight="1">
      <c r="A1011" s="12" t="s">
        <v>47</v>
      </c>
      <c r="B1011" s="12" t="s">
        <v>48</v>
      </c>
      <c r="C1011" s="12" t="s">
        <v>49</v>
      </c>
      <c r="D1011" s="12" t="s">
        <v>50</v>
      </c>
      <c r="E1011" s="12" t="s">
        <v>733</v>
      </c>
      <c r="F1011" s="13">
        <v>0.43240076492624968</v>
      </c>
      <c r="G1011" s="14">
        <v>4.1129211265125667</v>
      </c>
      <c r="H1011" s="24" t="str">
        <f t="shared" si="144"/>
        <v>ROSP</v>
      </c>
      <c r="I1011" s="24" t="str">
        <f t="shared" si="152"/>
        <v>ROMG</v>
      </c>
      <c r="J1011" s="24" t="str">
        <f t="shared" si="152"/>
        <v>ROES</v>
      </c>
      <c r="K1011" s="24" t="str">
        <f t="shared" si="152"/>
        <v>ROSC</v>
      </c>
      <c r="L1011" s="24" t="str">
        <f t="shared" si="152"/>
        <v>RORJ</v>
      </c>
      <c r="M1011" s="24" t="str">
        <f t="shared" si="152"/>
        <v>ROPR</v>
      </c>
      <c r="N1011" s="24" t="str">
        <f t="shared" si="152"/>
        <v>ROAM</v>
      </c>
      <c r="O1011" s="24">
        <f>VLOOKUP(H1011, KM!$A:$E, 5, 0)</f>
        <v>3070</v>
      </c>
      <c r="P1011" s="24">
        <f>VLOOKUP(I1011, KM!$A:$E, 5, 0)</f>
        <v>3050</v>
      </c>
      <c r="Q1011" s="24">
        <f>VLOOKUP(J1011, KM!$A:$E, 5, 0)</f>
        <v>3575</v>
      </c>
      <c r="R1011" s="24">
        <f>VLOOKUP(K1011, KM!$A:$E, 5, 0)</f>
        <v>3442</v>
      </c>
      <c r="S1011" s="24">
        <f>VLOOKUP(L1011, KM!$A:$E, 5, 0)</f>
        <v>3473</v>
      </c>
      <c r="T1011" s="24">
        <f>VLOOKUP(M1011, KM!$A:$E, 5, 0)</f>
        <v>3135</v>
      </c>
      <c r="U1011" s="24">
        <f>VLOOKUP(N1011, KM!$A:$E, 5, 0)</f>
        <v>901</v>
      </c>
      <c r="V1011" s="24">
        <f>VLOOKUP(H1011, IMPOSTO!$A:$D, 4, 0)</f>
        <v>0.12</v>
      </c>
      <c r="W1011" s="24">
        <f>VLOOKUP(I1011, IMPOSTO!$A:$D, 4, 0)</f>
        <v>0.12</v>
      </c>
      <c r="X1011" s="24">
        <f>VLOOKUP(J1011, IMPOSTO!$A:$D, 4, 0)</f>
        <v>0.12</v>
      </c>
      <c r="Y1011" s="24">
        <f>VLOOKUP(K1011, IMPOSTO!$A:$D, 4, 0)</f>
        <v>0.12</v>
      </c>
      <c r="Z1011" s="24">
        <f>VLOOKUP(L1011, IMPOSTO!$A:$D, 4, 0)</f>
        <v>0.12</v>
      </c>
      <c r="AA1011" s="24">
        <f>VLOOKUP(M1011, IMPOSTO!$A:$D, 4, 0)</f>
        <v>0.12</v>
      </c>
      <c r="AB1011" s="24">
        <f>VLOOKUP(N1011, IMPOSTO!$A:$D, 4, 0)</f>
        <v>0.12</v>
      </c>
      <c r="AC1011" s="25">
        <f t="shared" si="145"/>
        <v>353.53741037103703</v>
      </c>
      <c r="AD1011" s="25">
        <f t="shared" si="146"/>
        <v>351.26468309830972</v>
      </c>
      <c r="AE1011" s="25">
        <f t="shared" si="147"/>
        <v>410.92377400740065</v>
      </c>
      <c r="AF1011" s="25">
        <f t="shared" si="148"/>
        <v>395.81013764376434</v>
      </c>
      <c r="AG1011" s="25">
        <f t="shared" si="149"/>
        <v>399.33286491649153</v>
      </c>
      <c r="AH1011" s="25">
        <f t="shared" si="150"/>
        <v>360.92377400740065</v>
      </c>
      <c r="AI1011" s="25">
        <f t="shared" si="151"/>
        <v>107.06013764376428</v>
      </c>
    </row>
    <row r="1012" spans="1:35" ht="15.75" customHeight="1">
      <c r="A1012" s="12" t="s">
        <v>734</v>
      </c>
      <c r="B1012" s="12" t="s">
        <v>735</v>
      </c>
      <c r="C1012" s="12" t="s">
        <v>192</v>
      </c>
      <c r="D1012" s="12" t="s">
        <v>33</v>
      </c>
      <c r="E1012" s="12" t="s">
        <v>736</v>
      </c>
      <c r="F1012" s="13">
        <v>663</v>
      </c>
      <c r="G1012" s="14">
        <v>712.01755307262579</v>
      </c>
      <c r="H1012" s="24" t="str">
        <f t="shared" si="144"/>
        <v>RSSP</v>
      </c>
      <c r="I1012" s="24" t="str">
        <f t="shared" si="152"/>
        <v>RSMG</v>
      </c>
      <c r="J1012" s="24" t="str">
        <f t="shared" si="152"/>
        <v>RSES</v>
      </c>
      <c r="K1012" s="24" t="str">
        <f t="shared" si="152"/>
        <v>RSSC</v>
      </c>
      <c r="L1012" s="24" t="str">
        <f t="shared" si="152"/>
        <v>RSRJ</v>
      </c>
      <c r="M1012" s="24" t="str">
        <f t="shared" si="152"/>
        <v>RSPR</v>
      </c>
      <c r="N1012" s="24" t="str">
        <f t="shared" si="152"/>
        <v>RSAM</v>
      </c>
      <c r="O1012" s="24">
        <f>VLOOKUP(H1012, KM!$A:$E, 5, 0)</f>
        <v>1109</v>
      </c>
      <c r="P1012" s="24">
        <f>VLOOKUP(I1012, KM!$A:$E, 5, 0)</f>
        <v>1712</v>
      </c>
      <c r="Q1012" s="24">
        <f>VLOOKUP(J1012, KM!$A:$E, 5, 0)</f>
        <v>2001</v>
      </c>
      <c r="R1012" s="24">
        <f>VLOOKUP(K1012, KM!$A:$E, 5, 0)</f>
        <v>476</v>
      </c>
      <c r="S1012" s="24">
        <f>VLOOKUP(L1012, KM!$A:$E, 5, 0)</f>
        <v>1553</v>
      </c>
      <c r="T1012" s="24">
        <f>VLOOKUP(M1012, KM!$A:$E, 5, 0)</f>
        <v>711</v>
      </c>
      <c r="U1012" s="24">
        <f>VLOOKUP(N1012, KM!$A:$E, 5, 0)</f>
        <v>4563</v>
      </c>
      <c r="V1012" s="24">
        <f>VLOOKUP(H1012, IMPOSTO!$A:$D, 4, 0)</f>
        <v>0.12</v>
      </c>
      <c r="W1012" s="24">
        <f>VLOOKUP(I1012, IMPOSTO!$A:$D, 4, 0)</f>
        <v>0.12</v>
      </c>
      <c r="X1012" s="24">
        <f>VLOOKUP(J1012, IMPOSTO!$A:$D, 4, 0)</f>
        <v>7.0000000000000007E-2</v>
      </c>
      <c r="Y1012" s="24">
        <f>VLOOKUP(K1012, IMPOSTO!$A:$D, 4, 0)</f>
        <v>0.12</v>
      </c>
      <c r="Z1012" s="24">
        <f>VLOOKUP(L1012, IMPOSTO!$A:$D, 4, 0)</f>
        <v>0.12</v>
      </c>
      <c r="AA1012" s="24">
        <f>VLOOKUP(M1012, IMPOSTO!$A:$D, 4, 0)</f>
        <v>0.12</v>
      </c>
      <c r="AB1012" s="24">
        <f>VLOOKUP(N1012, IMPOSTO!$A:$D, 4, 0)</f>
        <v>7.0000000000000007E-2</v>
      </c>
      <c r="AC1012" s="25">
        <f t="shared" si="145"/>
        <v>935.13358303707469</v>
      </c>
      <c r="AD1012" s="25">
        <f t="shared" si="146"/>
        <v>1003.6563103098021</v>
      </c>
      <c r="AE1012" s="25">
        <f t="shared" si="147"/>
        <v>980.77156244368371</v>
      </c>
      <c r="AF1012" s="25">
        <f t="shared" si="148"/>
        <v>863.20176485525656</v>
      </c>
      <c r="AG1012" s="25">
        <f t="shared" si="149"/>
        <v>985.58812849162018</v>
      </c>
      <c r="AH1012" s="25">
        <f t="shared" si="150"/>
        <v>889.90631030980205</v>
      </c>
      <c r="AI1012" s="25">
        <f t="shared" si="151"/>
        <v>1256.2554334114257</v>
      </c>
    </row>
    <row r="1013" spans="1:35" ht="15.75" customHeight="1">
      <c r="A1013" s="12" t="s">
        <v>737</v>
      </c>
      <c r="B1013" s="12" t="s">
        <v>738</v>
      </c>
      <c r="C1013" s="12" t="s">
        <v>192</v>
      </c>
      <c r="D1013" s="12" t="s">
        <v>50</v>
      </c>
      <c r="E1013" s="12" t="s">
        <v>736</v>
      </c>
      <c r="F1013" s="13">
        <v>6.6154999999999999</v>
      </c>
      <c r="G1013" s="14">
        <v>91.657752500000001</v>
      </c>
      <c r="H1013" s="24" t="str">
        <f t="shared" si="144"/>
        <v>RSSP</v>
      </c>
      <c r="I1013" s="24" t="str">
        <f t="shared" si="152"/>
        <v>RSMG</v>
      </c>
      <c r="J1013" s="24" t="str">
        <f t="shared" si="152"/>
        <v>RSES</v>
      </c>
      <c r="K1013" s="24" t="str">
        <f t="shared" si="152"/>
        <v>RSSC</v>
      </c>
      <c r="L1013" s="24" t="str">
        <f t="shared" si="152"/>
        <v>RSRJ</v>
      </c>
      <c r="M1013" s="24" t="str">
        <f t="shared" si="152"/>
        <v>RSPR</v>
      </c>
      <c r="N1013" s="24" t="str">
        <f t="shared" si="152"/>
        <v>RSAM</v>
      </c>
      <c r="O1013" s="24">
        <f>VLOOKUP(H1013, KM!$A:$E, 5, 0)</f>
        <v>1109</v>
      </c>
      <c r="P1013" s="24">
        <f>VLOOKUP(I1013, KM!$A:$E, 5, 0)</f>
        <v>1712</v>
      </c>
      <c r="Q1013" s="24">
        <f>VLOOKUP(J1013, KM!$A:$E, 5, 0)</f>
        <v>2001</v>
      </c>
      <c r="R1013" s="24">
        <f>VLOOKUP(K1013, KM!$A:$E, 5, 0)</f>
        <v>476</v>
      </c>
      <c r="S1013" s="24">
        <f>VLOOKUP(L1013, KM!$A:$E, 5, 0)</f>
        <v>1553</v>
      </c>
      <c r="T1013" s="24">
        <f>VLOOKUP(M1013, KM!$A:$E, 5, 0)</f>
        <v>711</v>
      </c>
      <c r="U1013" s="24">
        <f>VLOOKUP(N1013, KM!$A:$E, 5, 0)</f>
        <v>4563</v>
      </c>
      <c r="V1013" s="24">
        <f>VLOOKUP(H1013, IMPOSTO!$A:$D, 4, 0)</f>
        <v>0.12</v>
      </c>
      <c r="W1013" s="24">
        <f>VLOOKUP(I1013, IMPOSTO!$A:$D, 4, 0)</f>
        <v>0.12</v>
      </c>
      <c r="X1013" s="24">
        <f>VLOOKUP(J1013, IMPOSTO!$A:$D, 4, 0)</f>
        <v>7.0000000000000007E-2</v>
      </c>
      <c r="Y1013" s="24">
        <f>VLOOKUP(K1013, IMPOSTO!$A:$D, 4, 0)</f>
        <v>0.12</v>
      </c>
      <c r="Z1013" s="24">
        <f>VLOOKUP(L1013, IMPOSTO!$A:$D, 4, 0)</f>
        <v>0.12</v>
      </c>
      <c r="AA1013" s="24">
        <f>VLOOKUP(M1013, IMPOSTO!$A:$D, 4, 0)</f>
        <v>0.12</v>
      </c>
      <c r="AB1013" s="24">
        <f>VLOOKUP(N1013, IMPOSTO!$A:$D, 4, 0)</f>
        <v>7.0000000000000007E-2</v>
      </c>
      <c r="AC1013" s="25">
        <f t="shared" si="145"/>
        <v>230.17926420454543</v>
      </c>
      <c r="AD1013" s="25">
        <f t="shared" si="146"/>
        <v>298.70199147727271</v>
      </c>
      <c r="AE1013" s="25">
        <f t="shared" si="147"/>
        <v>313.71801344086026</v>
      </c>
      <c r="AF1013" s="25">
        <f t="shared" si="148"/>
        <v>158.24744602272727</v>
      </c>
      <c r="AG1013" s="25">
        <f t="shared" si="149"/>
        <v>280.63380965909096</v>
      </c>
      <c r="AH1013" s="25">
        <f t="shared" si="150"/>
        <v>184.95199147727274</v>
      </c>
      <c r="AI1013" s="25">
        <f t="shared" si="151"/>
        <v>589.20188440860215</v>
      </c>
    </row>
    <row r="1014" spans="1:35" ht="15.75" customHeight="1">
      <c r="A1014" s="12" t="s">
        <v>739</v>
      </c>
      <c r="B1014" s="12" t="s">
        <v>740</v>
      </c>
      <c r="C1014" s="12" t="s">
        <v>192</v>
      </c>
      <c r="D1014" s="12" t="s">
        <v>50</v>
      </c>
      <c r="E1014" s="12" t="s">
        <v>736</v>
      </c>
      <c r="F1014" s="13">
        <v>32.001846153846152</v>
      </c>
      <c r="G1014" s="14">
        <v>752.09005397435919</v>
      </c>
      <c r="H1014" s="24" t="str">
        <f t="shared" si="144"/>
        <v>RSSP</v>
      </c>
      <c r="I1014" s="24" t="str">
        <f t="shared" si="152"/>
        <v>RSMG</v>
      </c>
      <c r="J1014" s="24" t="str">
        <f t="shared" si="152"/>
        <v>RSES</v>
      </c>
      <c r="K1014" s="24" t="str">
        <f t="shared" si="152"/>
        <v>RSSC</v>
      </c>
      <c r="L1014" s="24" t="str">
        <f t="shared" si="152"/>
        <v>RSRJ</v>
      </c>
      <c r="M1014" s="24" t="str">
        <f t="shared" si="152"/>
        <v>RSPR</v>
      </c>
      <c r="N1014" s="24" t="str">
        <f t="shared" si="152"/>
        <v>RSAM</v>
      </c>
      <c r="O1014" s="24">
        <f>VLOOKUP(H1014, KM!$A:$E, 5, 0)</f>
        <v>1109</v>
      </c>
      <c r="P1014" s="24">
        <f>VLOOKUP(I1014, KM!$A:$E, 5, 0)</f>
        <v>1712</v>
      </c>
      <c r="Q1014" s="24">
        <f>VLOOKUP(J1014, KM!$A:$E, 5, 0)</f>
        <v>2001</v>
      </c>
      <c r="R1014" s="24">
        <f>VLOOKUP(K1014, KM!$A:$E, 5, 0)</f>
        <v>476</v>
      </c>
      <c r="S1014" s="24">
        <f>VLOOKUP(L1014, KM!$A:$E, 5, 0)</f>
        <v>1553</v>
      </c>
      <c r="T1014" s="24">
        <f>VLOOKUP(M1014, KM!$A:$E, 5, 0)</f>
        <v>711</v>
      </c>
      <c r="U1014" s="24">
        <f>VLOOKUP(N1014, KM!$A:$E, 5, 0)</f>
        <v>4563</v>
      </c>
      <c r="V1014" s="24">
        <f>VLOOKUP(H1014, IMPOSTO!$A:$D, 4, 0)</f>
        <v>0.12</v>
      </c>
      <c r="W1014" s="24">
        <f>VLOOKUP(I1014, IMPOSTO!$A:$D, 4, 0)</f>
        <v>0.12</v>
      </c>
      <c r="X1014" s="24">
        <f>VLOOKUP(J1014, IMPOSTO!$A:$D, 4, 0)</f>
        <v>7.0000000000000007E-2</v>
      </c>
      <c r="Y1014" s="24">
        <f>VLOOKUP(K1014, IMPOSTO!$A:$D, 4, 0)</f>
        <v>0.12</v>
      </c>
      <c r="Z1014" s="24">
        <f>VLOOKUP(L1014, IMPOSTO!$A:$D, 4, 0)</f>
        <v>0.12</v>
      </c>
      <c r="AA1014" s="24">
        <f>VLOOKUP(M1014, IMPOSTO!$A:$D, 4, 0)</f>
        <v>0.12</v>
      </c>
      <c r="AB1014" s="24">
        <f>VLOOKUP(N1014, IMPOSTO!$A:$D, 4, 0)</f>
        <v>7.0000000000000007E-2</v>
      </c>
      <c r="AC1014" s="25">
        <f t="shared" si="145"/>
        <v>980.67051587995365</v>
      </c>
      <c r="AD1014" s="25">
        <f t="shared" si="146"/>
        <v>1049.1932431526809</v>
      </c>
      <c r="AE1014" s="25">
        <f t="shared" si="147"/>
        <v>1023.8602730907089</v>
      </c>
      <c r="AF1014" s="25">
        <f t="shared" si="148"/>
        <v>908.73869769813552</v>
      </c>
      <c r="AG1014" s="25">
        <f t="shared" si="149"/>
        <v>1031.1250613344992</v>
      </c>
      <c r="AH1014" s="25">
        <f t="shared" si="150"/>
        <v>935.44324315268091</v>
      </c>
      <c r="AI1014" s="25">
        <f t="shared" si="151"/>
        <v>1299.3441440584509</v>
      </c>
    </row>
    <row r="1015" spans="1:35" ht="15.75" customHeight="1">
      <c r="A1015" s="12" t="s">
        <v>741</v>
      </c>
      <c r="B1015" s="12" t="s">
        <v>742</v>
      </c>
      <c r="C1015" s="12" t="s">
        <v>160</v>
      </c>
      <c r="D1015" s="12" t="s">
        <v>33</v>
      </c>
      <c r="E1015" s="12" t="s">
        <v>736</v>
      </c>
      <c r="F1015" s="13">
        <v>153</v>
      </c>
      <c r="G1015" s="14">
        <v>8721.166530612245</v>
      </c>
      <c r="H1015" s="24" t="str">
        <f t="shared" si="144"/>
        <v>RSSP</v>
      </c>
      <c r="I1015" s="24" t="str">
        <f t="shared" si="152"/>
        <v>RSMG</v>
      </c>
      <c r="J1015" s="24" t="str">
        <f t="shared" si="152"/>
        <v>RSES</v>
      </c>
      <c r="K1015" s="24" t="str">
        <f t="shared" si="152"/>
        <v>RSSC</v>
      </c>
      <c r="L1015" s="24" t="str">
        <f t="shared" si="152"/>
        <v>RSRJ</v>
      </c>
      <c r="M1015" s="24" t="str">
        <f t="shared" si="152"/>
        <v>RSPR</v>
      </c>
      <c r="N1015" s="24" t="str">
        <f t="shared" si="152"/>
        <v>RSAM</v>
      </c>
      <c r="O1015" s="24">
        <f>VLOOKUP(H1015, KM!$A:$E, 5, 0)</f>
        <v>1109</v>
      </c>
      <c r="P1015" s="24">
        <f>VLOOKUP(I1015, KM!$A:$E, 5, 0)</f>
        <v>1712</v>
      </c>
      <c r="Q1015" s="24">
        <f>VLOOKUP(J1015, KM!$A:$E, 5, 0)</f>
        <v>2001</v>
      </c>
      <c r="R1015" s="24">
        <f>VLOOKUP(K1015, KM!$A:$E, 5, 0)</f>
        <v>476</v>
      </c>
      <c r="S1015" s="24">
        <f>VLOOKUP(L1015, KM!$A:$E, 5, 0)</f>
        <v>1553</v>
      </c>
      <c r="T1015" s="24">
        <f>VLOOKUP(M1015, KM!$A:$E, 5, 0)</f>
        <v>711</v>
      </c>
      <c r="U1015" s="24">
        <f>VLOOKUP(N1015, KM!$A:$E, 5, 0)</f>
        <v>4563</v>
      </c>
      <c r="V1015" s="24">
        <f>VLOOKUP(H1015, IMPOSTO!$A:$D, 4, 0)</f>
        <v>0.12</v>
      </c>
      <c r="W1015" s="24">
        <f>VLOOKUP(I1015, IMPOSTO!$A:$D, 4, 0)</f>
        <v>0.12</v>
      </c>
      <c r="X1015" s="24">
        <f>VLOOKUP(J1015, IMPOSTO!$A:$D, 4, 0)</f>
        <v>7.0000000000000007E-2</v>
      </c>
      <c r="Y1015" s="24">
        <f>VLOOKUP(K1015, IMPOSTO!$A:$D, 4, 0)</f>
        <v>0.12</v>
      </c>
      <c r="Z1015" s="24">
        <f>VLOOKUP(L1015, IMPOSTO!$A:$D, 4, 0)</f>
        <v>0.12</v>
      </c>
      <c r="AA1015" s="24">
        <f>VLOOKUP(M1015, IMPOSTO!$A:$D, 4, 0)</f>
        <v>0.12</v>
      </c>
      <c r="AB1015" s="24">
        <f>VLOOKUP(N1015, IMPOSTO!$A:$D, 4, 0)</f>
        <v>7.0000000000000007E-2</v>
      </c>
      <c r="AC1015" s="25">
        <f t="shared" si="145"/>
        <v>10036.439239332096</v>
      </c>
      <c r="AD1015" s="25">
        <f t="shared" si="146"/>
        <v>10104.961966604824</v>
      </c>
      <c r="AE1015" s="25">
        <f t="shared" si="147"/>
        <v>9592.7597103357475</v>
      </c>
      <c r="AF1015" s="25">
        <f t="shared" si="148"/>
        <v>9964.5074211502779</v>
      </c>
      <c r="AG1015" s="25">
        <f t="shared" si="149"/>
        <v>10086.893784786642</v>
      </c>
      <c r="AH1015" s="25">
        <f t="shared" si="150"/>
        <v>9991.2119666048238</v>
      </c>
      <c r="AI1015" s="25">
        <f t="shared" si="151"/>
        <v>9868.2435813034899</v>
      </c>
    </row>
    <row r="1016" spans="1:35" ht="15.75" customHeight="1">
      <c r="A1016" s="12" t="s">
        <v>494</v>
      </c>
      <c r="B1016" s="12" t="s">
        <v>495</v>
      </c>
      <c r="C1016" s="12" t="s">
        <v>192</v>
      </c>
      <c r="D1016" s="12" t="s">
        <v>50</v>
      </c>
      <c r="E1016" s="12" t="s">
        <v>736</v>
      </c>
      <c r="F1016" s="13">
        <v>1046.982519402985</v>
      </c>
      <c r="G1016" s="14">
        <v>10654.37242925373</v>
      </c>
      <c r="H1016" s="24" t="str">
        <f t="shared" si="144"/>
        <v>RSSP</v>
      </c>
      <c r="I1016" s="24" t="str">
        <f t="shared" si="152"/>
        <v>RSMG</v>
      </c>
      <c r="J1016" s="24" t="str">
        <f t="shared" si="152"/>
        <v>RSES</v>
      </c>
      <c r="K1016" s="24" t="str">
        <f t="shared" si="152"/>
        <v>RSSC</v>
      </c>
      <c r="L1016" s="24" t="str">
        <f t="shared" si="152"/>
        <v>RSRJ</v>
      </c>
      <c r="M1016" s="24" t="str">
        <f t="shared" si="152"/>
        <v>RSPR</v>
      </c>
      <c r="N1016" s="24" t="str">
        <f t="shared" si="152"/>
        <v>RSAM</v>
      </c>
      <c r="O1016" s="24">
        <f>VLOOKUP(H1016, KM!$A:$E, 5, 0)</f>
        <v>1109</v>
      </c>
      <c r="P1016" s="24">
        <f>VLOOKUP(I1016, KM!$A:$E, 5, 0)</f>
        <v>1712</v>
      </c>
      <c r="Q1016" s="24">
        <f>VLOOKUP(J1016, KM!$A:$E, 5, 0)</f>
        <v>2001</v>
      </c>
      <c r="R1016" s="24">
        <f>VLOOKUP(K1016, KM!$A:$E, 5, 0)</f>
        <v>476</v>
      </c>
      <c r="S1016" s="24">
        <f>VLOOKUP(L1016, KM!$A:$E, 5, 0)</f>
        <v>1553</v>
      </c>
      <c r="T1016" s="24">
        <f>VLOOKUP(M1016, KM!$A:$E, 5, 0)</f>
        <v>711</v>
      </c>
      <c r="U1016" s="24">
        <f>VLOOKUP(N1016, KM!$A:$E, 5, 0)</f>
        <v>4563</v>
      </c>
      <c r="V1016" s="24">
        <f>VLOOKUP(H1016, IMPOSTO!$A:$D, 4, 0)</f>
        <v>0.12</v>
      </c>
      <c r="W1016" s="24">
        <f>VLOOKUP(I1016, IMPOSTO!$A:$D, 4, 0)</f>
        <v>0.12</v>
      </c>
      <c r="X1016" s="24">
        <f>VLOOKUP(J1016, IMPOSTO!$A:$D, 4, 0)</f>
        <v>7.0000000000000007E-2</v>
      </c>
      <c r="Y1016" s="24">
        <f>VLOOKUP(K1016, IMPOSTO!$A:$D, 4, 0)</f>
        <v>0.12</v>
      </c>
      <c r="Z1016" s="24">
        <f>VLOOKUP(L1016, IMPOSTO!$A:$D, 4, 0)</f>
        <v>0.12</v>
      </c>
      <c r="AA1016" s="24">
        <f>VLOOKUP(M1016, IMPOSTO!$A:$D, 4, 0)</f>
        <v>0.12</v>
      </c>
      <c r="AB1016" s="24">
        <f>VLOOKUP(N1016, IMPOSTO!$A:$D, 4, 0)</f>
        <v>7.0000000000000007E-2</v>
      </c>
      <c r="AC1016" s="25">
        <f t="shared" si="145"/>
        <v>12233.264124151965</v>
      </c>
      <c r="AD1016" s="25">
        <f t="shared" si="146"/>
        <v>12301.786851424695</v>
      </c>
      <c r="AE1016" s="25">
        <f t="shared" si="147"/>
        <v>11671.475730380356</v>
      </c>
      <c r="AF1016" s="25">
        <f t="shared" si="148"/>
        <v>12161.332305970149</v>
      </c>
      <c r="AG1016" s="25">
        <f t="shared" si="149"/>
        <v>12283.718669606511</v>
      </c>
      <c r="AH1016" s="25">
        <f t="shared" si="150"/>
        <v>12188.036851424693</v>
      </c>
      <c r="AI1016" s="25">
        <f t="shared" si="151"/>
        <v>11946.959601348097</v>
      </c>
    </row>
    <row r="1017" spans="1:35" ht="15.75" customHeight="1">
      <c r="A1017" s="12" t="s">
        <v>743</v>
      </c>
      <c r="B1017" s="12" t="s">
        <v>744</v>
      </c>
      <c r="C1017" s="12" t="s">
        <v>63</v>
      </c>
      <c r="D1017" s="12" t="s">
        <v>33</v>
      </c>
      <c r="E1017" s="12" t="s">
        <v>736</v>
      </c>
      <c r="F1017" s="13">
        <v>20</v>
      </c>
      <c r="G1017" s="14">
        <v>4758.0800000000008</v>
      </c>
      <c r="H1017" s="24" t="str">
        <f t="shared" si="144"/>
        <v>RSSP</v>
      </c>
      <c r="I1017" s="24" t="str">
        <f t="shared" si="152"/>
        <v>RSMG</v>
      </c>
      <c r="J1017" s="24" t="str">
        <f t="shared" si="152"/>
        <v>RSES</v>
      </c>
      <c r="K1017" s="24" t="str">
        <f t="shared" si="152"/>
        <v>RSSC</v>
      </c>
      <c r="L1017" s="24" t="str">
        <f t="shared" si="152"/>
        <v>RSRJ</v>
      </c>
      <c r="M1017" s="24" t="str">
        <f t="shared" si="152"/>
        <v>RSPR</v>
      </c>
      <c r="N1017" s="24" t="str">
        <f t="shared" si="152"/>
        <v>RSAM</v>
      </c>
      <c r="O1017" s="24">
        <f>VLOOKUP(H1017, KM!$A:$E, 5, 0)</f>
        <v>1109</v>
      </c>
      <c r="P1017" s="24">
        <f>VLOOKUP(I1017, KM!$A:$E, 5, 0)</f>
        <v>1712</v>
      </c>
      <c r="Q1017" s="24">
        <f>VLOOKUP(J1017, KM!$A:$E, 5, 0)</f>
        <v>2001</v>
      </c>
      <c r="R1017" s="24">
        <f>VLOOKUP(K1017, KM!$A:$E, 5, 0)</f>
        <v>476</v>
      </c>
      <c r="S1017" s="24">
        <f>VLOOKUP(L1017, KM!$A:$E, 5, 0)</f>
        <v>1553</v>
      </c>
      <c r="T1017" s="24">
        <f>VLOOKUP(M1017, KM!$A:$E, 5, 0)</f>
        <v>711</v>
      </c>
      <c r="U1017" s="24">
        <f>VLOOKUP(N1017, KM!$A:$E, 5, 0)</f>
        <v>4563</v>
      </c>
      <c r="V1017" s="24">
        <f>VLOOKUP(H1017, IMPOSTO!$A:$D, 4, 0)</f>
        <v>0.12</v>
      </c>
      <c r="W1017" s="24">
        <f>VLOOKUP(I1017, IMPOSTO!$A:$D, 4, 0)</f>
        <v>0.12</v>
      </c>
      <c r="X1017" s="24">
        <f>VLOOKUP(J1017, IMPOSTO!$A:$D, 4, 0)</f>
        <v>7.0000000000000007E-2</v>
      </c>
      <c r="Y1017" s="24">
        <f>VLOOKUP(K1017, IMPOSTO!$A:$D, 4, 0)</f>
        <v>0.12</v>
      </c>
      <c r="Z1017" s="24">
        <f>VLOOKUP(L1017, IMPOSTO!$A:$D, 4, 0)</f>
        <v>0.12</v>
      </c>
      <c r="AA1017" s="24">
        <f>VLOOKUP(M1017, IMPOSTO!$A:$D, 4, 0)</f>
        <v>0.12</v>
      </c>
      <c r="AB1017" s="24">
        <f>VLOOKUP(N1017, IMPOSTO!$A:$D, 4, 0)</f>
        <v>7.0000000000000007E-2</v>
      </c>
      <c r="AC1017" s="25">
        <f t="shared" si="145"/>
        <v>5532.9318181818189</v>
      </c>
      <c r="AD1017" s="25">
        <f t="shared" si="146"/>
        <v>5601.454545454546</v>
      </c>
      <c r="AE1017" s="25">
        <f t="shared" si="147"/>
        <v>5331.376344086023</v>
      </c>
      <c r="AF1017" s="25">
        <f t="shared" si="148"/>
        <v>5461.0000000000009</v>
      </c>
      <c r="AG1017" s="25">
        <f t="shared" si="149"/>
        <v>5583.3863636363649</v>
      </c>
      <c r="AH1017" s="25">
        <f t="shared" si="150"/>
        <v>5487.7045454545469</v>
      </c>
      <c r="AI1017" s="25">
        <f t="shared" si="151"/>
        <v>5606.8602150537645</v>
      </c>
    </row>
    <row r="1018" spans="1:35" ht="15.75" customHeight="1">
      <c r="A1018" s="12" t="s">
        <v>506</v>
      </c>
      <c r="B1018" s="12" t="s">
        <v>507</v>
      </c>
      <c r="C1018" s="12" t="s">
        <v>66</v>
      </c>
      <c r="D1018" s="12" t="s">
        <v>50</v>
      </c>
      <c r="E1018" s="12" t="s">
        <v>736</v>
      </c>
      <c r="F1018" s="13">
        <v>20074.178799999998</v>
      </c>
      <c r="G1018" s="14">
        <v>404012.96883601754</v>
      </c>
      <c r="H1018" s="24" t="str">
        <f t="shared" si="144"/>
        <v>RSSP</v>
      </c>
      <c r="I1018" s="24" t="str">
        <f t="shared" si="152"/>
        <v>RSMG</v>
      </c>
      <c r="J1018" s="24" t="str">
        <f t="shared" si="152"/>
        <v>RSES</v>
      </c>
      <c r="K1018" s="24" t="str">
        <f t="shared" si="152"/>
        <v>RSSC</v>
      </c>
      <c r="L1018" s="24" t="str">
        <f t="shared" si="152"/>
        <v>RSRJ</v>
      </c>
      <c r="M1018" s="24" t="str">
        <f t="shared" si="152"/>
        <v>RSPR</v>
      </c>
      <c r="N1018" s="24" t="str">
        <f t="shared" si="152"/>
        <v>RSAM</v>
      </c>
      <c r="O1018" s="24">
        <f>VLOOKUP(H1018, KM!$A:$E, 5, 0)</f>
        <v>1109</v>
      </c>
      <c r="P1018" s="24">
        <f>VLOOKUP(I1018, KM!$A:$E, 5, 0)</f>
        <v>1712</v>
      </c>
      <c r="Q1018" s="24">
        <f>VLOOKUP(J1018, KM!$A:$E, 5, 0)</f>
        <v>2001</v>
      </c>
      <c r="R1018" s="24">
        <f>VLOOKUP(K1018, KM!$A:$E, 5, 0)</f>
        <v>476</v>
      </c>
      <c r="S1018" s="24">
        <f>VLOOKUP(L1018, KM!$A:$E, 5, 0)</f>
        <v>1553</v>
      </c>
      <c r="T1018" s="24">
        <f>VLOOKUP(M1018, KM!$A:$E, 5, 0)</f>
        <v>711</v>
      </c>
      <c r="U1018" s="24">
        <f>VLOOKUP(N1018, KM!$A:$E, 5, 0)</f>
        <v>4563</v>
      </c>
      <c r="V1018" s="24">
        <f>VLOOKUP(H1018, IMPOSTO!$A:$D, 4, 0)</f>
        <v>0.12</v>
      </c>
      <c r="W1018" s="24">
        <f>VLOOKUP(I1018, IMPOSTO!$A:$D, 4, 0)</f>
        <v>0.12</v>
      </c>
      <c r="X1018" s="24">
        <f>VLOOKUP(J1018, IMPOSTO!$A:$D, 4, 0)</f>
        <v>7.0000000000000007E-2</v>
      </c>
      <c r="Y1018" s="24">
        <f>VLOOKUP(K1018, IMPOSTO!$A:$D, 4, 0)</f>
        <v>0.12</v>
      </c>
      <c r="Z1018" s="24">
        <f>VLOOKUP(L1018, IMPOSTO!$A:$D, 4, 0)</f>
        <v>0.12</v>
      </c>
      <c r="AA1018" s="24">
        <f>VLOOKUP(M1018, IMPOSTO!$A:$D, 4, 0)</f>
        <v>0.12</v>
      </c>
      <c r="AB1018" s="24">
        <f>VLOOKUP(N1018, IMPOSTO!$A:$D, 4, 0)</f>
        <v>7.0000000000000007E-2</v>
      </c>
      <c r="AC1018" s="25">
        <f t="shared" si="145"/>
        <v>459231.66913183813</v>
      </c>
      <c r="AD1018" s="25">
        <f t="shared" si="146"/>
        <v>459300.19185911084</v>
      </c>
      <c r="AE1018" s="25">
        <f t="shared" si="147"/>
        <v>434637.70842582529</v>
      </c>
      <c r="AF1018" s="25">
        <f t="shared" si="148"/>
        <v>459159.73731365625</v>
      </c>
      <c r="AG1018" s="25">
        <f t="shared" si="149"/>
        <v>459282.12367729266</v>
      </c>
      <c r="AH1018" s="25">
        <f t="shared" si="150"/>
        <v>459186.44185911078</v>
      </c>
      <c r="AI1018" s="25">
        <f t="shared" si="151"/>
        <v>434913.19229679304</v>
      </c>
    </row>
    <row r="1019" spans="1:35" ht="15.75" customHeight="1">
      <c r="A1019" s="12" t="s">
        <v>745</v>
      </c>
      <c r="B1019" s="12" t="s">
        <v>746</v>
      </c>
      <c r="C1019" s="12" t="s">
        <v>192</v>
      </c>
      <c r="D1019" s="12" t="s">
        <v>50</v>
      </c>
      <c r="E1019" s="12" t="s">
        <v>736</v>
      </c>
      <c r="F1019" s="13">
        <v>18.18181818181818</v>
      </c>
      <c r="G1019" s="14">
        <v>1757.0681818181815</v>
      </c>
      <c r="H1019" s="24" t="str">
        <f t="shared" si="144"/>
        <v>RSSP</v>
      </c>
      <c r="I1019" s="24" t="str">
        <f t="shared" si="152"/>
        <v>RSMG</v>
      </c>
      <c r="J1019" s="24" t="str">
        <f t="shared" si="152"/>
        <v>RSES</v>
      </c>
      <c r="K1019" s="24" t="str">
        <f t="shared" si="152"/>
        <v>RSSC</v>
      </c>
      <c r="L1019" s="24" t="str">
        <f t="shared" si="152"/>
        <v>RSRJ</v>
      </c>
      <c r="M1019" s="24" t="str">
        <f t="shared" si="152"/>
        <v>RSPR</v>
      </c>
      <c r="N1019" s="24" t="str">
        <f t="shared" si="152"/>
        <v>RSAM</v>
      </c>
      <c r="O1019" s="24">
        <f>VLOOKUP(H1019, KM!$A:$E, 5, 0)</f>
        <v>1109</v>
      </c>
      <c r="P1019" s="24">
        <f>VLOOKUP(I1019, KM!$A:$E, 5, 0)</f>
        <v>1712</v>
      </c>
      <c r="Q1019" s="24">
        <f>VLOOKUP(J1019, KM!$A:$E, 5, 0)</f>
        <v>2001</v>
      </c>
      <c r="R1019" s="24">
        <f>VLOOKUP(K1019, KM!$A:$E, 5, 0)</f>
        <v>476</v>
      </c>
      <c r="S1019" s="24">
        <f>VLOOKUP(L1019, KM!$A:$E, 5, 0)</f>
        <v>1553</v>
      </c>
      <c r="T1019" s="24">
        <f>VLOOKUP(M1019, KM!$A:$E, 5, 0)</f>
        <v>711</v>
      </c>
      <c r="U1019" s="24">
        <f>VLOOKUP(N1019, KM!$A:$E, 5, 0)</f>
        <v>4563</v>
      </c>
      <c r="V1019" s="24">
        <f>VLOOKUP(H1019, IMPOSTO!$A:$D, 4, 0)</f>
        <v>0.12</v>
      </c>
      <c r="W1019" s="24">
        <f>VLOOKUP(I1019, IMPOSTO!$A:$D, 4, 0)</f>
        <v>0.12</v>
      </c>
      <c r="X1019" s="24">
        <f>VLOOKUP(J1019, IMPOSTO!$A:$D, 4, 0)</f>
        <v>7.0000000000000007E-2</v>
      </c>
      <c r="Y1019" s="24">
        <f>VLOOKUP(K1019, IMPOSTO!$A:$D, 4, 0)</f>
        <v>0.12</v>
      </c>
      <c r="Z1019" s="24">
        <f>VLOOKUP(L1019, IMPOSTO!$A:$D, 4, 0)</f>
        <v>0.12</v>
      </c>
      <c r="AA1019" s="24">
        <f>VLOOKUP(M1019, IMPOSTO!$A:$D, 4, 0)</f>
        <v>0.12</v>
      </c>
      <c r="AB1019" s="24">
        <f>VLOOKUP(N1019, IMPOSTO!$A:$D, 4, 0)</f>
        <v>7.0000000000000007E-2</v>
      </c>
      <c r="AC1019" s="25">
        <f t="shared" si="145"/>
        <v>2122.6911157024792</v>
      </c>
      <c r="AD1019" s="25">
        <f t="shared" si="146"/>
        <v>2191.2138429752063</v>
      </c>
      <c r="AE1019" s="25">
        <f t="shared" si="147"/>
        <v>2104.4819159335284</v>
      </c>
      <c r="AF1019" s="25">
        <f t="shared" si="148"/>
        <v>2050.7592975206608</v>
      </c>
      <c r="AG1019" s="25">
        <f t="shared" si="149"/>
        <v>2173.1456611570243</v>
      </c>
      <c r="AH1019" s="25">
        <f t="shared" si="150"/>
        <v>2077.4638429752063</v>
      </c>
      <c r="AI1019" s="25">
        <f t="shared" si="151"/>
        <v>2379.9657869012708</v>
      </c>
    </row>
    <row r="1020" spans="1:35" ht="15.75" customHeight="1">
      <c r="A1020" s="12" t="s">
        <v>747</v>
      </c>
      <c r="B1020" s="12" t="s">
        <v>748</v>
      </c>
      <c r="C1020" s="12" t="s">
        <v>192</v>
      </c>
      <c r="D1020" s="12" t="s">
        <v>50</v>
      </c>
      <c r="E1020" s="12" t="s">
        <v>736</v>
      </c>
      <c r="F1020" s="13">
        <v>10</v>
      </c>
      <c r="G1020" s="14">
        <v>1208.0749999999998</v>
      </c>
      <c r="H1020" s="24" t="str">
        <f t="shared" si="144"/>
        <v>RSSP</v>
      </c>
      <c r="I1020" s="24" t="str">
        <f t="shared" si="152"/>
        <v>RSMG</v>
      </c>
      <c r="J1020" s="24" t="str">
        <f t="shared" si="152"/>
        <v>RSES</v>
      </c>
      <c r="K1020" s="24" t="str">
        <f t="shared" si="152"/>
        <v>RSSC</v>
      </c>
      <c r="L1020" s="24" t="str">
        <f t="shared" si="152"/>
        <v>RSRJ</v>
      </c>
      <c r="M1020" s="24" t="str">
        <f t="shared" si="152"/>
        <v>RSPR</v>
      </c>
      <c r="N1020" s="24" t="str">
        <f t="shared" si="152"/>
        <v>RSAM</v>
      </c>
      <c r="O1020" s="24">
        <f>VLOOKUP(H1020, KM!$A:$E, 5, 0)</f>
        <v>1109</v>
      </c>
      <c r="P1020" s="24">
        <f>VLOOKUP(I1020, KM!$A:$E, 5, 0)</f>
        <v>1712</v>
      </c>
      <c r="Q1020" s="24">
        <f>VLOOKUP(J1020, KM!$A:$E, 5, 0)</f>
        <v>2001</v>
      </c>
      <c r="R1020" s="24">
        <f>VLOOKUP(K1020, KM!$A:$E, 5, 0)</f>
        <v>476</v>
      </c>
      <c r="S1020" s="24">
        <f>VLOOKUP(L1020, KM!$A:$E, 5, 0)</f>
        <v>1553</v>
      </c>
      <c r="T1020" s="24">
        <f>VLOOKUP(M1020, KM!$A:$E, 5, 0)</f>
        <v>711</v>
      </c>
      <c r="U1020" s="24">
        <f>VLOOKUP(N1020, KM!$A:$E, 5, 0)</f>
        <v>4563</v>
      </c>
      <c r="V1020" s="24">
        <f>VLOOKUP(H1020, IMPOSTO!$A:$D, 4, 0)</f>
        <v>0.12</v>
      </c>
      <c r="W1020" s="24">
        <f>VLOOKUP(I1020, IMPOSTO!$A:$D, 4, 0)</f>
        <v>0.12</v>
      </c>
      <c r="X1020" s="24">
        <f>VLOOKUP(J1020, IMPOSTO!$A:$D, 4, 0)</f>
        <v>7.0000000000000007E-2</v>
      </c>
      <c r="Y1020" s="24">
        <f>VLOOKUP(K1020, IMPOSTO!$A:$D, 4, 0)</f>
        <v>0.12</v>
      </c>
      <c r="Z1020" s="24">
        <f>VLOOKUP(L1020, IMPOSTO!$A:$D, 4, 0)</f>
        <v>0.12</v>
      </c>
      <c r="AA1020" s="24">
        <f>VLOOKUP(M1020, IMPOSTO!$A:$D, 4, 0)</f>
        <v>0.12</v>
      </c>
      <c r="AB1020" s="24">
        <f>VLOOKUP(N1020, IMPOSTO!$A:$D, 4, 0)</f>
        <v>7.0000000000000007E-2</v>
      </c>
      <c r="AC1020" s="25">
        <f t="shared" si="145"/>
        <v>1498.8352272727273</v>
      </c>
      <c r="AD1020" s="25">
        <f t="shared" si="146"/>
        <v>1567.3579545454543</v>
      </c>
      <c r="AE1020" s="25">
        <f t="shared" si="147"/>
        <v>1514.1666666666665</v>
      </c>
      <c r="AF1020" s="25">
        <f t="shared" si="148"/>
        <v>1426.9034090909088</v>
      </c>
      <c r="AG1020" s="25">
        <f t="shared" si="149"/>
        <v>1549.2897727272725</v>
      </c>
      <c r="AH1020" s="25">
        <f t="shared" si="150"/>
        <v>1453.6079545454543</v>
      </c>
      <c r="AI1020" s="25">
        <f t="shared" si="151"/>
        <v>1789.6505376344085</v>
      </c>
    </row>
    <row r="1021" spans="1:35" ht="15.75" customHeight="1">
      <c r="A1021" s="12" t="s">
        <v>749</v>
      </c>
      <c r="B1021" s="12" t="s">
        <v>750</v>
      </c>
      <c r="C1021" s="12" t="s">
        <v>192</v>
      </c>
      <c r="D1021" s="12" t="s">
        <v>33</v>
      </c>
      <c r="E1021" s="12" t="s">
        <v>736</v>
      </c>
      <c r="F1021" s="13">
        <v>26.000000000000004</v>
      </c>
      <c r="G1021" s="14">
        <v>1274.4129411764707</v>
      </c>
      <c r="H1021" s="24" t="str">
        <f t="shared" si="144"/>
        <v>RSSP</v>
      </c>
      <c r="I1021" s="24" t="str">
        <f t="shared" si="152"/>
        <v>RSMG</v>
      </c>
      <c r="J1021" s="24" t="str">
        <f t="shared" si="152"/>
        <v>RSES</v>
      </c>
      <c r="K1021" s="24" t="str">
        <f t="shared" si="152"/>
        <v>RSSC</v>
      </c>
      <c r="L1021" s="24" t="str">
        <f t="shared" si="152"/>
        <v>RSRJ</v>
      </c>
      <c r="M1021" s="24" t="str">
        <f t="shared" si="152"/>
        <v>RSPR</v>
      </c>
      <c r="N1021" s="24" t="str">
        <f t="shared" si="152"/>
        <v>RSAM</v>
      </c>
      <c r="O1021" s="24">
        <f>VLOOKUP(H1021, KM!$A:$E, 5, 0)</f>
        <v>1109</v>
      </c>
      <c r="P1021" s="24">
        <f>VLOOKUP(I1021, KM!$A:$E, 5, 0)</f>
        <v>1712</v>
      </c>
      <c r="Q1021" s="24">
        <f>VLOOKUP(J1021, KM!$A:$E, 5, 0)</f>
        <v>2001</v>
      </c>
      <c r="R1021" s="24">
        <f>VLOOKUP(K1021, KM!$A:$E, 5, 0)</f>
        <v>476</v>
      </c>
      <c r="S1021" s="24">
        <f>VLOOKUP(L1021, KM!$A:$E, 5, 0)</f>
        <v>1553</v>
      </c>
      <c r="T1021" s="24">
        <f>VLOOKUP(M1021, KM!$A:$E, 5, 0)</f>
        <v>711</v>
      </c>
      <c r="U1021" s="24">
        <f>VLOOKUP(N1021, KM!$A:$E, 5, 0)</f>
        <v>4563</v>
      </c>
      <c r="V1021" s="24">
        <f>VLOOKUP(H1021, IMPOSTO!$A:$D, 4, 0)</f>
        <v>0.12</v>
      </c>
      <c r="W1021" s="24">
        <f>VLOOKUP(I1021, IMPOSTO!$A:$D, 4, 0)</f>
        <v>0.12</v>
      </c>
      <c r="X1021" s="24">
        <f>VLOOKUP(J1021, IMPOSTO!$A:$D, 4, 0)</f>
        <v>7.0000000000000007E-2</v>
      </c>
      <c r="Y1021" s="24">
        <f>VLOOKUP(K1021, IMPOSTO!$A:$D, 4, 0)</f>
        <v>0.12</v>
      </c>
      <c r="Z1021" s="24">
        <f>VLOOKUP(L1021, IMPOSTO!$A:$D, 4, 0)</f>
        <v>0.12</v>
      </c>
      <c r="AA1021" s="24">
        <f>VLOOKUP(M1021, IMPOSTO!$A:$D, 4, 0)</f>
        <v>0.12</v>
      </c>
      <c r="AB1021" s="24">
        <f>VLOOKUP(N1021, IMPOSTO!$A:$D, 4, 0)</f>
        <v>7.0000000000000007E-2</v>
      </c>
      <c r="AC1021" s="25">
        <f t="shared" si="145"/>
        <v>1574.2192513368987</v>
      </c>
      <c r="AD1021" s="25">
        <f t="shared" si="146"/>
        <v>1642.7419786096259</v>
      </c>
      <c r="AE1021" s="25">
        <f t="shared" si="147"/>
        <v>1585.4977862112587</v>
      </c>
      <c r="AF1021" s="25">
        <f t="shared" si="148"/>
        <v>1502.2874331550802</v>
      </c>
      <c r="AG1021" s="25">
        <f t="shared" si="149"/>
        <v>1624.6737967914439</v>
      </c>
      <c r="AH1021" s="25">
        <f t="shared" si="150"/>
        <v>1528.9919786096257</v>
      </c>
      <c r="AI1021" s="25">
        <f t="shared" si="151"/>
        <v>1860.9816571790009</v>
      </c>
    </row>
    <row r="1022" spans="1:35" ht="15.75" customHeight="1">
      <c r="A1022" s="12" t="s">
        <v>751</v>
      </c>
      <c r="B1022" s="12" t="s">
        <v>752</v>
      </c>
      <c r="C1022" s="12" t="s">
        <v>192</v>
      </c>
      <c r="D1022" s="12" t="s">
        <v>33</v>
      </c>
      <c r="E1022" s="12" t="s">
        <v>736</v>
      </c>
      <c r="F1022" s="13">
        <v>125.00000000000007</v>
      </c>
      <c r="G1022" s="14">
        <v>10478.976293103451</v>
      </c>
      <c r="H1022" s="24" t="str">
        <f t="shared" si="144"/>
        <v>RSSP</v>
      </c>
      <c r="I1022" s="24" t="str">
        <f t="shared" si="152"/>
        <v>RSMG</v>
      </c>
      <c r="J1022" s="24" t="str">
        <f t="shared" si="152"/>
        <v>RSES</v>
      </c>
      <c r="K1022" s="24" t="str">
        <f t="shared" si="152"/>
        <v>RSSC</v>
      </c>
      <c r="L1022" s="24" t="str">
        <f t="shared" si="152"/>
        <v>RSRJ</v>
      </c>
      <c r="M1022" s="24" t="str">
        <f t="shared" si="152"/>
        <v>RSPR</v>
      </c>
      <c r="N1022" s="24" t="str">
        <f t="shared" si="152"/>
        <v>RSAM</v>
      </c>
      <c r="O1022" s="24">
        <f>VLOOKUP(H1022, KM!$A:$E, 5, 0)</f>
        <v>1109</v>
      </c>
      <c r="P1022" s="24">
        <f>VLOOKUP(I1022, KM!$A:$E, 5, 0)</f>
        <v>1712</v>
      </c>
      <c r="Q1022" s="24">
        <f>VLOOKUP(J1022, KM!$A:$E, 5, 0)</f>
        <v>2001</v>
      </c>
      <c r="R1022" s="24">
        <f>VLOOKUP(K1022, KM!$A:$E, 5, 0)</f>
        <v>476</v>
      </c>
      <c r="S1022" s="24">
        <f>VLOOKUP(L1022, KM!$A:$E, 5, 0)</f>
        <v>1553</v>
      </c>
      <c r="T1022" s="24">
        <f>VLOOKUP(M1022, KM!$A:$E, 5, 0)</f>
        <v>711</v>
      </c>
      <c r="U1022" s="24">
        <f>VLOOKUP(N1022, KM!$A:$E, 5, 0)</f>
        <v>4563</v>
      </c>
      <c r="V1022" s="24">
        <f>VLOOKUP(H1022, IMPOSTO!$A:$D, 4, 0)</f>
        <v>0.12</v>
      </c>
      <c r="W1022" s="24">
        <f>VLOOKUP(I1022, IMPOSTO!$A:$D, 4, 0)</f>
        <v>0.12</v>
      </c>
      <c r="X1022" s="24">
        <f>VLOOKUP(J1022, IMPOSTO!$A:$D, 4, 0)</f>
        <v>7.0000000000000007E-2</v>
      </c>
      <c r="Y1022" s="24">
        <f>VLOOKUP(K1022, IMPOSTO!$A:$D, 4, 0)</f>
        <v>0.12</v>
      </c>
      <c r="Z1022" s="24">
        <f>VLOOKUP(L1022, IMPOSTO!$A:$D, 4, 0)</f>
        <v>0.12</v>
      </c>
      <c r="AA1022" s="24">
        <f>VLOOKUP(M1022, IMPOSTO!$A:$D, 4, 0)</f>
        <v>0.12</v>
      </c>
      <c r="AB1022" s="24">
        <f>VLOOKUP(N1022, IMPOSTO!$A:$D, 4, 0)</f>
        <v>7.0000000000000007E-2</v>
      </c>
      <c r="AC1022" s="25">
        <f t="shared" si="145"/>
        <v>12033.950333072104</v>
      </c>
      <c r="AD1022" s="25">
        <f t="shared" si="146"/>
        <v>12102.473060344832</v>
      </c>
      <c r="AE1022" s="25">
        <f t="shared" si="147"/>
        <v>11482.877734519841</v>
      </c>
      <c r="AF1022" s="25">
        <f t="shared" si="148"/>
        <v>11962.018514890286</v>
      </c>
      <c r="AG1022" s="25">
        <f t="shared" si="149"/>
        <v>12084.404878526648</v>
      </c>
      <c r="AH1022" s="25">
        <f t="shared" si="150"/>
        <v>11988.723060344832</v>
      </c>
      <c r="AI1022" s="25">
        <f t="shared" si="151"/>
        <v>11758.361605487582</v>
      </c>
    </row>
    <row r="1023" spans="1:35" ht="15.75" customHeight="1">
      <c r="A1023" s="12" t="s">
        <v>739</v>
      </c>
      <c r="B1023" s="12" t="s">
        <v>740</v>
      </c>
      <c r="C1023" s="12" t="s">
        <v>192</v>
      </c>
      <c r="D1023" s="12" t="s">
        <v>50</v>
      </c>
      <c r="E1023" s="12" t="s">
        <v>736</v>
      </c>
      <c r="F1023" s="13">
        <v>11.075076923076923</v>
      </c>
      <c r="G1023" s="14">
        <v>260.28045884615392</v>
      </c>
      <c r="H1023" s="24" t="str">
        <f t="shared" si="144"/>
        <v>RSSP</v>
      </c>
      <c r="I1023" s="24" t="str">
        <f t="shared" si="152"/>
        <v>RSMG</v>
      </c>
      <c r="J1023" s="24" t="str">
        <f t="shared" si="152"/>
        <v>RSES</v>
      </c>
      <c r="K1023" s="24" t="str">
        <f t="shared" si="152"/>
        <v>RSSC</v>
      </c>
      <c r="L1023" s="24" t="str">
        <f t="shared" si="152"/>
        <v>RSRJ</v>
      </c>
      <c r="M1023" s="24" t="str">
        <f t="shared" si="152"/>
        <v>RSPR</v>
      </c>
      <c r="N1023" s="24" t="str">
        <f t="shared" si="152"/>
        <v>RSAM</v>
      </c>
      <c r="O1023" s="24">
        <f>VLOOKUP(H1023, KM!$A:$E, 5, 0)</f>
        <v>1109</v>
      </c>
      <c r="P1023" s="24">
        <f>VLOOKUP(I1023, KM!$A:$E, 5, 0)</f>
        <v>1712</v>
      </c>
      <c r="Q1023" s="24">
        <f>VLOOKUP(J1023, KM!$A:$E, 5, 0)</f>
        <v>2001</v>
      </c>
      <c r="R1023" s="24">
        <f>VLOOKUP(K1023, KM!$A:$E, 5, 0)</f>
        <v>476</v>
      </c>
      <c r="S1023" s="24">
        <f>VLOOKUP(L1023, KM!$A:$E, 5, 0)</f>
        <v>1553</v>
      </c>
      <c r="T1023" s="24">
        <f>VLOOKUP(M1023, KM!$A:$E, 5, 0)</f>
        <v>711</v>
      </c>
      <c r="U1023" s="24">
        <f>VLOOKUP(N1023, KM!$A:$E, 5, 0)</f>
        <v>4563</v>
      </c>
      <c r="V1023" s="24">
        <f>VLOOKUP(H1023, IMPOSTO!$A:$D, 4, 0)</f>
        <v>0.12</v>
      </c>
      <c r="W1023" s="24">
        <f>VLOOKUP(I1023, IMPOSTO!$A:$D, 4, 0)</f>
        <v>0.12</v>
      </c>
      <c r="X1023" s="24">
        <f>VLOOKUP(J1023, IMPOSTO!$A:$D, 4, 0)</f>
        <v>7.0000000000000007E-2</v>
      </c>
      <c r="Y1023" s="24">
        <f>VLOOKUP(K1023, IMPOSTO!$A:$D, 4, 0)</f>
        <v>0.12</v>
      </c>
      <c r="Z1023" s="24">
        <f>VLOOKUP(L1023, IMPOSTO!$A:$D, 4, 0)</f>
        <v>0.12</v>
      </c>
      <c r="AA1023" s="24">
        <f>VLOOKUP(M1023, IMPOSTO!$A:$D, 4, 0)</f>
        <v>0.12</v>
      </c>
      <c r="AB1023" s="24">
        <f>VLOOKUP(N1023, IMPOSTO!$A:$D, 4, 0)</f>
        <v>7.0000000000000007E-2</v>
      </c>
      <c r="AC1023" s="25">
        <f t="shared" si="145"/>
        <v>421.79597596153855</v>
      </c>
      <c r="AD1023" s="25">
        <f t="shared" si="146"/>
        <v>490.31870323426585</v>
      </c>
      <c r="AE1023" s="25">
        <f t="shared" si="147"/>
        <v>495.03275144747738</v>
      </c>
      <c r="AF1023" s="25">
        <f t="shared" si="148"/>
        <v>349.86415777972041</v>
      </c>
      <c r="AG1023" s="25">
        <f t="shared" si="149"/>
        <v>472.25052141608398</v>
      </c>
      <c r="AH1023" s="25">
        <f t="shared" si="150"/>
        <v>376.56870323426585</v>
      </c>
      <c r="AI1023" s="25">
        <f t="shared" si="151"/>
        <v>770.51662241521944</v>
      </c>
    </row>
    <row r="1024" spans="1:35" ht="15.75" customHeight="1">
      <c r="A1024" s="12" t="s">
        <v>506</v>
      </c>
      <c r="B1024" s="12" t="s">
        <v>507</v>
      </c>
      <c r="C1024" s="12" t="s">
        <v>66</v>
      </c>
      <c r="D1024" s="12" t="s">
        <v>50</v>
      </c>
      <c r="E1024" s="12" t="s">
        <v>736</v>
      </c>
      <c r="F1024" s="13">
        <v>14088.821199999998</v>
      </c>
      <c r="G1024" s="14">
        <v>283551.64797136426</v>
      </c>
      <c r="H1024" s="24" t="str">
        <f t="shared" si="144"/>
        <v>RSSP</v>
      </c>
      <c r="I1024" s="24" t="str">
        <f t="shared" si="152"/>
        <v>RSMG</v>
      </c>
      <c r="J1024" s="24" t="str">
        <f t="shared" si="152"/>
        <v>RSES</v>
      </c>
      <c r="K1024" s="24" t="str">
        <f t="shared" si="152"/>
        <v>RSSC</v>
      </c>
      <c r="L1024" s="24" t="str">
        <f t="shared" si="152"/>
        <v>RSRJ</v>
      </c>
      <c r="M1024" s="24" t="str">
        <f t="shared" si="152"/>
        <v>RSPR</v>
      </c>
      <c r="N1024" s="24" t="str">
        <f t="shared" si="152"/>
        <v>RSAM</v>
      </c>
      <c r="O1024" s="24">
        <f>VLOOKUP(H1024, KM!$A:$E, 5, 0)</f>
        <v>1109</v>
      </c>
      <c r="P1024" s="24">
        <f>VLOOKUP(I1024, KM!$A:$E, 5, 0)</f>
        <v>1712</v>
      </c>
      <c r="Q1024" s="24">
        <f>VLOOKUP(J1024, KM!$A:$E, 5, 0)</f>
        <v>2001</v>
      </c>
      <c r="R1024" s="24">
        <f>VLOOKUP(K1024, KM!$A:$E, 5, 0)</f>
        <v>476</v>
      </c>
      <c r="S1024" s="24">
        <f>VLOOKUP(L1024, KM!$A:$E, 5, 0)</f>
        <v>1553</v>
      </c>
      <c r="T1024" s="24">
        <f>VLOOKUP(M1024, KM!$A:$E, 5, 0)</f>
        <v>711</v>
      </c>
      <c r="U1024" s="24">
        <f>VLOOKUP(N1024, KM!$A:$E, 5, 0)</f>
        <v>4563</v>
      </c>
      <c r="V1024" s="24">
        <f>VLOOKUP(H1024, IMPOSTO!$A:$D, 4, 0)</f>
        <v>0.12</v>
      </c>
      <c r="W1024" s="24">
        <f>VLOOKUP(I1024, IMPOSTO!$A:$D, 4, 0)</f>
        <v>0.12</v>
      </c>
      <c r="X1024" s="24">
        <f>VLOOKUP(J1024, IMPOSTO!$A:$D, 4, 0)</f>
        <v>7.0000000000000007E-2</v>
      </c>
      <c r="Y1024" s="24">
        <f>VLOOKUP(K1024, IMPOSTO!$A:$D, 4, 0)</f>
        <v>0.12</v>
      </c>
      <c r="Z1024" s="24">
        <f>VLOOKUP(L1024, IMPOSTO!$A:$D, 4, 0)</f>
        <v>0.12</v>
      </c>
      <c r="AA1024" s="24">
        <f>VLOOKUP(M1024, IMPOSTO!$A:$D, 4, 0)</f>
        <v>0.12</v>
      </c>
      <c r="AB1024" s="24">
        <f>VLOOKUP(N1024, IMPOSTO!$A:$D, 4, 0)</f>
        <v>7.0000000000000007E-2</v>
      </c>
      <c r="AC1024" s="25">
        <f t="shared" si="145"/>
        <v>322343.80451291398</v>
      </c>
      <c r="AD1024" s="25">
        <f t="shared" si="146"/>
        <v>322412.32724018669</v>
      </c>
      <c r="AE1024" s="25">
        <f t="shared" si="147"/>
        <v>305109.40642082179</v>
      </c>
      <c r="AF1024" s="25">
        <f t="shared" si="148"/>
        <v>322271.8726947321</v>
      </c>
      <c r="AG1024" s="25">
        <f t="shared" si="149"/>
        <v>322394.25905836845</v>
      </c>
      <c r="AH1024" s="25">
        <f t="shared" si="150"/>
        <v>322298.57724018663</v>
      </c>
      <c r="AI1024" s="25">
        <f t="shared" si="151"/>
        <v>305384.89029178955</v>
      </c>
    </row>
    <row r="1025" spans="1:35" ht="15.75" customHeight="1">
      <c r="A1025" s="12" t="s">
        <v>753</v>
      </c>
      <c r="B1025" s="12" t="s">
        <v>754</v>
      </c>
      <c r="C1025" s="12" t="s">
        <v>192</v>
      </c>
      <c r="D1025" s="12" t="s">
        <v>33</v>
      </c>
      <c r="E1025" s="12" t="s">
        <v>736</v>
      </c>
      <c r="F1025" s="13">
        <v>213</v>
      </c>
      <c r="G1025" s="14">
        <v>3507.6400000000003</v>
      </c>
      <c r="H1025" s="24" t="str">
        <f t="shared" si="144"/>
        <v>RSSP</v>
      </c>
      <c r="I1025" s="24" t="str">
        <f t="shared" si="152"/>
        <v>RSMG</v>
      </c>
      <c r="J1025" s="24" t="str">
        <f t="shared" si="152"/>
        <v>RSES</v>
      </c>
      <c r="K1025" s="24" t="str">
        <f t="shared" si="152"/>
        <v>RSSC</v>
      </c>
      <c r="L1025" s="24" t="str">
        <f t="shared" si="152"/>
        <v>RSRJ</v>
      </c>
      <c r="M1025" s="24" t="str">
        <f t="shared" si="152"/>
        <v>RSPR</v>
      </c>
      <c r="N1025" s="24" t="str">
        <f t="shared" si="152"/>
        <v>RSAM</v>
      </c>
      <c r="O1025" s="24">
        <f>VLOOKUP(H1025, KM!$A:$E, 5, 0)</f>
        <v>1109</v>
      </c>
      <c r="P1025" s="24">
        <f>VLOOKUP(I1025, KM!$A:$E, 5, 0)</f>
        <v>1712</v>
      </c>
      <c r="Q1025" s="24">
        <f>VLOOKUP(J1025, KM!$A:$E, 5, 0)</f>
        <v>2001</v>
      </c>
      <c r="R1025" s="24">
        <f>VLOOKUP(K1025, KM!$A:$E, 5, 0)</f>
        <v>476</v>
      </c>
      <c r="S1025" s="24">
        <f>VLOOKUP(L1025, KM!$A:$E, 5, 0)</f>
        <v>1553</v>
      </c>
      <c r="T1025" s="24">
        <f>VLOOKUP(M1025, KM!$A:$E, 5, 0)</f>
        <v>711</v>
      </c>
      <c r="U1025" s="24">
        <f>VLOOKUP(N1025, KM!$A:$E, 5, 0)</f>
        <v>4563</v>
      </c>
      <c r="V1025" s="24">
        <f>VLOOKUP(H1025, IMPOSTO!$A:$D, 4, 0)</f>
        <v>0.12</v>
      </c>
      <c r="W1025" s="24">
        <f>VLOOKUP(I1025, IMPOSTO!$A:$D, 4, 0)</f>
        <v>0.12</v>
      </c>
      <c r="X1025" s="24">
        <f>VLOOKUP(J1025, IMPOSTO!$A:$D, 4, 0)</f>
        <v>7.0000000000000007E-2</v>
      </c>
      <c r="Y1025" s="24">
        <f>VLOOKUP(K1025, IMPOSTO!$A:$D, 4, 0)</f>
        <v>0.12</v>
      </c>
      <c r="Z1025" s="24">
        <f>VLOOKUP(L1025, IMPOSTO!$A:$D, 4, 0)</f>
        <v>0.12</v>
      </c>
      <c r="AA1025" s="24">
        <f>VLOOKUP(M1025, IMPOSTO!$A:$D, 4, 0)</f>
        <v>0.12</v>
      </c>
      <c r="AB1025" s="24">
        <f>VLOOKUP(N1025, IMPOSTO!$A:$D, 4, 0)</f>
        <v>7.0000000000000007E-2</v>
      </c>
      <c r="AC1025" s="25">
        <f t="shared" si="145"/>
        <v>4111.977272727273</v>
      </c>
      <c r="AD1025" s="25">
        <f t="shared" si="146"/>
        <v>4180.5</v>
      </c>
      <c r="AE1025" s="25">
        <f t="shared" si="147"/>
        <v>3986.8172043010759</v>
      </c>
      <c r="AF1025" s="25">
        <f t="shared" si="148"/>
        <v>4040.045454545455</v>
      </c>
      <c r="AG1025" s="25">
        <f t="shared" si="149"/>
        <v>4162.4318181818189</v>
      </c>
      <c r="AH1025" s="25">
        <f t="shared" si="150"/>
        <v>4066.7500000000005</v>
      </c>
      <c r="AI1025" s="25">
        <f t="shared" si="151"/>
        <v>4262.3010752688178</v>
      </c>
    </row>
    <row r="1026" spans="1:35" ht="15.75" customHeight="1">
      <c r="A1026" s="12" t="s">
        <v>685</v>
      </c>
      <c r="B1026" s="12" t="s">
        <v>755</v>
      </c>
      <c r="C1026" s="12" t="s">
        <v>192</v>
      </c>
      <c r="D1026" s="12" t="s">
        <v>33</v>
      </c>
      <c r="E1026" s="12" t="s">
        <v>736</v>
      </c>
      <c r="F1026" s="13">
        <v>642.09375</v>
      </c>
      <c r="G1026" s="14">
        <v>2280.9191406249993</v>
      </c>
      <c r="H1026" s="24" t="str">
        <f t="shared" si="144"/>
        <v>RSSP</v>
      </c>
      <c r="I1026" s="24" t="str">
        <f t="shared" si="152"/>
        <v>RSMG</v>
      </c>
      <c r="J1026" s="24" t="str">
        <f t="shared" si="152"/>
        <v>RSES</v>
      </c>
      <c r="K1026" s="24" t="str">
        <f t="shared" si="152"/>
        <v>RSSC</v>
      </c>
      <c r="L1026" s="24" t="str">
        <f t="shared" si="152"/>
        <v>RSRJ</v>
      </c>
      <c r="M1026" s="24" t="str">
        <f t="shared" si="152"/>
        <v>RSPR</v>
      </c>
      <c r="N1026" s="24" t="str">
        <f t="shared" si="152"/>
        <v>RSAM</v>
      </c>
      <c r="O1026" s="24">
        <f>VLOOKUP(H1026, KM!$A:$E, 5, 0)</f>
        <v>1109</v>
      </c>
      <c r="P1026" s="24">
        <f>VLOOKUP(I1026, KM!$A:$E, 5, 0)</f>
        <v>1712</v>
      </c>
      <c r="Q1026" s="24">
        <f>VLOOKUP(J1026, KM!$A:$E, 5, 0)</f>
        <v>2001</v>
      </c>
      <c r="R1026" s="24">
        <f>VLOOKUP(K1026, KM!$A:$E, 5, 0)</f>
        <v>476</v>
      </c>
      <c r="S1026" s="24">
        <f>VLOOKUP(L1026, KM!$A:$E, 5, 0)</f>
        <v>1553</v>
      </c>
      <c r="T1026" s="24">
        <f>VLOOKUP(M1026, KM!$A:$E, 5, 0)</f>
        <v>711</v>
      </c>
      <c r="U1026" s="24">
        <f>VLOOKUP(N1026, KM!$A:$E, 5, 0)</f>
        <v>4563</v>
      </c>
      <c r="V1026" s="24">
        <f>VLOOKUP(H1026, IMPOSTO!$A:$D, 4, 0)</f>
        <v>0.12</v>
      </c>
      <c r="W1026" s="24">
        <f>VLOOKUP(I1026, IMPOSTO!$A:$D, 4, 0)</f>
        <v>0.12</v>
      </c>
      <c r="X1026" s="24">
        <f>VLOOKUP(J1026, IMPOSTO!$A:$D, 4, 0)</f>
        <v>7.0000000000000007E-2</v>
      </c>
      <c r="Y1026" s="24">
        <f>VLOOKUP(K1026, IMPOSTO!$A:$D, 4, 0)</f>
        <v>0.12</v>
      </c>
      <c r="Z1026" s="24">
        <f>VLOOKUP(L1026, IMPOSTO!$A:$D, 4, 0)</f>
        <v>0.12</v>
      </c>
      <c r="AA1026" s="24">
        <f>VLOOKUP(M1026, IMPOSTO!$A:$D, 4, 0)</f>
        <v>0.12</v>
      </c>
      <c r="AB1026" s="24">
        <f>VLOOKUP(N1026, IMPOSTO!$A:$D, 4, 0)</f>
        <v>7.0000000000000007E-2</v>
      </c>
      <c r="AC1026" s="25">
        <f t="shared" si="145"/>
        <v>2717.9762961647721</v>
      </c>
      <c r="AD1026" s="25">
        <f t="shared" si="146"/>
        <v>2786.4990234374991</v>
      </c>
      <c r="AE1026" s="25">
        <f t="shared" si="147"/>
        <v>2667.7625168010745</v>
      </c>
      <c r="AF1026" s="25">
        <f t="shared" si="148"/>
        <v>2646.0444779829536</v>
      </c>
      <c r="AG1026" s="25">
        <f t="shared" si="149"/>
        <v>2768.4308416193176</v>
      </c>
      <c r="AH1026" s="25">
        <f t="shared" si="150"/>
        <v>2672.7490234374991</v>
      </c>
      <c r="AI1026" s="25">
        <f t="shared" si="151"/>
        <v>2943.2463877688169</v>
      </c>
    </row>
    <row r="1027" spans="1:35" ht="15.75" customHeight="1">
      <c r="A1027" s="12" t="s">
        <v>756</v>
      </c>
      <c r="B1027" s="12" t="s">
        <v>757</v>
      </c>
      <c r="C1027" s="12" t="s">
        <v>160</v>
      </c>
      <c r="D1027" s="12" t="s">
        <v>33</v>
      </c>
      <c r="E1027" s="12" t="s">
        <v>736</v>
      </c>
      <c r="F1027" s="13">
        <v>324.00000000000017</v>
      </c>
      <c r="G1027" s="14">
        <v>11860.959883381924</v>
      </c>
      <c r="H1027" s="24" t="str">
        <f t="shared" si="144"/>
        <v>RSSP</v>
      </c>
      <c r="I1027" s="24" t="str">
        <f t="shared" si="152"/>
        <v>RSMG</v>
      </c>
      <c r="J1027" s="24" t="str">
        <f t="shared" si="152"/>
        <v>RSES</v>
      </c>
      <c r="K1027" s="24" t="str">
        <f t="shared" si="152"/>
        <v>RSSC</v>
      </c>
      <c r="L1027" s="24" t="str">
        <f t="shared" si="152"/>
        <v>RSRJ</v>
      </c>
      <c r="M1027" s="24" t="str">
        <f t="shared" si="152"/>
        <v>RSPR</v>
      </c>
      <c r="N1027" s="24" t="str">
        <f t="shared" si="152"/>
        <v>RSAM</v>
      </c>
      <c r="O1027" s="24">
        <f>VLOOKUP(H1027, KM!$A:$E, 5, 0)</f>
        <v>1109</v>
      </c>
      <c r="P1027" s="24">
        <f>VLOOKUP(I1027, KM!$A:$E, 5, 0)</f>
        <v>1712</v>
      </c>
      <c r="Q1027" s="24">
        <f>VLOOKUP(J1027, KM!$A:$E, 5, 0)</f>
        <v>2001</v>
      </c>
      <c r="R1027" s="24">
        <f>VLOOKUP(K1027, KM!$A:$E, 5, 0)</f>
        <v>476</v>
      </c>
      <c r="S1027" s="24">
        <f>VLOOKUP(L1027, KM!$A:$E, 5, 0)</f>
        <v>1553</v>
      </c>
      <c r="T1027" s="24">
        <f>VLOOKUP(M1027, KM!$A:$E, 5, 0)</f>
        <v>711</v>
      </c>
      <c r="U1027" s="24">
        <f>VLOOKUP(N1027, KM!$A:$E, 5, 0)</f>
        <v>4563</v>
      </c>
      <c r="V1027" s="24">
        <f>VLOOKUP(H1027, IMPOSTO!$A:$D, 4, 0)</f>
        <v>0.12</v>
      </c>
      <c r="W1027" s="24">
        <f>VLOOKUP(I1027, IMPOSTO!$A:$D, 4, 0)</f>
        <v>0.12</v>
      </c>
      <c r="X1027" s="24">
        <f>VLOOKUP(J1027, IMPOSTO!$A:$D, 4, 0)</f>
        <v>7.0000000000000007E-2</v>
      </c>
      <c r="Y1027" s="24">
        <f>VLOOKUP(K1027, IMPOSTO!$A:$D, 4, 0)</f>
        <v>0.12</v>
      </c>
      <c r="Z1027" s="24">
        <f>VLOOKUP(L1027, IMPOSTO!$A:$D, 4, 0)</f>
        <v>0.12</v>
      </c>
      <c r="AA1027" s="24">
        <f>VLOOKUP(M1027, IMPOSTO!$A:$D, 4, 0)</f>
        <v>0.12</v>
      </c>
      <c r="AB1027" s="24">
        <f>VLOOKUP(N1027, IMPOSTO!$A:$D, 4, 0)</f>
        <v>7.0000000000000007E-2</v>
      </c>
      <c r="AC1027" s="25">
        <f t="shared" si="145"/>
        <v>13604.386231115823</v>
      </c>
      <c r="AD1027" s="25">
        <f t="shared" si="146"/>
        <v>13672.908958388551</v>
      </c>
      <c r="AE1027" s="25">
        <f t="shared" si="147"/>
        <v>12968.881595034327</v>
      </c>
      <c r="AF1027" s="25">
        <f t="shared" si="148"/>
        <v>13532.454412934005</v>
      </c>
      <c r="AG1027" s="25">
        <f t="shared" si="149"/>
        <v>13654.840776570367</v>
      </c>
      <c r="AH1027" s="25">
        <f t="shared" si="150"/>
        <v>13559.158958388551</v>
      </c>
      <c r="AI1027" s="25">
        <f t="shared" si="151"/>
        <v>13244.365466002069</v>
      </c>
    </row>
    <row r="1028" spans="1:35" ht="15.75" customHeight="1">
      <c r="A1028" s="12" t="s">
        <v>494</v>
      </c>
      <c r="B1028" s="12" t="s">
        <v>495</v>
      </c>
      <c r="C1028" s="12" t="s">
        <v>192</v>
      </c>
      <c r="D1028" s="12" t="s">
        <v>50</v>
      </c>
      <c r="E1028" s="12" t="s">
        <v>736</v>
      </c>
      <c r="F1028" s="13">
        <v>432.92948059701502</v>
      </c>
      <c r="G1028" s="14">
        <v>4431.5118124179107</v>
      </c>
      <c r="H1028" s="24" t="str">
        <f t="shared" si="144"/>
        <v>RSSP</v>
      </c>
      <c r="I1028" s="24" t="str">
        <f t="shared" si="152"/>
        <v>RSMG</v>
      </c>
      <c r="J1028" s="24" t="str">
        <f t="shared" si="152"/>
        <v>RSES</v>
      </c>
      <c r="K1028" s="24" t="str">
        <f t="shared" si="152"/>
        <v>RSSC</v>
      </c>
      <c r="L1028" s="24" t="str">
        <f t="shared" si="152"/>
        <v>RSRJ</v>
      </c>
      <c r="M1028" s="24" t="str">
        <f t="shared" si="152"/>
        <v>RSPR</v>
      </c>
      <c r="N1028" s="24" t="str">
        <f t="shared" si="152"/>
        <v>RSAM</v>
      </c>
      <c r="O1028" s="24">
        <f>VLOOKUP(H1028, KM!$A:$E, 5, 0)</f>
        <v>1109</v>
      </c>
      <c r="P1028" s="24">
        <f>VLOOKUP(I1028, KM!$A:$E, 5, 0)</f>
        <v>1712</v>
      </c>
      <c r="Q1028" s="24">
        <f>VLOOKUP(J1028, KM!$A:$E, 5, 0)</f>
        <v>2001</v>
      </c>
      <c r="R1028" s="24">
        <f>VLOOKUP(K1028, KM!$A:$E, 5, 0)</f>
        <v>476</v>
      </c>
      <c r="S1028" s="24">
        <f>VLOOKUP(L1028, KM!$A:$E, 5, 0)</f>
        <v>1553</v>
      </c>
      <c r="T1028" s="24">
        <f>VLOOKUP(M1028, KM!$A:$E, 5, 0)</f>
        <v>711</v>
      </c>
      <c r="U1028" s="24">
        <f>VLOOKUP(N1028, KM!$A:$E, 5, 0)</f>
        <v>4563</v>
      </c>
      <c r="V1028" s="24">
        <f>VLOOKUP(H1028, IMPOSTO!$A:$D, 4, 0)</f>
        <v>0.12</v>
      </c>
      <c r="W1028" s="24">
        <f>VLOOKUP(I1028, IMPOSTO!$A:$D, 4, 0)</f>
        <v>0.12</v>
      </c>
      <c r="X1028" s="24">
        <f>VLOOKUP(J1028, IMPOSTO!$A:$D, 4, 0)</f>
        <v>7.0000000000000007E-2</v>
      </c>
      <c r="Y1028" s="24">
        <f>VLOOKUP(K1028, IMPOSTO!$A:$D, 4, 0)</f>
        <v>0.12</v>
      </c>
      <c r="Z1028" s="24">
        <f>VLOOKUP(L1028, IMPOSTO!$A:$D, 4, 0)</f>
        <v>0.12</v>
      </c>
      <c r="AA1028" s="24">
        <f>VLOOKUP(M1028, IMPOSTO!$A:$D, 4, 0)</f>
        <v>0.12</v>
      </c>
      <c r="AB1028" s="24">
        <f>VLOOKUP(N1028, IMPOSTO!$A:$D, 4, 0)</f>
        <v>7.0000000000000007E-2</v>
      </c>
      <c r="AC1028" s="25">
        <f t="shared" si="145"/>
        <v>5161.831605020353</v>
      </c>
      <c r="AD1028" s="25">
        <f t="shared" si="146"/>
        <v>5230.35433229308</v>
      </c>
      <c r="AE1028" s="25">
        <f t="shared" si="147"/>
        <v>4980.2277552880769</v>
      </c>
      <c r="AF1028" s="25">
        <f t="shared" si="148"/>
        <v>5089.899786838535</v>
      </c>
      <c r="AG1028" s="25">
        <f t="shared" si="149"/>
        <v>5212.2861504748989</v>
      </c>
      <c r="AH1028" s="25">
        <f t="shared" si="150"/>
        <v>5116.6043322930809</v>
      </c>
      <c r="AI1028" s="25">
        <f t="shared" si="151"/>
        <v>5255.7116262558184</v>
      </c>
    </row>
    <row r="1029" spans="1:35" ht="15.75" customHeight="1">
      <c r="A1029" s="12" t="s">
        <v>406</v>
      </c>
      <c r="B1029" s="12" t="s">
        <v>407</v>
      </c>
      <c r="C1029" s="12" t="s">
        <v>314</v>
      </c>
      <c r="D1029" s="12" t="s">
        <v>33</v>
      </c>
      <c r="E1029" s="12" t="s">
        <v>736</v>
      </c>
      <c r="F1029" s="13">
        <v>4261.4637414721228</v>
      </c>
      <c r="G1029" s="14">
        <v>407691.23794001731</v>
      </c>
      <c r="H1029" s="24" t="str">
        <f t="shared" ref="H1029:H1092" si="153">$E1029 &amp; H$17</f>
        <v>RSSP</v>
      </c>
      <c r="I1029" s="24" t="str">
        <f t="shared" si="152"/>
        <v>RSMG</v>
      </c>
      <c r="J1029" s="24" t="str">
        <f t="shared" si="152"/>
        <v>RSES</v>
      </c>
      <c r="K1029" s="24" t="str">
        <f t="shared" si="152"/>
        <v>RSSC</v>
      </c>
      <c r="L1029" s="24" t="str">
        <f t="shared" si="152"/>
        <v>RSRJ</v>
      </c>
      <c r="M1029" s="24" t="str">
        <f t="shared" si="152"/>
        <v>RSPR</v>
      </c>
      <c r="N1029" s="24" t="str">
        <f t="shared" si="152"/>
        <v>RSAM</v>
      </c>
      <c r="O1029" s="24">
        <f>VLOOKUP(H1029, KM!$A:$E, 5, 0)</f>
        <v>1109</v>
      </c>
      <c r="P1029" s="24">
        <f>VLOOKUP(I1029, KM!$A:$E, 5, 0)</f>
        <v>1712</v>
      </c>
      <c r="Q1029" s="24">
        <f>VLOOKUP(J1029, KM!$A:$E, 5, 0)</f>
        <v>2001</v>
      </c>
      <c r="R1029" s="24">
        <f>VLOOKUP(K1029, KM!$A:$E, 5, 0)</f>
        <v>476</v>
      </c>
      <c r="S1029" s="24">
        <f>VLOOKUP(L1029, KM!$A:$E, 5, 0)</f>
        <v>1553</v>
      </c>
      <c r="T1029" s="24">
        <f>VLOOKUP(M1029, KM!$A:$E, 5, 0)</f>
        <v>711</v>
      </c>
      <c r="U1029" s="24">
        <f>VLOOKUP(N1029, KM!$A:$E, 5, 0)</f>
        <v>4563</v>
      </c>
      <c r="V1029" s="24">
        <f>VLOOKUP(H1029, IMPOSTO!$A:$D, 4, 0)</f>
        <v>0.12</v>
      </c>
      <c r="W1029" s="24">
        <f>VLOOKUP(I1029, IMPOSTO!$A:$D, 4, 0)</f>
        <v>0.12</v>
      </c>
      <c r="X1029" s="24">
        <f>VLOOKUP(J1029, IMPOSTO!$A:$D, 4, 0)</f>
        <v>7.0000000000000007E-2</v>
      </c>
      <c r="Y1029" s="24">
        <f>VLOOKUP(K1029, IMPOSTO!$A:$D, 4, 0)</f>
        <v>0.12</v>
      </c>
      <c r="Z1029" s="24">
        <f>VLOOKUP(L1029, IMPOSTO!$A:$D, 4, 0)</f>
        <v>0.12</v>
      </c>
      <c r="AA1029" s="24">
        <f>VLOOKUP(M1029, IMPOSTO!$A:$D, 4, 0)</f>
        <v>0.12</v>
      </c>
      <c r="AB1029" s="24">
        <f>VLOOKUP(N1029, IMPOSTO!$A:$D, 4, 0)</f>
        <v>7.0000000000000007E-2</v>
      </c>
      <c r="AC1029" s="25">
        <f t="shared" si="145"/>
        <v>463411.52038638334</v>
      </c>
      <c r="AD1029" s="25">
        <f t="shared" si="146"/>
        <v>463480.04311365605</v>
      </c>
      <c r="AE1029" s="25">
        <f t="shared" si="147"/>
        <v>438592.83649464225</v>
      </c>
      <c r="AF1029" s="25">
        <f t="shared" si="148"/>
        <v>463339.58856820146</v>
      </c>
      <c r="AG1029" s="25">
        <f t="shared" si="149"/>
        <v>463461.97493183782</v>
      </c>
      <c r="AH1029" s="25">
        <f t="shared" si="150"/>
        <v>463366.29311365599</v>
      </c>
      <c r="AI1029" s="25">
        <f t="shared" si="151"/>
        <v>438868.32036561001</v>
      </c>
    </row>
    <row r="1030" spans="1:35" ht="15.75" customHeight="1">
      <c r="A1030" s="12" t="s">
        <v>758</v>
      </c>
      <c r="B1030" s="12" t="s">
        <v>759</v>
      </c>
      <c r="C1030" s="12" t="s">
        <v>192</v>
      </c>
      <c r="D1030" s="12" t="s">
        <v>50</v>
      </c>
      <c r="E1030" s="12" t="s">
        <v>736</v>
      </c>
      <c r="F1030" s="13">
        <v>18.18181818181818</v>
      </c>
      <c r="G1030" s="14">
        <v>1416.8954545454546</v>
      </c>
      <c r="H1030" s="24" t="str">
        <f t="shared" si="153"/>
        <v>RSSP</v>
      </c>
      <c r="I1030" s="24" t="str">
        <f t="shared" si="152"/>
        <v>RSMG</v>
      </c>
      <c r="J1030" s="24" t="str">
        <f t="shared" si="152"/>
        <v>RSES</v>
      </c>
      <c r="K1030" s="24" t="str">
        <f t="shared" si="152"/>
        <v>RSSC</v>
      </c>
      <c r="L1030" s="24" t="str">
        <f t="shared" si="152"/>
        <v>RSRJ</v>
      </c>
      <c r="M1030" s="24" t="str">
        <f t="shared" si="152"/>
        <v>RSPR</v>
      </c>
      <c r="N1030" s="24" t="str">
        <f t="shared" si="152"/>
        <v>RSAM</v>
      </c>
      <c r="O1030" s="24">
        <f>VLOOKUP(H1030, KM!$A:$E, 5, 0)</f>
        <v>1109</v>
      </c>
      <c r="P1030" s="24">
        <f>VLOOKUP(I1030, KM!$A:$E, 5, 0)</f>
        <v>1712</v>
      </c>
      <c r="Q1030" s="24">
        <f>VLOOKUP(J1030, KM!$A:$E, 5, 0)</f>
        <v>2001</v>
      </c>
      <c r="R1030" s="24">
        <f>VLOOKUP(K1030, KM!$A:$E, 5, 0)</f>
        <v>476</v>
      </c>
      <c r="S1030" s="24">
        <f>VLOOKUP(L1030, KM!$A:$E, 5, 0)</f>
        <v>1553</v>
      </c>
      <c r="T1030" s="24">
        <f>VLOOKUP(M1030, KM!$A:$E, 5, 0)</f>
        <v>711</v>
      </c>
      <c r="U1030" s="24">
        <f>VLOOKUP(N1030, KM!$A:$E, 5, 0)</f>
        <v>4563</v>
      </c>
      <c r="V1030" s="24">
        <f>VLOOKUP(H1030, IMPOSTO!$A:$D, 4, 0)</f>
        <v>0.12</v>
      </c>
      <c r="W1030" s="24">
        <f>VLOOKUP(I1030, IMPOSTO!$A:$D, 4, 0)</f>
        <v>0.12</v>
      </c>
      <c r="X1030" s="24">
        <f>VLOOKUP(J1030, IMPOSTO!$A:$D, 4, 0)</f>
        <v>7.0000000000000007E-2</v>
      </c>
      <c r="Y1030" s="24">
        <f>VLOOKUP(K1030, IMPOSTO!$A:$D, 4, 0)</f>
        <v>0.12</v>
      </c>
      <c r="Z1030" s="24">
        <f>VLOOKUP(L1030, IMPOSTO!$A:$D, 4, 0)</f>
        <v>0.12</v>
      </c>
      <c r="AA1030" s="24">
        <f>VLOOKUP(M1030, IMPOSTO!$A:$D, 4, 0)</f>
        <v>0.12</v>
      </c>
      <c r="AB1030" s="24">
        <f>VLOOKUP(N1030, IMPOSTO!$A:$D, 4, 0)</f>
        <v>7.0000000000000007E-2</v>
      </c>
      <c r="AC1030" s="25">
        <f t="shared" si="145"/>
        <v>1736.1311983471076</v>
      </c>
      <c r="AD1030" s="25">
        <f t="shared" si="146"/>
        <v>1804.6539256198348</v>
      </c>
      <c r="AE1030" s="25">
        <f t="shared" si="147"/>
        <v>1738.7047898338224</v>
      </c>
      <c r="AF1030" s="25">
        <f t="shared" si="148"/>
        <v>1664.1993801652893</v>
      </c>
      <c r="AG1030" s="25">
        <f t="shared" si="149"/>
        <v>1786.5857438016531</v>
      </c>
      <c r="AH1030" s="25">
        <f t="shared" si="150"/>
        <v>1690.9039256198348</v>
      </c>
      <c r="AI1030" s="25">
        <f t="shared" si="151"/>
        <v>2014.1886608015643</v>
      </c>
    </row>
    <row r="1031" spans="1:35" ht="15.75" customHeight="1">
      <c r="A1031" s="12" t="s">
        <v>760</v>
      </c>
      <c r="B1031" s="12" t="s">
        <v>761</v>
      </c>
      <c r="C1031" s="12" t="s">
        <v>192</v>
      </c>
      <c r="D1031" s="12" t="s">
        <v>33</v>
      </c>
      <c r="E1031" s="12" t="s">
        <v>736</v>
      </c>
      <c r="F1031" s="13">
        <v>306</v>
      </c>
      <c r="G1031" s="14">
        <v>421.51500000000004</v>
      </c>
      <c r="H1031" s="24" t="str">
        <f t="shared" si="153"/>
        <v>RSSP</v>
      </c>
      <c r="I1031" s="24" t="str">
        <f t="shared" si="152"/>
        <v>RSMG</v>
      </c>
      <c r="J1031" s="24" t="str">
        <f t="shared" si="152"/>
        <v>RSES</v>
      </c>
      <c r="K1031" s="24" t="str">
        <f t="shared" si="152"/>
        <v>RSSC</v>
      </c>
      <c r="L1031" s="24" t="str">
        <f t="shared" si="152"/>
        <v>RSRJ</v>
      </c>
      <c r="M1031" s="24" t="str">
        <f t="shared" si="152"/>
        <v>RSPR</v>
      </c>
      <c r="N1031" s="24" t="str">
        <f t="shared" si="152"/>
        <v>RSAM</v>
      </c>
      <c r="O1031" s="24">
        <f>VLOOKUP(H1031, KM!$A:$E, 5, 0)</f>
        <v>1109</v>
      </c>
      <c r="P1031" s="24">
        <f>VLOOKUP(I1031, KM!$A:$E, 5, 0)</f>
        <v>1712</v>
      </c>
      <c r="Q1031" s="24">
        <f>VLOOKUP(J1031, KM!$A:$E, 5, 0)</f>
        <v>2001</v>
      </c>
      <c r="R1031" s="24">
        <f>VLOOKUP(K1031, KM!$A:$E, 5, 0)</f>
        <v>476</v>
      </c>
      <c r="S1031" s="24">
        <f>VLOOKUP(L1031, KM!$A:$E, 5, 0)</f>
        <v>1553</v>
      </c>
      <c r="T1031" s="24">
        <f>VLOOKUP(M1031, KM!$A:$E, 5, 0)</f>
        <v>711</v>
      </c>
      <c r="U1031" s="24">
        <f>VLOOKUP(N1031, KM!$A:$E, 5, 0)</f>
        <v>4563</v>
      </c>
      <c r="V1031" s="24">
        <f>VLOOKUP(H1031, IMPOSTO!$A:$D, 4, 0)</f>
        <v>0.12</v>
      </c>
      <c r="W1031" s="24">
        <f>VLOOKUP(I1031, IMPOSTO!$A:$D, 4, 0)</f>
        <v>0.12</v>
      </c>
      <c r="X1031" s="24">
        <f>VLOOKUP(J1031, IMPOSTO!$A:$D, 4, 0)</f>
        <v>7.0000000000000007E-2</v>
      </c>
      <c r="Y1031" s="24">
        <f>VLOOKUP(K1031, IMPOSTO!$A:$D, 4, 0)</f>
        <v>0.12</v>
      </c>
      <c r="Z1031" s="24">
        <f>VLOOKUP(L1031, IMPOSTO!$A:$D, 4, 0)</f>
        <v>0.12</v>
      </c>
      <c r="AA1031" s="24">
        <f>VLOOKUP(M1031, IMPOSTO!$A:$D, 4, 0)</f>
        <v>0.12</v>
      </c>
      <c r="AB1031" s="24">
        <f>VLOOKUP(N1031, IMPOSTO!$A:$D, 4, 0)</f>
        <v>7.0000000000000007E-2</v>
      </c>
      <c r="AC1031" s="25">
        <f t="shared" si="145"/>
        <v>605.0170454545455</v>
      </c>
      <c r="AD1031" s="25">
        <f t="shared" si="146"/>
        <v>673.53977272727275</v>
      </c>
      <c r="AE1031" s="25">
        <f t="shared" si="147"/>
        <v>668.4032258064517</v>
      </c>
      <c r="AF1031" s="25">
        <f t="shared" si="148"/>
        <v>533.08522727272737</v>
      </c>
      <c r="AG1031" s="25">
        <f t="shared" si="149"/>
        <v>655.47159090909099</v>
      </c>
      <c r="AH1031" s="25">
        <f t="shared" si="150"/>
        <v>559.78977272727275</v>
      </c>
      <c r="AI1031" s="25">
        <f t="shared" si="151"/>
        <v>943.88709677419365</v>
      </c>
    </row>
    <row r="1032" spans="1:35" ht="15.75" customHeight="1">
      <c r="A1032" s="12" t="s">
        <v>494</v>
      </c>
      <c r="B1032" s="12" t="s">
        <v>495</v>
      </c>
      <c r="C1032" s="12" t="s">
        <v>192</v>
      </c>
      <c r="D1032" s="12" t="s">
        <v>50</v>
      </c>
      <c r="E1032" s="12" t="s">
        <v>736</v>
      </c>
      <c r="F1032" s="13">
        <v>107.56856955223883</v>
      </c>
      <c r="G1032" s="14">
        <v>1094.6463579402987</v>
      </c>
      <c r="H1032" s="24" t="str">
        <f t="shared" si="153"/>
        <v>RSSP</v>
      </c>
      <c r="I1032" s="24" t="str">
        <f t="shared" si="152"/>
        <v>RSMG</v>
      </c>
      <c r="J1032" s="24" t="str">
        <f t="shared" si="152"/>
        <v>RSES</v>
      </c>
      <c r="K1032" s="24" t="str">
        <f t="shared" si="152"/>
        <v>RSSC</v>
      </c>
      <c r="L1032" s="24" t="str">
        <f t="shared" si="152"/>
        <v>RSRJ</v>
      </c>
      <c r="M1032" s="24" t="str">
        <f t="shared" si="152"/>
        <v>RSPR</v>
      </c>
      <c r="N1032" s="24" t="str">
        <f t="shared" si="152"/>
        <v>RSAM</v>
      </c>
      <c r="O1032" s="24">
        <f>VLOOKUP(H1032, KM!$A:$E, 5, 0)</f>
        <v>1109</v>
      </c>
      <c r="P1032" s="24">
        <f>VLOOKUP(I1032, KM!$A:$E, 5, 0)</f>
        <v>1712</v>
      </c>
      <c r="Q1032" s="24">
        <f>VLOOKUP(J1032, KM!$A:$E, 5, 0)</f>
        <v>2001</v>
      </c>
      <c r="R1032" s="24">
        <f>VLOOKUP(K1032, KM!$A:$E, 5, 0)</f>
        <v>476</v>
      </c>
      <c r="S1032" s="24">
        <f>VLOOKUP(L1032, KM!$A:$E, 5, 0)</f>
        <v>1553</v>
      </c>
      <c r="T1032" s="24">
        <f>VLOOKUP(M1032, KM!$A:$E, 5, 0)</f>
        <v>711</v>
      </c>
      <c r="U1032" s="24">
        <f>VLOOKUP(N1032, KM!$A:$E, 5, 0)</f>
        <v>4563</v>
      </c>
      <c r="V1032" s="24">
        <f>VLOOKUP(H1032, IMPOSTO!$A:$D, 4, 0)</f>
        <v>0.12</v>
      </c>
      <c r="W1032" s="24">
        <f>VLOOKUP(I1032, IMPOSTO!$A:$D, 4, 0)</f>
        <v>0.12</v>
      </c>
      <c r="X1032" s="24">
        <f>VLOOKUP(J1032, IMPOSTO!$A:$D, 4, 0)</f>
        <v>7.0000000000000007E-2</v>
      </c>
      <c r="Y1032" s="24">
        <f>VLOOKUP(K1032, IMPOSTO!$A:$D, 4, 0)</f>
        <v>0.12</v>
      </c>
      <c r="Z1032" s="24">
        <f>VLOOKUP(L1032, IMPOSTO!$A:$D, 4, 0)</f>
        <v>0.12</v>
      </c>
      <c r="AA1032" s="24">
        <f>VLOOKUP(M1032, IMPOSTO!$A:$D, 4, 0)</f>
        <v>0.12</v>
      </c>
      <c r="AB1032" s="24">
        <f>VLOOKUP(N1032, IMPOSTO!$A:$D, 4, 0)</f>
        <v>7.0000000000000007E-2</v>
      </c>
      <c r="AC1032" s="25">
        <f t="shared" si="145"/>
        <v>1369.9390431139759</v>
      </c>
      <c r="AD1032" s="25">
        <f t="shared" si="146"/>
        <v>1438.4617703867032</v>
      </c>
      <c r="AE1032" s="25">
        <f t="shared" si="147"/>
        <v>1392.2003848820418</v>
      </c>
      <c r="AF1032" s="25">
        <f t="shared" si="148"/>
        <v>1298.0072249321574</v>
      </c>
      <c r="AG1032" s="25">
        <f t="shared" si="149"/>
        <v>1420.3935885685212</v>
      </c>
      <c r="AH1032" s="25">
        <f t="shared" si="150"/>
        <v>1324.7117703867029</v>
      </c>
      <c r="AI1032" s="25">
        <f t="shared" si="151"/>
        <v>1667.6842558497835</v>
      </c>
    </row>
    <row r="1033" spans="1:35" ht="15.75" customHeight="1">
      <c r="A1033" s="12" t="s">
        <v>494</v>
      </c>
      <c r="B1033" s="12" t="s">
        <v>495</v>
      </c>
      <c r="C1033" s="12" t="s">
        <v>192</v>
      </c>
      <c r="D1033" s="12" t="s">
        <v>50</v>
      </c>
      <c r="E1033" s="12" t="s">
        <v>736</v>
      </c>
      <c r="F1033" s="13">
        <v>44.479830447761188</v>
      </c>
      <c r="G1033" s="14">
        <v>455.30023451343288</v>
      </c>
      <c r="H1033" s="24" t="str">
        <f t="shared" si="153"/>
        <v>RSSP</v>
      </c>
      <c r="I1033" s="24" t="str">
        <f t="shared" si="152"/>
        <v>RSMG</v>
      </c>
      <c r="J1033" s="24" t="str">
        <f t="shared" si="152"/>
        <v>RSES</v>
      </c>
      <c r="K1033" s="24" t="str">
        <f t="shared" si="152"/>
        <v>RSSC</v>
      </c>
      <c r="L1033" s="24" t="str">
        <f t="shared" si="152"/>
        <v>RSRJ</v>
      </c>
      <c r="M1033" s="24" t="str">
        <f t="shared" si="152"/>
        <v>RSPR</v>
      </c>
      <c r="N1033" s="24" t="str">
        <f t="shared" si="152"/>
        <v>RSAM</v>
      </c>
      <c r="O1033" s="24">
        <f>VLOOKUP(H1033, KM!$A:$E, 5, 0)</f>
        <v>1109</v>
      </c>
      <c r="P1033" s="24">
        <f>VLOOKUP(I1033, KM!$A:$E, 5, 0)</f>
        <v>1712</v>
      </c>
      <c r="Q1033" s="24">
        <f>VLOOKUP(J1033, KM!$A:$E, 5, 0)</f>
        <v>2001</v>
      </c>
      <c r="R1033" s="24">
        <f>VLOOKUP(K1033, KM!$A:$E, 5, 0)</f>
        <v>476</v>
      </c>
      <c r="S1033" s="24">
        <f>VLOOKUP(L1033, KM!$A:$E, 5, 0)</f>
        <v>1553</v>
      </c>
      <c r="T1033" s="24">
        <f>VLOOKUP(M1033, KM!$A:$E, 5, 0)</f>
        <v>711</v>
      </c>
      <c r="U1033" s="24">
        <f>VLOOKUP(N1033, KM!$A:$E, 5, 0)</f>
        <v>4563</v>
      </c>
      <c r="V1033" s="24">
        <f>VLOOKUP(H1033, IMPOSTO!$A:$D, 4, 0)</f>
        <v>0.12</v>
      </c>
      <c r="W1033" s="24">
        <f>VLOOKUP(I1033, IMPOSTO!$A:$D, 4, 0)</f>
        <v>0.12</v>
      </c>
      <c r="X1033" s="24">
        <f>VLOOKUP(J1033, IMPOSTO!$A:$D, 4, 0)</f>
        <v>7.0000000000000007E-2</v>
      </c>
      <c r="Y1033" s="24">
        <f>VLOOKUP(K1033, IMPOSTO!$A:$D, 4, 0)</f>
        <v>0.12</v>
      </c>
      <c r="Z1033" s="24">
        <f>VLOOKUP(L1033, IMPOSTO!$A:$D, 4, 0)</f>
        <v>0.12</v>
      </c>
      <c r="AA1033" s="24">
        <f>VLOOKUP(M1033, IMPOSTO!$A:$D, 4, 0)</f>
        <v>0.12</v>
      </c>
      <c r="AB1033" s="24">
        <f>VLOOKUP(N1033, IMPOSTO!$A:$D, 4, 0)</f>
        <v>7.0000000000000007E-2</v>
      </c>
      <c r="AC1033" s="25">
        <f t="shared" si="145"/>
        <v>643.4093574016282</v>
      </c>
      <c r="AD1033" s="25">
        <f t="shared" si="146"/>
        <v>711.93208467435556</v>
      </c>
      <c r="AE1033" s="25">
        <f t="shared" si="147"/>
        <v>704.73143496068064</v>
      </c>
      <c r="AF1033" s="25">
        <f t="shared" si="148"/>
        <v>571.47753921981007</v>
      </c>
      <c r="AG1033" s="25">
        <f t="shared" si="149"/>
        <v>693.86390285617381</v>
      </c>
      <c r="AH1033" s="25">
        <f t="shared" si="150"/>
        <v>598.18208467435556</v>
      </c>
      <c r="AI1033" s="25">
        <f t="shared" si="151"/>
        <v>980.21530592842259</v>
      </c>
    </row>
    <row r="1034" spans="1:35" ht="15.75" customHeight="1">
      <c r="A1034" s="12" t="s">
        <v>762</v>
      </c>
      <c r="B1034" s="12" t="s">
        <v>763</v>
      </c>
      <c r="C1034" s="12" t="s">
        <v>140</v>
      </c>
      <c r="D1034" s="12" t="s">
        <v>33</v>
      </c>
      <c r="E1034" s="12" t="s">
        <v>736</v>
      </c>
      <c r="F1034" s="13">
        <v>6.5472014925373152</v>
      </c>
      <c r="G1034" s="14">
        <v>197.18272207089552</v>
      </c>
      <c r="H1034" s="24" t="str">
        <f t="shared" si="153"/>
        <v>RSSP</v>
      </c>
      <c r="I1034" s="24" t="str">
        <f t="shared" si="152"/>
        <v>RSMG</v>
      </c>
      <c r="J1034" s="24" t="str">
        <f t="shared" si="152"/>
        <v>RSES</v>
      </c>
      <c r="K1034" s="24" t="str">
        <f t="shared" si="152"/>
        <v>RSSC</v>
      </c>
      <c r="L1034" s="24" t="str">
        <f t="shared" si="152"/>
        <v>RSRJ</v>
      </c>
      <c r="M1034" s="24" t="str">
        <f t="shared" si="152"/>
        <v>RSPR</v>
      </c>
      <c r="N1034" s="24" t="str">
        <f t="shared" si="152"/>
        <v>RSAM</v>
      </c>
      <c r="O1034" s="24">
        <f>VLOOKUP(H1034, KM!$A:$E, 5, 0)</f>
        <v>1109</v>
      </c>
      <c r="P1034" s="24">
        <f>VLOOKUP(I1034, KM!$A:$E, 5, 0)</f>
        <v>1712</v>
      </c>
      <c r="Q1034" s="24">
        <f>VLOOKUP(J1034, KM!$A:$E, 5, 0)</f>
        <v>2001</v>
      </c>
      <c r="R1034" s="24">
        <f>VLOOKUP(K1034, KM!$A:$E, 5, 0)</f>
        <v>476</v>
      </c>
      <c r="S1034" s="24">
        <f>VLOOKUP(L1034, KM!$A:$E, 5, 0)</f>
        <v>1553</v>
      </c>
      <c r="T1034" s="24">
        <f>VLOOKUP(M1034, KM!$A:$E, 5, 0)</f>
        <v>711</v>
      </c>
      <c r="U1034" s="24">
        <f>VLOOKUP(N1034, KM!$A:$E, 5, 0)</f>
        <v>4563</v>
      </c>
      <c r="V1034" s="24">
        <f>VLOOKUP(H1034, IMPOSTO!$A:$D, 4, 0)</f>
        <v>0.12</v>
      </c>
      <c r="W1034" s="24">
        <f>VLOOKUP(I1034, IMPOSTO!$A:$D, 4, 0)</f>
        <v>0.12</v>
      </c>
      <c r="X1034" s="24">
        <f>VLOOKUP(J1034, IMPOSTO!$A:$D, 4, 0)</f>
        <v>7.0000000000000007E-2</v>
      </c>
      <c r="Y1034" s="24">
        <f>VLOOKUP(K1034, IMPOSTO!$A:$D, 4, 0)</f>
        <v>0.12</v>
      </c>
      <c r="Z1034" s="24">
        <f>VLOOKUP(L1034, IMPOSTO!$A:$D, 4, 0)</f>
        <v>0.12</v>
      </c>
      <c r="AA1034" s="24">
        <f>VLOOKUP(M1034, IMPOSTO!$A:$D, 4, 0)</f>
        <v>0.12</v>
      </c>
      <c r="AB1034" s="24">
        <f>VLOOKUP(N1034, IMPOSTO!$A:$D, 4, 0)</f>
        <v>7.0000000000000007E-2</v>
      </c>
      <c r="AC1034" s="25">
        <f t="shared" si="145"/>
        <v>350.09400235329042</v>
      </c>
      <c r="AD1034" s="25">
        <f t="shared" si="146"/>
        <v>418.61672962601762</v>
      </c>
      <c r="AE1034" s="25">
        <f t="shared" si="147"/>
        <v>427.18572265687698</v>
      </c>
      <c r="AF1034" s="25">
        <f t="shared" si="148"/>
        <v>278.16218417147218</v>
      </c>
      <c r="AG1034" s="25">
        <f t="shared" si="149"/>
        <v>400.54854780783586</v>
      </c>
      <c r="AH1034" s="25">
        <f t="shared" si="150"/>
        <v>304.86672962601767</v>
      </c>
      <c r="AI1034" s="25">
        <f t="shared" si="151"/>
        <v>702.66959362461887</v>
      </c>
    </row>
    <row r="1035" spans="1:35" ht="15.75" customHeight="1">
      <c r="A1035" s="12" t="s">
        <v>764</v>
      </c>
      <c r="B1035" s="12" t="s">
        <v>765</v>
      </c>
      <c r="C1035" s="12" t="s">
        <v>192</v>
      </c>
      <c r="D1035" s="12" t="s">
        <v>33</v>
      </c>
      <c r="E1035" s="12" t="s">
        <v>736</v>
      </c>
      <c r="F1035" s="13">
        <v>36</v>
      </c>
      <c r="G1035" s="14">
        <v>475.38</v>
      </c>
      <c r="H1035" s="24" t="str">
        <f t="shared" si="153"/>
        <v>RSSP</v>
      </c>
      <c r="I1035" s="24" t="str">
        <f t="shared" si="152"/>
        <v>RSMG</v>
      </c>
      <c r="J1035" s="24" t="str">
        <f t="shared" si="152"/>
        <v>RSES</v>
      </c>
      <c r="K1035" s="24" t="str">
        <f t="shared" si="152"/>
        <v>RSSC</v>
      </c>
      <c r="L1035" s="24" t="str">
        <f t="shared" si="152"/>
        <v>RSRJ</v>
      </c>
      <c r="M1035" s="24" t="str">
        <f t="shared" si="152"/>
        <v>RSPR</v>
      </c>
      <c r="N1035" s="24" t="str">
        <f t="shared" si="152"/>
        <v>RSAM</v>
      </c>
      <c r="O1035" s="24">
        <f>VLOOKUP(H1035, KM!$A:$E, 5, 0)</f>
        <v>1109</v>
      </c>
      <c r="P1035" s="24">
        <f>VLOOKUP(I1035, KM!$A:$E, 5, 0)</f>
        <v>1712</v>
      </c>
      <c r="Q1035" s="24">
        <f>VLOOKUP(J1035, KM!$A:$E, 5, 0)</f>
        <v>2001</v>
      </c>
      <c r="R1035" s="24">
        <f>VLOOKUP(K1035, KM!$A:$E, 5, 0)</f>
        <v>476</v>
      </c>
      <c r="S1035" s="24">
        <f>VLOOKUP(L1035, KM!$A:$E, 5, 0)</f>
        <v>1553</v>
      </c>
      <c r="T1035" s="24">
        <f>VLOOKUP(M1035, KM!$A:$E, 5, 0)</f>
        <v>711</v>
      </c>
      <c r="U1035" s="24">
        <f>VLOOKUP(N1035, KM!$A:$E, 5, 0)</f>
        <v>4563</v>
      </c>
      <c r="V1035" s="24">
        <f>VLOOKUP(H1035, IMPOSTO!$A:$D, 4, 0)</f>
        <v>0.12</v>
      </c>
      <c r="W1035" s="24">
        <f>VLOOKUP(I1035, IMPOSTO!$A:$D, 4, 0)</f>
        <v>0.12</v>
      </c>
      <c r="X1035" s="24">
        <f>VLOOKUP(J1035, IMPOSTO!$A:$D, 4, 0)</f>
        <v>7.0000000000000007E-2</v>
      </c>
      <c r="Y1035" s="24">
        <f>VLOOKUP(K1035, IMPOSTO!$A:$D, 4, 0)</f>
        <v>0.12</v>
      </c>
      <c r="Z1035" s="24">
        <f>VLOOKUP(L1035, IMPOSTO!$A:$D, 4, 0)</f>
        <v>0.12</v>
      </c>
      <c r="AA1035" s="24">
        <f>VLOOKUP(M1035, IMPOSTO!$A:$D, 4, 0)</f>
        <v>0.12</v>
      </c>
      <c r="AB1035" s="24">
        <f>VLOOKUP(N1035, IMPOSTO!$A:$D, 4, 0)</f>
        <v>7.0000000000000007E-2</v>
      </c>
      <c r="AC1035" s="25">
        <f t="shared" si="145"/>
        <v>666.22727272727275</v>
      </c>
      <c r="AD1035" s="25">
        <f t="shared" si="146"/>
        <v>734.75</v>
      </c>
      <c r="AE1035" s="25">
        <f t="shared" si="147"/>
        <v>726.32258064516134</v>
      </c>
      <c r="AF1035" s="25">
        <f t="shared" si="148"/>
        <v>594.29545454545462</v>
      </c>
      <c r="AG1035" s="25">
        <f t="shared" si="149"/>
        <v>716.68181818181824</v>
      </c>
      <c r="AH1035" s="25">
        <f t="shared" si="150"/>
        <v>621</v>
      </c>
      <c r="AI1035" s="25">
        <f t="shared" si="151"/>
        <v>1001.8064516129034</v>
      </c>
    </row>
    <row r="1036" spans="1:35" ht="15.75" customHeight="1">
      <c r="A1036" s="12" t="s">
        <v>766</v>
      </c>
      <c r="B1036" s="12" t="s">
        <v>767</v>
      </c>
      <c r="C1036" s="12" t="s">
        <v>192</v>
      </c>
      <c r="D1036" s="12" t="s">
        <v>33</v>
      </c>
      <c r="E1036" s="12" t="s">
        <v>736</v>
      </c>
      <c r="F1036" s="13">
        <v>288</v>
      </c>
      <c r="G1036" s="14">
        <v>870.9699999999998</v>
      </c>
      <c r="H1036" s="24" t="str">
        <f t="shared" si="153"/>
        <v>RSSP</v>
      </c>
      <c r="I1036" s="24" t="str">
        <f t="shared" si="152"/>
        <v>RSMG</v>
      </c>
      <c r="J1036" s="24" t="str">
        <f t="shared" si="152"/>
        <v>RSES</v>
      </c>
      <c r="K1036" s="24" t="str">
        <f t="shared" si="152"/>
        <v>RSSC</v>
      </c>
      <c r="L1036" s="24" t="str">
        <f t="shared" si="152"/>
        <v>RSRJ</v>
      </c>
      <c r="M1036" s="24" t="str">
        <f t="shared" si="152"/>
        <v>RSPR</v>
      </c>
      <c r="N1036" s="24" t="str">
        <f t="shared" si="152"/>
        <v>RSAM</v>
      </c>
      <c r="O1036" s="24">
        <f>VLOOKUP(H1036, KM!$A:$E, 5, 0)</f>
        <v>1109</v>
      </c>
      <c r="P1036" s="24">
        <f>VLOOKUP(I1036, KM!$A:$E, 5, 0)</f>
        <v>1712</v>
      </c>
      <c r="Q1036" s="24">
        <f>VLOOKUP(J1036, KM!$A:$E, 5, 0)</f>
        <v>2001</v>
      </c>
      <c r="R1036" s="24">
        <f>VLOOKUP(K1036, KM!$A:$E, 5, 0)</f>
        <v>476</v>
      </c>
      <c r="S1036" s="24">
        <f>VLOOKUP(L1036, KM!$A:$E, 5, 0)</f>
        <v>1553</v>
      </c>
      <c r="T1036" s="24">
        <f>VLOOKUP(M1036, KM!$A:$E, 5, 0)</f>
        <v>711</v>
      </c>
      <c r="U1036" s="24">
        <f>VLOOKUP(N1036, KM!$A:$E, 5, 0)</f>
        <v>4563</v>
      </c>
      <c r="V1036" s="24">
        <f>VLOOKUP(H1036, IMPOSTO!$A:$D, 4, 0)</f>
        <v>0.12</v>
      </c>
      <c r="W1036" s="24">
        <f>VLOOKUP(I1036, IMPOSTO!$A:$D, 4, 0)</f>
        <v>0.12</v>
      </c>
      <c r="X1036" s="24">
        <f>VLOOKUP(J1036, IMPOSTO!$A:$D, 4, 0)</f>
        <v>7.0000000000000007E-2</v>
      </c>
      <c r="Y1036" s="24">
        <f>VLOOKUP(K1036, IMPOSTO!$A:$D, 4, 0)</f>
        <v>0.12</v>
      </c>
      <c r="Z1036" s="24">
        <f>VLOOKUP(L1036, IMPOSTO!$A:$D, 4, 0)</f>
        <v>0.12</v>
      </c>
      <c r="AA1036" s="24">
        <f>VLOOKUP(M1036, IMPOSTO!$A:$D, 4, 0)</f>
        <v>0.12</v>
      </c>
      <c r="AB1036" s="24">
        <f>VLOOKUP(N1036, IMPOSTO!$A:$D, 4, 0)</f>
        <v>7.0000000000000007E-2</v>
      </c>
      <c r="AC1036" s="25">
        <f t="shared" si="145"/>
        <v>1115.7613636363633</v>
      </c>
      <c r="AD1036" s="25">
        <f t="shared" si="146"/>
        <v>1184.2840909090908</v>
      </c>
      <c r="AE1036" s="25">
        <f t="shared" si="147"/>
        <v>1151.6881720430106</v>
      </c>
      <c r="AF1036" s="25">
        <f t="shared" si="148"/>
        <v>1043.8295454545453</v>
      </c>
      <c r="AG1036" s="25">
        <f t="shared" si="149"/>
        <v>1166.2159090909088</v>
      </c>
      <c r="AH1036" s="25">
        <f t="shared" si="150"/>
        <v>1070.5340909090908</v>
      </c>
      <c r="AI1036" s="25">
        <f t="shared" si="151"/>
        <v>1427.1720430107525</v>
      </c>
    </row>
    <row r="1037" spans="1:35" ht="15.75" customHeight="1">
      <c r="A1037" s="12" t="s">
        <v>406</v>
      </c>
      <c r="B1037" s="12" t="s">
        <v>407</v>
      </c>
      <c r="C1037" s="12" t="s">
        <v>314</v>
      </c>
      <c r="D1037" s="12" t="s">
        <v>33</v>
      </c>
      <c r="E1037" s="12" t="s">
        <v>736</v>
      </c>
      <c r="F1037" s="13">
        <v>1.7126348805273275</v>
      </c>
      <c r="G1037" s="14">
        <v>163.84657407415548</v>
      </c>
      <c r="H1037" s="24" t="str">
        <f t="shared" si="153"/>
        <v>RSSP</v>
      </c>
      <c r="I1037" s="24" t="str">
        <f t="shared" si="152"/>
        <v>RSMG</v>
      </c>
      <c r="J1037" s="24" t="str">
        <f t="shared" si="152"/>
        <v>RSES</v>
      </c>
      <c r="K1037" s="24" t="str">
        <f t="shared" si="152"/>
        <v>RSSC</v>
      </c>
      <c r="L1037" s="24" t="str">
        <f t="shared" si="152"/>
        <v>RSRJ</v>
      </c>
      <c r="M1037" s="24" t="str">
        <f t="shared" si="152"/>
        <v>RSPR</v>
      </c>
      <c r="N1037" s="24" t="str">
        <f t="shared" si="152"/>
        <v>RSAM</v>
      </c>
      <c r="O1037" s="24">
        <f>VLOOKUP(H1037, KM!$A:$E, 5, 0)</f>
        <v>1109</v>
      </c>
      <c r="P1037" s="24">
        <f>VLOOKUP(I1037, KM!$A:$E, 5, 0)</f>
        <v>1712</v>
      </c>
      <c r="Q1037" s="24">
        <f>VLOOKUP(J1037, KM!$A:$E, 5, 0)</f>
        <v>2001</v>
      </c>
      <c r="R1037" s="24">
        <f>VLOOKUP(K1037, KM!$A:$E, 5, 0)</f>
        <v>476</v>
      </c>
      <c r="S1037" s="24">
        <f>VLOOKUP(L1037, KM!$A:$E, 5, 0)</f>
        <v>1553</v>
      </c>
      <c r="T1037" s="24">
        <f>VLOOKUP(M1037, KM!$A:$E, 5, 0)</f>
        <v>711</v>
      </c>
      <c r="U1037" s="24">
        <f>VLOOKUP(N1037, KM!$A:$E, 5, 0)</f>
        <v>4563</v>
      </c>
      <c r="V1037" s="24">
        <f>VLOOKUP(H1037, IMPOSTO!$A:$D, 4, 0)</f>
        <v>0.12</v>
      </c>
      <c r="W1037" s="24">
        <f>VLOOKUP(I1037, IMPOSTO!$A:$D, 4, 0)</f>
        <v>0.12</v>
      </c>
      <c r="X1037" s="24">
        <f>VLOOKUP(J1037, IMPOSTO!$A:$D, 4, 0)</f>
        <v>7.0000000000000007E-2</v>
      </c>
      <c r="Y1037" s="24">
        <f>VLOOKUP(K1037, IMPOSTO!$A:$D, 4, 0)</f>
        <v>0.12</v>
      </c>
      <c r="Z1037" s="24">
        <f>VLOOKUP(L1037, IMPOSTO!$A:$D, 4, 0)</f>
        <v>0.12</v>
      </c>
      <c r="AA1037" s="24">
        <f>VLOOKUP(M1037, IMPOSTO!$A:$D, 4, 0)</f>
        <v>0.12</v>
      </c>
      <c r="AB1037" s="24">
        <f>VLOOKUP(N1037, IMPOSTO!$A:$D, 4, 0)</f>
        <v>7.0000000000000007E-2</v>
      </c>
      <c r="AC1037" s="25">
        <f t="shared" si="145"/>
        <v>312.21201599335853</v>
      </c>
      <c r="AD1037" s="25">
        <f t="shared" si="146"/>
        <v>380.73474326608579</v>
      </c>
      <c r="AE1037" s="25">
        <f t="shared" si="147"/>
        <v>391.34040223027472</v>
      </c>
      <c r="AF1037" s="25">
        <f t="shared" si="148"/>
        <v>240.28019781154032</v>
      </c>
      <c r="AG1037" s="25">
        <f t="shared" si="149"/>
        <v>362.66656144790403</v>
      </c>
      <c r="AH1037" s="25">
        <f t="shared" si="150"/>
        <v>266.98474326608579</v>
      </c>
      <c r="AI1037" s="25">
        <f t="shared" si="151"/>
        <v>666.82427319801673</v>
      </c>
    </row>
    <row r="1038" spans="1:35" ht="15.75" customHeight="1">
      <c r="A1038" s="12" t="s">
        <v>768</v>
      </c>
      <c r="B1038" s="12" t="s">
        <v>769</v>
      </c>
      <c r="C1038" s="12" t="s">
        <v>160</v>
      </c>
      <c r="D1038" s="12" t="s">
        <v>33</v>
      </c>
      <c r="E1038" s="12" t="s">
        <v>736</v>
      </c>
      <c r="F1038" s="13">
        <v>0.99760000000000004</v>
      </c>
      <c r="G1038" s="14">
        <v>48.906188923076918</v>
      </c>
      <c r="H1038" s="24" t="str">
        <f t="shared" si="153"/>
        <v>RSSP</v>
      </c>
      <c r="I1038" s="24" t="str">
        <f t="shared" si="152"/>
        <v>RSMG</v>
      </c>
      <c r="J1038" s="24" t="str">
        <f t="shared" si="152"/>
        <v>RSES</v>
      </c>
      <c r="K1038" s="24" t="str">
        <f t="shared" si="152"/>
        <v>RSSC</v>
      </c>
      <c r="L1038" s="24" t="str">
        <f t="shared" si="152"/>
        <v>RSRJ</v>
      </c>
      <c r="M1038" s="24" t="str">
        <f t="shared" si="152"/>
        <v>RSPR</v>
      </c>
      <c r="N1038" s="24" t="str">
        <f t="shared" si="152"/>
        <v>RSAM</v>
      </c>
      <c r="O1038" s="24">
        <f>VLOOKUP(H1038, KM!$A:$E, 5, 0)</f>
        <v>1109</v>
      </c>
      <c r="P1038" s="24">
        <f>VLOOKUP(I1038, KM!$A:$E, 5, 0)</f>
        <v>1712</v>
      </c>
      <c r="Q1038" s="24">
        <f>VLOOKUP(J1038, KM!$A:$E, 5, 0)</f>
        <v>2001</v>
      </c>
      <c r="R1038" s="24">
        <f>VLOOKUP(K1038, KM!$A:$E, 5, 0)</f>
        <v>476</v>
      </c>
      <c r="S1038" s="24">
        <f>VLOOKUP(L1038, KM!$A:$E, 5, 0)</f>
        <v>1553</v>
      </c>
      <c r="T1038" s="24">
        <f>VLOOKUP(M1038, KM!$A:$E, 5, 0)</f>
        <v>711</v>
      </c>
      <c r="U1038" s="24">
        <f>VLOOKUP(N1038, KM!$A:$E, 5, 0)</f>
        <v>4563</v>
      </c>
      <c r="V1038" s="24">
        <f>VLOOKUP(H1038, IMPOSTO!$A:$D, 4, 0)</f>
        <v>0.12</v>
      </c>
      <c r="W1038" s="24">
        <f>VLOOKUP(I1038, IMPOSTO!$A:$D, 4, 0)</f>
        <v>0.12</v>
      </c>
      <c r="X1038" s="24">
        <f>VLOOKUP(J1038, IMPOSTO!$A:$D, 4, 0)</f>
        <v>7.0000000000000007E-2</v>
      </c>
      <c r="Y1038" s="24">
        <f>VLOOKUP(K1038, IMPOSTO!$A:$D, 4, 0)</f>
        <v>0.12</v>
      </c>
      <c r="Z1038" s="24">
        <f>VLOOKUP(L1038, IMPOSTO!$A:$D, 4, 0)</f>
        <v>0.12</v>
      </c>
      <c r="AA1038" s="24">
        <f>VLOOKUP(M1038, IMPOSTO!$A:$D, 4, 0)</f>
        <v>0.12</v>
      </c>
      <c r="AB1038" s="24">
        <f>VLOOKUP(N1038, IMPOSTO!$A:$D, 4, 0)</f>
        <v>7.0000000000000007E-2</v>
      </c>
      <c r="AC1038" s="25">
        <f t="shared" si="145"/>
        <v>181.59794195804196</v>
      </c>
      <c r="AD1038" s="25">
        <f t="shared" si="146"/>
        <v>250.12066923076924</v>
      </c>
      <c r="AE1038" s="25">
        <f t="shared" si="147"/>
        <v>267.74859023986767</v>
      </c>
      <c r="AF1038" s="25">
        <f t="shared" si="148"/>
        <v>109.66612377622377</v>
      </c>
      <c r="AG1038" s="25">
        <f t="shared" si="149"/>
        <v>232.05248741258742</v>
      </c>
      <c r="AH1038" s="25">
        <f t="shared" si="150"/>
        <v>136.37066923076924</v>
      </c>
      <c r="AI1038" s="25">
        <f t="shared" si="151"/>
        <v>543.23246120760962</v>
      </c>
    </row>
    <row r="1039" spans="1:35" ht="15.75" customHeight="1">
      <c r="A1039" s="12" t="s">
        <v>690</v>
      </c>
      <c r="B1039" s="12" t="s">
        <v>691</v>
      </c>
      <c r="C1039" s="12" t="s">
        <v>192</v>
      </c>
      <c r="D1039" s="12" t="s">
        <v>33</v>
      </c>
      <c r="E1039" s="12" t="s">
        <v>736</v>
      </c>
      <c r="F1039" s="13">
        <v>2500</v>
      </c>
      <c r="G1039" s="14">
        <v>9358.4635416666679</v>
      </c>
      <c r="H1039" s="24" t="str">
        <f t="shared" si="153"/>
        <v>RSSP</v>
      </c>
      <c r="I1039" s="24" t="str">
        <f t="shared" si="152"/>
        <v>RSMG</v>
      </c>
      <c r="J1039" s="24" t="str">
        <f t="shared" si="152"/>
        <v>RSES</v>
      </c>
      <c r="K1039" s="24" t="str">
        <f t="shared" si="152"/>
        <v>RSSC</v>
      </c>
      <c r="L1039" s="24" t="str">
        <f t="shared" si="152"/>
        <v>RSRJ</v>
      </c>
      <c r="M1039" s="24" t="str">
        <f t="shared" si="152"/>
        <v>RSPR</v>
      </c>
      <c r="N1039" s="24" t="str">
        <f t="shared" si="152"/>
        <v>RSAM</v>
      </c>
      <c r="O1039" s="24">
        <f>VLOOKUP(H1039, KM!$A:$E, 5, 0)</f>
        <v>1109</v>
      </c>
      <c r="P1039" s="24">
        <f>VLOOKUP(I1039, KM!$A:$E, 5, 0)</f>
        <v>1712</v>
      </c>
      <c r="Q1039" s="24">
        <f>VLOOKUP(J1039, KM!$A:$E, 5, 0)</f>
        <v>2001</v>
      </c>
      <c r="R1039" s="24">
        <f>VLOOKUP(K1039, KM!$A:$E, 5, 0)</f>
        <v>476</v>
      </c>
      <c r="S1039" s="24">
        <f>VLOOKUP(L1039, KM!$A:$E, 5, 0)</f>
        <v>1553</v>
      </c>
      <c r="T1039" s="24">
        <f>VLOOKUP(M1039, KM!$A:$E, 5, 0)</f>
        <v>711</v>
      </c>
      <c r="U1039" s="24">
        <f>VLOOKUP(N1039, KM!$A:$E, 5, 0)</f>
        <v>4563</v>
      </c>
      <c r="V1039" s="24">
        <f>VLOOKUP(H1039, IMPOSTO!$A:$D, 4, 0)</f>
        <v>0.12</v>
      </c>
      <c r="W1039" s="24">
        <f>VLOOKUP(I1039, IMPOSTO!$A:$D, 4, 0)</f>
        <v>0.12</v>
      </c>
      <c r="X1039" s="24">
        <f>VLOOKUP(J1039, IMPOSTO!$A:$D, 4, 0)</f>
        <v>7.0000000000000007E-2</v>
      </c>
      <c r="Y1039" s="24">
        <f>VLOOKUP(K1039, IMPOSTO!$A:$D, 4, 0)</f>
        <v>0.12</v>
      </c>
      <c r="Z1039" s="24">
        <f>VLOOKUP(L1039, IMPOSTO!$A:$D, 4, 0)</f>
        <v>0.12</v>
      </c>
      <c r="AA1039" s="24">
        <f>VLOOKUP(M1039, IMPOSTO!$A:$D, 4, 0)</f>
        <v>0.12</v>
      </c>
      <c r="AB1039" s="24">
        <f>VLOOKUP(N1039, IMPOSTO!$A:$D, 4, 0)</f>
        <v>7.0000000000000007E-2</v>
      </c>
      <c r="AC1039" s="25">
        <f t="shared" si="145"/>
        <v>10760.640388257576</v>
      </c>
      <c r="AD1039" s="25">
        <f t="shared" si="146"/>
        <v>10829.163115530306</v>
      </c>
      <c r="AE1039" s="25">
        <f t="shared" si="147"/>
        <v>10278.025313620074</v>
      </c>
      <c r="AF1039" s="25">
        <f t="shared" si="148"/>
        <v>10688.70857007576</v>
      </c>
      <c r="AG1039" s="25">
        <f t="shared" si="149"/>
        <v>10811.094933712122</v>
      </c>
      <c r="AH1039" s="25">
        <f t="shared" si="150"/>
        <v>10715.413115530304</v>
      </c>
      <c r="AI1039" s="25">
        <f t="shared" si="151"/>
        <v>10553.509184587814</v>
      </c>
    </row>
    <row r="1040" spans="1:35" ht="15.75" customHeight="1">
      <c r="A1040" s="12" t="s">
        <v>770</v>
      </c>
      <c r="B1040" s="12" t="s">
        <v>771</v>
      </c>
      <c r="C1040" s="12" t="s">
        <v>160</v>
      </c>
      <c r="D1040" s="12" t="s">
        <v>33</v>
      </c>
      <c r="E1040" s="12" t="s">
        <v>736</v>
      </c>
      <c r="F1040" s="13">
        <v>654.00000000000011</v>
      </c>
      <c r="G1040" s="14">
        <v>18315.431481481486</v>
      </c>
      <c r="H1040" s="24" t="str">
        <f t="shared" si="153"/>
        <v>RSSP</v>
      </c>
      <c r="I1040" s="24" t="str">
        <f t="shared" si="152"/>
        <v>RSMG</v>
      </c>
      <c r="J1040" s="24" t="str">
        <f t="shared" si="152"/>
        <v>RSES</v>
      </c>
      <c r="K1040" s="24" t="str">
        <f t="shared" si="152"/>
        <v>RSSC</v>
      </c>
      <c r="L1040" s="24" t="str">
        <f t="shared" si="152"/>
        <v>RSRJ</v>
      </c>
      <c r="M1040" s="24" t="str">
        <f t="shared" si="152"/>
        <v>RSPR</v>
      </c>
      <c r="N1040" s="24" t="str">
        <f t="shared" si="152"/>
        <v>RSAM</v>
      </c>
      <c r="O1040" s="24">
        <f>VLOOKUP(H1040, KM!$A:$E, 5, 0)</f>
        <v>1109</v>
      </c>
      <c r="P1040" s="24">
        <f>VLOOKUP(I1040, KM!$A:$E, 5, 0)</f>
        <v>1712</v>
      </c>
      <c r="Q1040" s="24">
        <f>VLOOKUP(J1040, KM!$A:$E, 5, 0)</f>
        <v>2001</v>
      </c>
      <c r="R1040" s="24">
        <f>VLOOKUP(K1040, KM!$A:$E, 5, 0)</f>
        <v>476</v>
      </c>
      <c r="S1040" s="24">
        <f>VLOOKUP(L1040, KM!$A:$E, 5, 0)</f>
        <v>1553</v>
      </c>
      <c r="T1040" s="24">
        <f>VLOOKUP(M1040, KM!$A:$E, 5, 0)</f>
        <v>711</v>
      </c>
      <c r="U1040" s="24">
        <f>VLOOKUP(N1040, KM!$A:$E, 5, 0)</f>
        <v>4563</v>
      </c>
      <c r="V1040" s="24">
        <f>VLOOKUP(H1040, IMPOSTO!$A:$D, 4, 0)</f>
        <v>0.12</v>
      </c>
      <c r="W1040" s="24">
        <f>VLOOKUP(I1040, IMPOSTO!$A:$D, 4, 0)</f>
        <v>0.12</v>
      </c>
      <c r="X1040" s="24">
        <f>VLOOKUP(J1040, IMPOSTO!$A:$D, 4, 0)</f>
        <v>7.0000000000000007E-2</v>
      </c>
      <c r="Y1040" s="24">
        <f>VLOOKUP(K1040, IMPOSTO!$A:$D, 4, 0)</f>
        <v>0.12</v>
      </c>
      <c r="Z1040" s="24">
        <f>VLOOKUP(L1040, IMPOSTO!$A:$D, 4, 0)</f>
        <v>0.12</v>
      </c>
      <c r="AA1040" s="24">
        <f>VLOOKUP(M1040, IMPOSTO!$A:$D, 4, 0)</f>
        <v>0.12</v>
      </c>
      <c r="AB1040" s="24">
        <f>VLOOKUP(N1040, IMPOSTO!$A:$D, 4, 0)</f>
        <v>7.0000000000000007E-2</v>
      </c>
      <c r="AC1040" s="25">
        <f t="shared" si="145"/>
        <v>20939.013047138054</v>
      </c>
      <c r="AD1040" s="25">
        <f t="shared" si="146"/>
        <v>21007.535774410779</v>
      </c>
      <c r="AE1040" s="25">
        <f t="shared" si="147"/>
        <v>19909.173636001597</v>
      </c>
      <c r="AF1040" s="25">
        <f t="shared" si="148"/>
        <v>20867.081228956231</v>
      </c>
      <c r="AG1040" s="25">
        <f t="shared" si="149"/>
        <v>20989.467592592599</v>
      </c>
      <c r="AH1040" s="25">
        <f t="shared" si="150"/>
        <v>20893.785774410779</v>
      </c>
      <c r="AI1040" s="25">
        <f t="shared" si="151"/>
        <v>20184.657506969339</v>
      </c>
    </row>
    <row r="1041" spans="1:35" ht="15.75" customHeight="1">
      <c r="A1041" s="12" t="s">
        <v>772</v>
      </c>
      <c r="B1041" s="12" t="s">
        <v>773</v>
      </c>
      <c r="C1041" s="12" t="s">
        <v>160</v>
      </c>
      <c r="D1041" s="12" t="s">
        <v>33</v>
      </c>
      <c r="E1041" s="12" t="s">
        <v>736</v>
      </c>
      <c r="F1041" s="13">
        <v>7470.9999999999982</v>
      </c>
      <c r="G1041" s="14">
        <v>113225.39355306525</v>
      </c>
      <c r="H1041" s="24" t="str">
        <f t="shared" si="153"/>
        <v>RSSP</v>
      </c>
      <c r="I1041" s="24" t="str">
        <f t="shared" si="152"/>
        <v>RSMG</v>
      </c>
      <c r="J1041" s="24" t="str">
        <f t="shared" si="152"/>
        <v>RSES</v>
      </c>
      <c r="K1041" s="24" t="str">
        <f t="shared" si="152"/>
        <v>RSSC</v>
      </c>
      <c r="L1041" s="24" t="str">
        <f t="shared" si="152"/>
        <v>RSRJ</v>
      </c>
      <c r="M1041" s="24" t="str">
        <f t="shared" si="152"/>
        <v>RSPR</v>
      </c>
      <c r="N1041" s="24" t="str">
        <f t="shared" si="152"/>
        <v>RSAM</v>
      </c>
      <c r="O1041" s="24">
        <f>VLOOKUP(H1041, KM!$A:$E, 5, 0)</f>
        <v>1109</v>
      </c>
      <c r="P1041" s="24">
        <f>VLOOKUP(I1041, KM!$A:$E, 5, 0)</f>
        <v>1712</v>
      </c>
      <c r="Q1041" s="24">
        <f>VLOOKUP(J1041, KM!$A:$E, 5, 0)</f>
        <v>2001</v>
      </c>
      <c r="R1041" s="24">
        <f>VLOOKUP(K1041, KM!$A:$E, 5, 0)</f>
        <v>476</v>
      </c>
      <c r="S1041" s="24">
        <f>VLOOKUP(L1041, KM!$A:$E, 5, 0)</f>
        <v>1553</v>
      </c>
      <c r="T1041" s="24">
        <f>VLOOKUP(M1041, KM!$A:$E, 5, 0)</f>
        <v>711</v>
      </c>
      <c r="U1041" s="24">
        <f>VLOOKUP(N1041, KM!$A:$E, 5, 0)</f>
        <v>4563</v>
      </c>
      <c r="V1041" s="24">
        <f>VLOOKUP(H1041, IMPOSTO!$A:$D, 4, 0)</f>
        <v>0.12</v>
      </c>
      <c r="W1041" s="24">
        <f>VLOOKUP(I1041, IMPOSTO!$A:$D, 4, 0)</f>
        <v>0.12</v>
      </c>
      <c r="X1041" s="24">
        <f>VLOOKUP(J1041, IMPOSTO!$A:$D, 4, 0)</f>
        <v>7.0000000000000007E-2</v>
      </c>
      <c r="Y1041" s="24">
        <f>VLOOKUP(K1041, IMPOSTO!$A:$D, 4, 0)</f>
        <v>0.12</v>
      </c>
      <c r="Z1041" s="24">
        <f>VLOOKUP(L1041, IMPOSTO!$A:$D, 4, 0)</f>
        <v>0.12</v>
      </c>
      <c r="AA1041" s="24">
        <f>VLOOKUP(M1041, IMPOSTO!$A:$D, 4, 0)</f>
        <v>0.12</v>
      </c>
      <c r="AB1041" s="24">
        <f>VLOOKUP(N1041, IMPOSTO!$A:$D, 4, 0)</f>
        <v>7.0000000000000007E-2</v>
      </c>
      <c r="AC1041" s="25">
        <f t="shared" si="145"/>
        <v>128791.24267393778</v>
      </c>
      <c r="AD1041" s="25">
        <f t="shared" si="146"/>
        <v>128859.7654012105</v>
      </c>
      <c r="AE1041" s="25">
        <f t="shared" si="147"/>
        <v>121962.89629361857</v>
      </c>
      <c r="AF1041" s="25">
        <f t="shared" si="148"/>
        <v>128719.31085575598</v>
      </c>
      <c r="AG1041" s="25">
        <f t="shared" si="149"/>
        <v>128841.69721939233</v>
      </c>
      <c r="AH1041" s="25">
        <f t="shared" si="150"/>
        <v>128746.01540121052</v>
      </c>
      <c r="AI1041" s="25">
        <f t="shared" si="151"/>
        <v>122238.3801645863</v>
      </c>
    </row>
    <row r="1042" spans="1:35" ht="15.75" customHeight="1">
      <c r="A1042" s="12" t="s">
        <v>774</v>
      </c>
      <c r="B1042" s="12" t="s">
        <v>775</v>
      </c>
      <c r="C1042" s="12" t="s">
        <v>192</v>
      </c>
      <c r="D1042" s="12" t="s">
        <v>33</v>
      </c>
      <c r="E1042" s="12" t="s">
        <v>736</v>
      </c>
      <c r="F1042" s="13">
        <v>70</v>
      </c>
      <c r="G1042" s="14">
        <v>3239.2328431372557</v>
      </c>
      <c r="H1042" s="24" t="str">
        <f t="shared" si="153"/>
        <v>RSSP</v>
      </c>
      <c r="I1042" s="24" t="str">
        <f t="shared" si="152"/>
        <v>RSMG</v>
      </c>
      <c r="J1042" s="24" t="str">
        <f t="shared" si="152"/>
        <v>RSES</v>
      </c>
      <c r="K1042" s="24" t="str">
        <f t="shared" si="152"/>
        <v>RSSC</v>
      </c>
      <c r="L1042" s="24" t="str">
        <f t="shared" si="152"/>
        <v>RSRJ</v>
      </c>
      <c r="M1042" s="24" t="str">
        <f t="shared" si="152"/>
        <v>RSPR</v>
      </c>
      <c r="N1042" s="24" t="str">
        <f t="shared" si="152"/>
        <v>RSAM</v>
      </c>
      <c r="O1042" s="24">
        <f>VLOOKUP(H1042, KM!$A:$E, 5, 0)</f>
        <v>1109</v>
      </c>
      <c r="P1042" s="24">
        <f>VLOOKUP(I1042, KM!$A:$E, 5, 0)</f>
        <v>1712</v>
      </c>
      <c r="Q1042" s="24">
        <f>VLOOKUP(J1042, KM!$A:$E, 5, 0)</f>
        <v>2001</v>
      </c>
      <c r="R1042" s="24">
        <f>VLOOKUP(K1042, KM!$A:$E, 5, 0)</f>
        <v>476</v>
      </c>
      <c r="S1042" s="24">
        <f>VLOOKUP(L1042, KM!$A:$E, 5, 0)</f>
        <v>1553</v>
      </c>
      <c r="T1042" s="24">
        <f>VLOOKUP(M1042, KM!$A:$E, 5, 0)</f>
        <v>711</v>
      </c>
      <c r="U1042" s="24">
        <f>VLOOKUP(N1042, KM!$A:$E, 5, 0)</f>
        <v>4563</v>
      </c>
      <c r="V1042" s="24">
        <f>VLOOKUP(H1042, IMPOSTO!$A:$D, 4, 0)</f>
        <v>0.12</v>
      </c>
      <c r="W1042" s="24">
        <f>VLOOKUP(I1042, IMPOSTO!$A:$D, 4, 0)</f>
        <v>0.12</v>
      </c>
      <c r="X1042" s="24">
        <f>VLOOKUP(J1042, IMPOSTO!$A:$D, 4, 0)</f>
        <v>7.0000000000000007E-2</v>
      </c>
      <c r="Y1042" s="24">
        <f>VLOOKUP(K1042, IMPOSTO!$A:$D, 4, 0)</f>
        <v>0.12</v>
      </c>
      <c r="Z1042" s="24">
        <f>VLOOKUP(L1042, IMPOSTO!$A:$D, 4, 0)</f>
        <v>0.12</v>
      </c>
      <c r="AA1042" s="24">
        <f>VLOOKUP(M1042, IMPOSTO!$A:$D, 4, 0)</f>
        <v>0.12</v>
      </c>
      <c r="AB1042" s="24">
        <f>VLOOKUP(N1042, IMPOSTO!$A:$D, 4, 0)</f>
        <v>7.0000000000000007E-2</v>
      </c>
      <c r="AC1042" s="25">
        <f t="shared" si="145"/>
        <v>3806.9691399286999</v>
      </c>
      <c r="AD1042" s="25">
        <f t="shared" si="146"/>
        <v>3875.4918672014269</v>
      </c>
      <c r="AE1042" s="25">
        <f t="shared" si="147"/>
        <v>3698.2073582121029</v>
      </c>
      <c r="AF1042" s="25">
        <f t="shared" si="148"/>
        <v>3735.0373217468814</v>
      </c>
      <c r="AG1042" s="25">
        <f t="shared" si="149"/>
        <v>3857.4236853832454</v>
      </c>
      <c r="AH1042" s="25">
        <f t="shared" si="150"/>
        <v>3761.7418672014269</v>
      </c>
      <c r="AI1042" s="25">
        <f t="shared" si="151"/>
        <v>3973.6912291798453</v>
      </c>
    </row>
    <row r="1043" spans="1:35" ht="15.75" customHeight="1">
      <c r="A1043" s="12" t="s">
        <v>737</v>
      </c>
      <c r="B1043" s="12" t="s">
        <v>776</v>
      </c>
      <c r="C1043" s="12" t="s">
        <v>192</v>
      </c>
      <c r="D1043" s="12" t="s">
        <v>50</v>
      </c>
      <c r="E1043" s="12" t="s">
        <v>736</v>
      </c>
      <c r="F1043" s="13">
        <v>6.6154999999999999</v>
      </c>
      <c r="G1043" s="14">
        <v>75.488367916666661</v>
      </c>
      <c r="H1043" s="24" t="str">
        <f t="shared" si="153"/>
        <v>RSSP</v>
      </c>
      <c r="I1043" s="24" t="str">
        <f t="shared" si="152"/>
        <v>RSMG</v>
      </c>
      <c r="J1043" s="24" t="str">
        <f t="shared" si="152"/>
        <v>RSES</v>
      </c>
      <c r="K1043" s="24" t="str">
        <f t="shared" si="152"/>
        <v>RSSC</v>
      </c>
      <c r="L1043" s="24" t="str">
        <f t="shared" si="152"/>
        <v>RSRJ</v>
      </c>
      <c r="M1043" s="24" t="str">
        <f t="shared" si="152"/>
        <v>RSPR</v>
      </c>
      <c r="N1043" s="24" t="str">
        <f t="shared" si="152"/>
        <v>RSAM</v>
      </c>
      <c r="O1043" s="24">
        <f>VLOOKUP(H1043, KM!$A:$E, 5, 0)</f>
        <v>1109</v>
      </c>
      <c r="P1043" s="24">
        <f>VLOOKUP(I1043, KM!$A:$E, 5, 0)</f>
        <v>1712</v>
      </c>
      <c r="Q1043" s="24">
        <f>VLOOKUP(J1043, KM!$A:$E, 5, 0)</f>
        <v>2001</v>
      </c>
      <c r="R1043" s="24">
        <f>VLOOKUP(K1043, KM!$A:$E, 5, 0)</f>
        <v>476</v>
      </c>
      <c r="S1043" s="24">
        <f>VLOOKUP(L1043, KM!$A:$E, 5, 0)</f>
        <v>1553</v>
      </c>
      <c r="T1043" s="24">
        <f>VLOOKUP(M1043, KM!$A:$E, 5, 0)</f>
        <v>711</v>
      </c>
      <c r="U1043" s="24">
        <f>VLOOKUP(N1043, KM!$A:$E, 5, 0)</f>
        <v>4563</v>
      </c>
      <c r="V1043" s="24">
        <f>VLOOKUP(H1043, IMPOSTO!$A:$D, 4, 0)</f>
        <v>0.12</v>
      </c>
      <c r="W1043" s="24">
        <f>VLOOKUP(I1043, IMPOSTO!$A:$D, 4, 0)</f>
        <v>0.12</v>
      </c>
      <c r="X1043" s="24">
        <f>VLOOKUP(J1043, IMPOSTO!$A:$D, 4, 0)</f>
        <v>7.0000000000000007E-2</v>
      </c>
      <c r="Y1043" s="24">
        <f>VLOOKUP(K1043, IMPOSTO!$A:$D, 4, 0)</f>
        <v>0.12</v>
      </c>
      <c r="Z1043" s="24">
        <f>VLOOKUP(L1043, IMPOSTO!$A:$D, 4, 0)</f>
        <v>0.12</v>
      </c>
      <c r="AA1043" s="24">
        <f>VLOOKUP(M1043, IMPOSTO!$A:$D, 4, 0)</f>
        <v>0.12</v>
      </c>
      <c r="AB1043" s="24">
        <f>VLOOKUP(N1043, IMPOSTO!$A:$D, 4, 0)</f>
        <v>7.0000000000000007E-2</v>
      </c>
      <c r="AC1043" s="25">
        <f t="shared" ref="AC1043:AC1106" si="154">($G1043 + O1043 * $AE$5) / (1 - V1043)</f>
        <v>211.80496354166664</v>
      </c>
      <c r="AD1043" s="25">
        <f t="shared" ref="AD1043:AD1106" si="155">($G1043 + P1043 * $AE$5) / (1 - W1043)</f>
        <v>280.32769081439392</v>
      </c>
      <c r="AE1043" s="25">
        <f t="shared" ref="AE1043:AE1106" si="156">($G1043 + Q1043 * $AE$5) / (1 - X1043)</f>
        <v>296.33157840501798</v>
      </c>
      <c r="AF1043" s="25">
        <f t="shared" ref="AF1043:AF1106" si="157">($G1043 + R1043 * $AE$5) / (1 - Y1043)</f>
        <v>139.87314535984848</v>
      </c>
      <c r="AG1043" s="25">
        <f t="shared" ref="AG1043:AG1106" si="158">($G1043 + S1043 * $AE$5) / (1 - Z1043)</f>
        <v>262.25950899621216</v>
      </c>
      <c r="AH1043" s="25">
        <f t="shared" ref="AH1043:AH1106" si="159">($G1043 + T1043 * $AE$5) / (1 - AA1043)</f>
        <v>166.57769081439395</v>
      </c>
      <c r="AI1043" s="25">
        <f t="shared" ref="AI1043:AI1106" si="160">($G1043 + U1043 * $AE$5) / (1 - AB1043)</f>
        <v>571.81544937275987</v>
      </c>
    </row>
    <row r="1044" spans="1:35" ht="15.75" customHeight="1">
      <c r="A1044" s="12" t="s">
        <v>502</v>
      </c>
      <c r="B1044" s="12" t="s">
        <v>503</v>
      </c>
      <c r="C1044" s="12" t="s">
        <v>140</v>
      </c>
      <c r="D1044" s="12" t="s">
        <v>33</v>
      </c>
      <c r="E1044" s="12" t="s">
        <v>736</v>
      </c>
      <c r="F1044" s="13">
        <v>425.74541772151895</v>
      </c>
      <c r="G1044" s="14">
        <v>20116.470987341771</v>
      </c>
      <c r="H1044" s="24" t="str">
        <f t="shared" si="153"/>
        <v>RSSP</v>
      </c>
      <c r="I1044" s="24" t="str">
        <f t="shared" si="152"/>
        <v>RSMG</v>
      </c>
      <c r="J1044" s="24" t="str">
        <f t="shared" si="152"/>
        <v>RSES</v>
      </c>
      <c r="K1044" s="24" t="str">
        <f t="shared" si="152"/>
        <v>RSSC</v>
      </c>
      <c r="L1044" s="24" t="str">
        <f t="shared" si="152"/>
        <v>RSRJ</v>
      </c>
      <c r="M1044" s="24" t="str">
        <f t="shared" si="152"/>
        <v>RSPR</v>
      </c>
      <c r="N1044" s="24" t="str">
        <f t="shared" si="152"/>
        <v>RSAM</v>
      </c>
      <c r="O1044" s="24">
        <f>VLOOKUP(H1044, KM!$A:$E, 5, 0)</f>
        <v>1109</v>
      </c>
      <c r="P1044" s="24">
        <f>VLOOKUP(I1044, KM!$A:$E, 5, 0)</f>
        <v>1712</v>
      </c>
      <c r="Q1044" s="24">
        <f>VLOOKUP(J1044, KM!$A:$E, 5, 0)</f>
        <v>2001</v>
      </c>
      <c r="R1044" s="24">
        <f>VLOOKUP(K1044, KM!$A:$E, 5, 0)</f>
        <v>476</v>
      </c>
      <c r="S1044" s="24">
        <f>VLOOKUP(L1044, KM!$A:$E, 5, 0)</f>
        <v>1553</v>
      </c>
      <c r="T1044" s="24">
        <f>VLOOKUP(M1044, KM!$A:$E, 5, 0)</f>
        <v>711</v>
      </c>
      <c r="U1044" s="24">
        <f>VLOOKUP(N1044, KM!$A:$E, 5, 0)</f>
        <v>4563</v>
      </c>
      <c r="V1044" s="24">
        <f>VLOOKUP(H1044, IMPOSTO!$A:$D, 4, 0)</f>
        <v>0.12</v>
      </c>
      <c r="W1044" s="24">
        <f>VLOOKUP(I1044, IMPOSTO!$A:$D, 4, 0)</f>
        <v>0.12</v>
      </c>
      <c r="X1044" s="24">
        <f>VLOOKUP(J1044, IMPOSTO!$A:$D, 4, 0)</f>
        <v>7.0000000000000007E-2</v>
      </c>
      <c r="Y1044" s="24">
        <f>VLOOKUP(K1044, IMPOSTO!$A:$D, 4, 0)</f>
        <v>0.12</v>
      </c>
      <c r="Z1044" s="24">
        <f>VLOOKUP(L1044, IMPOSTO!$A:$D, 4, 0)</f>
        <v>0.12</v>
      </c>
      <c r="AA1044" s="24">
        <f>VLOOKUP(M1044, IMPOSTO!$A:$D, 4, 0)</f>
        <v>0.12</v>
      </c>
      <c r="AB1044" s="24">
        <f>VLOOKUP(N1044, IMPOSTO!$A:$D, 4, 0)</f>
        <v>7.0000000000000007E-2</v>
      </c>
      <c r="AC1044" s="25">
        <f t="shared" si="154"/>
        <v>22985.648849252015</v>
      </c>
      <c r="AD1044" s="25">
        <f t="shared" si="155"/>
        <v>23054.171576524739</v>
      </c>
      <c r="AE1044" s="25">
        <f t="shared" si="156"/>
        <v>21845.775255206205</v>
      </c>
      <c r="AF1044" s="25">
        <f t="shared" si="157"/>
        <v>22913.717031070191</v>
      </c>
      <c r="AG1044" s="25">
        <f t="shared" si="158"/>
        <v>23036.103394706555</v>
      </c>
      <c r="AH1044" s="25">
        <f t="shared" si="159"/>
        <v>22940.421576524739</v>
      </c>
      <c r="AI1044" s="25">
        <f t="shared" si="160"/>
        <v>22121.259126173947</v>
      </c>
    </row>
    <row r="1045" spans="1:35" ht="15.75" customHeight="1">
      <c r="A1045" s="12" t="s">
        <v>777</v>
      </c>
      <c r="B1045" s="12" t="s">
        <v>778</v>
      </c>
      <c r="C1045" s="12" t="s">
        <v>160</v>
      </c>
      <c r="D1045" s="12" t="s">
        <v>33</v>
      </c>
      <c r="E1045" s="12" t="s">
        <v>736</v>
      </c>
      <c r="F1045" s="13">
        <v>47</v>
      </c>
      <c r="G1045" s="14">
        <v>2131.4708888888895</v>
      </c>
      <c r="H1045" s="24" t="str">
        <f t="shared" si="153"/>
        <v>RSSP</v>
      </c>
      <c r="I1045" s="24" t="str">
        <f t="shared" si="152"/>
        <v>RSMG</v>
      </c>
      <c r="J1045" s="24" t="str">
        <f t="shared" si="152"/>
        <v>RSES</v>
      </c>
      <c r="K1045" s="24" t="str">
        <f t="shared" si="152"/>
        <v>RSSC</v>
      </c>
      <c r="L1045" s="24" t="str">
        <f t="shared" si="152"/>
        <v>RSRJ</v>
      </c>
      <c r="M1045" s="24" t="str">
        <f t="shared" ref="I1045:N1108" si="161">$E1045 &amp; M$17</f>
        <v>RSPR</v>
      </c>
      <c r="N1045" s="24" t="str">
        <f t="shared" si="161"/>
        <v>RSAM</v>
      </c>
      <c r="O1045" s="24">
        <f>VLOOKUP(H1045, KM!$A:$E, 5, 0)</f>
        <v>1109</v>
      </c>
      <c r="P1045" s="24">
        <f>VLOOKUP(I1045, KM!$A:$E, 5, 0)</f>
        <v>1712</v>
      </c>
      <c r="Q1045" s="24">
        <f>VLOOKUP(J1045, KM!$A:$E, 5, 0)</f>
        <v>2001</v>
      </c>
      <c r="R1045" s="24">
        <f>VLOOKUP(K1045, KM!$A:$E, 5, 0)</f>
        <v>476</v>
      </c>
      <c r="S1045" s="24">
        <f>VLOOKUP(L1045, KM!$A:$E, 5, 0)</f>
        <v>1553</v>
      </c>
      <c r="T1045" s="24">
        <f>VLOOKUP(M1045, KM!$A:$E, 5, 0)</f>
        <v>711</v>
      </c>
      <c r="U1045" s="24">
        <f>VLOOKUP(N1045, KM!$A:$E, 5, 0)</f>
        <v>4563</v>
      </c>
      <c r="V1045" s="24">
        <f>VLOOKUP(H1045, IMPOSTO!$A:$D, 4, 0)</f>
        <v>0.12</v>
      </c>
      <c r="W1045" s="24">
        <f>VLOOKUP(I1045, IMPOSTO!$A:$D, 4, 0)</f>
        <v>0.12</v>
      </c>
      <c r="X1045" s="24">
        <f>VLOOKUP(J1045, IMPOSTO!$A:$D, 4, 0)</f>
        <v>7.0000000000000007E-2</v>
      </c>
      <c r="Y1045" s="24">
        <f>VLOOKUP(K1045, IMPOSTO!$A:$D, 4, 0)</f>
        <v>0.12</v>
      </c>
      <c r="Z1045" s="24">
        <f>VLOOKUP(L1045, IMPOSTO!$A:$D, 4, 0)</f>
        <v>0.12</v>
      </c>
      <c r="AA1045" s="24">
        <f>VLOOKUP(M1045, IMPOSTO!$A:$D, 4, 0)</f>
        <v>0.12</v>
      </c>
      <c r="AB1045" s="24">
        <f>VLOOKUP(N1045, IMPOSTO!$A:$D, 4, 0)</f>
        <v>7.0000000000000007E-2</v>
      </c>
      <c r="AC1045" s="25">
        <f t="shared" si="154"/>
        <v>2548.1487373737382</v>
      </c>
      <c r="AD1045" s="25">
        <f t="shared" si="155"/>
        <v>2616.6714646464652</v>
      </c>
      <c r="AE1045" s="25">
        <f t="shared" si="156"/>
        <v>2507.0654719235372</v>
      </c>
      <c r="AF1045" s="25">
        <f t="shared" si="157"/>
        <v>2476.2169191919197</v>
      </c>
      <c r="AG1045" s="25">
        <f t="shared" si="158"/>
        <v>2598.6032828282837</v>
      </c>
      <c r="AH1045" s="25">
        <f t="shared" si="159"/>
        <v>2502.9214646464652</v>
      </c>
      <c r="AI1045" s="25">
        <f t="shared" si="160"/>
        <v>2782.5493428912796</v>
      </c>
    </row>
    <row r="1046" spans="1:35" ht="15.75" customHeight="1">
      <c r="A1046" s="12" t="s">
        <v>739</v>
      </c>
      <c r="B1046" s="12" t="s">
        <v>779</v>
      </c>
      <c r="C1046" s="12" t="s">
        <v>192</v>
      </c>
      <c r="D1046" s="12" t="s">
        <v>50</v>
      </c>
      <c r="E1046" s="12" t="s">
        <v>736</v>
      </c>
      <c r="F1046" s="13">
        <v>72.004153846153841</v>
      </c>
      <c r="G1046" s="14">
        <v>1692.004276666667</v>
      </c>
      <c r="H1046" s="24" t="str">
        <f t="shared" si="153"/>
        <v>RSSP</v>
      </c>
      <c r="I1046" s="24" t="str">
        <f t="shared" si="161"/>
        <v>RSMG</v>
      </c>
      <c r="J1046" s="24" t="str">
        <f t="shared" si="161"/>
        <v>RSES</v>
      </c>
      <c r="K1046" s="24" t="str">
        <f t="shared" si="161"/>
        <v>RSSC</v>
      </c>
      <c r="L1046" s="24" t="str">
        <f t="shared" si="161"/>
        <v>RSRJ</v>
      </c>
      <c r="M1046" s="24" t="str">
        <f t="shared" si="161"/>
        <v>RSPR</v>
      </c>
      <c r="N1046" s="24" t="str">
        <f t="shared" si="161"/>
        <v>RSAM</v>
      </c>
      <c r="O1046" s="24">
        <f>VLOOKUP(H1046, KM!$A:$E, 5, 0)</f>
        <v>1109</v>
      </c>
      <c r="P1046" s="24">
        <f>VLOOKUP(I1046, KM!$A:$E, 5, 0)</f>
        <v>1712</v>
      </c>
      <c r="Q1046" s="24">
        <f>VLOOKUP(J1046, KM!$A:$E, 5, 0)</f>
        <v>2001</v>
      </c>
      <c r="R1046" s="24">
        <f>VLOOKUP(K1046, KM!$A:$E, 5, 0)</f>
        <v>476</v>
      </c>
      <c r="S1046" s="24">
        <f>VLOOKUP(L1046, KM!$A:$E, 5, 0)</f>
        <v>1553</v>
      </c>
      <c r="T1046" s="24">
        <f>VLOOKUP(M1046, KM!$A:$E, 5, 0)</f>
        <v>711</v>
      </c>
      <c r="U1046" s="24">
        <f>VLOOKUP(N1046, KM!$A:$E, 5, 0)</f>
        <v>4563</v>
      </c>
      <c r="V1046" s="24">
        <f>VLOOKUP(H1046, IMPOSTO!$A:$D, 4, 0)</f>
        <v>0.12</v>
      </c>
      <c r="W1046" s="24">
        <f>VLOOKUP(I1046, IMPOSTO!$A:$D, 4, 0)</f>
        <v>0.12</v>
      </c>
      <c r="X1046" s="24">
        <f>VLOOKUP(J1046, IMPOSTO!$A:$D, 4, 0)</f>
        <v>7.0000000000000007E-2</v>
      </c>
      <c r="Y1046" s="24">
        <f>VLOOKUP(K1046, IMPOSTO!$A:$D, 4, 0)</f>
        <v>0.12</v>
      </c>
      <c r="Z1046" s="24">
        <f>VLOOKUP(L1046, IMPOSTO!$A:$D, 4, 0)</f>
        <v>0.12</v>
      </c>
      <c r="AA1046" s="24">
        <f>VLOOKUP(M1046, IMPOSTO!$A:$D, 4, 0)</f>
        <v>0.12</v>
      </c>
      <c r="AB1046" s="24">
        <f>VLOOKUP(N1046, IMPOSTO!$A:$D, 4, 0)</f>
        <v>7.0000000000000007E-2</v>
      </c>
      <c r="AC1046" s="25">
        <f t="shared" si="154"/>
        <v>2048.7548598484855</v>
      </c>
      <c r="AD1046" s="25">
        <f t="shared" si="155"/>
        <v>2117.2775871212125</v>
      </c>
      <c r="AE1046" s="25">
        <f t="shared" si="156"/>
        <v>2034.5207275985667</v>
      </c>
      <c r="AF1046" s="25">
        <f t="shared" si="157"/>
        <v>1976.823041666667</v>
      </c>
      <c r="AG1046" s="25">
        <f t="shared" si="158"/>
        <v>2099.2094053030305</v>
      </c>
      <c r="AH1046" s="25">
        <f t="shared" si="159"/>
        <v>2003.5275871212125</v>
      </c>
      <c r="AI1046" s="25">
        <f t="shared" si="160"/>
        <v>2310.0045985663091</v>
      </c>
    </row>
    <row r="1047" spans="1:35" ht="15.75" customHeight="1">
      <c r="A1047" s="12" t="s">
        <v>780</v>
      </c>
      <c r="B1047" s="12" t="s">
        <v>781</v>
      </c>
      <c r="C1047" s="12" t="s">
        <v>314</v>
      </c>
      <c r="D1047" s="12" t="s">
        <v>33</v>
      </c>
      <c r="E1047" s="12" t="s">
        <v>736</v>
      </c>
      <c r="F1047" s="13">
        <v>10852.602800000002</v>
      </c>
      <c r="G1047" s="14">
        <v>2075772.3533410949</v>
      </c>
      <c r="H1047" s="24" t="str">
        <f t="shared" si="153"/>
        <v>RSSP</v>
      </c>
      <c r="I1047" s="24" t="str">
        <f t="shared" si="161"/>
        <v>RSMG</v>
      </c>
      <c r="J1047" s="24" t="str">
        <f t="shared" si="161"/>
        <v>RSES</v>
      </c>
      <c r="K1047" s="24" t="str">
        <f t="shared" si="161"/>
        <v>RSSC</v>
      </c>
      <c r="L1047" s="24" t="str">
        <f t="shared" si="161"/>
        <v>RSRJ</v>
      </c>
      <c r="M1047" s="24" t="str">
        <f t="shared" si="161"/>
        <v>RSPR</v>
      </c>
      <c r="N1047" s="24" t="str">
        <f t="shared" si="161"/>
        <v>RSAM</v>
      </c>
      <c r="O1047" s="24">
        <f>VLOOKUP(H1047, KM!$A:$E, 5, 0)</f>
        <v>1109</v>
      </c>
      <c r="P1047" s="24">
        <f>VLOOKUP(I1047, KM!$A:$E, 5, 0)</f>
        <v>1712</v>
      </c>
      <c r="Q1047" s="24">
        <f>VLOOKUP(J1047, KM!$A:$E, 5, 0)</f>
        <v>2001</v>
      </c>
      <c r="R1047" s="24">
        <f>VLOOKUP(K1047, KM!$A:$E, 5, 0)</f>
        <v>476</v>
      </c>
      <c r="S1047" s="24">
        <f>VLOOKUP(L1047, KM!$A:$E, 5, 0)</f>
        <v>1553</v>
      </c>
      <c r="T1047" s="24">
        <f>VLOOKUP(M1047, KM!$A:$E, 5, 0)</f>
        <v>711</v>
      </c>
      <c r="U1047" s="24">
        <f>VLOOKUP(N1047, KM!$A:$E, 5, 0)</f>
        <v>4563</v>
      </c>
      <c r="V1047" s="24">
        <f>VLOOKUP(H1047, IMPOSTO!$A:$D, 4, 0)</f>
        <v>0.12</v>
      </c>
      <c r="W1047" s="24">
        <f>VLOOKUP(I1047, IMPOSTO!$A:$D, 4, 0)</f>
        <v>0.12</v>
      </c>
      <c r="X1047" s="24">
        <f>VLOOKUP(J1047, IMPOSTO!$A:$D, 4, 0)</f>
        <v>7.0000000000000007E-2</v>
      </c>
      <c r="Y1047" s="24">
        <f>VLOOKUP(K1047, IMPOSTO!$A:$D, 4, 0)</f>
        <v>0.12</v>
      </c>
      <c r="Z1047" s="24">
        <f>VLOOKUP(L1047, IMPOSTO!$A:$D, 4, 0)</f>
        <v>0.12</v>
      </c>
      <c r="AA1047" s="24">
        <f>VLOOKUP(M1047, IMPOSTO!$A:$D, 4, 0)</f>
        <v>0.12</v>
      </c>
      <c r="AB1047" s="24">
        <f>VLOOKUP(N1047, IMPOSTO!$A:$D, 4, 0)</f>
        <v>7.0000000000000007E-2</v>
      </c>
      <c r="AC1047" s="25">
        <f t="shared" si="154"/>
        <v>2358958.2424330623</v>
      </c>
      <c r="AD1047" s="25">
        <f t="shared" si="155"/>
        <v>2359026.7651603352</v>
      </c>
      <c r="AE1047" s="25">
        <f t="shared" si="156"/>
        <v>2232228.4444527905</v>
      </c>
      <c r="AF1047" s="25">
        <f t="shared" si="157"/>
        <v>2358886.3106148806</v>
      </c>
      <c r="AG1047" s="25">
        <f t="shared" si="158"/>
        <v>2359008.6969785169</v>
      </c>
      <c r="AH1047" s="25">
        <f t="shared" si="159"/>
        <v>2358913.0151603352</v>
      </c>
      <c r="AI1047" s="25">
        <f t="shared" si="160"/>
        <v>2232503.9283237583</v>
      </c>
    </row>
    <row r="1048" spans="1:35" ht="15.75" customHeight="1">
      <c r="A1048" s="12" t="s">
        <v>739</v>
      </c>
      <c r="B1048" s="12" t="s">
        <v>779</v>
      </c>
      <c r="C1048" s="12" t="s">
        <v>192</v>
      </c>
      <c r="D1048" s="12" t="s">
        <v>50</v>
      </c>
      <c r="E1048" s="12" t="s">
        <v>736</v>
      </c>
      <c r="F1048" s="13">
        <v>24.918923076923075</v>
      </c>
      <c r="G1048" s="14">
        <v>585.56239000000005</v>
      </c>
      <c r="H1048" s="24" t="str">
        <f t="shared" si="153"/>
        <v>RSSP</v>
      </c>
      <c r="I1048" s="24" t="str">
        <f t="shared" si="161"/>
        <v>RSMG</v>
      </c>
      <c r="J1048" s="24" t="str">
        <f t="shared" si="161"/>
        <v>RSES</v>
      </c>
      <c r="K1048" s="24" t="str">
        <f t="shared" si="161"/>
        <v>RSSC</v>
      </c>
      <c r="L1048" s="24" t="str">
        <f t="shared" si="161"/>
        <v>RSRJ</v>
      </c>
      <c r="M1048" s="24" t="str">
        <f t="shared" si="161"/>
        <v>RSPR</v>
      </c>
      <c r="N1048" s="24" t="str">
        <f t="shared" si="161"/>
        <v>RSAM</v>
      </c>
      <c r="O1048" s="24">
        <f>VLOOKUP(H1048, KM!$A:$E, 5, 0)</f>
        <v>1109</v>
      </c>
      <c r="P1048" s="24">
        <f>VLOOKUP(I1048, KM!$A:$E, 5, 0)</f>
        <v>1712</v>
      </c>
      <c r="Q1048" s="24">
        <f>VLOOKUP(J1048, KM!$A:$E, 5, 0)</f>
        <v>2001</v>
      </c>
      <c r="R1048" s="24">
        <f>VLOOKUP(K1048, KM!$A:$E, 5, 0)</f>
        <v>476</v>
      </c>
      <c r="S1048" s="24">
        <f>VLOOKUP(L1048, KM!$A:$E, 5, 0)</f>
        <v>1553</v>
      </c>
      <c r="T1048" s="24">
        <f>VLOOKUP(M1048, KM!$A:$E, 5, 0)</f>
        <v>711</v>
      </c>
      <c r="U1048" s="24">
        <f>VLOOKUP(N1048, KM!$A:$E, 5, 0)</f>
        <v>4563</v>
      </c>
      <c r="V1048" s="24">
        <f>VLOOKUP(H1048, IMPOSTO!$A:$D, 4, 0)</f>
        <v>0.12</v>
      </c>
      <c r="W1048" s="24">
        <f>VLOOKUP(I1048, IMPOSTO!$A:$D, 4, 0)</f>
        <v>0.12</v>
      </c>
      <c r="X1048" s="24">
        <f>VLOOKUP(J1048, IMPOSTO!$A:$D, 4, 0)</f>
        <v>7.0000000000000007E-2</v>
      </c>
      <c r="Y1048" s="24">
        <f>VLOOKUP(K1048, IMPOSTO!$A:$D, 4, 0)</f>
        <v>0.12</v>
      </c>
      <c r="Z1048" s="24">
        <f>VLOOKUP(L1048, IMPOSTO!$A:$D, 4, 0)</f>
        <v>0.12</v>
      </c>
      <c r="AA1048" s="24">
        <f>VLOOKUP(M1048, IMPOSTO!$A:$D, 4, 0)</f>
        <v>0.12</v>
      </c>
      <c r="AB1048" s="24">
        <f>VLOOKUP(N1048, IMPOSTO!$A:$D, 4, 0)</f>
        <v>7.0000000000000007E-2</v>
      </c>
      <c r="AC1048" s="25">
        <f t="shared" si="154"/>
        <v>791.4345340909091</v>
      </c>
      <c r="AD1048" s="25">
        <f t="shared" si="155"/>
        <v>859.95726136363646</v>
      </c>
      <c r="AE1048" s="25">
        <f t="shared" si="156"/>
        <v>844.79826881720442</v>
      </c>
      <c r="AF1048" s="25">
        <f t="shared" si="157"/>
        <v>719.50271590909097</v>
      </c>
      <c r="AG1048" s="25">
        <f t="shared" si="158"/>
        <v>841.88907954545459</v>
      </c>
      <c r="AH1048" s="25">
        <f t="shared" si="159"/>
        <v>746.20726136363646</v>
      </c>
      <c r="AI1048" s="25">
        <f t="shared" si="160"/>
        <v>1120.2821397849464</v>
      </c>
    </row>
    <row r="1049" spans="1:35" ht="15.75" customHeight="1">
      <c r="A1049" s="12" t="s">
        <v>737</v>
      </c>
      <c r="B1049" s="12" t="s">
        <v>776</v>
      </c>
      <c r="C1049" s="12" t="s">
        <v>192</v>
      </c>
      <c r="D1049" s="12" t="s">
        <v>50</v>
      </c>
      <c r="E1049" s="12" t="s">
        <v>736</v>
      </c>
      <c r="F1049" s="13">
        <v>3.4614230769230767</v>
      </c>
      <c r="G1049" s="14">
        <v>39.497721826923083</v>
      </c>
      <c r="H1049" s="24" t="str">
        <f t="shared" si="153"/>
        <v>RSSP</v>
      </c>
      <c r="I1049" s="24" t="str">
        <f t="shared" si="161"/>
        <v>RSMG</v>
      </c>
      <c r="J1049" s="24" t="str">
        <f t="shared" si="161"/>
        <v>RSES</v>
      </c>
      <c r="K1049" s="24" t="str">
        <f t="shared" si="161"/>
        <v>RSSC</v>
      </c>
      <c r="L1049" s="24" t="str">
        <f t="shared" si="161"/>
        <v>RSRJ</v>
      </c>
      <c r="M1049" s="24" t="str">
        <f t="shared" si="161"/>
        <v>RSPR</v>
      </c>
      <c r="N1049" s="24" t="str">
        <f t="shared" si="161"/>
        <v>RSAM</v>
      </c>
      <c r="O1049" s="24">
        <f>VLOOKUP(H1049, KM!$A:$E, 5, 0)</f>
        <v>1109</v>
      </c>
      <c r="P1049" s="24">
        <f>VLOOKUP(I1049, KM!$A:$E, 5, 0)</f>
        <v>1712</v>
      </c>
      <c r="Q1049" s="24">
        <f>VLOOKUP(J1049, KM!$A:$E, 5, 0)</f>
        <v>2001</v>
      </c>
      <c r="R1049" s="24">
        <f>VLOOKUP(K1049, KM!$A:$E, 5, 0)</f>
        <v>476</v>
      </c>
      <c r="S1049" s="24">
        <f>VLOOKUP(L1049, KM!$A:$E, 5, 0)</f>
        <v>1553</v>
      </c>
      <c r="T1049" s="24">
        <f>VLOOKUP(M1049, KM!$A:$E, 5, 0)</f>
        <v>711</v>
      </c>
      <c r="U1049" s="24">
        <f>VLOOKUP(N1049, KM!$A:$E, 5, 0)</f>
        <v>4563</v>
      </c>
      <c r="V1049" s="24">
        <f>VLOOKUP(H1049, IMPOSTO!$A:$D, 4, 0)</f>
        <v>0.12</v>
      </c>
      <c r="W1049" s="24">
        <f>VLOOKUP(I1049, IMPOSTO!$A:$D, 4, 0)</f>
        <v>0.12</v>
      </c>
      <c r="X1049" s="24">
        <f>VLOOKUP(J1049, IMPOSTO!$A:$D, 4, 0)</f>
        <v>7.0000000000000007E-2</v>
      </c>
      <c r="Y1049" s="24">
        <f>VLOOKUP(K1049, IMPOSTO!$A:$D, 4, 0)</f>
        <v>0.12</v>
      </c>
      <c r="Z1049" s="24">
        <f>VLOOKUP(L1049, IMPOSTO!$A:$D, 4, 0)</f>
        <v>0.12</v>
      </c>
      <c r="AA1049" s="24">
        <f>VLOOKUP(M1049, IMPOSTO!$A:$D, 4, 0)</f>
        <v>0.12</v>
      </c>
      <c r="AB1049" s="24">
        <f>VLOOKUP(N1049, IMPOSTO!$A:$D, 4, 0)</f>
        <v>7.0000000000000007E-2</v>
      </c>
      <c r="AC1049" s="25">
        <f t="shared" si="154"/>
        <v>170.90650207604895</v>
      </c>
      <c r="AD1049" s="25">
        <f t="shared" si="155"/>
        <v>239.42922934877626</v>
      </c>
      <c r="AE1049" s="25">
        <f t="shared" si="156"/>
        <v>257.63195895368079</v>
      </c>
      <c r="AF1049" s="25">
        <f t="shared" si="157"/>
        <v>98.974683894230765</v>
      </c>
      <c r="AG1049" s="25">
        <f t="shared" si="158"/>
        <v>221.36104753059442</v>
      </c>
      <c r="AH1049" s="25">
        <f t="shared" si="159"/>
        <v>125.67922934877625</v>
      </c>
      <c r="AI1049" s="25">
        <f t="shared" si="160"/>
        <v>533.11582992142269</v>
      </c>
    </row>
    <row r="1050" spans="1:35" ht="15.75" customHeight="1">
      <c r="A1050" s="12" t="s">
        <v>737</v>
      </c>
      <c r="B1050" s="12" t="s">
        <v>738</v>
      </c>
      <c r="C1050" s="12" t="s">
        <v>192</v>
      </c>
      <c r="D1050" s="12" t="s">
        <v>50</v>
      </c>
      <c r="E1050" s="12" t="s">
        <v>736</v>
      </c>
      <c r="F1050" s="13">
        <v>20.768538461538459</v>
      </c>
      <c r="G1050" s="14">
        <v>295.06324115384615</v>
      </c>
      <c r="H1050" s="24" t="str">
        <f t="shared" si="153"/>
        <v>RSSP</v>
      </c>
      <c r="I1050" s="24" t="str">
        <f t="shared" si="161"/>
        <v>RSMG</v>
      </c>
      <c r="J1050" s="24" t="str">
        <f t="shared" si="161"/>
        <v>RSES</v>
      </c>
      <c r="K1050" s="24" t="str">
        <f t="shared" si="161"/>
        <v>RSSC</v>
      </c>
      <c r="L1050" s="24" t="str">
        <f t="shared" si="161"/>
        <v>RSRJ</v>
      </c>
      <c r="M1050" s="24" t="str">
        <f t="shared" si="161"/>
        <v>RSPR</v>
      </c>
      <c r="N1050" s="24" t="str">
        <f t="shared" si="161"/>
        <v>RSAM</v>
      </c>
      <c r="O1050" s="24">
        <f>VLOOKUP(H1050, KM!$A:$E, 5, 0)</f>
        <v>1109</v>
      </c>
      <c r="P1050" s="24">
        <f>VLOOKUP(I1050, KM!$A:$E, 5, 0)</f>
        <v>1712</v>
      </c>
      <c r="Q1050" s="24">
        <f>VLOOKUP(J1050, KM!$A:$E, 5, 0)</f>
        <v>2001</v>
      </c>
      <c r="R1050" s="24">
        <f>VLOOKUP(K1050, KM!$A:$E, 5, 0)</f>
        <v>476</v>
      </c>
      <c r="S1050" s="24">
        <f>VLOOKUP(L1050, KM!$A:$E, 5, 0)</f>
        <v>1553</v>
      </c>
      <c r="T1050" s="24">
        <f>VLOOKUP(M1050, KM!$A:$E, 5, 0)</f>
        <v>711</v>
      </c>
      <c r="U1050" s="24">
        <f>VLOOKUP(N1050, KM!$A:$E, 5, 0)</f>
        <v>4563</v>
      </c>
      <c r="V1050" s="24">
        <f>VLOOKUP(H1050, IMPOSTO!$A:$D, 4, 0)</f>
        <v>0.12</v>
      </c>
      <c r="W1050" s="24">
        <f>VLOOKUP(I1050, IMPOSTO!$A:$D, 4, 0)</f>
        <v>0.12</v>
      </c>
      <c r="X1050" s="24">
        <f>VLOOKUP(J1050, IMPOSTO!$A:$D, 4, 0)</f>
        <v>7.0000000000000007E-2</v>
      </c>
      <c r="Y1050" s="24">
        <f>VLOOKUP(K1050, IMPOSTO!$A:$D, 4, 0)</f>
        <v>0.12</v>
      </c>
      <c r="Z1050" s="24">
        <f>VLOOKUP(L1050, IMPOSTO!$A:$D, 4, 0)</f>
        <v>0.12</v>
      </c>
      <c r="AA1050" s="24">
        <f>VLOOKUP(M1050, IMPOSTO!$A:$D, 4, 0)</f>
        <v>0.12</v>
      </c>
      <c r="AB1050" s="24">
        <f>VLOOKUP(N1050, IMPOSTO!$A:$D, 4, 0)</f>
        <v>7.0000000000000007E-2</v>
      </c>
      <c r="AC1050" s="25">
        <f t="shared" si="154"/>
        <v>461.32186494755246</v>
      </c>
      <c r="AD1050" s="25">
        <f t="shared" si="155"/>
        <v>529.84459222027965</v>
      </c>
      <c r="AE1050" s="25">
        <f t="shared" si="156"/>
        <v>532.43359263854427</v>
      </c>
      <c r="AF1050" s="25">
        <f t="shared" si="157"/>
        <v>389.39004676573427</v>
      </c>
      <c r="AG1050" s="25">
        <f t="shared" si="158"/>
        <v>511.77641040209789</v>
      </c>
      <c r="AH1050" s="25">
        <f t="shared" si="159"/>
        <v>416.09459222027976</v>
      </c>
      <c r="AI1050" s="25">
        <f t="shared" si="160"/>
        <v>807.91746360628622</v>
      </c>
    </row>
    <row r="1051" spans="1:35" ht="15.75" customHeight="1">
      <c r="A1051" s="12" t="s">
        <v>737</v>
      </c>
      <c r="B1051" s="12" t="s">
        <v>738</v>
      </c>
      <c r="C1051" s="12" t="s">
        <v>192</v>
      </c>
      <c r="D1051" s="12" t="s">
        <v>50</v>
      </c>
      <c r="E1051" s="12" t="s">
        <v>736</v>
      </c>
      <c r="F1051" s="13">
        <v>17.307115384615383</v>
      </c>
      <c r="G1051" s="14">
        <v>240.47659923076927</v>
      </c>
      <c r="H1051" s="24" t="str">
        <f t="shared" si="153"/>
        <v>RSSP</v>
      </c>
      <c r="I1051" s="24" t="str">
        <f t="shared" si="161"/>
        <v>RSMG</v>
      </c>
      <c r="J1051" s="24" t="str">
        <f t="shared" si="161"/>
        <v>RSES</v>
      </c>
      <c r="K1051" s="24" t="str">
        <f t="shared" si="161"/>
        <v>RSSC</v>
      </c>
      <c r="L1051" s="24" t="str">
        <f t="shared" si="161"/>
        <v>RSRJ</v>
      </c>
      <c r="M1051" s="24" t="str">
        <f t="shared" si="161"/>
        <v>RSPR</v>
      </c>
      <c r="N1051" s="24" t="str">
        <f t="shared" si="161"/>
        <v>RSAM</v>
      </c>
      <c r="O1051" s="24">
        <f>VLOOKUP(H1051, KM!$A:$E, 5, 0)</f>
        <v>1109</v>
      </c>
      <c r="P1051" s="24">
        <f>VLOOKUP(I1051, KM!$A:$E, 5, 0)</f>
        <v>1712</v>
      </c>
      <c r="Q1051" s="24">
        <f>VLOOKUP(J1051, KM!$A:$E, 5, 0)</f>
        <v>2001</v>
      </c>
      <c r="R1051" s="24">
        <f>VLOOKUP(K1051, KM!$A:$E, 5, 0)</f>
        <v>476</v>
      </c>
      <c r="S1051" s="24">
        <f>VLOOKUP(L1051, KM!$A:$E, 5, 0)</f>
        <v>1553</v>
      </c>
      <c r="T1051" s="24">
        <f>VLOOKUP(M1051, KM!$A:$E, 5, 0)</f>
        <v>711</v>
      </c>
      <c r="U1051" s="24">
        <f>VLOOKUP(N1051, KM!$A:$E, 5, 0)</f>
        <v>4563</v>
      </c>
      <c r="V1051" s="24">
        <f>VLOOKUP(H1051, IMPOSTO!$A:$D, 4, 0)</f>
        <v>0.12</v>
      </c>
      <c r="W1051" s="24">
        <f>VLOOKUP(I1051, IMPOSTO!$A:$D, 4, 0)</f>
        <v>0.12</v>
      </c>
      <c r="X1051" s="24">
        <f>VLOOKUP(J1051, IMPOSTO!$A:$D, 4, 0)</f>
        <v>7.0000000000000007E-2</v>
      </c>
      <c r="Y1051" s="24">
        <f>VLOOKUP(K1051, IMPOSTO!$A:$D, 4, 0)</f>
        <v>0.12</v>
      </c>
      <c r="Z1051" s="24">
        <f>VLOOKUP(L1051, IMPOSTO!$A:$D, 4, 0)</f>
        <v>0.12</v>
      </c>
      <c r="AA1051" s="24">
        <f>VLOOKUP(M1051, IMPOSTO!$A:$D, 4, 0)</f>
        <v>0.12</v>
      </c>
      <c r="AB1051" s="24">
        <f>VLOOKUP(N1051, IMPOSTO!$A:$D, 4, 0)</f>
        <v>7.0000000000000007E-2</v>
      </c>
      <c r="AC1051" s="25">
        <f t="shared" si="154"/>
        <v>399.29159003496505</v>
      </c>
      <c r="AD1051" s="25">
        <f t="shared" si="155"/>
        <v>467.81431730769236</v>
      </c>
      <c r="AE1051" s="25">
        <f t="shared" si="156"/>
        <v>473.7382787427627</v>
      </c>
      <c r="AF1051" s="25">
        <f t="shared" si="157"/>
        <v>327.35977185314687</v>
      </c>
      <c r="AG1051" s="25">
        <f t="shared" si="158"/>
        <v>449.74613548951055</v>
      </c>
      <c r="AH1051" s="25">
        <f t="shared" si="159"/>
        <v>354.06431730769236</v>
      </c>
      <c r="AI1051" s="25">
        <f t="shared" si="160"/>
        <v>749.22214971050471</v>
      </c>
    </row>
    <row r="1052" spans="1:35" ht="15.75" customHeight="1">
      <c r="A1052" s="12" t="s">
        <v>762</v>
      </c>
      <c r="B1052" s="12" t="s">
        <v>763</v>
      </c>
      <c r="C1052" s="12" t="s">
        <v>140</v>
      </c>
      <c r="D1052" s="12" t="s">
        <v>33</v>
      </c>
      <c r="E1052" s="12" t="s">
        <v>736</v>
      </c>
      <c r="F1052" s="13">
        <v>742.59048507462683</v>
      </c>
      <c r="G1052" s="14">
        <v>22364.671898041041</v>
      </c>
      <c r="H1052" s="24" t="str">
        <f t="shared" si="153"/>
        <v>RSSP</v>
      </c>
      <c r="I1052" s="24" t="str">
        <f t="shared" si="161"/>
        <v>RSMG</v>
      </c>
      <c r="J1052" s="24" t="str">
        <f t="shared" si="161"/>
        <v>RSES</v>
      </c>
      <c r="K1052" s="24" t="str">
        <f t="shared" si="161"/>
        <v>RSSC</v>
      </c>
      <c r="L1052" s="24" t="str">
        <f t="shared" si="161"/>
        <v>RSRJ</v>
      </c>
      <c r="M1052" s="24" t="str">
        <f t="shared" si="161"/>
        <v>RSPR</v>
      </c>
      <c r="N1052" s="24" t="str">
        <f t="shared" si="161"/>
        <v>RSAM</v>
      </c>
      <c r="O1052" s="24">
        <f>VLOOKUP(H1052, KM!$A:$E, 5, 0)</f>
        <v>1109</v>
      </c>
      <c r="P1052" s="24">
        <f>VLOOKUP(I1052, KM!$A:$E, 5, 0)</f>
        <v>1712</v>
      </c>
      <c r="Q1052" s="24">
        <f>VLOOKUP(J1052, KM!$A:$E, 5, 0)</f>
        <v>2001</v>
      </c>
      <c r="R1052" s="24">
        <f>VLOOKUP(K1052, KM!$A:$E, 5, 0)</f>
        <v>476</v>
      </c>
      <c r="S1052" s="24">
        <f>VLOOKUP(L1052, KM!$A:$E, 5, 0)</f>
        <v>1553</v>
      </c>
      <c r="T1052" s="24">
        <f>VLOOKUP(M1052, KM!$A:$E, 5, 0)</f>
        <v>711</v>
      </c>
      <c r="U1052" s="24">
        <f>VLOOKUP(N1052, KM!$A:$E, 5, 0)</f>
        <v>4563</v>
      </c>
      <c r="V1052" s="24">
        <f>VLOOKUP(H1052, IMPOSTO!$A:$D, 4, 0)</f>
        <v>0.12</v>
      </c>
      <c r="W1052" s="24">
        <f>VLOOKUP(I1052, IMPOSTO!$A:$D, 4, 0)</f>
        <v>0.12</v>
      </c>
      <c r="X1052" s="24">
        <f>VLOOKUP(J1052, IMPOSTO!$A:$D, 4, 0)</f>
        <v>7.0000000000000007E-2</v>
      </c>
      <c r="Y1052" s="24">
        <f>VLOOKUP(K1052, IMPOSTO!$A:$D, 4, 0)</f>
        <v>0.12</v>
      </c>
      <c r="Z1052" s="24">
        <f>VLOOKUP(L1052, IMPOSTO!$A:$D, 4, 0)</f>
        <v>0.12</v>
      </c>
      <c r="AA1052" s="24">
        <f>VLOOKUP(M1052, IMPOSTO!$A:$D, 4, 0)</f>
        <v>0.12</v>
      </c>
      <c r="AB1052" s="24">
        <f>VLOOKUP(N1052, IMPOSTO!$A:$D, 4, 0)</f>
        <v>7.0000000000000007E-2</v>
      </c>
      <c r="AC1052" s="25">
        <f t="shared" si="154"/>
        <v>25540.422611410275</v>
      </c>
      <c r="AD1052" s="25">
        <f t="shared" si="155"/>
        <v>25608.945338683003</v>
      </c>
      <c r="AE1052" s="25">
        <f t="shared" si="156"/>
        <v>24263.195589291441</v>
      </c>
      <c r="AF1052" s="25">
        <f t="shared" si="157"/>
        <v>25468.490793228455</v>
      </c>
      <c r="AG1052" s="25">
        <f t="shared" si="158"/>
        <v>25590.877156864819</v>
      </c>
      <c r="AH1052" s="25">
        <f t="shared" si="159"/>
        <v>25495.195338682999</v>
      </c>
      <c r="AI1052" s="25">
        <f t="shared" si="160"/>
        <v>24538.679460259184</v>
      </c>
    </row>
    <row r="1053" spans="1:35" ht="15.75" customHeight="1">
      <c r="A1053" s="12" t="s">
        <v>782</v>
      </c>
      <c r="B1053" s="12" t="s">
        <v>783</v>
      </c>
      <c r="C1053" s="12" t="s">
        <v>192</v>
      </c>
      <c r="D1053" s="12" t="s">
        <v>33</v>
      </c>
      <c r="E1053" s="12" t="s">
        <v>736</v>
      </c>
      <c r="F1053" s="13">
        <v>3399.0000000000005</v>
      </c>
      <c r="G1053" s="14">
        <v>26214.644318681316</v>
      </c>
      <c r="H1053" s="24" t="str">
        <f t="shared" si="153"/>
        <v>RSSP</v>
      </c>
      <c r="I1053" s="24" t="str">
        <f t="shared" si="161"/>
        <v>RSMG</v>
      </c>
      <c r="J1053" s="24" t="str">
        <f t="shared" si="161"/>
        <v>RSES</v>
      </c>
      <c r="K1053" s="24" t="str">
        <f t="shared" si="161"/>
        <v>RSSC</v>
      </c>
      <c r="L1053" s="24" t="str">
        <f t="shared" si="161"/>
        <v>RSRJ</v>
      </c>
      <c r="M1053" s="24" t="str">
        <f t="shared" si="161"/>
        <v>RSPR</v>
      </c>
      <c r="N1053" s="24" t="str">
        <f t="shared" si="161"/>
        <v>RSAM</v>
      </c>
      <c r="O1053" s="24">
        <f>VLOOKUP(H1053, KM!$A:$E, 5, 0)</f>
        <v>1109</v>
      </c>
      <c r="P1053" s="24">
        <f>VLOOKUP(I1053, KM!$A:$E, 5, 0)</f>
        <v>1712</v>
      </c>
      <c r="Q1053" s="24">
        <f>VLOOKUP(J1053, KM!$A:$E, 5, 0)</f>
        <v>2001</v>
      </c>
      <c r="R1053" s="24">
        <f>VLOOKUP(K1053, KM!$A:$E, 5, 0)</f>
        <v>476</v>
      </c>
      <c r="S1053" s="24">
        <f>VLOOKUP(L1053, KM!$A:$E, 5, 0)</f>
        <v>1553</v>
      </c>
      <c r="T1053" s="24">
        <f>VLOOKUP(M1053, KM!$A:$E, 5, 0)</f>
        <v>711</v>
      </c>
      <c r="U1053" s="24">
        <f>VLOOKUP(N1053, KM!$A:$E, 5, 0)</f>
        <v>4563</v>
      </c>
      <c r="V1053" s="24">
        <f>VLOOKUP(H1053, IMPOSTO!$A:$D, 4, 0)</f>
        <v>0.12</v>
      </c>
      <c r="W1053" s="24">
        <f>VLOOKUP(I1053, IMPOSTO!$A:$D, 4, 0)</f>
        <v>0.12</v>
      </c>
      <c r="X1053" s="24">
        <f>VLOOKUP(J1053, IMPOSTO!$A:$D, 4, 0)</f>
        <v>7.0000000000000007E-2</v>
      </c>
      <c r="Y1053" s="24">
        <f>VLOOKUP(K1053, IMPOSTO!$A:$D, 4, 0)</f>
        <v>0.12</v>
      </c>
      <c r="Z1053" s="24">
        <f>VLOOKUP(L1053, IMPOSTO!$A:$D, 4, 0)</f>
        <v>0.12</v>
      </c>
      <c r="AA1053" s="24">
        <f>VLOOKUP(M1053, IMPOSTO!$A:$D, 4, 0)</f>
        <v>0.12</v>
      </c>
      <c r="AB1053" s="24">
        <f>VLOOKUP(N1053, IMPOSTO!$A:$D, 4, 0)</f>
        <v>7.0000000000000007E-2</v>
      </c>
      <c r="AC1053" s="25">
        <f t="shared" si="154"/>
        <v>29915.391271228771</v>
      </c>
      <c r="AD1053" s="25">
        <f t="shared" si="155"/>
        <v>29983.913998501495</v>
      </c>
      <c r="AE1053" s="25">
        <f t="shared" si="156"/>
        <v>28402.950880302491</v>
      </c>
      <c r="AF1053" s="25">
        <f t="shared" si="157"/>
        <v>29843.459453046948</v>
      </c>
      <c r="AG1053" s="25">
        <f t="shared" si="158"/>
        <v>29965.845816683312</v>
      </c>
      <c r="AH1053" s="25">
        <f t="shared" si="159"/>
        <v>29870.163998501492</v>
      </c>
      <c r="AI1053" s="25">
        <f t="shared" si="160"/>
        <v>28678.434751270233</v>
      </c>
    </row>
    <row r="1054" spans="1:35" ht="15.75" customHeight="1">
      <c r="A1054" s="12" t="s">
        <v>784</v>
      </c>
      <c r="B1054" s="12" t="s">
        <v>785</v>
      </c>
      <c r="C1054" s="12" t="s">
        <v>192</v>
      </c>
      <c r="D1054" s="12" t="s">
        <v>33</v>
      </c>
      <c r="E1054" s="12" t="s">
        <v>736</v>
      </c>
      <c r="F1054" s="13">
        <v>282</v>
      </c>
      <c r="G1054" s="14">
        <v>471.10449999999997</v>
      </c>
      <c r="H1054" s="24" t="str">
        <f t="shared" si="153"/>
        <v>RSSP</v>
      </c>
      <c r="I1054" s="24" t="str">
        <f t="shared" si="161"/>
        <v>RSMG</v>
      </c>
      <c r="J1054" s="24" t="str">
        <f t="shared" si="161"/>
        <v>RSES</v>
      </c>
      <c r="K1054" s="24" t="str">
        <f t="shared" si="161"/>
        <v>RSSC</v>
      </c>
      <c r="L1054" s="24" t="str">
        <f t="shared" si="161"/>
        <v>RSRJ</v>
      </c>
      <c r="M1054" s="24" t="str">
        <f t="shared" si="161"/>
        <v>RSPR</v>
      </c>
      <c r="N1054" s="24" t="str">
        <f t="shared" si="161"/>
        <v>RSAM</v>
      </c>
      <c r="O1054" s="24">
        <f>VLOOKUP(H1054, KM!$A:$E, 5, 0)</f>
        <v>1109</v>
      </c>
      <c r="P1054" s="24">
        <f>VLOOKUP(I1054, KM!$A:$E, 5, 0)</f>
        <v>1712</v>
      </c>
      <c r="Q1054" s="24">
        <f>VLOOKUP(J1054, KM!$A:$E, 5, 0)</f>
        <v>2001</v>
      </c>
      <c r="R1054" s="24">
        <f>VLOOKUP(K1054, KM!$A:$E, 5, 0)</f>
        <v>476</v>
      </c>
      <c r="S1054" s="24">
        <f>VLOOKUP(L1054, KM!$A:$E, 5, 0)</f>
        <v>1553</v>
      </c>
      <c r="T1054" s="24">
        <f>VLOOKUP(M1054, KM!$A:$E, 5, 0)</f>
        <v>711</v>
      </c>
      <c r="U1054" s="24">
        <f>VLOOKUP(N1054, KM!$A:$E, 5, 0)</f>
        <v>4563</v>
      </c>
      <c r="V1054" s="24">
        <f>VLOOKUP(H1054, IMPOSTO!$A:$D, 4, 0)</f>
        <v>0.12</v>
      </c>
      <c r="W1054" s="24">
        <f>VLOOKUP(I1054, IMPOSTO!$A:$D, 4, 0)</f>
        <v>0.12</v>
      </c>
      <c r="X1054" s="24">
        <f>VLOOKUP(J1054, IMPOSTO!$A:$D, 4, 0)</f>
        <v>7.0000000000000007E-2</v>
      </c>
      <c r="Y1054" s="24">
        <f>VLOOKUP(K1054, IMPOSTO!$A:$D, 4, 0)</f>
        <v>0.12</v>
      </c>
      <c r="Z1054" s="24">
        <f>VLOOKUP(L1054, IMPOSTO!$A:$D, 4, 0)</f>
        <v>0.12</v>
      </c>
      <c r="AA1054" s="24">
        <f>VLOOKUP(M1054, IMPOSTO!$A:$D, 4, 0)</f>
        <v>0.12</v>
      </c>
      <c r="AB1054" s="24">
        <f>VLOOKUP(N1054, IMPOSTO!$A:$D, 4, 0)</f>
        <v>7.0000000000000007E-2</v>
      </c>
      <c r="AC1054" s="25">
        <f t="shared" si="154"/>
        <v>661.36874999999998</v>
      </c>
      <c r="AD1054" s="25">
        <f t="shared" si="155"/>
        <v>729.89147727272723</v>
      </c>
      <c r="AE1054" s="25">
        <f t="shared" si="156"/>
        <v>721.72526881720444</v>
      </c>
      <c r="AF1054" s="25">
        <f t="shared" si="157"/>
        <v>589.43693181818173</v>
      </c>
      <c r="AG1054" s="25">
        <f t="shared" si="158"/>
        <v>711.82329545454547</v>
      </c>
      <c r="AH1054" s="25">
        <f t="shared" si="159"/>
        <v>616.14147727272723</v>
      </c>
      <c r="AI1054" s="25">
        <f t="shared" si="160"/>
        <v>997.20913978494627</v>
      </c>
    </row>
    <row r="1055" spans="1:35" ht="15.75" customHeight="1">
      <c r="A1055" s="12" t="s">
        <v>786</v>
      </c>
      <c r="B1055" s="12" t="s">
        <v>787</v>
      </c>
      <c r="C1055" s="12" t="s">
        <v>160</v>
      </c>
      <c r="D1055" s="12" t="s">
        <v>33</v>
      </c>
      <c r="E1055" s="12" t="s">
        <v>736</v>
      </c>
      <c r="F1055" s="13">
        <v>829</v>
      </c>
      <c r="G1055" s="14">
        <v>51742.959222972953</v>
      </c>
      <c r="H1055" s="24" t="str">
        <f t="shared" si="153"/>
        <v>RSSP</v>
      </c>
      <c r="I1055" s="24" t="str">
        <f t="shared" si="161"/>
        <v>RSMG</v>
      </c>
      <c r="J1055" s="24" t="str">
        <f t="shared" si="161"/>
        <v>RSES</v>
      </c>
      <c r="K1055" s="24" t="str">
        <f t="shared" si="161"/>
        <v>RSSC</v>
      </c>
      <c r="L1055" s="24" t="str">
        <f t="shared" si="161"/>
        <v>RSRJ</v>
      </c>
      <c r="M1055" s="24" t="str">
        <f t="shared" si="161"/>
        <v>RSPR</v>
      </c>
      <c r="N1055" s="24" t="str">
        <f t="shared" si="161"/>
        <v>RSAM</v>
      </c>
      <c r="O1055" s="24">
        <f>VLOOKUP(H1055, KM!$A:$E, 5, 0)</f>
        <v>1109</v>
      </c>
      <c r="P1055" s="24">
        <f>VLOOKUP(I1055, KM!$A:$E, 5, 0)</f>
        <v>1712</v>
      </c>
      <c r="Q1055" s="24">
        <f>VLOOKUP(J1055, KM!$A:$E, 5, 0)</f>
        <v>2001</v>
      </c>
      <c r="R1055" s="24">
        <f>VLOOKUP(K1055, KM!$A:$E, 5, 0)</f>
        <v>476</v>
      </c>
      <c r="S1055" s="24">
        <f>VLOOKUP(L1055, KM!$A:$E, 5, 0)</f>
        <v>1553</v>
      </c>
      <c r="T1055" s="24">
        <f>VLOOKUP(M1055, KM!$A:$E, 5, 0)</f>
        <v>711</v>
      </c>
      <c r="U1055" s="24">
        <f>VLOOKUP(N1055, KM!$A:$E, 5, 0)</f>
        <v>4563</v>
      </c>
      <c r="V1055" s="24">
        <f>VLOOKUP(H1055, IMPOSTO!$A:$D, 4, 0)</f>
        <v>0.12</v>
      </c>
      <c r="W1055" s="24">
        <f>VLOOKUP(I1055, IMPOSTO!$A:$D, 4, 0)</f>
        <v>0.12</v>
      </c>
      <c r="X1055" s="24">
        <f>VLOOKUP(J1055, IMPOSTO!$A:$D, 4, 0)</f>
        <v>7.0000000000000007E-2</v>
      </c>
      <c r="Y1055" s="24">
        <f>VLOOKUP(K1055, IMPOSTO!$A:$D, 4, 0)</f>
        <v>0.12</v>
      </c>
      <c r="Z1055" s="24">
        <f>VLOOKUP(L1055, IMPOSTO!$A:$D, 4, 0)</f>
        <v>0.12</v>
      </c>
      <c r="AA1055" s="24">
        <f>VLOOKUP(M1055, IMPOSTO!$A:$D, 4, 0)</f>
        <v>0.12</v>
      </c>
      <c r="AB1055" s="24">
        <f>VLOOKUP(N1055, IMPOSTO!$A:$D, 4, 0)</f>
        <v>7.0000000000000007E-2</v>
      </c>
      <c r="AC1055" s="25">
        <f t="shared" si="154"/>
        <v>58924.84002610563</v>
      </c>
      <c r="AD1055" s="25">
        <f t="shared" si="155"/>
        <v>58993.362753378351</v>
      </c>
      <c r="AE1055" s="25">
        <f t="shared" si="156"/>
        <v>55852.751852659094</v>
      </c>
      <c r="AF1055" s="25">
        <f t="shared" si="157"/>
        <v>58852.908207923807</v>
      </c>
      <c r="AG1055" s="25">
        <f t="shared" si="158"/>
        <v>58975.294571560175</v>
      </c>
      <c r="AH1055" s="25">
        <f t="shared" si="159"/>
        <v>58879.612753378351</v>
      </c>
      <c r="AI1055" s="25">
        <f t="shared" si="160"/>
        <v>56128.235723626836</v>
      </c>
    </row>
    <row r="1056" spans="1:35" ht="15.75" customHeight="1">
      <c r="A1056" s="12" t="s">
        <v>737</v>
      </c>
      <c r="B1056" s="12" t="s">
        <v>738</v>
      </c>
      <c r="C1056" s="12" t="s">
        <v>192</v>
      </c>
      <c r="D1056" s="12" t="s">
        <v>50</v>
      </c>
      <c r="E1056" s="12" t="s">
        <v>736</v>
      </c>
      <c r="F1056" s="13">
        <v>39.692999999999998</v>
      </c>
      <c r="G1056" s="14">
        <v>563.92727166666668</v>
      </c>
      <c r="H1056" s="24" t="str">
        <f t="shared" si="153"/>
        <v>RSSP</v>
      </c>
      <c r="I1056" s="24" t="str">
        <f t="shared" si="161"/>
        <v>RSMG</v>
      </c>
      <c r="J1056" s="24" t="str">
        <f t="shared" si="161"/>
        <v>RSES</v>
      </c>
      <c r="K1056" s="24" t="str">
        <f t="shared" si="161"/>
        <v>RSSC</v>
      </c>
      <c r="L1056" s="24" t="str">
        <f t="shared" si="161"/>
        <v>RSRJ</v>
      </c>
      <c r="M1056" s="24" t="str">
        <f t="shared" si="161"/>
        <v>RSPR</v>
      </c>
      <c r="N1056" s="24" t="str">
        <f t="shared" si="161"/>
        <v>RSAM</v>
      </c>
      <c r="O1056" s="24">
        <f>VLOOKUP(H1056, KM!$A:$E, 5, 0)</f>
        <v>1109</v>
      </c>
      <c r="P1056" s="24">
        <f>VLOOKUP(I1056, KM!$A:$E, 5, 0)</f>
        <v>1712</v>
      </c>
      <c r="Q1056" s="24">
        <f>VLOOKUP(J1056, KM!$A:$E, 5, 0)</f>
        <v>2001</v>
      </c>
      <c r="R1056" s="24">
        <f>VLOOKUP(K1056, KM!$A:$E, 5, 0)</f>
        <v>476</v>
      </c>
      <c r="S1056" s="24">
        <f>VLOOKUP(L1056, KM!$A:$E, 5, 0)</f>
        <v>1553</v>
      </c>
      <c r="T1056" s="24">
        <f>VLOOKUP(M1056, KM!$A:$E, 5, 0)</f>
        <v>711</v>
      </c>
      <c r="U1056" s="24">
        <f>VLOOKUP(N1056, KM!$A:$E, 5, 0)</f>
        <v>4563</v>
      </c>
      <c r="V1056" s="24">
        <f>VLOOKUP(H1056, IMPOSTO!$A:$D, 4, 0)</f>
        <v>0.12</v>
      </c>
      <c r="W1056" s="24">
        <f>VLOOKUP(I1056, IMPOSTO!$A:$D, 4, 0)</f>
        <v>0.12</v>
      </c>
      <c r="X1056" s="24">
        <f>VLOOKUP(J1056, IMPOSTO!$A:$D, 4, 0)</f>
        <v>7.0000000000000007E-2</v>
      </c>
      <c r="Y1056" s="24">
        <f>VLOOKUP(K1056, IMPOSTO!$A:$D, 4, 0)</f>
        <v>0.12</v>
      </c>
      <c r="Z1056" s="24">
        <f>VLOOKUP(L1056, IMPOSTO!$A:$D, 4, 0)</f>
        <v>0.12</v>
      </c>
      <c r="AA1056" s="24">
        <f>VLOOKUP(M1056, IMPOSTO!$A:$D, 4, 0)</f>
        <v>0.12</v>
      </c>
      <c r="AB1056" s="24">
        <f>VLOOKUP(N1056, IMPOSTO!$A:$D, 4, 0)</f>
        <v>7.0000000000000007E-2</v>
      </c>
      <c r="AC1056" s="25">
        <f t="shared" si="154"/>
        <v>766.84917234848479</v>
      </c>
      <c r="AD1056" s="25">
        <f t="shared" si="155"/>
        <v>835.37189962121215</v>
      </c>
      <c r="AE1056" s="25">
        <f t="shared" si="156"/>
        <v>821.53470071684603</v>
      </c>
      <c r="AF1056" s="25">
        <f t="shared" si="157"/>
        <v>694.91735416666666</v>
      </c>
      <c r="AG1056" s="25">
        <f t="shared" si="158"/>
        <v>817.30371780303028</v>
      </c>
      <c r="AH1056" s="25">
        <f t="shared" si="159"/>
        <v>721.62189962121215</v>
      </c>
      <c r="AI1056" s="25">
        <f t="shared" si="160"/>
        <v>1097.0185716845879</v>
      </c>
    </row>
    <row r="1057" spans="1:35" ht="15.75" customHeight="1">
      <c r="A1057" s="12" t="s">
        <v>737</v>
      </c>
      <c r="B1057" s="12" t="s">
        <v>738</v>
      </c>
      <c r="C1057" s="12" t="s">
        <v>192</v>
      </c>
      <c r="D1057" s="12" t="s">
        <v>50</v>
      </c>
      <c r="E1057" s="12" t="s">
        <v>736</v>
      </c>
      <c r="F1057" s="13">
        <v>33.077500000000001</v>
      </c>
      <c r="G1057" s="14">
        <v>459.60083666666668</v>
      </c>
      <c r="H1057" s="24" t="str">
        <f t="shared" si="153"/>
        <v>RSSP</v>
      </c>
      <c r="I1057" s="24" t="str">
        <f t="shared" si="161"/>
        <v>RSMG</v>
      </c>
      <c r="J1057" s="24" t="str">
        <f t="shared" si="161"/>
        <v>RSES</v>
      </c>
      <c r="K1057" s="24" t="str">
        <f t="shared" si="161"/>
        <v>RSSC</v>
      </c>
      <c r="L1057" s="24" t="str">
        <f t="shared" si="161"/>
        <v>RSRJ</v>
      </c>
      <c r="M1057" s="24" t="str">
        <f t="shared" si="161"/>
        <v>RSPR</v>
      </c>
      <c r="N1057" s="24" t="str">
        <f t="shared" si="161"/>
        <v>RSAM</v>
      </c>
      <c r="O1057" s="24">
        <f>VLOOKUP(H1057, KM!$A:$E, 5, 0)</f>
        <v>1109</v>
      </c>
      <c r="P1057" s="24">
        <f>VLOOKUP(I1057, KM!$A:$E, 5, 0)</f>
        <v>1712</v>
      </c>
      <c r="Q1057" s="24">
        <f>VLOOKUP(J1057, KM!$A:$E, 5, 0)</f>
        <v>2001</v>
      </c>
      <c r="R1057" s="24">
        <f>VLOOKUP(K1057, KM!$A:$E, 5, 0)</f>
        <v>476</v>
      </c>
      <c r="S1057" s="24">
        <f>VLOOKUP(L1057, KM!$A:$E, 5, 0)</f>
        <v>1553</v>
      </c>
      <c r="T1057" s="24">
        <f>VLOOKUP(M1057, KM!$A:$E, 5, 0)</f>
        <v>711</v>
      </c>
      <c r="U1057" s="24">
        <f>VLOOKUP(N1057, KM!$A:$E, 5, 0)</f>
        <v>4563</v>
      </c>
      <c r="V1057" s="24">
        <f>VLOOKUP(H1057, IMPOSTO!$A:$D, 4, 0)</f>
        <v>0.12</v>
      </c>
      <c r="W1057" s="24">
        <f>VLOOKUP(I1057, IMPOSTO!$A:$D, 4, 0)</f>
        <v>0.12</v>
      </c>
      <c r="X1057" s="24">
        <f>VLOOKUP(J1057, IMPOSTO!$A:$D, 4, 0)</f>
        <v>7.0000000000000007E-2</v>
      </c>
      <c r="Y1057" s="24">
        <f>VLOOKUP(K1057, IMPOSTO!$A:$D, 4, 0)</f>
        <v>0.12</v>
      </c>
      <c r="Z1057" s="24">
        <f>VLOOKUP(L1057, IMPOSTO!$A:$D, 4, 0)</f>
        <v>0.12</v>
      </c>
      <c r="AA1057" s="24">
        <f>VLOOKUP(M1057, IMPOSTO!$A:$D, 4, 0)</f>
        <v>0.12</v>
      </c>
      <c r="AB1057" s="24">
        <f>VLOOKUP(N1057, IMPOSTO!$A:$D, 4, 0)</f>
        <v>7.0000000000000007E-2</v>
      </c>
      <c r="AC1057" s="25">
        <f t="shared" si="154"/>
        <v>648.29640530303038</v>
      </c>
      <c r="AD1057" s="25">
        <f t="shared" si="155"/>
        <v>716.81913257575752</v>
      </c>
      <c r="AE1057" s="25">
        <f t="shared" si="156"/>
        <v>709.35573835125456</v>
      </c>
      <c r="AF1057" s="25">
        <f t="shared" si="157"/>
        <v>576.36458712121214</v>
      </c>
      <c r="AG1057" s="25">
        <f t="shared" si="158"/>
        <v>698.75095075757577</v>
      </c>
      <c r="AH1057" s="25">
        <f t="shared" si="159"/>
        <v>603.06913257575752</v>
      </c>
      <c r="AI1057" s="25">
        <f t="shared" si="160"/>
        <v>984.83960931899651</v>
      </c>
    </row>
    <row r="1058" spans="1:35" ht="15.75" customHeight="1">
      <c r="A1058" s="12" t="s">
        <v>768</v>
      </c>
      <c r="B1058" s="12" t="s">
        <v>769</v>
      </c>
      <c r="C1058" s="12" t="s">
        <v>160</v>
      </c>
      <c r="D1058" s="12" t="s">
        <v>33</v>
      </c>
      <c r="E1058" s="12" t="s">
        <v>736</v>
      </c>
      <c r="F1058" s="13">
        <v>115.00240000000002</v>
      </c>
      <c r="G1058" s="14">
        <v>5637.8599649230764</v>
      </c>
      <c r="H1058" s="24" t="str">
        <f t="shared" si="153"/>
        <v>RSSP</v>
      </c>
      <c r="I1058" s="24" t="str">
        <f t="shared" si="161"/>
        <v>RSMG</v>
      </c>
      <c r="J1058" s="24" t="str">
        <f t="shared" si="161"/>
        <v>RSES</v>
      </c>
      <c r="K1058" s="24" t="str">
        <f t="shared" si="161"/>
        <v>RSSC</v>
      </c>
      <c r="L1058" s="24" t="str">
        <f t="shared" si="161"/>
        <v>RSRJ</v>
      </c>
      <c r="M1058" s="24" t="str">
        <f t="shared" si="161"/>
        <v>RSPR</v>
      </c>
      <c r="N1058" s="24" t="str">
        <f t="shared" si="161"/>
        <v>RSAM</v>
      </c>
      <c r="O1058" s="24">
        <f>VLOOKUP(H1058, KM!$A:$E, 5, 0)</f>
        <v>1109</v>
      </c>
      <c r="P1058" s="24">
        <f>VLOOKUP(I1058, KM!$A:$E, 5, 0)</f>
        <v>1712</v>
      </c>
      <c r="Q1058" s="24">
        <f>VLOOKUP(J1058, KM!$A:$E, 5, 0)</f>
        <v>2001</v>
      </c>
      <c r="R1058" s="24">
        <f>VLOOKUP(K1058, KM!$A:$E, 5, 0)</f>
        <v>476</v>
      </c>
      <c r="S1058" s="24">
        <f>VLOOKUP(L1058, KM!$A:$E, 5, 0)</f>
        <v>1553</v>
      </c>
      <c r="T1058" s="24">
        <f>VLOOKUP(M1058, KM!$A:$E, 5, 0)</f>
        <v>711</v>
      </c>
      <c r="U1058" s="24">
        <f>VLOOKUP(N1058, KM!$A:$E, 5, 0)</f>
        <v>4563</v>
      </c>
      <c r="V1058" s="24">
        <f>VLOOKUP(H1058, IMPOSTO!$A:$D, 4, 0)</f>
        <v>0.12</v>
      </c>
      <c r="W1058" s="24">
        <f>VLOOKUP(I1058, IMPOSTO!$A:$D, 4, 0)</f>
        <v>0.12</v>
      </c>
      <c r="X1058" s="24">
        <f>VLOOKUP(J1058, IMPOSTO!$A:$D, 4, 0)</f>
        <v>7.0000000000000007E-2</v>
      </c>
      <c r="Y1058" s="24">
        <f>VLOOKUP(K1058, IMPOSTO!$A:$D, 4, 0)</f>
        <v>0.12</v>
      </c>
      <c r="Z1058" s="24">
        <f>VLOOKUP(L1058, IMPOSTO!$A:$D, 4, 0)</f>
        <v>0.12</v>
      </c>
      <c r="AA1058" s="24">
        <f>VLOOKUP(M1058, IMPOSTO!$A:$D, 4, 0)</f>
        <v>0.12</v>
      </c>
      <c r="AB1058" s="24">
        <f>VLOOKUP(N1058, IMPOSTO!$A:$D, 4, 0)</f>
        <v>7.0000000000000007E-2</v>
      </c>
      <c r="AC1058" s="25">
        <f t="shared" si="154"/>
        <v>6532.6817783216775</v>
      </c>
      <c r="AD1058" s="25">
        <f t="shared" si="155"/>
        <v>6601.2045055944045</v>
      </c>
      <c r="AE1058" s="25">
        <f t="shared" si="156"/>
        <v>6277.3763063689003</v>
      </c>
      <c r="AF1058" s="25">
        <f t="shared" si="157"/>
        <v>6460.7499601398604</v>
      </c>
      <c r="AG1058" s="25">
        <f t="shared" si="158"/>
        <v>6583.1363237762234</v>
      </c>
      <c r="AH1058" s="25">
        <f t="shared" si="159"/>
        <v>6487.4545055944054</v>
      </c>
      <c r="AI1058" s="25">
        <f t="shared" si="160"/>
        <v>6552.8601773366418</v>
      </c>
    </row>
    <row r="1059" spans="1:35" ht="15.75" customHeight="1">
      <c r="A1059" s="12" t="s">
        <v>762</v>
      </c>
      <c r="B1059" s="12" t="s">
        <v>763</v>
      </c>
      <c r="C1059" s="12" t="s">
        <v>140</v>
      </c>
      <c r="D1059" s="12" t="s">
        <v>33</v>
      </c>
      <c r="E1059" s="12" t="s">
        <v>736</v>
      </c>
      <c r="F1059" s="13">
        <v>2696.7578358208948</v>
      </c>
      <c r="G1059" s="14">
        <v>81218.525417201483</v>
      </c>
      <c r="H1059" s="24" t="str">
        <f t="shared" si="153"/>
        <v>RSSP</v>
      </c>
      <c r="I1059" s="24" t="str">
        <f t="shared" si="161"/>
        <v>RSMG</v>
      </c>
      <c r="J1059" s="24" t="str">
        <f t="shared" si="161"/>
        <v>RSES</v>
      </c>
      <c r="K1059" s="24" t="str">
        <f t="shared" si="161"/>
        <v>RSSC</v>
      </c>
      <c r="L1059" s="24" t="str">
        <f t="shared" si="161"/>
        <v>RSRJ</v>
      </c>
      <c r="M1059" s="24" t="str">
        <f t="shared" si="161"/>
        <v>RSPR</v>
      </c>
      <c r="N1059" s="24" t="str">
        <f t="shared" si="161"/>
        <v>RSAM</v>
      </c>
      <c r="O1059" s="24">
        <f>VLOOKUP(H1059, KM!$A:$E, 5, 0)</f>
        <v>1109</v>
      </c>
      <c r="P1059" s="24">
        <f>VLOOKUP(I1059, KM!$A:$E, 5, 0)</f>
        <v>1712</v>
      </c>
      <c r="Q1059" s="24">
        <f>VLOOKUP(J1059, KM!$A:$E, 5, 0)</f>
        <v>2001</v>
      </c>
      <c r="R1059" s="24">
        <f>VLOOKUP(K1059, KM!$A:$E, 5, 0)</f>
        <v>476</v>
      </c>
      <c r="S1059" s="24">
        <f>VLOOKUP(L1059, KM!$A:$E, 5, 0)</f>
        <v>1553</v>
      </c>
      <c r="T1059" s="24">
        <f>VLOOKUP(M1059, KM!$A:$E, 5, 0)</f>
        <v>711</v>
      </c>
      <c r="U1059" s="24">
        <f>VLOOKUP(N1059, KM!$A:$E, 5, 0)</f>
        <v>4563</v>
      </c>
      <c r="V1059" s="24">
        <f>VLOOKUP(H1059, IMPOSTO!$A:$D, 4, 0)</f>
        <v>0.12</v>
      </c>
      <c r="W1059" s="24">
        <f>VLOOKUP(I1059, IMPOSTO!$A:$D, 4, 0)</f>
        <v>0.12</v>
      </c>
      <c r="X1059" s="24">
        <f>VLOOKUP(J1059, IMPOSTO!$A:$D, 4, 0)</f>
        <v>7.0000000000000007E-2</v>
      </c>
      <c r="Y1059" s="24">
        <f>VLOOKUP(K1059, IMPOSTO!$A:$D, 4, 0)</f>
        <v>0.12</v>
      </c>
      <c r="Z1059" s="24">
        <f>VLOOKUP(L1059, IMPOSTO!$A:$D, 4, 0)</f>
        <v>0.12</v>
      </c>
      <c r="AA1059" s="24">
        <f>VLOOKUP(M1059, IMPOSTO!$A:$D, 4, 0)</f>
        <v>0.12</v>
      </c>
      <c r="AB1059" s="24">
        <f>VLOOKUP(N1059, IMPOSTO!$A:$D, 4, 0)</f>
        <v>7.0000000000000007E-2</v>
      </c>
      <c r="AC1059" s="25">
        <f t="shared" si="154"/>
        <v>92419.801610456227</v>
      </c>
      <c r="AD1059" s="25">
        <f t="shared" si="155"/>
        <v>92488.324337728947</v>
      </c>
      <c r="AE1059" s="25">
        <f t="shared" si="156"/>
        <v>87546.909050754301</v>
      </c>
      <c r="AF1059" s="25">
        <f t="shared" si="157"/>
        <v>92347.869792274418</v>
      </c>
      <c r="AG1059" s="25">
        <f t="shared" si="158"/>
        <v>92470.256155910785</v>
      </c>
      <c r="AH1059" s="25">
        <f t="shared" si="159"/>
        <v>92374.574337728962</v>
      </c>
      <c r="AI1059" s="25">
        <f t="shared" si="160"/>
        <v>87822.392921722028</v>
      </c>
    </row>
    <row r="1060" spans="1:35" ht="15.75" customHeight="1">
      <c r="A1060" s="12" t="s">
        <v>745</v>
      </c>
      <c r="B1060" s="12" t="s">
        <v>788</v>
      </c>
      <c r="C1060" s="12" t="s">
        <v>192</v>
      </c>
      <c r="D1060" s="12" t="s">
        <v>50</v>
      </c>
      <c r="E1060" s="12" t="s">
        <v>736</v>
      </c>
      <c r="F1060" s="13">
        <v>1.8181818181818181</v>
      </c>
      <c r="G1060" s="14">
        <v>175.70454545454544</v>
      </c>
      <c r="H1060" s="24" t="str">
        <f t="shared" si="153"/>
        <v>RSSP</v>
      </c>
      <c r="I1060" s="24" t="str">
        <f t="shared" si="161"/>
        <v>RSMG</v>
      </c>
      <c r="J1060" s="24" t="str">
        <f t="shared" si="161"/>
        <v>RSES</v>
      </c>
      <c r="K1060" s="24" t="str">
        <f t="shared" si="161"/>
        <v>RSSC</v>
      </c>
      <c r="L1060" s="24" t="str">
        <f t="shared" si="161"/>
        <v>RSRJ</v>
      </c>
      <c r="M1060" s="24" t="str">
        <f t="shared" si="161"/>
        <v>RSPR</v>
      </c>
      <c r="N1060" s="24" t="str">
        <f t="shared" si="161"/>
        <v>RSAM</v>
      </c>
      <c r="O1060" s="24">
        <f>VLOOKUP(H1060, KM!$A:$E, 5, 0)</f>
        <v>1109</v>
      </c>
      <c r="P1060" s="24">
        <f>VLOOKUP(I1060, KM!$A:$E, 5, 0)</f>
        <v>1712</v>
      </c>
      <c r="Q1060" s="24">
        <f>VLOOKUP(J1060, KM!$A:$E, 5, 0)</f>
        <v>2001</v>
      </c>
      <c r="R1060" s="24">
        <f>VLOOKUP(K1060, KM!$A:$E, 5, 0)</f>
        <v>476</v>
      </c>
      <c r="S1060" s="24">
        <f>VLOOKUP(L1060, KM!$A:$E, 5, 0)</f>
        <v>1553</v>
      </c>
      <c r="T1060" s="24">
        <f>VLOOKUP(M1060, KM!$A:$E, 5, 0)</f>
        <v>711</v>
      </c>
      <c r="U1060" s="24">
        <f>VLOOKUP(N1060, KM!$A:$E, 5, 0)</f>
        <v>4563</v>
      </c>
      <c r="V1060" s="24">
        <f>VLOOKUP(H1060, IMPOSTO!$A:$D, 4, 0)</f>
        <v>0.12</v>
      </c>
      <c r="W1060" s="24">
        <f>VLOOKUP(I1060, IMPOSTO!$A:$D, 4, 0)</f>
        <v>0.12</v>
      </c>
      <c r="X1060" s="24">
        <f>VLOOKUP(J1060, IMPOSTO!$A:$D, 4, 0)</f>
        <v>7.0000000000000007E-2</v>
      </c>
      <c r="Y1060" s="24">
        <f>VLOOKUP(K1060, IMPOSTO!$A:$D, 4, 0)</f>
        <v>0.12</v>
      </c>
      <c r="Z1060" s="24">
        <f>VLOOKUP(L1060, IMPOSTO!$A:$D, 4, 0)</f>
        <v>0.12</v>
      </c>
      <c r="AA1060" s="24">
        <f>VLOOKUP(M1060, IMPOSTO!$A:$D, 4, 0)</f>
        <v>0.12</v>
      </c>
      <c r="AB1060" s="24">
        <f>VLOOKUP(N1060, IMPOSTO!$A:$D, 4, 0)</f>
        <v>7.0000000000000007E-2</v>
      </c>
      <c r="AC1060" s="25">
        <f t="shared" si="154"/>
        <v>325.68698347107443</v>
      </c>
      <c r="AD1060" s="25">
        <f t="shared" si="155"/>
        <v>394.20971074380162</v>
      </c>
      <c r="AE1060" s="25">
        <f t="shared" si="156"/>
        <v>404.09090909090912</v>
      </c>
      <c r="AF1060" s="25">
        <f t="shared" si="157"/>
        <v>253.75516528925618</v>
      </c>
      <c r="AG1060" s="25">
        <f t="shared" si="158"/>
        <v>376.14152892561981</v>
      </c>
      <c r="AH1060" s="25">
        <f t="shared" si="159"/>
        <v>280.45971074380168</v>
      </c>
      <c r="AI1060" s="25">
        <f t="shared" si="160"/>
        <v>679.57478005865107</v>
      </c>
    </row>
    <row r="1061" spans="1:35" ht="15.75" customHeight="1">
      <c r="A1061" s="12" t="s">
        <v>758</v>
      </c>
      <c r="B1061" s="12" t="s">
        <v>789</v>
      </c>
      <c r="C1061" s="12" t="s">
        <v>192</v>
      </c>
      <c r="D1061" s="12" t="s">
        <v>50</v>
      </c>
      <c r="E1061" s="12" t="s">
        <v>736</v>
      </c>
      <c r="F1061" s="13">
        <v>1.8181818181818181</v>
      </c>
      <c r="G1061" s="14">
        <v>141.69545454545454</v>
      </c>
      <c r="H1061" s="24" t="str">
        <f t="shared" si="153"/>
        <v>RSSP</v>
      </c>
      <c r="I1061" s="24" t="str">
        <f t="shared" si="161"/>
        <v>RSMG</v>
      </c>
      <c r="J1061" s="24" t="str">
        <f t="shared" si="161"/>
        <v>RSES</v>
      </c>
      <c r="K1061" s="24" t="str">
        <f t="shared" si="161"/>
        <v>RSSC</v>
      </c>
      <c r="L1061" s="24" t="str">
        <f t="shared" si="161"/>
        <v>RSRJ</v>
      </c>
      <c r="M1061" s="24" t="str">
        <f t="shared" si="161"/>
        <v>RSPR</v>
      </c>
      <c r="N1061" s="24" t="str">
        <f t="shared" si="161"/>
        <v>RSAM</v>
      </c>
      <c r="O1061" s="24">
        <f>VLOOKUP(H1061, KM!$A:$E, 5, 0)</f>
        <v>1109</v>
      </c>
      <c r="P1061" s="24">
        <f>VLOOKUP(I1061, KM!$A:$E, 5, 0)</f>
        <v>1712</v>
      </c>
      <c r="Q1061" s="24">
        <f>VLOOKUP(J1061, KM!$A:$E, 5, 0)</f>
        <v>2001</v>
      </c>
      <c r="R1061" s="24">
        <f>VLOOKUP(K1061, KM!$A:$E, 5, 0)</f>
        <v>476</v>
      </c>
      <c r="S1061" s="24">
        <f>VLOOKUP(L1061, KM!$A:$E, 5, 0)</f>
        <v>1553</v>
      </c>
      <c r="T1061" s="24">
        <f>VLOOKUP(M1061, KM!$A:$E, 5, 0)</f>
        <v>711</v>
      </c>
      <c r="U1061" s="24">
        <f>VLOOKUP(N1061, KM!$A:$E, 5, 0)</f>
        <v>4563</v>
      </c>
      <c r="V1061" s="24">
        <f>VLOOKUP(H1061, IMPOSTO!$A:$D, 4, 0)</f>
        <v>0.12</v>
      </c>
      <c r="W1061" s="24">
        <f>VLOOKUP(I1061, IMPOSTO!$A:$D, 4, 0)</f>
        <v>0.12</v>
      </c>
      <c r="X1061" s="24">
        <f>VLOOKUP(J1061, IMPOSTO!$A:$D, 4, 0)</f>
        <v>7.0000000000000007E-2</v>
      </c>
      <c r="Y1061" s="24">
        <f>VLOOKUP(K1061, IMPOSTO!$A:$D, 4, 0)</f>
        <v>0.12</v>
      </c>
      <c r="Z1061" s="24">
        <f>VLOOKUP(L1061, IMPOSTO!$A:$D, 4, 0)</f>
        <v>0.12</v>
      </c>
      <c r="AA1061" s="24">
        <f>VLOOKUP(M1061, IMPOSTO!$A:$D, 4, 0)</f>
        <v>0.12</v>
      </c>
      <c r="AB1061" s="24">
        <f>VLOOKUP(N1061, IMPOSTO!$A:$D, 4, 0)</f>
        <v>7.0000000000000007E-2</v>
      </c>
      <c r="AC1061" s="25">
        <f t="shared" si="154"/>
        <v>287.04028925619832</v>
      </c>
      <c r="AD1061" s="25">
        <f t="shared" si="155"/>
        <v>355.56301652892557</v>
      </c>
      <c r="AE1061" s="25">
        <f t="shared" si="156"/>
        <v>367.5219941348974</v>
      </c>
      <c r="AF1061" s="25">
        <f t="shared" si="157"/>
        <v>215.10847107438016</v>
      </c>
      <c r="AG1061" s="25">
        <f t="shared" si="158"/>
        <v>337.49483471074382</v>
      </c>
      <c r="AH1061" s="25">
        <f t="shared" si="159"/>
        <v>241.81301652892563</v>
      </c>
      <c r="AI1061" s="25">
        <f t="shared" si="160"/>
        <v>643.00586510263929</v>
      </c>
    </row>
    <row r="1062" spans="1:35" ht="15.75" customHeight="1">
      <c r="A1062" s="12" t="s">
        <v>790</v>
      </c>
      <c r="B1062" s="12" t="s">
        <v>791</v>
      </c>
      <c r="C1062" s="12" t="s">
        <v>192</v>
      </c>
      <c r="D1062" s="12" t="s">
        <v>33</v>
      </c>
      <c r="E1062" s="12" t="s">
        <v>736</v>
      </c>
      <c r="F1062" s="13">
        <v>31</v>
      </c>
      <c r="G1062" s="14">
        <v>1019.0647222222225</v>
      </c>
      <c r="H1062" s="24" t="str">
        <f t="shared" si="153"/>
        <v>RSSP</v>
      </c>
      <c r="I1062" s="24" t="str">
        <f t="shared" si="161"/>
        <v>RSMG</v>
      </c>
      <c r="J1062" s="24" t="str">
        <f t="shared" si="161"/>
        <v>RSES</v>
      </c>
      <c r="K1062" s="24" t="str">
        <f t="shared" si="161"/>
        <v>RSSC</v>
      </c>
      <c r="L1062" s="24" t="str">
        <f t="shared" si="161"/>
        <v>RSRJ</v>
      </c>
      <c r="M1062" s="24" t="str">
        <f t="shared" si="161"/>
        <v>RSPR</v>
      </c>
      <c r="N1062" s="24" t="str">
        <f t="shared" si="161"/>
        <v>RSAM</v>
      </c>
      <c r="O1062" s="24">
        <f>VLOOKUP(H1062, KM!$A:$E, 5, 0)</f>
        <v>1109</v>
      </c>
      <c r="P1062" s="24">
        <f>VLOOKUP(I1062, KM!$A:$E, 5, 0)</f>
        <v>1712</v>
      </c>
      <c r="Q1062" s="24">
        <f>VLOOKUP(J1062, KM!$A:$E, 5, 0)</f>
        <v>2001</v>
      </c>
      <c r="R1062" s="24">
        <f>VLOOKUP(K1062, KM!$A:$E, 5, 0)</f>
        <v>476</v>
      </c>
      <c r="S1062" s="24">
        <f>VLOOKUP(L1062, KM!$A:$E, 5, 0)</f>
        <v>1553</v>
      </c>
      <c r="T1062" s="24">
        <f>VLOOKUP(M1062, KM!$A:$E, 5, 0)</f>
        <v>711</v>
      </c>
      <c r="U1062" s="24">
        <f>VLOOKUP(N1062, KM!$A:$E, 5, 0)</f>
        <v>4563</v>
      </c>
      <c r="V1062" s="24">
        <f>VLOOKUP(H1062, IMPOSTO!$A:$D, 4, 0)</f>
        <v>0.12</v>
      </c>
      <c r="W1062" s="24">
        <f>VLOOKUP(I1062, IMPOSTO!$A:$D, 4, 0)</f>
        <v>0.12</v>
      </c>
      <c r="X1062" s="24">
        <f>VLOOKUP(J1062, IMPOSTO!$A:$D, 4, 0)</f>
        <v>7.0000000000000007E-2</v>
      </c>
      <c r="Y1062" s="24">
        <f>VLOOKUP(K1062, IMPOSTO!$A:$D, 4, 0)</f>
        <v>0.12</v>
      </c>
      <c r="Z1062" s="24">
        <f>VLOOKUP(L1062, IMPOSTO!$A:$D, 4, 0)</f>
        <v>0.12</v>
      </c>
      <c r="AA1062" s="24">
        <f>VLOOKUP(M1062, IMPOSTO!$A:$D, 4, 0)</f>
        <v>0.12</v>
      </c>
      <c r="AB1062" s="24">
        <f>VLOOKUP(N1062, IMPOSTO!$A:$D, 4, 0)</f>
        <v>7.0000000000000007E-2</v>
      </c>
      <c r="AC1062" s="25">
        <f t="shared" si="154"/>
        <v>1284.0508207070709</v>
      </c>
      <c r="AD1062" s="25">
        <f t="shared" si="155"/>
        <v>1352.5735479797981</v>
      </c>
      <c r="AE1062" s="25">
        <f t="shared" si="156"/>
        <v>1310.9298088410997</v>
      </c>
      <c r="AF1062" s="25">
        <f t="shared" si="157"/>
        <v>1212.1190025252529</v>
      </c>
      <c r="AG1062" s="25">
        <f t="shared" si="158"/>
        <v>1334.5053661616166</v>
      </c>
      <c r="AH1062" s="25">
        <f t="shared" si="159"/>
        <v>1238.8235479797984</v>
      </c>
      <c r="AI1062" s="25">
        <f t="shared" si="160"/>
        <v>1586.4136798088416</v>
      </c>
    </row>
    <row r="1063" spans="1:35" ht="15.75" customHeight="1">
      <c r="A1063" s="12" t="s">
        <v>792</v>
      </c>
      <c r="B1063" s="12" t="s">
        <v>793</v>
      </c>
      <c r="C1063" s="12" t="s">
        <v>192</v>
      </c>
      <c r="D1063" s="12" t="s">
        <v>33</v>
      </c>
      <c r="E1063" s="12" t="s">
        <v>736</v>
      </c>
      <c r="F1063" s="13">
        <v>10</v>
      </c>
      <c r="G1063" s="14">
        <v>765.823076923077</v>
      </c>
      <c r="H1063" s="24" t="str">
        <f t="shared" si="153"/>
        <v>RSSP</v>
      </c>
      <c r="I1063" s="24" t="str">
        <f t="shared" si="161"/>
        <v>RSMG</v>
      </c>
      <c r="J1063" s="24" t="str">
        <f t="shared" si="161"/>
        <v>RSES</v>
      </c>
      <c r="K1063" s="24" t="str">
        <f t="shared" si="161"/>
        <v>RSSC</v>
      </c>
      <c r="L1063" s="24" t="str">
        <f t="shared" si="161"/>
        <v>RSRJ</v>
      </c>
      <c r="M1063" s="24" t="str">
        <f t="shared" si="161"/>
        <v>RSPR</v>
      </c>
      <c r="N1063" s="24" t="str">
        <f t="shared" si="161"/>
        <v>RSAM</v>
      </c>
      <c r="O1063" s="24">
        <f>VLOOKUP(H1063, KM!$A:$E, 5, 0)</f>
        <v>1109</v>
      </c>
      <c r="P1063" s="24">
        <f>VLOOKUP(I1063, KM!$A:$E, 5, 0)</f>
        <v>1712</v>
      </c>
      <c r="Q1063" s="24">
        <f>VLOOKUP(J1063, KM!$A:$E, 5, 0)</f>
        <v>2001</v>
      </c>
      <c r="R1063" s="24">
        <f>VLOOKUP(K1063, KM!$A:$E, 5, 0)</f>
        <v>476</v>
      </c>
      <c r="S1063" s="24">
        <f>VLOOKUP(L1063, KM!$A:$E, 5, 0)</f>
        <v>1553</v>
      </c>
      <c r="T1063" s="24">
        <f>VLOOKUP(M1063, KM!$A:$E, 5, 0)</f>
        <v>711</v>
      </c>
      <c r="U1063" s="24">
        <f>VLOOKUP(N1063, KM!$A:$E, 5, 0)</f>
        <v>4563</v>
      </c>
      <c r="V1063" s="24">
        <f>VLOOKUP(H1063, IMPOSTO!$A:$D, 4, 0)</f>
        <v>0.12</v>
      </c>
      <c r="W1063" s="24">
        <f>VLOOKUP(I1063, IMPOSTO!$A:$D, 4, 0)</f>
        <v>0.12</v>
      </c>
      <c r="X1063" s="24">
        <f>VLOOKUP(J1063, IMPOSTO!$A:$D, 4, 0)</f>
        <v>7.0000000000000007E-2</v>
      </c>
      <c r="Y1063" s="24">
        <f>VLOOKUP(K1063, IMPOSTO!$A:$D, 4, 0)</f>
        <v>0.12</v>
      </c>
      <c r="Z1063" s="24">
        <f>VLOOKUP(L1063, IMPOSTO!$A:$D, 4, 0)</f>
        <v>0.12</v>
      </c>
      <c r="AA1063" s="24">
        <f>VLOOKUP(M1063, IMPOSTO!$A:$D, 4, 0)</f>
        <v>0.12</v>
      </c>
      <c r="AB1063" s="24">
        <f>VLOOKUP(N1063, IMPOSTO!$A:$D, 4, 0)</f>
        <v>7.0000000000000007E-2</v>
      </c>
      <c r="AC1063" s="25">
        <f t="shared" si="154"/>
        <v>996.27622377622379</v>
      </c>
      <c r="AD1063" s="25">
        <f t="shared" si="155"/>
        <v>1064.7989510489513</v>
      </c>
      <c r="AE1063" s="25">
        <f t="shared" si="156"/>
        <v>1038.6269644334161</v>
      </c>
      <c r="AF1063" s="25">
        <f t="shared" si="157"/>
        <v>924.34440559440566</v>
      </c>
      <c r="AG1063" s="25">
        <f t="shared" si="158"/>
        <v>1046.7307692307693</v>
      </c>
      <c r="AH1063" s="25">
        <f t="shared" si="159"/>
        <v>951.04895104895115</v>
      </c>
      <c r="AI1063" s="25">
        <f t="shared" si="160"/>
        <v>1314.1108354011581</v>
      </c>
    </row>
    <row r="1064" spans="1:35" ht="15.75" customHeight="1">
      <c r="A1064" s="12" t="s">
        <v>794</v>
      </c>
      <c r="B1064" s="12" t="s">
        <v>795</v>
      </c>
      <c r="C1064" s="12" t="s">
        <v>192</v>
      </c>
      <c r="D1064" s="12" t="s">
        <v>33</v>
      </c>
      <c r="E1064" s="12" t="s">
        <v>736</v>
      </c>
      <c r="F1064" s="13">
        <v>82.000000000000014</v>
      </c>
      <c r="G1064" s="14">
        <v>8394.4372881355921</v>
      </c>
      <c r="H1064" s="24" t="str">
        <f t="shared" si="153"/>
        <v>RSSP</v>
      </c>
      <c r="I1064" s="24" t="str">
        <f t="shared" si="161"/>
        <v>RSMG</v>
      </c>
      <c r="J1064" s="24" t="str">
        <f t="shared" si="161"/>
        <v>RSES</v>
      </c>
      <c r="K1064" s="24" t="str">
        <f t="shared" si="161"/>
        <v>RSSC</v>
      </c>
      <c r="L1064" s="24" t="str">
        <f t="shared" si="161"/>
        <v>RSRJ</v>
      </c>
      <c r="M1064" s="24" t="str">
        <f t="shared" si="161"/>
        <v>RSPR</v>
      </c>
      <c r="N1064" s="24" t="str">
        <f t="shared" si="161"/>
        <v>RSAM</v>
      </c>
      <c r="O1064" s="24">
        <f>VLOOKUP(H1064, KM!$A:$E, 5, 0)</f>
        <v>1109</v>
      </c>
      <c r="P1064" s="24">
        <f>VLOOKUP(I1064, KM!$A:$E, 5, 0)</f>
        <v>1712</v>
      </c>
      <c r="Q1064" s="24">
        <f>VLOOKUP(J1064, KM!$A:$E, 5, 0)</f>
        <v>2001</v>
      </c>
      <c r="R1064" s="24">
        <f>VLOOKUP(K1064, KM!$A:$E, 5, 0)</f>
        <v>476</v>
      </c>
      <c r="S1064" s="24">
        <f>VLOOKUP(L1064, KM!$A:$E, 5, 0)</f>
        <v>1553</v>
      </c>
      <c r="T1064" s="24">
        <f>VLOOKUP(M1064, KM!$A:$E, 5, 0)</f>
        <v>711</v>
      </c>
      <c r="U1064" s="24">
        <f>VLOOKUP(N1064, KM!$A:$E, 5, 0)</f>
        <v>4563</v>
      </c>
      <c r="V1064" s="24">
        <f>VLOOKUP(H1064, IMPOSTO!$A:$D, 4, 0)</f>
        <v>0.12</v>
      </c>
      <c r="W1064" s="24">
        <f>VLOOKUP(I1064, IMPOSTO!$A:$D, 4, 0)</f>
        <v>0.12</v>
      </c>
      <c r="X1064" s="24">
        <f>VLOOKUP(J1064, IMPOSTO!$A:$D, 4, 0)</f>
        <v>7.0000000000000007E-2</v>
      </c>
      <c r="Y1064" s="24">
        <f>VLOOKUP(K1064, IMPOSTO!$A:$D, 4, 0)</f>
        <v>0.12</v>
      </c>
      <c r="Z1064" s="24">
        <f>VLOOKUP(L1064, IMPOSTO!$A:$D, 4, 0)</f>
        <v>0.12</v>
      </c>
      <c r="AA1064" s="24">
        <f>VLOOKUP(M1064, IMPOSTO!$A:$D, 4, 0)</f>
        <v>0.12</v>
      </c>
      <c r="AB1064" s="24">
        <f>VLOOKUP(N1064, IMPOSTO!$A:$D, 4, 0)</f>
        <v>7.0000000000000007E-2</v>
      </c>
      <c r="AC1064" s="25">
        <f t="shared" si="154"/>
        <v>9665.1560092449909</v>
      </c>
      <c r="AD1064" s="25">
        <f t="shared" si="155"/>
        <v>9733.6787365177188</v>
      </c>
      <c r="AE1064" s="25">
        <f t="shared" si="156"/>
        <v>9241.4379442318204</v>
      </c>
      <c r="AF1064" s="25">
        <f t="shared" si="157"/>
        <v>9593.2241910631728</v>
      </c>
      <c r="AG1064" s="25">
        <f t="shared" si="158"/>
        <v>9715.610554699535</v>
      </c>
      <c r="AH1064" s="25">
        <f t="shared" si="159"/>
        <v>9619.9287365177188</v>
      </c>
      <c r="AI1064" s="25">
        <f t="shared" si="160"/>
        <v>9516.921815199561</v>
      </c>
    </row>
    <row r="1065" spans="1:35" ht="15.75" customHeight="1">
      <c r="A1065" s="12" t="s">
        <v>406</v>
      </c>
      <c r="B1065" s="12" t="s">
        <v>407</v>
      </c>
      <c r="C1065" s="12" t="s">
        <v>314</v>
      </c>
      <c r="D1065" s="12" t="s">
        <v>33</v>
      </c>
      <c r="E1065" s="12" t="s">
        <v>736</v>
      </c>
      <c r="F1065" s="13">
        <v>17.98266624553694</v>
      </c>
      <c r="G1065" s="14">
        <v>1720.3890277786322</v>
      </c>
      <c r="H1065" s="24" t="str">
        <f t="shared" si="153"/>
        <v>RSSP</v>
      </c>
      <c r="I1065" s="24" t="str">
        <f t="shared" si="161"/>
        <v>RSMG</v>
      </c>
      <c r="J1065" s="24" t="str">
        <f t="shared" si="161"/>
        <v>RSES</v>
      </c>
      <c r="K1065" s="24" t="str">
        <f t="shared" si="161"/>
        <v>RSSC</v>
      </c>
      <c r="L1065" s="24" t="str">
        <f t="shared" si="161"/>
        <v>RSRJ</v>
      </c>
      <c r="M1065" s="24" t="str">
        <f t="shared" si="161"/>
        <v>RSPR</v>
      </c>
      <c r="N1065" s="24" t="str">
        <f t="shared" si="161"/>
        <v>RSAM</v>
      </c>
      <c r="O1065" s="24">
        <f>VLOOKUP(H1065, KM!$A:$E, 5, 0)</f>
        <v>1109</v>
      </c>
      <c r="P1065" s="24">
        <f>VLOOKUP(I1065, KM!$A:$E, 5, 0)</f>
        <v>1712</v>
      </c>
      <c r="Q1065" s="24">
        <f>VLOOKUP(J1065, KM!$A:$E, 5, 0)</f>
        <v>2001</v>
      </c>
      <c r="R1065" s="24">
        <f>VLOOKUP(K1065, KM!$A:$E, 5, 0)</f>
        <v>476</v>
      </c>
      <c r="S1065" s="24">
        <f>VLOOKUP(L1065, KM!$A:$E, 5, 0)</f>
        <v>1553</v>
      </c>
      <c r="T1065" s="24">
        <f>VLOOKUP(M1065, KM!$A:$E, 5, 0)</f>
        <v>711</v>
      </c>
      <c r="U1065" s="24">
        <f>VLOOKUP(N1065, KM!$A:$E, 5, 0)</f>
        <v>4563</v>
      </c>
      <c r="V1065" s="24">
        <f>VLOOKUP(H1065, IMPOSTO!$A:$D, 4, 0)</f>
        <v>0.12</v>
      </c>
      <c r="W1065" s="24">
        <f>VLOOKUP(I1065, IMPOSTO!$A:$D, 4, 0)</f>
        <v>0.12</v>
      </c>
      <c r="X1065" s="24">
        <f>VLOOKUP(J1065, IMPOSTO!$A:$D, 4, 0)</f>
        <v>7.0000000000000007E-2</v>
      </c>
      <c r="Y1065" s="24">
        <f>VLOOKUP(K1065, IMPOSTO!$A:$D, 4, 0)</f>
        <v>0.12</v>
      </c>
      <c r="Z1065" s="24">
        <f>VLOOKUP(L1065, IMPOSTO!$A:$D, 4, 0)</f>
        <v>0.12</v>
      </c>
      <c r="AA1065" s="24">
        <f>VLOOKUP(M1065, IMPOSTO!$A:$D, 4, 0)</f>
        <v>0.12</v>
      </c>
      <c r="AB1065" s="24">
        <f>VLOOKUP(N1065, IMPOSTO!$A:$D, 4, 0)</f>
        <v>7.0000000000000007E-2</v>
      </c>
      <c r="AC1065" s="25">
        <f t="shared" si="154"/>
        <v>2081.0102588393547</v>
      </c>
      <c r="AD1065" s="25">
        <f t="shared" si="155"/>
        <v>2149.5329861120822</v>
      </c>
      <c r="AE1065" s="25">
        <f t="shared" si="156"/>
        <v>2065.0419653533681</v>
      </c>
      <c r="AF1065" s="25">
        <f t="shared" si="157"/>
        <v>2009.0784406575365</v>
      </c>
      <c r="AG1065" s="25">
        <f t="shared" si="158"/>
        <v>2131.4648042939002</v>
      </c>
      <c r="AH1065" s="25">
        <f t="shared" si="159"/>
        <v>2035.782986112082</v>
      </c>
      <c r="AI1065" s="25">
        <f t="shared" si="160"/>
        <v>2340.5258363211101</v>
      </c>
    </row>
    <row r="1066" spans="1:35" ht="15.75" customHeight="1">
      <c r="A1066" s="12" t="s">
        <v>780</v>
      </c>
      <c r="B1066" s="12" t="s">
        <v>781</v>
      </c>
      <c r="C1066" s="12" t="s">
        <v>314</v>
      </c>
      <c r="D1066" s="12" t="s">
        <v>33</v>
      </c>
      <c r="E1066" s="12" t="s">
        <v>736</v>
      </c>
      <c r="F1066" s="13">
        <v>41.397199999999991</v>
      </c>
      <c r="G1066" s="14">
        <v>7918.0234317367585</v>
      </c>
      <c r="H1066" s="24" t="str">
        <f t="shared" si="153"/>
        <v>RSSP</v>
      </c>
      <c r="I1066" s="24" t="str">
        <f t="shared" si="161"/>
        <v>RSMG</v>
      </c>
      <c r="J1066" s="24" t="str">
        <f t="shared" si="161"/>
        <v>RSES</v>
      </c>
      <c r="K1066" s="24" t="str">
        <f t="shared" si="161"/>
        <v>RSSC</v>
      </c>
      <c r="L1066" s="24" t="str">
        <f t="shared" si="161"/>
        <v>RSRJ</v>
      </c>
      <c r="M1066" s="24" t="str">
        <f t="shared" si="161"/>
        <v>RSPR</v>
      </c>
      <c r="N1066" s="24" t="str">
        <f t="shared" si="161"/>
        <v>RSAM</v>
      </c>
      <c r="O1066" s="24">
        <f>VLOOKUP(H1066, KM!$A:$E, 5, 0)</f>
        <v>1109</v>
      </c>
      <c r="P1066" s="24">
        <f>VLOOKUP(I1066, KM!$A:$E, 5, 0)</f>
        <v>1712</v>
      </c>
      <c r="Q1066" s="24">
        <f>VLOOKUP(J1066, KM!$A:$E, 5, 0)</f>
        <v>2001</v>
      </c>
      <c r="R1066" s="24">
        <f>VLOOKUP(K1066, KM!$A:$E, 5, 0)</f>
        <v>476</v>
      </c>
      <c r="S1066" s="24">
        <f>VLOOKUP(L1066, KM!$A:$E, 5, 0)</f>
        <v>1553</v>
      </c>
      <c r="T1066" s="24">
        <f>VLOOKUP(M1066, KM!$A:$E, 5, 0)</f>
        <v>711</v>
      </c>
      <c r="U1066" s="24">
        <f>VLOOKUP(N1066, KM!$A:$E, 5, 0)</f>
        <v>4563</v>
      </c>
      <c r="V1066" s="24">
        <f>VLOOKUP(H1066, IMPOSTO!$A:$D, 4, 0)</f>
        <v>0.12</v>
      </c>
      <c r="W1066" s="24">
        <f>VLOOKUP(I1066, IMPOSTO!$A:$D, 4, 0)</f>
        <v>0.12</v>
      </c>
      <c r="X1066" s="24">
        <f>VLOOKUP(J1066, IMPOSTO!$A:$D, 4, 0)</f>
        <v>7.0000000000000007E-2</v>
      </c>
      <c r="Y1066" s="24">
        <f>VLOOKUP(K1066, IMPOSTO!$A:$D, 4, 0)</f>
        <v>0.12</v>
      </c>
      <c r="Z1066" s="24">
        <f>VLOOKUP(L1066, IMPOSTO!$A:$D, 4, 0)</f>
        <v>0.12</v>
      </c>
      <c r="AA1066" s="24">
        <f>VLOOKUP(M1066, IMPOSTO!$A:$D, 4, 0)</f>
        <v>0.12</v>
      </c>
      <c r="AB1066" s="24">
        <f>VLOOKUP(N1066, IMPOSTO!$A:$D, 4, 0)</f>
        <v>7.0000000000000007E-2</v>
      </c>
      <c r="AC1066" s="25">
        <f t="shared" si="154"/>
        <v>9123.7766269735894</v>
      </c>
      <c r="AD1066" s="25">
        <f t="shared" si="155"/>
        <v>9192.2993542463155</v>
      </c>
      <c r="AE1066" s="25">
        <f t="shared" si="156"/>
        <v>8729.1649803621076</v>
      </c>
      <c r="AF1066" s="25">
        <f t="shared" si="157"/>
        <v>9051.8448087917714</v>
      </c>
      <c r="AG1066" s="25">
        <f t="shared" si="158"/>
        <v>9174.2311724281353</v>
      </c>
      <c r="AH1066" s="25">
        <f t="shared" si="159"/>
        <v>9078.5493542463173</v>
      </c>
      <c r="AI1066" s="25">
        <f t="shared" si="160"/>
        <v>9004.6488513298482</v>
      </c>
    </row>
    <row r="1067" spans="1:35" ht="15.75" customHeight="1">
      <c r="A1067" s="12" t="s">
        <v>737</v>
      </c>
      <c r="B1067" s="12" t="s">
        <v>738</v>
      </c>
      <c r="C1067" s="12" t="s">
        <v>192</v>
      </c>
      <c r="D1067" s="12" t="s">
        <v>50</v>
      </c>
      <c r="E1067" s="12" t="s">
        <v>736</v>
      </c>
      <c r="F1067" s="13">
        <v>3.4614230769230767</v>
      </c>
      <c r="G1067" s="14">
        <v>47.958016730769231</v>
      </c>
      <c r="H1067" s="24" t="str">
        <f t="shared" si="153"/>
        <v>RSSP</v>
      </c>
      <c r="I1067" s="24" t="str">
        <f t="shared" si="161"/>
        <v>RSMG</v>
      </c>
      <c r="J1067" s="24" t="str">
        <f t="shared" si="161"/>
        <v>RSES</v>
      </c>
      <c r="K1067" s="24" t="str">
        <f t="shared" si="161"/>
        <v>RSSC</v>
      </c>
      <c r="L1067" s="24" t="str">
        <f t="shared" si="161"/>
        <v>RSRJ</v>
      </c>
      <c r="M1067" s="24" t="str">
        <f t="shared" si="161"/>
        <v>RSPR</v>
      </c>
      <c r="N1067" s="24" t="str">
        <f t="shared" si="161"/>
        <v>RSAM</v>
      </c>
      <c r="O1067" s="24">
        <f>VLOOKUP(H1067, KM!$A:$E, 5, 0)</f>
        <v>1109</v>
      </c>
      <c r="P1067" s="24">
        <f>VLOOKUP(I1067, KM!$A:$E, 5, 0)</f>
        <v>1712</v>
      </c>
      <c r="Q1067" s="24">
        <f>VLOOKUP(J1067, KM!$A:$E, 5, 0)</f>
        <v>2001</v>
      </c>
      <c r="R1067" s="24">
        <f>VLOOKUP(K1067, KM!$A:$E, 5, 0)</f>
        <v>476</v>
      </c>
      <c r="S1067" s="24">
        <f>VLOOKUP(L1067, KM!$A:$E, 5, 0)</f>
        <v>1553</v>
      </c>
      <c r="T1067" s="24">
        <f>VLOOKUP(M1067, KM!$A:$E, 5, 0)</f>
        <v>711</v>
      </c>
      <c r="U1067" s="24">
        <f>VLOOKUP(N1067, KM!$A:$E, 5, 0)</f>
        <v>4563</v>
      </c>
      <c r="V1067" s="24">
        <f>VLOOKUP(H1067, IMPOSTO!$A:$D, 4, 0)</f>
        <v>0.12</v>
      </c>
      <c r="W1067" s="24">
        <f>VLOOKUP(I1067, IMPOSTO!$A:$D, 4, 0)</f>
        <v>0.12</v>
      </c>
      <c r="X1067" s="24">
        <f>VLOOKUP(J1067, IMPOSTO!$A:$D, 4, 0)</f>
        <v>7.0000000000000007E-2</v>
      </c>
      <c r="Y1067" s="24">
        <f>VLOOKUP(K1067, IMPOSTO!$A:$D, 4, 0)</f>
        <v>0.12</v>
      </c>
      <c r="Z1067" s="24">
        <f>VLOOKUP(L1067, IMPOSTO!$A:$D, 4, 0)</f>
        <v>0.12</v>
      </c>
      <c r="AA1067" s="24">
        <f>VLOOKUP(M1067, IMPOSTO!$A:$D, 4, 0)</f>
        <v>0.12</v>
      </c>
      <c r="AB1067" s="24">
        <f>VLOOKUP(N1067, IMPOSTO!$A:$D, 4, 0)</f>
        <v>7.0000000000000007E-2</v>
      </c>
      <c r="AC1067" s="25">
        <f t="shared" si="154"/>
        <v>180.52047355769233</v>
      </c>
      <c r="AD1067" s="25">
        <f t="shared" si="155"/>
        <v>249.04320083041961</v>
      </c>
      <c r="AE1067" s="25">
        <f t="shared" si="156"/>
        <v>266.729050248139</v>
      </c>
      <c r="AF1067" s="25">
        <f t="shared" si="157"/>
        <v>108.58865537587413</v>
      </c>
      <c r="AG1067" s="25">
        <f t="shared" si="158"/>
        <v>230.97501901223777</v>
      </c>
      <c r="AH1067" s="25">
        <f t="shared" si="159"/>
        <v>135.29320083041958</v>
      </c>
      <c r="AI1067" s="25">
        <f t="shared" si="160"/>
        <v>542.2129212158809</v>
      </c>
    </row>
    <row r="1068" spans="1:35" ht="15.75" customHeight="1">
      <c r="A1068" s="12" t="s">
        <v>502</v>
      </c>
      <c r="B1068" s="12" t="s">
        <v>503</v>
      </c>
      <c r="C1068" s="12" t="s">
        <v>140</v>
      </c>
      <c r="D1068" s="12" t="s">
        <v>33</v>
      </c>
      <c r="E1068" s="12" t="s">
        <v>736</v>
      </c>
      <c r="F1068" s="13">
        <v>96.00141772151899</v>
      </c>
      <c r="G1068" s="14">
        <v>4536.0669873417719</v>
      </c>
      <c r="H1068" s="24" t="str">
        <f t="shared" si="153"/>
        <v>RSSP</v>
      </c>
      <c r="I1068" s="24" t="str">
        <f t="shared" si="161"/>
        <v>RSMG</v>
      </c>
      <c r="J1068" s="24" t="str">
        <f t="shared" si="161"/>
        <v>RSES</v>
      </c>
      <c r="K1068" s="24" t="str">
        <f t="shared" si="161"/>
        <v>RSSC</v>
      </c>
      <c r="L1068" s="24" t="str">
        <f t="shared" si="161"/>
        <v>RSRJ</v>
      </c>
      <c r="M1068" s="24" t="str">
        <f t="shared" si="161"/>
        <v>RSPR</v>
      </c>
      <c r="N1068" s="24" t="str">
        <f t="shared" si="161"/>
        <v>RSAM</v>
      </c>
      <c r="O1068" s="24">
        <f>VLOOKUP(H1068, KM!$A:$E, 5, 0)</f>
        <v>1109</v>
      </c>
      <c r="P1068" s="24">
        <f>VLOOKUP(I1068, KM!$A:$E, 5, 0)</f>
        <v>1712</v>
      </c>
      <c r="Q1068" s="24">
        <f>VLOOKUP(J1068, KM!$A:$E, 5, 0)</f>
        <v>2001</v>
      </c>
      <c r="R1068" s="24">
        <f>VLOOKUP(K1068, KM!$A:$E, 5, 0)</f>
        <v>476</v>
      </c>
      <c r="S1068" s="24">
        <f>VLOOKUP(L1068, KM!$A:$E, 5, 0)</f>
        <v>1553</v>
      </c>
      <c r="T1068" s="24">
        <f>VLOOKUP(M1068, KM!$A:$E, 5, 0)</f>
        <v>711</v>
      </c>
      <c r="U1068" s="24">
        <f>VLOOKUP(N1068, KM!$A:$E, 5, 0)</f>
        <v>4563</v>
      </c>
      <c r="V1068" s="24">
        <f>VLOOKUP(H1068, IMPOSTO!$A:$D, 4, 0)</f>
        <v>0.12</v>
      </c>
      <c r="W1068" s="24">
        <f>VLOOKUP(I1068, IMPOSTO!$A:$D, 4, 0)</f>
        <v>0.12</v>
      </c>
      <c r="X1068" s="24">
        <f>VLOOKUP(J1068, IMPOSTO!$A:$D, 4, 0)</f>
        <v>7.0000000000000007E-2</v>
      </c>
      <c r="Y1068" s="24">
        <f>VLOOKUP(K1068, IMPOSTO!$A:$D, 4, 0)</f>
        <v>0.12</v>
      </c>
      <c r="Z1068" s="24">
        <f>VLOOKUP(L1068, IMPOSTO!$A:$D, 4, 0)</f>
        <v>0.12</v>
      </c>
      <c r="AA1068" s="24">
        <f>VLOOKUP(M1068, IMPOSTO!$A:$D, 4, 0)</f>
        <v>0.12</v>
      </c>
      <c r="AB1068" s="24">
        <f>VLOOKUP(N1068, IMPOSTO!$A:$D, 4, 0)</f>
        <v>7.0000000000000007E-2</v>
      </c>
      <c r="AC1068" s="25">
        <f t="shared" si="154"/>
        <v>5280.6443037974677</v>
      </c>
      <c r="AD1068" s="25">
        <f t="shared" si="155"/>
        <v>5349.1670310701948</v>
      </c>
      <c r="AE1068" s="25">
        <f t="shared" si="156"/>
        <v>5092.6526745610454</v>
      </c>
      <c r="AF1068" s="25">
        <f t="shared" si="157"/>
        <v>5208.7124856156506</v>
      </c>
      <c r="AG1068" s="25">
        <f t="shared" si="158"/>
        <v>5331.0988492520137</v>
      </c>
      <c r="AH1068" s="25">
        <f t="shared" si="159"/>
        <v>5235.4170310701957</v>
      </c>
      <c r="AI1068" s="25">
        <f t="shared" si="160"/>
        <v>5368.1365455287878</v>
      </c>
    </row>
    <row r="1069" spans="1:35" ht="15.75" customHeight="1">
      <c r="A1069" s="12" t="s">
        <v>494</v>
      </c>
      <c r="B1069" s="12" t="s">
        <v>495</v>
      </c>
      <c r="C1069" s="12" t="s">
        <v>192</v>
      </c>
      <c r="D1069" s="12" t="s">
        <v>50</v>
      </c>
      <c r="E1069" s="12" t="s">
        <v>736</v>
      </c>
      <c r="F1069" s="13">
        <v>212.26682149253728</v>
      </c>
      <c r="G1069" s="14">
        <v>2160.0836008656715</v>
      </c>
      <c r="H1069" s="24" t="str">
        <f t="shared" si="153"/>
        <v>RSSP</v>
      </c>
      <c r="I1069" s="24" t="str">
        <f t="shared" si="161"/>
        <v>RSMG</v>
      </c>
      <c r="J1069" s="24" t="str">
        <f t="shared" si="161"/>
        <v>RSES</v>
      </c>
      <c r="K1069" s="24" t="str">
        <f t="shared" si="161"/>
        <v>RSSC</v>
      </c>
      <c r="L1069" s="24" t="str">
        <f t="shared" si="161"/>
        <v>RSRJ</v>
      </c>
      <c r="M1069" s="24" t="str">
        <f t="shared" si="161"/>
        <v>RSPR</v>
      </c>
      <c r="N1069" s="24" t="str">
        <f t="shared" si="161"/>
        <v>RSAM</v>
      </c>
      <c r="O1069" s="24">
        <f>VLOOKUP(H1069, KM!$A:$E, 5, 0)</f>
        <v>1109</v>
      </c>
      <c r="P1069" s="24">
        <f>VLOOKUP(I1069, KM!$A:$E, 5, 0)</f>
        <v>1712</v>
      </c>
      <c r="Q1069" s="24">
        <f>VLOOKUP(J1069, KM!$A:$E, 5, 0)</f>
        <v>2001</v>
      </c>
      <c r="R1069" s="24">
        <f>VLOOKUP(K1069, KM!$A:$E, 5, 0)</f>
        <v>476</v>
      </c>
      <c r="S1069" s="24">
        <f>VLOOKUP(L1069, KM!$A:$E, 5, 0)</f>
        <v>1553</v>
      </c>
      <c r="T1069" s="24">
        <f>VLOOKUP(M1069, KM!$A:$E, 5, 0)</f>
        <v>711</v>
      </c>
      <c r="U1069" s="24">
        <f>VLOOKUP(N1069, KM!$A:$E, 5, 0)</f>
        <v>4563</v>
      </c>
      <c r="V1069" s="24">
        <f>VLOOKUP(H1069, IMPOSTO!$A:$D, 4, 0)</f>
        <v>0.12</v>
      </c>
      <c r="W1069" s="24">
        <f>VLOOKUP(I1069, IMPOSTO!$A:$D, 4, 0)</f>
        <v>0.12</v>
      </c>
      <c r="X1069" s="24">
        <f>VLOOKUP(J1069, IMPOSTO!$A:$D, 4, 0)</f>
        <v>7.0000000000000007E-2</v>
      </c>
      <c r="Y1069" s="24">
        <f>VLOOKUP(K1069, IMPOSTO!$A:$D, 4, 0)</f>
        <v>0.12</v>
      </c>
      <c r="Z1069" s="24">
        <f>VLOOKUP(L1069, IMPOSTO!$A:$D, 4, 0)</f>
        <v>0.12</v>
      </c>
      <c r="AA1069" s="24">
        <f>VLOOKUP(M1069, IMPOSTO!$A:$D, 4, 0)</f>
        <v>0.12</v>
      </c>
      <c r="AB1069" s="24">
        <f>VLOOKUP(N1069, IMPOSTO!$A:$D, 4, 0)</f>
        <v>7.0000000000000007E-2</v>
      </c>
      <c r="AC1069" s="25">
        <f t="shared" si="154"/>
        <v>2580.6631828018994</v>
      </c>
      <c r="AD1069" s="25">
        <f t="shared" si="155"/>
        <v>2649.1859100746265</v>
      </c>
      <c r="AE1069" s="25">
        <f t="shared" si="156"/>
        <v>2537.831828887819</v>
      </c>
      <c r="AF1069" s="25">
        <f t="shared" si="157"/>
        <v>2508.731364620081</v>
      </c>
      <c r="AG1069" s="25">
        <f t="shared" si="158"/>
        <v>2631.1177282564449</v>
      </c>
      <c r="AH1069" s="25">
        <f t="shared" si="159"/>
        <v>2535.4359100746265</v>
      </c>
      <c r="AI1069" s="25">
        <f t="shared" si="160"/>
        <v>2813.315699855561</v>
      </c>
    </row>
    <row r="1070" spans="1:35" ht="15.75" customHeight="1">
      <c r="A1070" s="12" t="s">
        <v>494</v>
      </c>
      <c r="B1070" s="12" t="s">
        <v>495</v>
      </c>
      <c r="C1070" s="12" t="s">
        <v>192</v>
      </c>
      <c r="D1070" s="12" t="s">
        <v>50</v>
      </c>
      <c r="E1070" s="12" t="s">
        <v>736</v>
      </c>
      <c r="F1070" s="13">
        <v>87.772778507462704</v>
      </c>
      <c r="G1070" s="14">
        <v>898.45141575522393</v>
      </c>
      <c r="H1070" s="24" t="str">
        <f t="shared" si="153"/>
        <v>RSSP</v>
      </c>
      <c r="I1070" s="24" t="str">
        <f t="shared" si="161"/>
        <v>RSMG</v>
      </c>
      <c r="J1070" s="24" t="str">
        <f t="shared" si="161"/>
        <v>RSES</v>
      </c>
      <c r="K1070" s="24" t="str">
        <f t="shared" si="161"/>
        <v>RSSC</v>
      </c>
      <c r="L1070" s="24" t="str">
        <f t="shared" si="161"/>
        <v>RSRJ</v>
      </c>
      <c r="M1070" s="24" t="str">
        <f t="shared" si="161"/>
        <v>RSPR</v>
      </c>
      <c r="N1070" s="24" t="str">
        <f t="shared" si="161"/>
        <v>RSAM</v>
      </c>
      <c r="O1070" s="24">
        <f>VLOOKUP(H1070, KM!$A:$E, 5, 0)</f>
        <v>1109</v>
      </c>
      <c r="P1070" s="24">
        <f>VLOOKUP(I1070, KM!$A:$E, 5, 0)</f>
        <v>1712</v>
      </c>
      <c r="Q1070" s="24">
        <f>VLOOKUP(J1070, KM!$A:$E, 5, 0)</f>
        <v>2001</v>
      </c>
      <c r="R1070" s="24">
        <f>VLOOKUP(K1070, KM!$A:$E, 5, 0)</f>
        <v>476</v>
      </c>
      <c r="S1070" s="24">
        <f>VLOOKUP(L1070, KM!$A:$E, 5, 0)</f>
        <v>1553</v>
      </c>
      <c r="T1070" s="24">
        <f>VLOOKUP(M1070, KM!$A:$E, 5, 0)</f>
        <v>711</v>
      </c>
      <c r="U1070" s="24">
        <f>VLOOKUP(N1070, KM!$A:$E, 5, 0)</f>
        <v>4563</v>
      </c>
      <c r="V1070" s="24">
        <f>VLOOKUP(H1070, IMPOSTO!$A:$D, 4, 0)</f>
        <v>0.12</v>
      </c>
      <c r="W1070" s="24">
        <f>VLOOKUP(I1070, IMPOSTO!$A:$D, 4, 0)</f>
        <v>0.12</v>
      </c>
      <c r="X1070" s="24">
        <f>VLOOKUP(J1070, IMPOSTO!$A:$D, 4, 0)</f>
        <v>7.0000000000000007E-2</v>
      </c>
      <c r="Y1070" s="24">
        <f>VLOOKUP(K1070, IMPOSTO!$A:$D, 4, 0)</f>
        <v>0.12</v>
      </c>
      <c r="Z1070" s="24">
        <f>VLOOKUP(L1070, IMPOSTO!$A:$D, 4, 0)</f>
        <v>0.12</v>
      </c>
      <c r="AA1070" s="24">
        <f>VLOOKUP(M1070, IMPOSTO!$A:$D, 4, 0)</f>
        <v>0.12</v>
      </c>
      <c r="AB1070" s="24">
        <f>VLOOKUP(N1070, IMPOSTO!$A:$D, 4, 0)</f>
        <v>7.0000000000000007E-2</v>
      </c>
      <c r="AC1070" s="25">
        <f t="shared" si="154"/>
        <v>1146.9902451763908</v>
      </c>
      <c r="AD1070" s="25">
        <f t="shared" si="155"/>
        <v>1215.5129724491183</v>
      </c>
      <c r="AE1070" s="25">
        <f t="shared" si="156"/>
        <v>1181.23808145723</v>
      </c>
      <c r="AF1070" s="25">
        <f t="shared" si="157"/>
        <v>1075.0584269945728</v>
      </c>
      <c r="AG1070" s="25">
        <f t="shared" si="158"/>
        <v>1197.4447906309363</v>
      </c>
      <c r="AH1070" s="25">
        <f t="shared" si="159"/>
        <v>1101.762972449118</v>
      </c>
      <c r="AI1070" s="25">
        <f t="shared" si="160"/>
        <v>1456.721952424972</v>
      </c>
    </row>
    <row r="1071" spans="1:35" ht="15.75" customHeight="1">
      <c r="A1071" s="12" t="s">
        <v>685</v>
      </c>
      <c r="B1071" s="12" t="s">
        <v>686</v>
      </c>
      <c r="C1071" s="12" t="s">
        <v>192</v>
      </c>
      <c r="D1071" s="12" t="s">
        <v>33</v>
      </c>
      <c r="E1071" s="12" t="s">
        <v>736</v>
      </c>
      <c r="F1071" s="13">
        <v>879.90625</v>
      </c>
      <c r="G1071" s="14">
        <v>1739.3308984375001</v>
      </c>
      <c r="H1071" s="24" t="str">
        <f t="shared" si="153"/>
        <v>RSSP</v>
      </c>
      <c r="I1071" s="24" t="str">
        <f t="shared" si="161"/>
        <v>RSMG</v>
      </c>
      <c r="J1071" s="24" t="str">
        <f t="shared" si="161"/>
        <v>RSES</v>
      </c>
      <c r="K1071" s="24" t="str">
        <f t="shared" si="161"/>
        <v>RSSC</v>
      </c>
      <c r="L1071" s="24" t="str">
        <f t="shared" si="161"/>
        <v>RSRJ</v>
      </c>
      <c r="M1071" s="24" t="str">
        <f t="shared" si="161"/>
        <v>RSPR</v>
      </c>
      <c r="N1071" s="24" t="str">
        <f t="shared" si="161"/>
        <v>RSAM</v>
      </c>
      <c r="O1071" s="24">
        <f>VLOOKUP(H1071, KM!$A:$E, 5, 0)</f>
        <v>1109</v>
      </c>
      <c r="P1071" s="24">
        <f>VLOOKUP(I1071, KM!$A:$E, 5, 0)</f>
        <v>1712</v>
      </c>
      <c r="Q1071" s="24">
        <f>VLOOKUP(J1071, KM!$A:$E, 5, 0)</f>
        <v>2001</v>
      </c>
      <c r="R1071" s="24">
        <f>VLOOKUP(K1071, KM!$A:$E, 5, 0)</f>
        <v>476</v>
      </c>
      <c r="S1071" s="24">
        <f>VLOOKUP(L1071, KM!$A:$E, 5, 0)</f>
        <v>1553</v>
      </c>
      <c r="T1071" s="24">
        <f>VLOOKUP(M1071, KM!$A:$E, 5, 0)</f>
        <v>711</v>
      </c>
      <c r="U1071" s="24">
        <f>VLOOKUP(N1071, KM!$A:$E, 5, 0)</f>
        <v>4563</v>
      </c>
      <c r="V1071" s="24">
        <f>VLOOKUP(H1071, IMPOSTO!$A:$D, 4, 0)</f>
        <v>0.12</v>
      </c>
      <c r="W1071" s="24">
        <f>VLOOKUP(I1071, IMPOSTO!$A:$D, 4, 0)</f>
        <v>0.12</v>
      </c>
      <c r="X1071" s="24">
        <f>VLOOKUP(J1071, IMPOSTO!$A:$D, 4, 0)</f>
        <v>7.0000000000000007E-2</v>
      </c>
      <c r="Y1071" s="24">
        <f>VLOOKUP(K1071, IMPOSTO!$A:$D, 4, 0)</f>
        <v>0.12</v>
      </c>
      <c r="Z1071" s="24">
        <f>VLOOKUP(L1071, IMPOSTO!$A:$D, 4, 0)</f>
        <v>0.12</v>
      </c>
      <c r="AA1071" s="24">
        <f>VLOOKUP(M1071, IMPOSTO!$A:$D, 4, 0)</f>
        <v>0.12</v>
      </c>
      <c r="AB1071" s="24">
        <f>VLOOKUP(N1071, IMPOSTO!$A:$D, 4, 0)</f>
        <v>7.0000000000000007E-2</v>
      </c>
      <c r="AC1071" s="25">
        <f t="shared" si="154"/>
        <v>2102.5351118607955</v>
      </c>
      <c r="AD1071" s="25">
        <f t="shared" si="155"/>
        <v>2171.057839133523</v>
      </c>
      <c r="AE1071" s="25">
        <f t="shared" si="156"/>
        <v>2085.4095682123661</v>
      </c>
      <c r="AF1071" s="25">
        <f t="shared" si="157"/>
        <v>2030.6032936789773</v>
      </c>
      <c r="AG1071" s="25">
        <f t="shared" si="158"/>
        <v>2152.989657315341</v>
      </c>
      <c r="AH1071" s="25">
        <f t="shared" si="159"/>
        <v>2057.3078391335225</v>
      </c>
      <c r="AI1071" s="25">
        <f t="shared" si="160"/>
        <v>2360.8934391801076</v>
      </c>
    </row>
    <row r="1072" spans="1:35" ht="15.75" customHeight="1">
      <c r="A1072" s="12" t="s">
        <v>796</v>
      </c>
      <c r="B1072" s="12" t="s">
        <v>797</v>
      </c>
      <c r="C1072" s="12" t="s">
        <v>192</v>
      </c>
      <c r="D1072" s="12" t="s">
        <v>33</v>
      </c>
      <c r="E1072" s="12" t="s">
        <v>26</v>
      </c>
      <c r="F1072" s="13">
        <v>118.29296840354766</v>
      </c>
      <c r="G1072" s="14">
        <v>12428.304042037915</v>
      </c>
      <c r="H1072" s="24" t="str">
        <f t="shared" si="153"/>
        <v>SCSP</v>
      </c>
      <c r="I1072" s="24" t="str">
        <f t="shared" si="161"/>
        <v>SCMG</v>
      </c>
      <c r="J1072" s="24" t="str">
        <f t="shared" si="161"/>
        <v>SCES</v>
      </c>
      <c r="K1072" s="24" t="str">
        <f t="shared" si="161"/>
        <v>SCSC</v>
      </c>
      <c r="L1072" s="24" t="str">
        <f t="shared" si="161"/>
        <v>SCRJ</v>
      </c>
      <c r="M1072" s="24" t="str">
        <f t="shared" si="161"/>
        <v>SCPR</v>
      </c>
      <c r="N1072" s="24" t="str">
        <f t="shared" si="161"/>
        <v>SCAM</v>
      </c>
      <c r="O1072" s="24">
        <f>VLOOKUP(H1072, KM!$A:$E, 5, 0)</f>
        <v>705</v>
      </c>
      <c r="P1072" s="24">
        <f>VLOOKUP(I1072, KM!$A:$E, 5, 0)</f>
        <v>1301</v>
      </c>
      <c r="Q1072" s="24">
        <f>VLOOKUP(J1072, KM!$A:$E, 5, 0)</f>
        <v>1597</v>
      </c>
      <c r="R1072" s="24">
        <f>VLOOKUP(K1072, KM!$A:$E, 5, 0)</f>
        <v>0</v>
      </c>
      <c r="S1072" s="24">
        <f>VLOOKUP(L1072, KM!$A:$E, 5, 0)</f>
        <v>1144</v>
      </c>
      <c r="T1072" s="24">
        <f>VLOOKUP(M1072, KM!$A:$E, 5, 0)</f>
        <v>300</v>
      </c>
      <c r="U1072" s="24">
        <f>VLOOKUP(N1072, KM!$A:$E, 5, 0)</f>
        <v>4343</v>
      </c>
      <c r="V1072" s="24">
        <f>VLOOKUP(H1072, IMPOSTO!$A:$D, 4, 0)</f>
        <v>0.12</v>
      </c>
      <c r="W1072" s="24">
        <f>VLOOKUP(I1072, IMPOSTO!$A:$D, 4, 0)</f>
        <v>0.12</v>
      </c>
      <c r="X1072" s="24">
        <f>VLOOKUP(J1072, IMPOSTO!$A:$D, 4, 0)</f>
        <v>7.0000000000000007E-2</v>
      </c>
      <c r="Y1072" s="24">
        <f>VLOOKUP(K1072, IMPOSTO!$A:$D, 4, 0)</f>
        <v>0.18</v>
      </c>
      <c r="Z1072" s="24">
        <f>VLOOKUP(L1072, IMPOSTO!$A:$D, 4, 0)</f>
        <v>0.12</v>
      </c>
      <c r="AA1072" s="24">
        <f>VLOOKUP(M1072, IMPOSTO!$A:$D, 4, 0)</f>
        <v>0.12</v>
      </c>
      <c r="AB1072" s="24">
        <f>VLOOKUP(N1072, IMPOSTO!$A:$D, 4, 0)</f>
        <v>7.0000000000000007E-2</v>
      </c>
      <c r="AC1072" s="25">
        <f t="shared" si="154"/>
        <v>14203.186411406721</v>
      </c>
      <c r="AD1072" s="25">
        <f t="shared" si="155"/>
        <v>14270.913684133995</v>
      </c>
      <c r="AE1072" s="25">
        <f t="shared" si="156"/>
        <v>13535.488217245071</v>
      </c>
      <c r="AF1072" s="25">
        <f t="shared" si="157"/>
        <v>15156.468343948676</v>
      </c>
      <c r="AG1072" s="25">
        <f t="shared" si="158"/>
        <v>14253.072775043085</v>
      </c>
      <c r="AH1072" s="25">
        <f t="shared" si="159"/>
        <v>14157.163684133993</v>
      </c>
      <c r="AI1072" s="25">
        <f t="shared" si="160"/>
        <v>13830.757034449371</v>
      </c>
    </row>
    <row r="1073" spans="1:35" ht="15.75" customHeight="1">
      <c r="A1073" s="12" t="s">
        <v>560</v>
      </c>
      <c r="B1073" s="12" t="s">
        <v>561</v>
      </c>
      <c r="C1073" s="12" t="s">
        <v>192</v>
      </c>
      <c r="D1073" s="12" t="s">
        <v>33</v>
      </c>
      <c r="E1073" s="12" t="s">
        <v>26</v>
      </c>
      <c r="F1073" s="13">
        <v>24.684849056603774</v>
      </c>
      <c r="G1073" s="14">
        <v>1131.1387752905659</v>
      </c>
      <c r="H1073" s="24" t="str">
        <f t="shared" si="153"/>
        <v>SCSP</v>
      </c>
      <c r="I1073" s="24" t="str">
        <f t="shared" si="161"/>
        <v>SCMG</v>
      </c>
      <c r="J1073" s="24" t="str">
        <f t="shared" si="161"/>
        <v>SCES</v>
      </c>
      <c r="K1073" s="24" t="str">
        <f t="shared" si="161"/>
        <v>SCSC</v>
      </c>
      <c r="L1073" s="24" t="str">
        <f t="shared" si="161"/>
        <v>SCRJ</v>
      </c>
      <c r="M1073" s="24" t="str">
        <f t="shared" si="161"/>
        <v>SCPR</v>
      </c>
      <c r="N1073" s="24" t="str">
        <f t="shared" si="161"/>
        <v>SCAM</v>
      </c>
      <c r="O1073" s="24">
        <f>VLOOKUP(H1073, KM!$A:$E, 5, 0)</f>
        <v>705</v>
      </c>
      <c r="P1073" s="24">
        <f>VLOOKUP(I1073, KM!$A:$E, 5, 0)</f>
        <v>1301</v>
      </c>
      <c r="Q1073" s="24">
        <f>VLOOKUP(J1073, KM!$A:$E, 5, 0)</f>
        <v>1597</v>
      </c>
      <c r="R1073" s="24">
        <f>VLOOKUP(K1073, KM!$A:$E, 5, 0)</f>
        <v>0</v>
      </c>
      <c r="S1073" s="24">
        <f>VLOOKUP(L1073, KM!$A:$E, 5, 0)</f>
        <v>1144</v>
      </c>
      <c r="T1073" s="24">
        <f>VLOOKUP(M1073, KM!$A:$E, 5, 0)</f>
        <v>300</v>
      </c>
      <c r="U1073" s="24">
        <f>VLOOKUP(N1073, KM!$A:$E, 5, 0)</f>
        <v>4343</v>
      </c>
      <c r="V1073" s="24">
        <f>VLOOKUP(H1073, IMPOSTO!$A:$D, 4, 0)</f>
        <v>0.12</v>
      </c>
      <c r="W1073" s="24">
        <f>VLOOKUP(I1073, IMPOSTO!$A:$D, 4, 0)</f>
        <v>0.12</v>
      </c>
      <c r="X1073" s="24">
        <f>VLOOKUP(J1073, IMPOSTO!$A:$D, 4, 0)</f>
        <v>7.0000000000000007E-2</v>
      </c>
      <c r="Y1073" s="24">
        <f>VLOOKUP(K1073, IMPOSTO!$A:$D, 4, 0)</f>
        <v>0.18</v>
      </c>
      <c r="Z1073" s="24">
        <f>VLOOKUP(L1073, IMPOSTO!$A:$D, 4, 0)</f>
        <v>0.12</v>
      </c>
      <c r="AA1073" s="24">
        <f>VLOOKUP(M1073, IMPOSTO!$A:$D, 4, 0)</f>
        <v>0.12</v>
      </c>
      <c r="AB1073" s="24">
        <f>VLOOKUP(N1073, IMPOSTO!$A:$D, 4, 0)</f>
        <v>7.0000000000000007E-2</v>
      </c>
      <c r="AC1073" s="25">
        <f t="shared" si="154"/>
        <v>1365.498608284734</v>
      </c>
      <c r="AD1073" s="25">
        <f t="shared" si="155"/>
        <v>1433.2258810120065</v>
      </c>
      <c r="AE1073" s="25">
        <f t="shared" si="156"/>
        <v>1387.9986831081355</v>
      </c>
      <c r="AF1073" s="25">
        <f t="shared" si="157"/>
        <v>1379.4375308421536</v>
      </c>
      <c r="AG1073" s="25">
        <f t="shared" si="158"/>
        <v>1415.3849719210978</v>
      </c>
      <c r="AH1073" s="25">
        <f t="shared" si="159"/>
        <v>1319.4758810120068</v>
      </c>
      <c r="AI1073" s="25">
        <f t="shared" si="160"/>
        <v>1683.2675003124366</v>
      </c>
    </row>
    <row r="1074" spans="1:35" ht="15.75" customHeight="1">
      <c r="A1074" s="12" t="s">
        <v>798</v>
      </c>
      <c r="B1074" s="12" t="s">
        <v>799</v>
      </c>
      <c r="C1074" s="12" t="s">
        <v>192</v>
      </c>
      <c r="D1074" s="12" t="s">
        <v>33</v>
      </c>
      <c r="E1074" s="12" t="s">
        <v>26</v>
      </c>
      <c r="F1074" s="13">
        <v>9606.6594000000005</v>
      </c>
      <c r="G1074" s="14">
        <v>26954.619596102017</v>
      </c>
      <c r="H1074" s="24" t="str">
        <f t="shared" si="153"/>
        <v>SCSP</v>
      </c>
      <c r="I1074" s="24" t="str">
        <f t="shared" si="161"/>
        <v>SCMG</v>
      </c>
      <c r="J1074" s="24" t="str">
        <f t="shared" si="161"/>
        <v>SCES</v>
      </c>
      <c r="K1074" s="24" t="str">
        <f t="shared" si="161"/>
        <v>SCSC</v>
      </c>
      <c r="L1074" s="24" t="str">
        <f t="shared" si="161"/>
        <v>SCRJ</v>
      </c>
      <c r="M1074" s="24" t="str">
        <f t="shared" si="161"/>
        <v>SCPR</v>
      </c>
      <c r="N1074" s="24" t="str">
        <f t="shared" si="161"/>
        <v>SCAM</v>
      </c>
      <c r="O1074" s="24">
        <f>VLOOKUP(H1074, KM!$A:$E, 5, 0)</f>
        <v>705</v>
      </c>
      <c r="P1074" s="24">
        <f>VLOOKUP(I1074, KM!$A:$E, 5, 0)</f>
        <v>1301</v>
      </c>
      <c r="Q1074" s="24">
        <f>VLOOKUP(J1074, KM!$A:$E, 5, 0)</f>
        <v>1597</v>
      </c>
      <c r="R1074" s="24">
        <f>VLOOKUP(K1074, KM!$A:$E, 5, 0)</f>
        <v>0</v>
      </c>
      <c r="S1074" s="24">
        <f>VLOOKUP(L1074, KM!$A:$E, 5, 0)</f>
        <v>1144</v>
      </c>
      <c r="T1074" s="24">
        <f>VLOOKUP(M1074, KM!$A:$E, 5, 0)</f>
        <v>300</v>
      </c>
      <c r="U1074" s="24">
        <f>VLOOKUP(N1074, KM!$A:$E, 5, 0)</f>
        <v>4343</v>
      </c>
      <c r="V1074" s="24">
        <f>VLOOKUP(H1074, IMPOSTO!$A:$D, 4, 0)</f>
        <v>0.12</v>
      </c>
      <c r="W1074" s="24">
        <f>VLOOKUP(I1074, IMPOSTO!$A:$D, 4, 0)</f>
        <v>0.12</v>
      </c>
      <c r="X1074" s="24">
        <f>VLOOKUP(J1074, IMPOSTO!$A:$D, 4, 0)</f>
        <v>7.0000000000000007E-2</v>
      </c>
      <c r="Y1074" s="24">
        <f>VLOOKUP(K1074, IMPOSTO!$A:$D, 4, 0)</f>
        <v>0.18</v>
      </c>
      <c r="Z1074" s="24">
        <f>VLOOKUP(L1074, IMPOSTO!$A:$D, 4, 0)</f>
        <v>0.12</v>
      </c>
      <c r="AA1074" s="24">
        <f>VLOOKUP(M1074, IMPOSTO!$A:$D, 4, 0)</f>
        <v>0.12</v>
      </c>
      <c r="AB1074" s="24">
        <f>VLOOKUP(N1074, IMPOSTO!$A:$D, 4, 0)</f>
        <v>7.0000000000000007E-2</v>
      </c>
      <c r="AC1074" s="25">
        <f t="shared" si="154"/>
        <v>30710.363177388655</v>
      </c>
      <c r="AD1074" s="25">
        <f t="shared" si="155"/>
        <v>30778.090450115928</v>
      </c>
      <c r="AE1074" s="25">
        <f t="shared" si="156"/>
        <v>29155.18236140002</v>
      </c>
      <c r="AF1074" s="25">
        <f t="shared" si="157"/>
        <v>32871.487312319528</v>
      </c>
      <c r="AG1074" s="25">
        <f t="shared" si="158"/>
        <v>30760.249541025019</v>
      </c>
      <c r="AH1074" s="25">
        <f t="shared" si="159"/>
        <v>30664.340450115928</v>
      </c>
      <c r="AI1074" s="25">
        <f t="shared" si="160"/>
        <v>29450.451178604319</v>
      </c>
    </row>
    <row r="1075" spans="1:35" ht="15.75" customHeight="1">
      <c r="A1075" s="12" t="s">
        <v>800</v>
      </c>
      <c r="B1075" s="12" t="s">
        <v>801</v>
      </c>
      <c r="C1075" s="12" t="s">
        <v>314</v>
      </c>
      <c r="D1075" s="12" t="s">
        <v>33</v>
      </c>
      <c r="E1075" s="12" t="s">
        <v>26</v>
      </c>
      <c r="F1075" s="13">
        <v>1181</v>
      </c>
      <c r="G1075" s="14">
        <v>13510.64</v>
      </c>
      <c r="H1075" s="24" t="str">
        <f t="shared" si="153"/>
        <v>SCSP</v>
      </c>
      <c r="I1075" s="24" t="str">
        <f t="shared" si="161"/>
        <v>SCMG</v>
      </c>
      <c r="J1075" s="24" t="str">
        <f t="shared" si="161"/>
        <v>SCES</v>
      </c>
      <c r="K1075" s="24" t="str">
        <f t="shared" si="161"/>
        <v>SCSC</v>
      </c>
      <c r="L1075" s="24" t="str">
        <f t="shared" si="161"/>
        <v>SCRJ</v>
      </c>
      <c r="M1075" s="24" t="str">
        <f t="shared" si="161"/>
        <v>SCPR</v>
      </c>
      <c r="N1075" s="24" t="str">
        <f t="shared" si="161"/>
        <v>SCAM</v>
      </c>
      <c r="O1075" s="24">
        <f>VLOOKUP(H1075, KM!$A:$E, 5, 0)</f>
        <v>705</v>
      </c>
      <c r="P1075" s="24">
        <f>VLOOKUP(I1075, KM!$A:$E, 5, 0)</f>
        <v>1301</v>
      </c>
      <c r="Q1075" s="24">
        <f>VLOOKUP(J1075, KM!$A:$E, 5, 0)</f>
        <v>1597</v>
      </c>
      <c r="R1075" s="24">
        <f>VLOOKUP(K1075, KM!$A:$E, 5, 0)</f>
        <v>0</v>
      </c>
      <c r="S1075" s="24">
        <f>VLOOKUP(L1075, KM!$A:$E, 5, 0)</f>
        <v>1144</v>
      </c>
      <c r="T1075" s="24">
        <f>VLOOKUP(M1075, KM!$A:$E, 5, 0)</f>
        <v>300</v>
      </c>
      <c r="U1075" s="24">
        <f>VLOOKUP(N1075, KM!$A:$E, 5, 0)</f>
        <v>4343</v>
      </c>
      <c r="V1075" s="24">
        <f>VLOOKUP(H1075, IMPOSTO!$A:$D, 4, 0)</f>
        <v>0.12</v>
      </c>
      <c r="W1075" s="24">
        <f>VLOOKUP(I1075, IMPOSTO!$A:$D, 4, 0)</f>
        <v>0.12</v>
      </c>
      <c r="X1075" s="24">
        <f>VLOOKUP(J1075, IMPOSTO!$A:$D, 4, 0)</f>
        <v>7.0000000000000007E-2</v>
      </c>
      <c r="Y1075" s="24">
        <f>VLOOKUP(K1075, IMPOSTO!$A:$D, 4, 0)</f>
        <v>0.18</v>
      </c>
      <c r="Z1075" s="24">
        <f>VLOOKUP(L1075, IMPOSTO!$A:$D, 4, 0)</f>
        <v>0.12</v>
      </c>
      <c r="AA1075" s="24">
        <f>VLOOKUP(M1075, IMPOSTO!$A:$D, 4, 0)</f>
        <v>0.12</v>
      </c>
      <c r="AB1075" s="24">
        <f>VLOOKUP(N1075, IMPOSTO!$A:$D, 4, 0)</f>
        <v>7.0000000000000007E-2</v>
      </c>
      <c r="AC1075" s="25">
        <f t="shared" si="154"/>
        <v>15433.113636363636</v>
      </c>
      <c r="AD1075" s="25">
        <f t="shared" si="155"/>
        <v>15500.840909090908</v>
      </c>
      <c r="AE1075" s="25">
        <f t="shared" si="156"/>
        <v>14699.290322580646</v>
      </c>
      <c r="AF1075" s="25">
        <f t="shared" si="157"/>
        <v>16476.390243902439</v>
      </c>
      <c r="AG1075" s="25">
        <f t="shared" si="158"/>
        <v>15482.999999999998</v>
      </c>
      <c r="AH1075" s="25">
        <f t="shared" si="159"/>
        <v>15387.090909090908</v>
      </c>
      <c r="AI1075" s="25">
        <f t="shared" si="160"/>
        <v>14994.559139784946</v>
      </c>
    </row>
    <row r="1076" spans="1:35" ht="15.75" customHeight="1">
      <c r="A1076" s="12" t="s">
        <v>796</v>
      </c>
      <c r="B1076" s="12" t="s">
        <v>797</v>
      </c>
      <c r="C1076" s="12" t="s">
        <v>192</v>
      </c>
      <c r="D1076" s="12" t="s">
        <v>33</v>
      </c>
      <c r="E1076" s="12" t="s">
        <v>26</v>
      </c>
      <c r="F1076" s="13">
        <v>8.2863082039911301E-2</v>
      </c>
      <c r="G1076" s="14">
        <v>8.7059069643015512</v>
      </c>
      <c r="H1076" s="24" t="str">
        <f t="shared" si="153"/>
        <v>SCSP</v>
      </c>
      <c r="I1076" s="24" t="str">
        <f t="shared" si="161"/>
        <v>SCMG</v>
      </c>
      <c r="J1076" s="24" t="str">
        <f t="shared" si="161"/>
        <v>SCES</v>
      </c>
      <c r="K1076" s="24" t="str">
        <f t="shared" si="161"/>
        <v>SCSC</v>
      </c>
      <c r="L1076" s="24" t="str">
        <f t="shared" si="161"/>
        <v>SCRJ</v>
      </c>
      <c r="M1076" s="24" t="str">
        <f t="shared" si="161"/>
        <v>SCPR</v>
      </c>
      <c r="N1076" s="24" t="str">
        <f t="shared" si="161"/>
        <v>SCAM</v>
      </c>
      <c r="O1076" s="24">
        <f>VLOOKUP(H1076, KM!$A:$E, 5, 0)</f>
        <v>705</v>
      </c>
      <c r="P1076" s="24">
        <f>VLOOKUP(I1076, KM!$A:$E, 5, 0)</f>
        <v>1301</v>
      </c>
      <c r="Q1076" s="24">
        <f>VLOOKUP(J1076, KM!$A:$E, 5, 0)</f>
        <v>1597</v>
      </c>
      <c r="R1076" s="24">
        <f>VLOOKUP(K1076, KM!$A:$E, 5, 0)</f>
        <v>0</v>
      </c>
      <c r="S1076" s="24">
        <f>VLOOKUP(L1076, KM!$A:$E, 5, 0)</f>
        <v>1144</v>
      </c>
      <c r="T1076" s="24">
        <f>VLOOKUP(M1076, KM!$A:$E, 5, 0)</f>
        <v>300</v>
      </c>
      <c r="U1076" s="24">
        <f>VLOOKUP(N1076, KM!$A:$E, 5, 0)</f>
        <v>4343</v>
      </c>
      <c r="V1076" s="24">
        <f>VLOOKUP(H1076, IMPOSTO!$A:$D, 4, 0)</f>
        <v>0.12</v>
      </c>
      <c r="W1076" s="24">
        <f>VLOOKUP(I1076, IMPOSTO!$A:$D, 4, 0)</f>
        <v>0.12</v>
      </c>
      <c r="X1076" s="24">
        <f>VLOOKUP(J1076, IMPOSTO!$A:$D, 4, 0)</f>
        <v>7.0000000000000007E-2</v>
      </c>
      <c r="Y1076" s="24">
        <f>VLOOKUP(K1076, IMPOSTO!$A:$D, 4, 0)</f>
        <v>0.18</v>
      </c>
      <c r="Z1076" s="24">
        <f>VLOOKUP(L1076, IMPOSTO!$A:$D, 4, 0)</f>
        <v>0.12</v>
      </c>
      <c r="AA1076" s="24">
        <f>VLOOKUP(M1076, IMPOSTO!$A:$D, 4, 0)</f>
        <v>0.12</v>
      </c>
      <c r="AB1076" s="24">
        <f>VLOOKUP(N1076, IMPOSTO!$A:$D, 4, 0)</f>
        <v>7.0000000000000007E-2</v>
      </c>
      <c r="AC1076" s="25">
        <f t="shared" si="154"/>
        <v>90.006712459433572</v>
      </c>
      <c r="AD1076" s="25">
        <f t="shared" si="155"/>
        <v>157.73398518670632</v>
      </c>
      <c r="AE1076" s="25">
        <f t="shared" si="156"/>
        <v>181.08162039172214</v>
      </c>
      <c r="AF1076" s="25">
        <f t="shared" si="157"/>
        <v>10.616959712562867</v>
      </c>
      <c r="AG1076" s="25">
        <f t="shared" si="158"/>
        <v>139.89307609579723</v>
      </c>
      <c r="AH1076" s="25">
        <f t="shared" si="159"/>
        <v>43.983985186706306</v>
      </c>
      <c r="AI1076" s="25">
        <f t="shared" si="160"/>
        <v>476.35043759602326</v>
      </c>
    </row>
    <row r="1077" spans="1:35" ht="15.75" customHeight="1">
      <c r="A1077" s="12" t="s">
        <v>798</v>
      </c>
      <c r="B1077" s="12" t="s">
        <v>799</v>
      </c>
      <c r="C1077" s="12" t="s">
        <v>192</v>
      </c>
      <c r="D1077" s="12" t="s">
        <v>33</v>
      </c>
      <c r="E1077" s="12" t="s">
        <v>26</v>
      </c>
      <c r="F1077" s="13">
        <v>2.1918000000000006</v>
      </c>
      <c r="G1077" s="14">
        <v>6.1498105398361878</v>
      </c>
      <c r="H1077" s="24" t="str">
        <f t="shared" si="153"/>
        <v>SCSP</v>
      </c>
      <c r="I1077" s="24" t="str">
        <f t="shared" si="161"/>
        <v>SCMG</v>
      </c>
      <c r="J1077" s="24" t="str">
        <f t="shared" si="161"/>
        <v>SCES</v>
      </c>
      <c r="K1077" s="24" t="str">
        <f t="shared" si="161"/>
        <v>SCSC</v>
      </c>
      <c r="L1077" s="24" t="str">
        <f t="shared" si="161"/>
        <v>SCRJ</v>
      </c>
      <c r="M1077" s="24" t="str">
        <f t="shared" si="161"/>
        <v>SCPR</v>
      </c>
      <c r="N1077" s="24" t="str">
        <f t="shared" si="161"/>
        <v>SCAM</v>
      </c>
      <c r="O1077" s="24">
        <f>VLOOKUP(H1077, KM!$A:$E, 5, 0)</f>
        <v>705</v>
      </c>
      <c r="P1077" s="24">
        <f>VLOOKUP(I1077, KM!$A:$E, 5, 0)</f>
        <v>1301</v>
      </c>
      <c r="Q1077" s="24">
        <f>VLOOKUP(J1077, KM!$A:$E, 5, 0)</f>
        <v>1597</v>
      </c>
      <c r="R1077" s="24">
        <f>VLOOKUP(K1077, KM!$A:$E, 5, 0)</f>
        <v>0</v>
      </c>
      <c r="S1077" s="24">
        <f>VLOOKUP(L1077, KM!$A:$E, 5, 0)</f>
        <v>1144</v>
      </c>
      <c r="T1077" s="24">
        <f>VLOOKUP(M1077, KM!$A:$E, 5, 0)</f>
        <v>300</v>
      </c>
      <c r="U1077" s="24">
        <f>VLOOKUP(N1077, KM!$A:$E, 5, 0)</f>
        <v>4343</v>
      </c>
      <c r="V1077" s="24">
        <f>VLOOKUP(H1077, IMPOSTO!$A:$D, 4, 0)</f>
        <v>0.12</v>
      </c>
      <c r="W1077" s="24">
        <f>VLOOKUP(I1077, IMPOSTO!$A:$D, 4, 0)</f>
        <v>0.12</v>
      </c>
      <c r="X1077" s="24">
        <f>VLOOKUP(J1077, IMPOSTO!$A:$D, 4, 0)</f>
        <v>7.0000000000000007E-2</v>
      </c>
      <c r="Y1077" s="24">
        <f>VLOOKUP(K1077, IMPOSTO!$A:$D, 4, 0)</f>
        <v>0.18</v>
      </c>
      <c r="Z1077" s="24">
        <f>VLOOKUP(L1077, IMPOSTO!$A:$D, 4, 0)</f>
        <v>0.12</v>
      </c>
      <c r="AA1077" s="24">
        <f>VLOOKUP(M1077, IMPOSTO!$A:$D, 4, 0)</f>
        <v>0.12</v>
      </c>
      <c r="AB1077" s="24">
        <f>VLOOKUP(N1077, IMPOSTO!$A:$D, 4, 0)</f>
        <v>7.0000000000000007E-2</v>
      </c>
      <c r="AC1077" s="25">
        <f t="shared" si="154"/>
        <v>87.102057431632019</v>
      </c>
      <c r="AD1077" s="25">
        <f t="shared" si="155"/>
        <v>154.82933015890475</v>
      </c>
      <c r="AE1077" s="25">
        <f t="shared" si="156"/>
        <v>178.33312961272711</v>
      </c>
      <c r="AF1077" s="25">
        <f t="shared" si="157"/>
        <v>7.4997689510197407</v>
      </c>
      <c r="AG1077" s="25">
        <f t="shared" si="158"/>
        <v>136.98842106799566</v>
      </c>
      <c r="AH1077" s="25">
        <f t="shared" si="159"/>
        <v>41.07933015890476</v>
      </c>
      <c r="AI1077" s="25">
        <f t="shared" si="160"/>
        <v>473.60194681702825</v>
      </c>
    </row>
    <row r="1078" spans="1:35" ht="15.75" customHeight="1">
      <c r="A1078" s="12" t="s">
        <v>90</v>
      </c>
      <c r="B1078" s="12" t="s">
        <v>91</v>
      </c>
      <c r="C1078" s="12" t="s">
        <v>63</v>
      </c>
      <c r="D1078" s="12" t="s">
        <v>33</v>
      </c>
      <c r="E1078" s="12" t="s">
        <v>26</v>
      </c>
      <c r="F1078" s="13">
        <v>903.08215530337611</v>
      </c>
      <c r="G1078" s="14">
        <v>23510.487473272995</v>
      </c>
      <c r="H1078" s="24" t="str">
        <f t="shared" si="153"/>
        <v>SCSP</v>
      </c>
      <c r="I1078" s="24" t="str">
        <f t="shared" si="161"/>
        <v>SCMG</v>
      </c>
      <c r="J1078" s="24" t="str">
        <f t="shared" si="161"/>
        <v>SCES</v>
      </c>
      <c r="K1078" s="24" t="str">
        <f t="shared" si="161"/>
        <v>SCSC</v>
      </c>
      <c r="L1078" s="24" t="str">
        <f t="shared" si="161"/>
        <v>SCRJ</v>
      </c>
      <c r="M1078" s="24" t="str">
        <f t="shared" si="161"/>
        <v>SCPR</v>
      </c>
      <c r="N1078" s="24" t="str">
        <f t="shared" si="161"/>
        <v>SCAM</v>
      </c>
      <c r="O1078" s="24">
        <f>VLOOKUP(H1078, KM!$A:$E, 5, 0)</f>
        <v>705</v>
      </c>
      <c r="P1078" s="24">
        <f>VLOOKUP(I1078, KM!$A:$E, 5, 0)</f>
        <v>1301</v>
      </c>
      <c r="Q1078" s="24">
        <f>VLOOKUP(J1078, KM!$A:$E, 5, 0)</f>
        <v>1597</v>
      </c>
      <c r="R1078" s="24">
        <f>VLOOKUP(K1078, KM!$A:$E, 5, 0)</f>
        <v>0</v>
      </c>
      <c r="S1078" s="24">
        <f>VLOOKUP(L1078, KM!$A:$E, 5, 0)</f>
        <v>1144</v>
      </c>
      <c r="T1078" s="24">
        <f>VLOOKUP(M1078, KM!$A:$E, 5, 0)</f>
        <v>300</v>
      </c>
      <c r="U1078" s="24">
        <f>VLOOKUP(N1078, KM!$A:$E, 5, 0)</f>
        <v>4343</v>
      </c>
      <c r="V1078" s="24">
        <f>VLOOKUP(H1078, IMPOSTO!$A:$D, 4, 0)</f>
        <v>0.12</v>
      </c>
      <c r="W1078" s="24">
        <f>VLOOKUP(I1078, IMPOSTO!$A:$D, 4, 0)</f>
        <v>0.12</v>
      </c>
      <c r="X1078" s="24">
        <f>VLOOKUP(J1078, IMPOSTO!$A:$D, 4, 0)</f>
        <v>7.0000000000000007E-2</v>
      </c>
      <c r="Y1078" s="24">
        <f>VLOOKUP(K1078, IMPOSTO!$A:$D, 4, 0)</f>
        <v>0.18</v>
      </c>
      <c r="Z1078" s="24">
        <f>VLOOKUP(L1078, IMPOSTO!$A:$D, 4, 0)</f>
        <v>0.12</v>
      </c>
      <c r="AA1078" s="24">
        <f>VLOOKUP(M1078, IMPOSTO!$A:$D, 4, 0)</f>
        <v>0.12</v>
      </c>
      <c r="AB1078" s="24">
        <f>VLOOKUP(N1078, IMPOSTO!$A:$D, 4, 0)</f>
        <v>7.0000000000000007E-2</v>
      </c>
      <c r="AC1078" s="25">
        <f t="shared" si="154"/>
        <v>26796.576674173859</v>
      </c>
      <c r="AD1078" s="25">
        <f t="shared" si="155"/>
        <v>26864.303946901127</v>
      </c>
      <c r="AE1078" s="25">
        <f t="shared" si="156"/>
        <v>25451.814487390318</v>
      </c>
      <c r="AF1078" s="25">
        <f t="shared" si="157"/>
        <v>28671.326186918286</v>
      </c>
      <c r="AG1078" s="25">
        <f t="shared" si="158"/>
        <v>26846.463037810223</v>
      </c>
      <c r="AH1078" s="25">
        <f t="shared" si="159"/>
        <v>26750.553946901131</v>
      </c>
      <c r="AI1078" s="25">
        <f t="shared" si="160"/>
        <v>25747.08330459462</v>
      </c>
    </row>
    <row r="1079" spans="1:35" ht="15.75" customHeight="1">
      <c r="A1079" s="12" t="s">
        <v>560</v>
      </c>
      <c r="B1079" s="12" t="s">
        <v>561</v>
      </c>
      <c r="C1079" s="12" t="s">
        <v>192</v>
      </c>
      <c r="D1079" s="12" t="s">
        <v>33</v>
      </c>
      <c r="E1079" s="12" t="s">
        <v>26</v>
      </c>
      <c r="F1079" s="13">
        <v>3.2132075471698114E-2</v>
      </c>
      <c r="G1079" s="14">
        <v>1.4723945207547169</v>
      </c>
      <c r="H1079" s="24" t="str">
        <f t="shared" si="153"/>
        <v>SCSP</v>
      </c>
      <c r="I1079" s="24" t="str">
        <f t="shared" si="161"/>
        <v>SCMG</v>
      </c>
      <c r="J1079" s="24" t="str">
        <f t="shared" si="161"/>
        <v>SCES</v>
      </c>
      <c r="K1079" s="24" t="str">
        <f t="shared" si="161"/>
        <v>SCSC</v>
      </c>
      <c r="L1079" s="24" t="str">
        <f t="shared" si="161"/>
        <v>SCRJ</v>
      </c>
      <c r="M1079" s="24" t="str">
        <f t="shared" si="161"/>
        <v>SCPR</v>
      </c>
      <c r="N1079" s="24" t="str">
        <f t="shared" si="161"/>
        <v>SCAM</v>
      </c>
      <c r="O1079" s="24">
        <f>VLOOKUP(H1079, KM!$A:$E, 5, 0)</f>
        <v>705</v>
      </c>
      <c r="P1079" s="24">
        <f>VLOOKUP(I1079, KM!$A:$E, 5, 0)</f>
        <v>1301</v>
      </c>
      <c r="Q1079" s="24">
        <f>VLOOKUP(J1079, KM!$A:$E, 5, 0)</f>
        <v>1597</v>
      </c>
      <c r="R1079" s="24">
        <f>VLOOKUP(K1079, KM!$A:$E, 5, 0)</f>
        <v>0</v>
      </c>
      <c r="S1079" s="24">
        <f>VLOOKUP(L1079, KM!$A:$E, 5, 0)</f>
        <v>1144</v>
      </c>
      <c r="T1079" s="24">
        <f>VLOOKUP(M1079, KM!$A:$E, 5, 0)</f>
        <v>300</v>
      </c>
      <c r="U1079" s="24">
        <f>VLOOKUP(N1079, KM!$A:$E, 5, 0)</f>
        <v>4343</v>
      </c>
      <c r="V1079" s="24">
        <f>VLOOKUP(H1079, IMPOSTO!$A:$D, 4, 0)</f>
        <v>0.12</v>
      </c>
      <c r="W1079" s="24">
        <f>VLOOKUP(I1079, IMPOSTO!$A:$D, 4, 0)</f>
        <v>0.12</v>
      </c>
      <c r="X1079" s="24">
        <f>VLOOKUP(J1079, IMPOSTO!$A:$D, 4, 0)</f>
        <v>7.0000000000000007E-2</v>
      </c>
      <c r="Y1079" s="24">
        <f>VLOOKUP(K1079, IMPOSTO!$A:$D, 4, 0)</f>
        <v>0.18</v>
      </c>
      <c r="Z1079" s="24">
        <f>VLOOKUP(L1079, IMPOSTO!$A:$D, 4, 0)</f>
        <v>0.12</v>
      </c>
      <c r="AA1079" s="24">
        <f>VLOOKUP(M1079, IMPOSTO!$A:$D, 4, 0)</f>
        <v>0.12</v>
      </c>
      <c r="AB1079" s="24">
        <f>VLOOKUP(N1079, IMPOSTO!$A:$D, 4, 0)</f>
        <v>7.0000000000000007E-2</v>
      </c>
      <c r="AC1079" s="25">
        <f t="shared" si="154"/>
        <v>81.786811955403095</v>
      </c>
      <c r="AD1079" s="25">
        <f t="shared" si="155"/>
        <v>149.51408468267579</v>
      </c>
      <c r="AE1079" s="25">
        <f t="shared" si="156"/>
        <v>173.30365002231693</v>
      </c>
      <c r="AF1079" s="25">
        <f t="shared" si="157"/>
        <v>1.795603074091118</v>
      </c>
      <c r="AG1079" s="25">
        <f t="shared" si="158"/>
        <v>131.67317559176672</v>
      </c>
      <c r="AH1079" s="25">
        <f t="shared" si="159"/>
        <v>35.764084682675815</v>
      </c>
      <c r="AI1079" s="25">
        <f t="shared" si="160"/>
        <v>468.57246722661802</v>
      </c>
    </row>
    <row r="1080" spans="1:35" ht="15.75" customHeight="1">
      <c r="A1080" s="12" t="s">
        <v>802</v>
      </c>
      <c r="B1080" s="12" t="s">
        <v>803</v>
      </c>
      <c r="C1080" s="12" t="s">
        <v>192</v>
      </c>
      <c r="D1080" s="12" t="s">
        <v>33</v>
      </c>
      <c r="E1080" s="12" t="s">
        <v>26</v>
      </c>
      <c r="F1080" s="13">
        <v>22041.999999999996</v>
      </c>
      <c r="G1080" s="14">
        <v>16105.658694252874</v>
      </c>
      <c r="H1080" s="24" t="str">
        <f t="shared" si="153"/>
        <v>SCSP</v>
      </c>
      <c r="I1080" s="24" t="str">
        <f t="shared" si="161"/>
        <v>SCMG</v>
      </c>
      <c r="J1080" s="24" t="str">
        <f t="shared" si="161"/>
        <v>SCES</v>
      </c>
      <c r="K1080" s="24" t="str">
        <f t="shared" si="161"/>
        <v>SCSC</v>
      </c>
      <c r="L1080" s="24" t="str">
        <f t="shared" si="161"/>
        <v>SCRJ</v>
      </c>
      <c r="M1080" s="24" t="str">
        <f t="shared" si="161"/>
        <v>SCPR</v>
      </c>
      <c r="N1080" s="24" t="str">
        <f t="shared" si="161"/>
        <v>SCAM</v>
      </c>
      <c r="O1080" s="24">
        <f>VLOOKUP(H1080, KM!$A:$E, 5, 0)</f>
        <v>705</v>
      </c>
      <c r="P1080" s="24">
        <f>VLOOKUP(I1080, KM!$A:$E, 5, 0)</f>
        <v>1301</v>
      </c>
      <c r="Q1080" s="24">
        <f>VLOOKUP(J1080, KM!$A:$E, 5, 0)</f>
        <v>1597</v>
      </c>
      <c r="R1080" s="24">
        <f>VLOOKUP(K1080, KM!$A:$E, 5, 0)</f>
        <v>0</v>
      </c>
      <c r="S1080" s="24">
        <f>VLOOKUP(L1080, KM!$A:$E, 5, 0)</f>
        <v>1144</v>
      </c>
      <c r="T1080" s="24">
        <f>VLOOKUP(M1080, KM!$A:$E, 5, 0)</f>
        <v>300</v>
      </c>
      <c r="U1080" s="24">
        <f>VLOOKUP(N1080, KM!$A:$E, 5, 0)</f>
        <v>4343</v>
      </c>
      <c r="V1080" s="24">
        <f>VLOOKUP(H1080, IMPOSTO!$A:$D, 4, 0)</f>
        <v>0.12</v>
      </c>
      <c r="W1080" s="24">
        <f>VLOOKUP(I1080, IMPOSTO!$A:$D, 4, 0)</f>
        <v>0.12</v>
      </c>
      <c r="X1080" s="24">
        <f>VLOOKUP(J1080, IMPOSTO!$A:$D, 4, 0)</f>
        <v>7.0000000000000007E-2</v>
      </c>
      <c r="Y1080" s="24">
        <f>VLOOKUP(K1080, IMPOSTO!$A:$D, 4, 0)</f>
        <v>0.18</v>
      </c>
      <c r="Z1080" s="24">
        <f>VLOOKUP(L1080, IMPOSTO!$A:$D, 4, 0)</f>
        <v>0.12</v>
      </c>
      <c r="AA1080" s="24">
        <f>VLOOKUP(M1080, IMPOSTO!$A:$D, 4, 0)</f>
        <v>0.12</v>
      </c>
      <c r="AB1080" s="24">
        <f>VLOOKUP(N1080, IMPOSTO!$A:$D, 4, 0)</f>
        <v>7.0000000000000007E-2</v>
      </c>
      <c r="AC1080" s="25">
        <f t="shared" si="154"/>
        <v>18381.998516196447</v>
      </c>
      <c r="AD1080" s="25">
        <f t="shared" si="155"/>
        <v>18449.725788923719</v>
      </c>
      <c r="AE1080" s="25">
        <f t="shared" si="156"/>
        <v>17489.633004572985</v>
      </c>
      <c r="AF1080" s="25">
        <f t="shared" si="157"/>
        <v>19641.047188113258</v>
      </c>
      <c r="AG1080" s="25">
        <f t="shared" si="158"/>
        <v>18431.884879832811</v>
      </c>
      <c r="AH1080" s="25">
        <f t="shared" si="159"/>
        <v>18335.975788923719</v>
      </c>
      <c r="AI1080" s="25">
        <f t="shared" si="160"/>
        <v>17784.901821777283</v>
      </c>
    </row>
    <row r="1081" spans="1:35" ht="15.75" customHeight="1">
      <c r="A1081" s="12" t="s">
        <v>804</v>
      </c>
      <c r="B1081" s="12" t="s">
        <v>805</v>
      </c>
      <c r="C1081" s="12" t="s">
        <v>63</v>
      </c>
      <c r="D1081" s="12" t="s">
        <v>33</v>
      </c>
      <c r="E1081" s="12" t="s">
        <v>26</v>
      </c>
      <c r="F1081" s="13">
        <v>50</v>
      </c>
      <c r="G1081" s="14">
        <v>12794.88</v>
      </c>
      <c r="H1081" s="24" t="str">
        <f t="shared" si="153"/>
        <v>SCSP</v>
      </c>
      <c r="I1081" s="24" t="str">
        <f t="shared" si="161"/>
        <v>SCMG</v>
      </c>
      <c r="J1081" s="24" t="str">
        <f t="shared" si="161"/>
        <v>SCES</v>
      </c>
      <c r="K1081" s="24" t="str">
        <f t="shared" si="161"/>
        <v>SCSC</v>
      </c>
      <c r="L1081" s="24" t="str">
        <f t="shared" si="161"/>
        <v>SCRJ</v>
      </c>
      <c r="M1081" s="24" t="str">
        <f t="shared" si="161"/>
        <v>SCPR</v>
      </c>
      <c r="N1081" s="24" t="str">
        <f t="shared" si="161"/>
        <v>SCAM</v>
      </c>
      <c r="O1081" s="24">
        <f>VLOOKUP(H1081, KM!$A:$E, 5, 0)</f>
        <v>705</v>
      </c>
      <c r="P1081" s="24">
        <f>VLOOKUP(I1081, KM!$A:$E, 5, 0)</f>
        <v>1301</v>
      </c>
      <c r="Q1081" s="24">
        <f>VLOOKUP(J1081, KM!$A:$E, 5, 0)</f>
        <v>1597</v>
      </c>
      <c r="R1081" s="24">
        <f>VLOOKUP(K1081, KM!$A:$E, 5, 0)</f>
        <v>0</v>
      </c>
      <c r="S1081" s="24">
        <f>VLOOKUP(L1081, KM!$A:$E, 5, 0)</f>
        <v>1144</v>
      </c>
      <c r="T1081" s="24">
        <f>VLOOKUP(M1081, KM!$A:$E, 5, 0)</f>
        <v>300</v>
      </c>
      <c r="U1081" s="24">
        <f>VLOOKUP(N1081, KM!$A:$E, 5, 0)</f>
        <v>4343</v>
      </c>
      <c r="V1081" s="24">
        <f>VLOOKUP(H1081, IMPOSTO!$A:$D, 4, 0)</f>
        <v>0.12</v>
      </c>
      <c r="W1081" s="24">
        <f>VLOOKUP(I1081, IMPOSTO!$A:$D, 4, 0)</f>
        <v>0.12</v>
      </c>
      <c r="X1081" s="24">
        <f>VLOOKUP(J1081, IMPOSTO!$A:$D, 4, 0)</f>
        <v>7.0000000000000007E-2</v>
      </c>
      <c r="Y1081" s="24">
        <f>VLOOKUP(K1081, IMPOSTO!$A:$D, 4, 0)</f>
        <v>0.18</v>
      </c>
      <c r="Z1081" s="24">
        <f>VLOOKUP(L1081, IMPOSTO!$A:$D, 4, 0)</f>
        <v>0.12</v>
      </c>
      <c r="AA1081" s="24">
        <f>VLOOKUP(M1081, IMPOSTO!$A:$D, 4, 0)</f>
        <v>0.12</v>
      </c>
      <c r="AB1081" s="24">
        <f>VLOOKUP(N1081, IMPOSTO!$A:$D, 4, 0)</f>
        <v>7.0000000000000007E-2</v>
      </c>
      <c r="AC1081" s="25">
        <f t="shared" si="154"/>
        <v>14619.749999999998</v>
      </c>
      <c r="AD1081" s="25">
        <f t="shared" si="155"/>
        <v>14687.477272727272</v>
      </c>
      <c r="AE1081" s="25">
        <f t="shared" si="156"/>
        <v>13929.655913978495</v>
      </c>
      <c r="AF1081" s="25">
        <f t="shared" si="157"/>
        <v>15603.51219512195</v>
      </c>
      <c r="AG1081" s="25">
        <f t="shared" si="158"/>
        <v>14669.636363636362</v>
      </c>
      <c r="AH1081" s="25">
        <f t="shared" si="159"/>
        <v>14573.727272727272</v>
      </c>
      <c r="AI1081" s="25">
        <f t="shared" si="160"/>
        <v>14224.924731182795</v>
      </c>
    </row>
    <row r="1082" spans="1:35" ht="15.75" customHeight="1">
      <c r="A1082" s="12" t="s">
        <v>90</v>
      </c>
      <c r="B1082" s="12" t="s">
        <v>91</v>
      </c>
      <c r="C1082" s="12" t="s">
        <v>63</v>
      </c>
      <c r="D1082" s="12" t="s">
        <v>33</v>
      </c>
      <c r="E1082" s="12" t="s">
        <v>26</v>
      </c>
      <c r="F1082" s="13">
        <v>0.99448430356763828</v>
      </c>
      <c r="G1082" s="14">
        <v>25.890015237361389</v>
      </c>
      <c r="H1082" s="24" t="str">
        <f t="shared" si="153"/>
        <v>SCSP</v>
      </c>
      <c r="I1082" s="24" t="str">
        <f t="shared" si="161"/>
        <v>SCMG</v>
      </c>
      <c r="J1082" s="24" t="str">
        <f t="shared" si="161"/>
        <v>SCES</v>
      </c>
      <c r="K1082" s="24" t="str">
        <f t="shared" si="161"/>
        <v>SCSC</v>
      </c>
      <c r="L1082" s="24" t="str">
        <f t="shared" si="161"/>
        <v>SCRJ</v>
      </c>
      <c r="M1082" s="24" t="str">
        <f t="shared" si="161"/>
        <v>SCPR</v>
      </c>
      <c r="N1082" s="24" t="str">
        <f t="shared" si="161"/>
        <v>SCAM</v>
      </c>
      <c r="O1082" s="24">
        <f>VLOOKUP(H1082, KM!$A:$E, 5, 0)</f>
        <v>705</v>
      </c>
      <c r="P1082" s="24">
        <f>VLOOKUP(I1082, KM!$A:$E, 5, 0)</f>
        <v>1301</v>
      </c>
      <c r="Q1082" s="24">
        <f>VLOOKUP(J1082, KM!$A:$E, 5, 0)</f>
        <v>1597</v>
      </c>
      <c r="R1082" s="24">
        <f>VLOOKUP(K1082, KM!$A:$E, 5, 0)</f>
        <v>0</v>
      </c>
      <c r="S1082" s="24">
        <f>VLOOKUP(L1082, KM!$A:$E, 5, 0)</f>
        <v>1144</v>
      </c>
      <c r="T1082" s="24">
        <f>VLOOKUP(M1082, KM!$A:$E, 5, 0)</f>
        <v>300</v>
      </c>
      <c r="U1082" s="24">
        <f>VLOOKUP(N1082, KM!$A:$E, 5, 0)</f>
        <v>4343</v>
      </c>
      <c r="V1082" s="24">
        <f>VLOOKUP(H1082, IMPOSTO!$A:$D, 4, 0)</f>
        <v>0.12</v>
      </c>
      <c r="W1082" s="24">
        <f>VLOOKUP(I1082, IMPOSTO!$A:$D, 4, 0)</f>
        <v>0.12</v>
      </c>
      <c r="X1082" s="24">
        <f>VLOOKUP(J1082, IMPOSTO!$A:$D, 4, 0)</f>
        <v>7.0000000000000007E-2</v>
      </c>
      <c r="Y1082" s="24">
        <f>VLOOKUP(K1082, IMPOSTO!$A:$D, 4, 0)</f>
        <v>0.18</v>
      </c>
      <c r="Z1082" s="24">
        <f>VLOOKUP(L1082, IMPOSTO!$A:$D, 4, 0)</f>
        <v>0.12</v>
      </c>
      <c r="AA1082" s="24">
        <f>VLOOKUP(M1082, IMPOSTO!$A:$D, 4, 0)</f>
        <v>0.12</v>
      </c>
      <c r="AB1082" s="24">
        <f>VLOOKUP(N1082, IMPOSTO!$A:$D, 4, 0)</f>
        <v>7.0000000000000007E-2</v>
      </c>
      <c r="AC1082" s="25">
        <f t="shared" si="154"/>
        <v>109.53410822427429</v>
      </c>
      <c r="AD1082" s="25">
        <f t="shared" si="155"/>
        <v>177.26138095154701</v>
      </c>
      <c r="AE1082" s="25">
        <f t="shared" si="156"/>
        <v>199.55915616920581</v>
      </c>
      <c r="AF1082" s="25">
        <f t="shared" si="157"/>
        <v>31.573189313855352</v>
      </c>
      <c r="AG1082" s="25">
        <f t="shared" si="158"/>
        <v>159.42047186063795</v>
      </c>
      <c r="AH1082" s="25">
        <f t="shared" si="159"/>
        <v>63.511380951547032</v>
      </c>
      <c r="AI1082" s="25">
        <f t="shared" si="160"/>
        <v>494.82797337350695</v>
      </c>
    </row>
    <row r="1083" spans="1:35" ht="15.75" customHeight="1">
      <c r="A1083" s="12" t="s">
        <v>798</v>
      </c>
      <c r="B1083" s="12" t="s">
        <v>799</v>
      </c>
      <c r="C1083" s="12" t="s">
        <v>192</v>
      </c>
      <c r="D1083" s="12" t="s">
        <v>33</v>
      </c>
      <c r="E1083" s="12" t="s">
        <v>26</v>
      </c>
      <c r="F1083" s="13">
        <v>1350.1488000000002</v>
      </c>
      <c r="G1083" s="14">
        <v>3788.2832925390908</v>
      </c>
      <c r="H1083" s="24" t="str">
        <f t="shared" si="153"/>
        <v>SCSP</v>
      </c>
      <c r="I1083" s="24" t="str">
        <f t="shared" si="161"/>
        <v>SCMG</v>
      </c>
      <c r="J1083" s="24" t="str">
        <f t="shared" si="161"/>
        <v>SCES</v>
      </c>
      <c r="K1083" s="24" t="str">
        <f t="shared" si="161"/>
        <v>SCSC</v>
      </c>
      <c r="L1083" s="24" t="str">
        <f t="shared" si="161"/>
        <v>SCRJ</v>
      </c>
      <c r="M1083" s="24" t="str">
        <f t="shared" si="161"/>
        <v>SCPR</v>
      </c>
      <c r="N1083" s="24" t="str">
        <f t="shared" si="161"/>
        <v>SCAM</v>
      </c>
      <c r="O1083" s="24">
        <f>VLOOKUP(H1083, KM!$A:$E, 5, 0)</f>
        <v>705</v>
      </c>
      <c r="P1083" s="24">
        <f>VLOOKUP(I1083, KM!$A:$E, 5, 0)</f>
        <v>1301</v>
      </c>
      <c r="Q1083" s="24">
        <f>VLOOKUP(J1083, KM!$A:$E, 5, 0)</f>
        <v>1597</v>
      </c>
      <c r="R1083" s="24">
        <f>VLOOKUP(K1083, KM!$A:$E, 5, 0)</f>
        <v>0</v>
      </c>
      <c r="S1083" s="24">
        <f>VLOOKUP(L1083, KM!$A:$E, 5, 0)</f>
        <v>1144</v>
      </c>
      <c r="T1083" s="24">
        <f>VLOOKUP(M1083, KM!$A:$E, 5, 0)</f>
        <v>300</v>
      </c>
      <c r="U1083" s="24">
        <f>VLOOKUP(N1083, KM!$A:$E, 5, 0)</f>
        <v>4343</v>
      </c>
      <c r="V1083" s="24">
        <f>VLOOKUP(H1083, IMPOSTO!$A:$D, 4, 0)</f>
        <v>0.12</v>
      </c>
      <c r="W1083" s="24">
        <f>VLOOKUP(I1083, IMPOSTO!$A:$D, 4, 0)</f>
        <v>0.12</v>
      </c>
      <c r="X1083" s="24">
        <f>VLOOKUP(J1083, IMPOSTO!$A:$D, 4, 0)</f>
        <v>7.0000000000000007E-2</v>
      </c>
      <c r="Y1083" s="24">
        <f>VLOOKUP(K1083, IMPOSTO!$A:$D, 4, 0)</f>
        <v>0.18</v>
      </c>
      <c r="Z1083" s="24">
        <f>VLOOKUP(L1083, IMPOSTO!$A:$D, 4, 0)</f>
        <v>0.12</v>
      </c>
      <c r="AA1083" s="24">
        <f>VLOOKUP(M1083, IMPOSTO!$A:$D, 4, 0)</f>
        <v>0.12</v>
      </c>
      <c r="AB1083" s="24">
        <f>VLOOKUP(N1083, IMPOSTO!$A:$D, 4, 0)</f>
        <v>7.0000000000000007E-2</v>
      </c>
      <c r="AC1083" s="25">
        <f t="shared" si="154"/>
        <v>4384.9810142489669</v>
      </c>
      <c r="AD1083" s="25">
        <f t="shared" si="155"/>
        <v>4452.7082869762398</v>
      </c>
      <c r="AE1083" s="25">
        <f t="shared" si="156"/>
        <v>4245.1433253108507</v>
      </c>
      <c r="AF1083" s="25">
        <f t="shared" si="157"/>
        <v>4619.857673828159</v>
      </c>
      <c r="AG1083" s="25">
        <f t="shared" si="158"/>
        <v>4434.8673778853308</v>
      </c>
      <c r="AH1083" s="25">
        <f t="shared" si="159"/>
        <v>4338.9582869762398</v>
      </c>
      <c r="AI1083" s="25">
        <f t="shared" si="160"/>
        <v>4540.4121425151516</v>
      </c>
    </row>
    <row r="1084" spans="1:35" ht="15.75" customHeight="1">
      <c r="A1084" s="12" t="s">
        <v>692</v>
      </c>
      <c r="B1084" s="12" t="s">
        <v>693</v>
      </c>
      <c r="C1084" s="12" t="s">
        <v>662</v>
      </c>
      <c r="D1084" s="12" t="s">
        <v>33</v>
      </c>
      <c r="E1084" s="12" t="s">
        <v>23</v>
      </c>
      <c r="F1084" s="13">
        <v>721</v>
      </c>
      <c r="G1084" s="14">
        <v>4756.2687666666661</v>
      </c>
      <c r="H1084" s="24" t="str">
        <f t="shared" si="153"/>
        <v>SPSP</v>
      </c>
      <c r="I1084" s="24" t="str">
        <f t="shared" si="161"/>
        <v>SPMG</v>
      </c>
      <c r="J1084" s="24" t="str">
        <f t="shared" si="161"/>
        <v>SPES</v>
      </c>
      <c r="K1084" s="24" t="str">
        <f t="shared" si="161"/>
        <v>SPSC</v>
      </c>
      <c r="L1084" s="24" t="str">
        <f t="shared" si="161"/>
        <v>SPRJ</v>
      </c>
      <c r="M1084" s="24" t="str">
        <f t="shared" si="161"/>
        <v>SPPR</v>
      </c>
      <c r="N1084" s="24" t="str">
        <f t="shared" si="161"/>
        <v>SPAM</v>
      </c>
      <c r="O1084" s="24">
        <f>VLOOKUP(H1084, KM!$A:$E, 5, 0)</f>
        <v>0</v>
      </c>
      <c r="P1084" s="24">
        <f>VLOOKUP(I1084, KM!$A:$E, 5, 0)</f>
        <v>586</v>
      </c>
      <c r="Q1084" s="24">
        <f>VLOOKUP(J1084, KM!$A:$E, 5, 0)</f>
        <v>882</v>
      </c>
      <c r="R1084" s="24">
        <f>VLOOKUP(K1084, KM!$A:$E, 5, 0)</f>
        <v>705</v>
      </c>
      <c r="S1084" s="24">
        <f>VLOOKUP(L1084, KM!$A:$E, 5, 0)</f>
        <v>429</v>
      </c>
      <c r="T1084" s="24">
        <f>VLOOKUP(M1084, KM!$A:$E, 5, 0)</f>
        <v>408</v>
      </c>
      <c r="U1084" s="24">
        <f>VLOOKUP(N1084, KM!$A:$E, 5, 0)</f>
        <v>3971</v>
      </c>
      <c r="V1084" s="24">
        <f>VLOOKUP(H1084, IMPOSTO!$A:$D, 4, 0)</f>
        <v>0.18</v>
      </c>
      <c r="W1084" s="24">
        <f>VLOOKUP(I1084, IMPOSTO!$A:$D, 4, 0)</f>
        <v>0.12</v>
      </c>
      <c r="X1084" s="24">
        <f>VLOOKUP(J1084, IMPOSTO!$A:$D, 4, 0)</f>
        <v>7.0000000000000007E-2</v>
      </c>
      <c r="Y1084" s="24">
        <f>VLOOKUP(K1084, IMPOSTO!$A:$D, 4, 0)</f>
        <v>0.12</v>
      </c>
      <c r="Z1084" s="24">
        <f>VLOOKUP(L1084, IMPOSTO!$A:$D, 4, 0)</f>
        <v>0.12</v>
      </c>
      <c r="AA1084" s="24">
        <f>VLOOKUP(M1084, IMPOSTO!$A:$D, 4, 0)</f>
        <v>0.12</v>
      </c>
      <c r="AB1084" s="24">
        <f>VLOOKUP(N1084, IMPOSTO!$A:$D, 4, 0)</f>
        <v>7.0000000000000007E-2</v>
      </c>
      <c r="AC1084" s="25">
        <f t="shared" si="154"/>
        <v>5800.3277642276407</v>
      </c>
      <c r="AD1084" s="25">
        <f t="shared" si="155"/>
        <v>5471.4417803030301</v>
      </c>
      <c r="AE1084" s="25">
        <f t="shared" si="156"/>
        <v>5209.1062007168457</v>
      </c>
      <c r="AF1084" s="25">
        <f t="shared" si="157"/>
        <v>5484.9645075757571</v>
      </c>
      <c r="AG1084" s="25">
        <f t="shared" si="158"/>
        <v>5453.6008712121202</v>
      </c>
      <c r="AH1084" s="25">
        <f t="shared" si="159"/>
        <v>5451.2145075757571</v>
      </c>
      <c r="AI1084" s="25">
        <f t="shared" si="160"/>
        <v>5541.2567383512551</v>
      </c>
    </row>
    <row r="1085" spans="1:35" ht="15.75" customHeight="1">
      <c r="A1085" s="12" t="s">
        <v>806</v>
      </c>
      <c r="B1085" s="12" t="s">
        <v>807</v>
      </c>
      <c r="C1085" s="12" t="s">
        <v>116</v>
      </c>
      <c r="D1085" s="12" t="s">
        <v>50</v>
      </c>
      <c r="E1085" s="12" t="s">
        <v>23</v>
      </c>
      <c r="F1085" s="13">
        <v>4.3684210526315788</v>
      </c>
      <c r="G1085" s="14">
        <v>1143.6307894736842</v>
      </c>
      <c r="H1085" s="24" t="str">
        <f t="shared" si="153"/>
        <v>SPSP</v>
      </c>
      <c r="I1085" s="24" t="str">
        <f t="shared" si="161"/>
        <v>SPMG</v>
      </c>
      <c r="J1085" s="24" t="str">
        <f t="shared" si="161"/>
        <v>SPES</v>
      </c>
      <c r="K1085" s="24" t="str">
        <f t="shared" si="161"/>
        <v>SPSC</v>
      </c>
      <c r="L1085" s="24" t="str">
        <f t="shared" si="161"/>
        <v>SPRJ</v>
      </c>
      <c r="M1085" s="24" t="str">
        <f t="shared" si="161"/>
        <v>SPPR</v>
      </c>
      <c r="N1085" s="24" t="str">
        <f t="shared" si="161"/>
        <v>SPAM</v>
      </c>
      <c r="O1085" s="24">
        <f>VLOOKUP(H1085, KM!$A:$E, 5, 0)</f>
        <v>0</v>
      </c>
      <c r="P1085" s="24">
        <f>VLOOKUP(I1085, KM!$A:$E, 5, 0)</f>
        <v>586</v>
      </c>
      <c r="Q1085" s="24">
        <f>VLOOKUP(J1085, KM!$A:$E, 5, 0)</f>
        <v>882</v>
      </c>
      <c r="R1085" s="24">
        <f>VLOOKUP(K1085, KM!$A:$E, 5, 0)</f>
        <v>705</v>
      </c>
      <c r="S1085" s="24">
        <f>VLOOKUP(L1085, KM!$A:$E, 5, 0)</f>
        <v>429</v>
      </c>
      <c r="T1085" s="24">
        <f>VLOOKUP(M1085, KM!$A:$E, 5, 0)</f>
        <v>408</v>
      </c>
      <c r="U1085" s="24">
        <f>VLOOKUP(N1085, KM!$A:$E, 5, 0)</f>
        <v>3971</v>
      </c>
      <c r="V1085" s="24">
        <f>VLOOKUP(H1085, IMPOSTO!$A:$D, 4, 0)</f>
        <v>0.18</v>
      </c>
      <c r="W1085" s="24">
        <f>VLOOKUP(I1085, IMPOSTO!$A:$D, 4, 0)</f>
        <v>0.12</v>
      </c>
      <c r="X1085" s="24">
        <f>VLOOKUP(J1085, IMPOSTO!$A:$D, 4, 0)</f>
        <v>7.0000000000000007E-2</v>
      </c>
      <c r="Y1085" s="24">
        <f>VLOOKUP(K1085, IMPOSTO!$A:$D, 4, 0)</f>
        <v>0.12</v>
      </c>
      <c r="Z1085" s="24">
        <f>VLOOKUP(L1085, IMPOSTO!$A:$D, 4, 0)</f>
        <v>0.12</v>
      </c>
      <c r="AA1085" s="24">
        <f>VLOOKUP(M1085, IMPOSTO!$A:$D, 4, 0)</f>
        <v>0.12</v>
      </c>
      <c r="AB1085" s="24">
        <f>VLOOKUP(N1085, IMPOSTO!$A:$D, 4, 0)</f>
        <v>7.0000000000000007E-2</v>
      </c>
      <c r="AC1085" s="25">
        <f t="shared" si="154"/>
        <v>1394.6716944801026</v>
      </c>
      <c r="AD1085" s="25">
        <f t="shared" si="155"/>
        <v>1366.1713516746411</v>
      </c>
      <c r="AE1085" s="25">
        <f t="shared" si="156"/>
        <v>1324.5492359932089</v>
      </c>
      <c r="AF1085" s="25">
        <f t="shared" si="157"/>
        <v>1379.6940789473683</v>
      </c>
      <c r="AG1085" s="25">
        <f t="shared" si="158"/>
        <v>1348.3304425837321</v>
      </c>
      <c r="AH1085" s="25">
        <f t="shared" si="159"/>
        <v>1345.9440789473683</v>
      </c>
      <c r="AI1085" s="25">
        <f t="shared" si="160"/>
        <v>1656.6997736276176</v>
      </c>
    </row>
    <row r="1086" spans="1:35" ht="15.75" customHeight="1">
      <c r="A1086" s="12" t="s">
        <v>808</v>
      </c>
      <c r="B1086" s="12" t="s">
        <v>809</v>
      </c>
      <c r="C1086" s="12" t="s">
        <v>454</v>
      </c>
      <c r="D1086" s="12" t="s">
        <v>50</v>
      </c>
      <c r="E1086" s="12" t="s">
        <v>23</v>
      </c>
      <c r="F1086" s="13">
        <v>918.92864030858243</v>
      </c>
      <c r="G1086" s="14">
        <v>186256.81249758918</v>
      </c>
      <c r="H1086" s="24" t="str">
        <f t="shared" si="153"/>
        <v>SPSP</v>
      </c>
      <c r="I1086" s="24" t="str">
        <f t="shared" si="161"/>
        <v>SPMG</v>
      </c>
      <c r="J1086" s="24" t="str">
        <f t="shared" si="161"/>
        <v>SPES</v>
      </c>
      <c r="K1086" s="24" t="str">
        <f t="shared" si="161"/>
        <v>SPSC</v>
      </c>
      <c r="L1086" s="24" t="str">
        <f t="shared" si="161"/>
        <v>SPRJ</v>
      </c>
      <c r="M1086" s="24" t="str">
        <f t="shared" si="161"/>
        <v>SPPR</v>
      </c>
      <c r="N1086" s="24" t="str">
        <f t="shared" si="161"/>
        <v>SPAM</v>
      </c>
      <c r="O1086" s="24">
        <f>VLOOKUP(H1086, KM!$A:$E, 5, 0)</f>
        <v>0</v>
      </c>
      <c r="P1086" s="24">
        <f>VLOOKUP(I1086, KM!$A:$E, 5, 0)</f>
        <v>586</v>
      </c>
      <c r="Q1086" s="24">
        <f>VLOOKUP(J1086, KM!$A:$E, 5, 0)</f>
        <v>882</v>
      </c>
      <c r="R1086" s="24">
        <f>VLOOKUP(K1086, KM!$A:$E, 5, 0)</f>
        <v>705</v>
      </c>
      <c r="S1086" s="24">
        <f>VLOOKUP(L1086, KM!$A:$E, 5, 0)</f>
        <v>429</v>
      </c>
      <c r="T1086" s="24">
        <f>VLOOKUP(M1086, KM!$A:$E, 5, 0)</f>
        <v>408</v>
      </c>
      <c r="U1086" s="24">
        <f>VLOOKUP(N1086, KM!$A:$E, 5, 0)</f>
        <v>3971</v>
      </c>
      <c r="V1086" s="24">
        <f>VLOOKUP(H1086, IMPOSTO!$A:$D, 4, 0)</f>
        <v>0.18</v>
      </c>
      <c r="W1086" s="24">
        <f>VLOOKUP(I1086, IMPOSTO!$A:$D, 4, 0)</f>
        <v>0.12</v>
      </c>
      <c r="X1086" s="24">
        <f>VLOOKUP(J1086, IMPOSTO!$A:$D, 4, 0)</f>
        <v>7.0000000000000007E-2</v>
      </c>
      <c r="Y1086" s="24">
        <f>VLOOKUP(K1086, IMPOSTO!$A:$D, 4, 0)</f>
        <v>0.12</v>
      </c>
      <c r="Z1086" s="24">
        <f>VLOOKUP(L1086, IMPOSTO!$A:$D, 4, 0)</f>
        <v>0.12</v>
      </c>
      <c r="AA1086" s="24">
        <f>VLOOKUP(M1086, IMPOSTO!$A:$D, 4, 0)</f>
        <v>0.12</v>
      </c>
      <c r="AB1086" s="24">
        <f>VLOOKUP(N1086, IMPOSTO!$A:$D, 4, 0)</f>
        <v>7.0000000000000007E-2</v>
      </c>
      <c r="AC1086" s="25">
        <f t="shared" si="154"/>
        <v>227142.45426535266</v>
      </c>
      <c r="AD1086" s="25">
        <f t="shared" si="155"/>
        <v>211722.05965635134</v>
      </c>
      <c r="AE1086" s="25">
        <f t="shared" si="156"/>
        <v>200370.98118020344</v>
      </c>
      <c r="AF1086" s="25">
        <f t="shared" si="157"/>
        <v>211735.58238362407</v>
      </c>
      <c r="AG1086" s="25">
        <f t="shared" si="158"/>
        <v>211704.21874726043</v>
      </c>
      <c r="AH1086" s="25">
        <f t="shared" si="159"/>
        <v>211701.83238362405</v>
      </c>
      <c r="AI1086" s="25">
        <f t="shared" si="160"/>
        <v>200703.13171783785</v>
      </c>
    </row>
    <row r="1087" spans="1:35" ht="15.75" customHeight="1">
      <c r="A1087" s="12" t="s">
        <v>810</v>
      </c>
      <c r="B1087" s="12" t="s">
        <v>811</v>
      </c>
      <c r="C1087" s="12" t="s">
        <v>143</v>
      </c>
      <c r="D1087" s="12" t="s">
        <v>33</v>
      </c>
      <c r="E1087" s="12" t="s">
        <v>23</v>
      </c>
      <c r="F1087" s="13">
        <v>7.9333333333333327</v>
      </c>
      <c r="G1087" s="14">
        <v>539.78966666666668</v>
      </c>
      <c r="H1087" s="24" t="str">
        <f t="shared" si="153"/>
        <v>SPSP</v>
      </c>
      <c r="I1087" s="24" t="str">
        <f t="shared" si="161"/>
        <v>SPMG</v>
      </c>
      <c r="J1087" s="24" t="str">
        <f t="shared" si="161"/>
        <v>SPES</v>
      </c>
      <c r="K1087" s="24" t="str">
        <f t="shared" si="161"/>
        <v>SPSC</v>
      </c>
      <c r="L1087" s="24" t="str">
        <f t="shared" si="161"/>
        <v>SPRJ</v>
      </c>
      <c r="M1087" s="24" t="str">
        <f t="shared" si="161"/>
        <v>SPPR</v>
      </c>
      <c r="N1087" s="24" t="str">
        <f t="shared" si="161"/>
        <v>SPAM</v>
      </c>
      <c r="O1087" s="24">
        <f>VLOOKUP(H1087, KM!$A:$E, 5, 0)</f>
        <v>0</v>
      </c>
      <c r="P1087" s="24">
        <f>VLOOKUP(I1087, KM!$A:$E, 5, 0)</f>
        <v>586</v>
      </c>
      <c r="Q1087" s="24">
        <f>VLOOKUP(J1087, KM!$A:$E, 5, 0)</f>
        <v>882</v>
      </c>
      <c r="R1087" s="24">
        <f>VLOOKUP(K1087, KM!$A:$E, 5, 0)</f>
        <v>705</v>
      </c>
      <c r="S1087" s="24">
        <f>VLOOKUP(L1087, KM!$A:$E, 5, 0)</f>
        <v>429</v>
      </c>
      <c r="T1087" s="24">
        <f>VLOOKUP(M1087, KM!$A:$E, 5, 0)</f>
        <v>408</v>
      </c>
      <c r="U1087" s="24">
        <f>VLOOKUP(N1087, KM!$A:$E, 5, 0)</f>
        <v>3971</v>
      </c>
      <c r="V1087" s="24">
        <f>VLOOKUP(H1087, IMPOSTO!$A:$D, 4, 0)</f>
        <v>0.18</v>
      </c>
      <c r="W1087" s="24">
        <f>VLOOKUP(I1087, IMPOSTO!$A:$D, 4, 0)</f>
        <v>0.12</v>
      </c>
      <c r="X1087" s="24">
        <f>VLOOKUP(J1087, IMPOSTO!$A:$D, 4, 0)</f>
        <v>7.0000000000000007E-2</v>
      </c>
      <c r="Y1087" s="24">
        <f>VLOOKUP(K1087, IMPOSTO!$A:$D, 4, 0)</f>
        <v>0.12</v>
      </c>
      <c r="Z1087" s="24">
        <f>VLOOKUP(L1087, IMPOSTO!$A:$D, 4, 0)</f>
        <v>0.12</v>
      </c>
      <c r="AA1087" s="24">
        <f>VLOOKUP(M1087, IMPOSTO!$A:$D, 4, 0)</f>
        <v>0.12</v>
      </c>
      <c r="AB1087" s="24">
        <f>VLOOKUP(N1087, IMPOSTO!$A:$D, 4, 0)</f>
        <v>7.0000000000000007E-2</v>
      </c>
      <c r="AC1087" s="25">
        <f t="shared" si="154"/>
        <v>658.28008130081298</v>
      </c>
      <c r="AD1087" s="25">
        <f t="shared" si="155"/>
        <v>679.98825757575764</v>
      </c>
      <c r="AE1087" s="25">
        <f t="shared" si="156"/>
        <v>675.25770609319011</v>
      </c>
      <c r="AF1087" s="25">
        <f t="shared" si="157"/>
        <v>693.5109848484849</v>
      </c>
      <c r="AG1087" s="25">
        <f t="shared" si="158"/>
        <v>662.14734848484852</v>
      </c>
      <c r="AH1087" s="25">
        <f t="shared" si="159"/>
        <v>659.76098484848478</v>
      </c>
      <c r="AI1087" s="25">
        <f t="shared" si="160"/>
        <v>1007.4082437275987</v>
      </c>
    </row>
    <row r="1088" spans="1:35" ht="15.75" customHeight="1">
      <c r="A1088" s="12" t="s">
        <v>812</v>
      </c>
      <c r="B1088" s="12" t="s">
        <v>813</v>
      </c>
      <c r="C1088" s="12" t="s">
        <v>232</v>
      </c>
      <c r="D1088" s="12" t="s">
        <v>33</v>
      </c>
      <c r="E1088" s="12" t="s">
        <v>23</v>
      </c>
      <c r="F1088" s="13">
        <v>737.47058823529426</v>
      </c>
      <c r="G1088" s="14">
        <v>16925.394823529412</v>
      </c>
      <c r="H1088" s="24" t="str">
        <f t="shared" si="153"/>
        <v>SPSP</v>
      </c>
      <c r="I1088" s="24" t="str">
        <f t="shared" si="161"/>
        <v>SPMG</v>
      </c>
      <c r="J1088" s="24" t="str">
        <f t="shared" ref="I1088:N1151" si="162">$E1088 &amp; J$17</f>
        <v>SPES</v>
      </c>
      <c r="K1088" s="24" t="str">
        <f t="shared" si="162"/>
        <v>SPSC</v>
      </c>
      <c r="L1088" s="24" t="str">
        <f t="shared" si="162"/>
        <v>SPRJ</v>
      </c>
      <c r="M1088" s="24" t="str">
        <f t="shared" si="162"/>
        <v>SPPR</v>
      </c>
      <c r="N1088" s="24" t="str">
        <f t="shared" si="162"/>
        <v>SPAM</v>
      </c>
      <c r="O1088" s="24">
        <f>VLOOKUP(H1088, KM!$A:$E, 5, 0)</f>
        <v>0</v>
      </c>
      <c r="P1088" s="24">
        <f>VLOOKUP(I1088, KM!$A:$E, 5, 0)</f>
        <v>586</v>
      </c>
      <c r="Q1088" s="24">
        <f>VLOOKUP(J1088, KM!$A:$E, 5, 0)</f>
        <v>882</v>
      </c>
      <c r="R1088" s="24">
        <f>VLOOKUP(K1088, KM!$A:$E, 5, 0)</f>
        <v>705</v>
      </c>
      <c r="S1088" s="24">
        <f>VLOOKUP(L1088, KM!$A:$E, 5, 0)</f>
        <v>429</v>
      </c>
      <c r="T1088" s="24">
        <f>VLOOKUP(M1088, KM!$A:$E, 5, 0)</f>
        <v>408</v>
      </c>
      <c r="U1088" s="24">
        <f>VLOOKUP(N1088, KM!$A:$E, 5, 0)</f>
        <v>3971</v>
      </c>
      <c r="V1088" s="24">
        <f>VLOOKUP(H1088, IMPOSTO!$A:$D, 4, 0)</f>
        <v>0.18</v>
      </c>
      <c r="W1088" s="24">
        <f>VLOOKUP(I1088, IMPOSTO!$A:$D, 4, 0)</f>
        <v>0.12</v>
      </c>
      <c r="X1088" s="24">
        <f>VLOOKUP(J1088, IMPOSTO!$A:$D, 4, 0)</f>
        <v>7.0000000000000007E-2</v>
      </c>
      <c r="Y1088" s="24">
        <f>VLOOKUP(K1088, IMPOSTO!$A:$D, 4, 0)</f>
        <v>0.12</v>
      </c>
      <c r="Z1088" s="24">
        <f>VLOOKUP(L1088, IMPOSTO!$A:$D, 4, 0)</f>
        <v>0.12</v>
      </c>
      <c r="AA1088" s="24">
        <f>VLOOKUP(M1088, IMPOSTO!$A:$D, 4, 0)</f>
        <v>0.12</v>
      </c>
      <c r="AB1088" s="24">
        <f>VLOOKUP(N1088, IMPOSTO!$A:$D, 4, 0)</f>
        <v>7.0000000000000007E-2</v>
      </c>
      <c r="AC1088" s="25">
        <f t="shared" si="154"/>
        <v>20640.725394548062</v>
      </c>
      <c r="AD1088" s="25">
        <f t="shared" si="155"/>
        <v>19299.994117647057</v>
      </c>
      <c r="AE1088" s="25">
        <f t="shared" si="156"/>
        <v>18294.187982289692</v>
      </c>
      <c r="AF1088" s="25">
        <f t="shared" si="157"/>
        <v>19313.516844919784</v>
      </c>
      <c r="AG1088" s="25">
        <f t="shared" si="158"/>
        <v>19282.153208556152</v>
      </c>
      <c r="AH1088" s="25">
        <f t="shared" si="159"/>
        <v>19279.766844919784</v>
      </c>
      <c r="AI1088" s="25">
        <f t="shared" si="160"/>
        <v>18626.338519924098</v>
      </c>
    </row>
    <row r="1089" spans="1:35" ht="15.75" customHeight="1">
      <c r="A1089" s="12" t="s">
        <v>814</v>
      </c>
      <c r="B1089" s="12" t="s">
        <v>815</v>
      </c>
      <c r="C1089" s="12" t="s">
        <v>192</v>
      </c>
      <c r="D1089" s="12" t="s">
        <v>33</v>
      </c>
      <c r="E1089" s="12" t="s">
        <v>23</v>
      </c>
      <c r="F1089" s="13">
        <v>20</v>
      </c>
      <c r="G1089" s="14">
        <v>1867.8000000000002</v>
      </c>
      <c r="H1089" s="24" t="str">
        <f t="shared" si="153"/>
        <v>SPSP</v>
      </c>
      <c r="I1089" s="24" t="str">
        <f t="shared" si="162"/>
        <v>SPMG</v>
      </c>
      <c r="J1089" s="24" t="str">
        <f t="shared" si="162"/>
        <v>SPES</v>
      </c>
      <c r="K1089" s="24" t="str">
        <f t="shared" si="162"/>
        <v>SPSC</v>
      </c>
      <c r="L1089" s="24" t="str">
        <f t="shared" si="162"/>
        <v>SPRJ</v>
      </c>
      <c r="M1089" s="24" t="str">
        <f t="shared" si="162"/>
        <v>SPPR</v>
      </c>
      <c r="N1089" s="24" t="str">
        <f t="shared" si="162"/>
        <v>SPAM</v>
      </c>
      <c r="O1089" s="24">
        <f>VLOOKUP(H1089, KM!$A:$E, 5, 0)</f>
        <v>0</v>
      </c>
      <c r="P1089" s="24">
        <f>VLOOKUP(I1089, KM!$A:$E, 5, 0)</f>
        <v>586</v>
      </c>
      <c r="Q1089" s="24">
        <f>VLOOKUP(J1089, KM!$A:$E, 5, 0)</f>
        <v>882</v>
      </c>
      <c r="R1089" s="24">
        <f>VLOOKUP(K1089, KM!$A:$E, 5, 0)</f>
        <v>705</v>
      </c>
      <c r="S1089" s="24">
        <f>VLOOKUP(L1089, KM!$A:$E, 5, 0)</f>
        <v>429</v>
      </c>
      <c r="T1089" s="24">
        <f>VLOOKUP(M1089, KM!$A:$E, 5, 0)</f>
        <v>408</v>
      </c>
      <c r="U1089" s="24">
        <f>VLOOKUP(N1089, KM!$A:$E, 5, 0)</f>
        <v>3971</v>
      </c>
      <c r="V1089" s="24">
        <f>VLOOKUP(H1089, IMPOSTO!$A:$D, 4, 0)</f>
        <v>0.18</v>
      </c>
      <c r="W1089" s="24">
        <f>VLOOKUP(I1089, IMPOSTO!$A:$D, 4, 0)</f>
        <v>0.12</v>
      </c>
      <c r="X1089" s="24">
        <f>VLOOKUP(J1089, IMPOSTO!$A:$D, 4, 0)</f>
        <v>7.0000000000000007E-2</v>
      </c>
      <c r="Y1089" s="24">
        <f>VLOOKUP(K1089, IMPOSTO!$A:$D, 4, 0)</f>
        <v>0.12</v>
      </c>
      <c r="Z1089" s="24">
        <f>VLOOKUP(L1089, IMPOSTO!$A:$D, 4, 0)</f>
        <v>0.12</v>
      </c>
      <c r="AA1089" s="24">
        <f>VLOOKUP(M1089, IMPOSTO!$A:$D, 4, 0)</f>
        <v>0.12</v>
      </c>
      <c r="AB1089" s="24">
        <f>VLOOKUP(N1089, IMPOSTO!$A:$D, 4, 0)</f>
        <v>7.0000000000000007E-2</v>
      </c>
      <c r="AC1089" s="25">
        <f t="shared" si="154"/>
        <v>2277.8048780487807</v>
      </c>
      <c r="AD1089" s="25">
        <f t="shared" si="155"/>
        <v>2189.090909090909</v>
      </c>
      <c r="AE1089" s="25">
        <f t="shared" si="156"/>
        <v>2103.2258064516132</v>
      </c>
      <c r="AF1089" s="25">
        <f t="shared" si="157"/>
        <v>2202.6136363636365</v>
      </c>
      <c r="AG1089" s="25">
        <f t="shared" si="158"/>
        <v>2171.2500000000005</v>
      </c>
      <c r="AH1089" s="25">
        <f t="shared" si="159"/>
        <v>2168.8636363636365</v>
      </c>
      <c r="AI1089" s="25">
        <f t="shared" si="160"/>
        <v>2435.3763440860216</v>
      </c>
    </row>
    <row r="1090" spans="1:35" ht="15.75" customHeight="1">
      <c r="A1090" s="12" t="s">
        <v>816</v>
      </c>
      <c r="B1090" s="12" t="s">
        <v>817</v>
      </c>
      <c r="C1090" s="12" t="s">
        <v>192</v>
      </c>
      <c r="D1090" s="12" t="s">
        <v>50</v>
      </c>
      <c r="E1090" s="12" t="s">
        <v>23</v>
      </c>
      <c r="F1090" s="13">
        <v>29.999999999999996</v>
      </c>
      <c r="G1090" s="14">
        <v>706.76629213483147</v>
      </c>
      <c r="H1090" s="24" t="str">
        <f t="shared" si="153"/>
        <v>SPSP</v>
      </c>
      <c r="I1090" s="24" t="str">
        <f t="shared" si="162"/>
        <v>SPMG</v>
      </c>
      <c r="J1090" s="24" t="str">
        <f t="shared" si="162"/>
        <v>SPES</v>
      </c>
      <c r="K1090" s="24" t="str">
        <f t="shared" si="162"/>
        <v>SPSC</v>
      </c>
      <c r="L1090" s="24" t="str">
        <f t="shared" si="162"/>
        <v>SPRJ</v>
      </c>
      <c r="M1090" s="24" t="str">
        <f t="shared" si="162"/>
        <v>SPPR</v>
      </c>
      <c r="N1090" s="24" t="str">
        <f t="shared" si="162"/>
        <v>SPAM</v>
      </c>
      <c r="O1090" s="24">
        <f>VLOOKUP(H1090, KM!$A:$E, 5, 0)</f>
        <v>0</v>
      </c>
      <c r="P1090" s="24">
        <f>VLOOKUP(I1090, KM!$A:$E, 5, 0)</f>
        <v>586</v>
      </c>
      <c r="Q1090" s="24">
        <f>VLOOKUP(J1090, KM!$A:$E, 5, 0)</f>
        <v>882</v>
      </c>
      <c r="R1090" s="24">
        <f>VLOOKUP(K1090, KM!$A:$E, 5, 0)</f>
        <v>705</v>
      </c>
      <c r="S1090" s="24">
        <f>VLOOKUP(L1090, KM!$A:$E, 5, 0)</f>
        <v>429</v>
      </c>
      <c r="T1090" s="24">
        <f>VLOOKUP(M1090, KM!$A:$E, 5, 0)</f>
        <v>408</v>
      </c>
      <c r="U1090" s="24">
        <f>VLOOKUP(N1090, KM!$A:$E, 5, 0)</f>
        <v>3971</v>
      </c>
      <c r="V1090" s="24">
        <f>VLOOKUP(H1090, IMPOSTO!$A:$D, 4, 0)</f>
        <v>0.18</v>
      </c>
      <c r="W1090" s="24">
        <f>VLOOKUP(I1090, IMPOSTO!$A:$D, 4, 0)</f>
        <v>0.12</v>
      </c>
      <c r="X1090" s="24">
        <f>VLOOKUP(J1090, IMPOSTO!$A:$D, 4, 0)</f>
        <v>7.0000000000000007E-2</v>
      </c>
      <c r="Y1090" s="24">
        <f>VLOOKUP(K1090, IMPOSTO!$A:$D, 4, 0)</f>
        <v>0.12</v>
      </c>
      <c r="Z1090" s="24">
        <f>VLOOKUP(L1090, IMPOSTO!$A:$D, 4, 0)</f>
        <v>0.12</v>
      </c>
      <c r="AA1090" s="24">
        <f>VLOOKUP(M1090, IMPOSTO!$A:$D, 4, 0)</f>
        <v>0.12</v>
      </c>
      <c r="AB1090" s="24">
        <f>VLOOKUP(N1090, IMPOSTO!$A:$D, 4, 0)</f>
        <v>7.0000000000000007E-2</v>
      </c>
      <c r="AC1090" s="25">
        <f t="shared" si="154"/>
        <v>861.91011235955057</v>
      </c>
      <c r="AD1090" s="25">
        <f t="shared" si="155"/>
        <v>869.73442288049034</v>
      </c>
      <c r="AE1090" s="25">
        <f t="shared" si="156"/>
        <v>854.80246466110918</v>
      </c>
      <c r="AF1090" s="25">
        <f t="shared" si="157"/>
        <v>883.25715015321759</v>
      </c>
      <c r="AG1090" s="25">
        <f t="shared" si="158"/>
        <v>851.89351378958122</v>
      </c>
      <c r="AH1090" s="25">
        <f t="shared" si="159"/>
        <v>849.50715015321748</v>
      </c>
      <c r="AI1090" s="25">
        <f t="shared" si="160"/>
        <v>1186.9530022955178</v>
      </c>
    </row>
    <row r="1091" spans="1:35" ht="15.75" customHeight="1">
      <c r="A1091" s="12" t="s">
        <v>818</v>
      </c>
      <c r="B1091" s="12" t="s">
        <v>819</v>
      </c>
      <c r="C1091" s="12" t="s">
        <v>86</v>
      </c>
      <c r="D1091" s="12" t="s">
        <v>33</v>
      </c>
      <c r="E1091" s="12" t="s">
        <v>23</v>
      </c>
      <c r="F1091" s="13">
        <v>13.7464</v>
      </c>
      <c r="G1091" s="14">
        <v>84.071352217948714</v>
      </c>
      <c r="H1091" s="24" t="str">
        <f t="shared" si="153"/>
        <v>SPSP</v>
      </c>
      <c r="I1091" s="24" t="str">
        <f t="shared" si="162"/>
        <v>SPMG</v>
      </c>
      <c r="J1091" s="24" t="str">
        <f t="shared" si="162"/>
        <v>SPES</v>
      </c>
      <c r="K1091" s="24" t="str">
        <f t="shared" si="162"/>
        <v>SPSC</v>
      </c>
      <c r="L1091" s="24" t="str">
        <f t="shared" si="162"/>
        <v>SPRJ</v>
      </c>
      <c r="M1091" s="24" t="str">
        <f t="shared" si="162"/>
        <v>SPPR</v>
      </c>
      <c r="N1091" s="24" t="str">
        <f t="shared" si="162"/>
        <v>SPAM</v>
      </c>
      <c r="O1091" s="24">
        <f>VLOOKUP(H1091, KM!$A:$E, 5, 0)</f>
        <v>0</v>
      </c>
      <c r="P1091" s="24">
        <f>VLOOKUP(I1091, KM!$A:$E, 5, 0)</f>
        <v>586</v>
      </c>
      <c r="Q1091" s="24">
        <f>VLOOKUP(J1091, KM!$A:$E, 5, 0)</f>
        <v>882</v>
      </c>
      <c r="R1091" s="24">
        <f>VLOOKUP(K1091, KM!$A:$E, 5, 0)</f>
        <v>705</v>
      </c>
      <c r="S1091" s="24">
        <f>VLOOKUP(L1091, KM!$A:$E, 5, 0)</f>
        <v>429</v>
      </c>
      <c r="T1091" s="24">
        <f>VLOOKUP(M1091, KM!$A:$E, 5, 0)</f>
        <v>408</v>
      </c>
      <c r="U1091" s="24">
        <f>VLOOKUP(N1091, KM!$A:$E, 5, 0)</f>
        <v>3971</v>
      </c>
      <c r="V1091" s="24">
        <f>VLOOKUP(H1091, IMPOSTO!$A:$D, 4, 0)</f>
        <v>0.18</v>
      </c>
      <c r="W1091" s="24">
        <f>VLOOKUP(I1091, IMPOSTO!$A:$D, 4, 0)</f>
        <v>0.12</v>
      </c>
      <c r="X1091" s="24">
        <f>VLOOKUP(J1091, IMPOSTO!$A:$D, 4, 0)</f>
        <v>7.0000000000000007E-2</v>
      </c>
      <c r="Y1091" s="24">
        <f>VLOOKUP(K1091, IMPOSTO!$A:$D, 4, 0)</f>
        <v>0.12</v>
      </c>
      <c r="Z1091" s="24">
        <f>VLOOKUP(L1091, IMPOSTO!$A:$D, 4, 0)</f>
        <v>0.12</v>
      </c>
      <c r="AA1091" s="24">
        <f>VLOOKUP(M1091, IMPOSTO!$A:$D, 4, 0)</f>
        <v>0.12</v>
      </c>
      <c r="AB1091" s="24">
        <f>VLOOKUP(N1091, IMPOSTO!$A:$D, 4, 0)</f>
        <v>7.0000000000000007E-2</v>
      </c>
      <c r="AC1091" s="25">
        <f t="shared" si="154"/>
        <v>102.52603929018134</v>
      </c>
      <c r="AD1091" s="25">
        <f t="shared" si="155"/>
        <v>162.12653661130534</v>
      </c>
      <c r="AE1091" s="25">
        <f t="shared" si="156"/>
        <v>185.23801313757929</v>
      </c>
      <c r="AF1091" s="25">
        <f t="shared" si="157"/>
        <v>175.64926388403262</v>
      </c>
      <c r="AG1091" s="25">
        <f t="shared" si="158"/>
        <v>144.28562752039628</v>
      </c>
      <c r="AH1091" s="25">
        <f t="shared" si="159"/>
        <v>141.89926388403265</v>
      </c>
      <c r="AI1091" s="25">
        <f t="shared" si="160"/>
        <v>517.38855077198798</v>
      </c>
    </row>
    <row r="1092" spans="1:35" ht="15.75" customHeight="1">
      <c r="A1092" s="12" t="s">
        <v>820</v>
      </c>
      <c r="B1092" s="12" t="s">
        <v>821</v>
      </c>
      <c r="C1092" s="12" t="s">
        <v>192</v>
      </c>
      <c r="D1092" s="12" t="s">
        <v>33</v>
      </c>
      <c r="E1092" s="12" t="s">
        <v>23</v>
      </c>
      <c r="F1092" s="13">
        <v>1.048</v>
      </c>
      <c r="G1092" s="14">
        <v>97.872719999999987</v>
      </c>
      <c r="H1092" s="24" t="str">
        <f t="shared" si="153"/>
        <v>SPSP</v>
      </c>
      <c r="I1092" s="24" t="str">
        <f t="shared" si="162"/>
        <v>SPMG</v>
      </c>
      <c r="J1092" s="24" t="str">
        <f t="shared" si="162"/>
        <v>SPES</v>
      </c>
      <c r="K1092" s="24" t="str">
        <f t="shared" si="162"/>
        <v>SPSC</v>
      </c>
      <c r="L1092" s="24" t="str">
        <f t="shared" si="162"/>
        <v>SPRJ</v>
      </c>
      <c r="M1092" s="24" t="str">
        <f t="shared" si="162"/>
        <v>SPPR</v>
      </c>
      <c r="N1092" s="24" t="str">
        <f t="shared" si="162"/>
        <v>SPAM</v>
      </c>
      <c r="O1092" s="24">
        <f>VLOOKUP(H1092, KM!$A:$E, 5, 0)</f>
        <v>0</v>
      </c>
      <c r="P1092" s="24">
        <f>VLOOKUP(I1092, KM!$A:$E, 5, 0)</f>
        <v>586</v>
      </c>
      <c r="Q1092" s="24">
        <f>VLOOKUP(J1092, KM!$A:$E, 5, 0)</f>
        <v>882</v>
      </c>
      <c r="R1092" s="24">
        <f>VLOOKUP(K1092, KM!$A:$E, 5, 0)</f>
        <v>705</v>
      </c>
      <c r="S1092" s="24">
        <f>VLOOKUP(L1092, KM!$A:$E, 5, 0)</f>
        <v>429</v>
      </c>
      <c r="T1092" s="24">
        <f>VLOOKUP(M1092, KM!$A:$E, 5, 0)</f>
        <v>408</v>
      </c>
      <c r="U1092" s="24">
        <f>VLOOKUP(N1092, KM!$A:$E, 5, 0)</f>
        <v>3971</v>
      </c>
      <c r="V1092" s="24">
        <f>VLOOKUP(H1092, IMPOSTO!$A:$D, 4, 0)</f>
        <v>0.18</v>
      </c>
      <c r="W1092" s="24">
        <f>VLOOKUP(I1092, IMPOSTO!$A:$D, 4, 0)</f>
        <v>0.12</v>
      </c>
      <c r="X1092" s="24">
        <f>VLOOKUP(J1092, IMPOSTO!$A:$D, 4, 0)</f>
        <v>7.0000000000000007E-2</v>
      </c>
      <c r="Y1092" s="24">
        <f>VLOOKUP(K1092, IMPOSTO!$A:$D, 4, 0)</f>
        <v>0.12</v>
      </c>
      <c r="Z1092" s="24">
        <f>VLOOKUP(L1092, IMPOSTO!$A:$D, 4, 0)</f>
        <v>0.12</v>
      </c>
      <c r="AA1092" s="24">
        <f>VLOOKUP(M1092, IMPOSTO!$A:$D, 4, 0)</f>
        <v>0.12</v>
      </c>
      <c r="AB1092" s="24">
        <f>VLOOKUP(N1092, IMPOSTO!$A:$D, 4, 0)</f>
        <v>7.0000000000000007E-2</v>
      </c>
      <c r="AC1092" s="25">
        <f t="shared" si="154"/>
        <v>119.35697560975608</v>
      </c>
      <c r="AD1092" s="25">
        <f t="shared" si="155"/>
        <v>177.80990909090906</v>
      </c>
      <c r="AE1092" s="25">
        <f t="shared" si="156"/>
        <v>200.07819354838711</v>
      </c>
      <c r="AF1092" s="25">
        <f t="shared" si="157"/>
        <v>191.33263636363634</v>
      </c>
      <c r="AG1092" s="25">
        <f t="shared" si="158"/>
        <v>159.96899999999999</v>
      </c>
      <c r="AH1092" s="25">
        <f t="shared" si="159"/>
        <v>157.58263636363637</v>
      </c>
      <c r="AI1092" s="25">
        <f t="shared" si="160"/>
        <v>532.22873118279574</v>
      </c>
    </row>
    <row r="1093" spans="1:35" ht="15.75" customHeight="1">
      <c r="A1093" s="12" t="s">
        <v>822</v>
      </c>
      <c r="B1093" s="12" t="s">
        <v>823</v>
      </c>
      <c r="C1093" s="12" t="s">
        <v>116</v>
      </c>
      <c r="D1093" s="12" t="s">
        <v>50</v>
      </c>
      <c r="E1093" s="12" t="s">
        <v>23</v>
      </c>
      <c r="F1093" s="13">
        <v>1255.9871999999996</v>
      </c>
      <c r="G1093" s="14">
        <v>8356.9772567272703</v>
      </c>
      <c r="H1093" s="24" t="str">
        <f t="shared" ref="H1093:H1156" si="163">$E1093 &amp; H$17</f>
        <v>SPSP</v>
      </c>
      <c r="I1093" s="24" t="str">
        <f t="shared" si="162"/>
        <v>SPMG</v>
      </c>
      <c r="J1093" s="24" t="str">
        <f t="shared" si="162"/>
        <v>SPES</v>
      </c>
      <c r="K1093" s="24" t="str">
        <f t="shared" si="162"/>
        <v>SPSC</v>
      </c>
      <c r="L1093" s="24" t="str">
        <f t="shared" si="162"/>
        <v>SPRJ</v>
      </c>
      <c r="M1093" s="24" t="str">
        <f t="shared" si="162"/>
        <v>SPPR</v>
      </c>
      <c r="N1093" s="24" t="str">
        <f t="shared" si="162"/>
        <v>SPAM</v>
      </c>
      <c r="O1093" s="24">
        <f>VLOOKUP(H1093, KM!$A:$E, 5, 0)</f>
        <v>0</v>
      </c>
      <c r="P1093" s="24">
        <f>VLOOKUP(I1093, KM!$A:$E, 5, 0)</f>
        <v>586</v>
      </c>
      <c r="Q1093" s="24">
        <f>VLOOKUP(J1093, KM!$A:$E, 5, 0)</f>
        <v>882</v>
      </c>
      <c r="R1093" s="24">
        <f>VLOOKUP(K1093, KM!$A:$E, 5, 0)</f>
        <v>705</v>
      </c>
      <c r="S1093" s="24">
        <f>VLOOKUP(L1093, KM!$A:$E, 5, 0)</f>
        <v>429</v>
      </c>
      <c r="T1093" s="24">
        <f>VLOOKUP(M1093, KM!$A:$E, 5, 0)</f>
        <v>408</v>
      </c>
      <c r="U1093" s="24">
        <f>VLOOKUP(N1093, KM!$A:$E, 5, 0)</f>
        <v>3971</v>
      </c>
      <c r="V1093" s="24">
        <f>VLOOKUP(H1093, IMPOSTO!$A:$D, 4, 0)</f>
        <v>0.18</v>
      </c>
      <c r="W1093" s="24">
        <f>VLOOKUP(I1093, IMPOSTO!$A:$D, 4, 0)</f>
        <v>0.12</v>
      </c>
      <c r="X1093" s="24">
        <f>VLOOKUP(J1093, IMPOSTO!$A:$D, 4, 0)</f>
        <v>7.0000000000000007E-2</v>
      </c>
      <c r="Y1093" s="24">
        <f>VLOOKUP(K1093, IMPOSTO!$A:$D, 4, 0)</f>
        <v>0.12</v>
      </c>
      <c r="Z1093" s="24">
        <f>VLOOKUP(L1093, IMPOSTO!$A:$D, 4, 0)</f>
        <v>0.12</v>
      </c>
      <c r="AA1093" s="24">
        <f>VLOOKUP(M1093, IMPOSTO!$A:$D, 4, 0)</f>
        <v>0.12</v>
      </c>
      <c r="AB1093" s="24">
        <f>VLOOKUP(N1093, IMPOSTO!$A:$D, 4, 0)</f>
        <v>7.0000000000000007E-2</v>
      </c>
      <c r="AC1093" s="25">
        <f t="shared" si="154"/>
        <v>10191.435678935695</v>
      </c>
      <c r="AD1093" s="25">
        <f t="shared" si="155"/>
        <v>9563.1559735537157</v>
      </c>
      <c r="AE1093" s="25">
        <f t="shared" si="156"/>
        <v>9080.8357599217979</v>
      </c>
      <c r="AF1093" s="25">
        <f t="shared" si="157"/>
        <v>9576.6787008264437</v>
      </c>
      <c r="AG1093" s="25">
        <f t="shared" si="158"/>
        <v>9545.3150644628058</v>
      </c>
      <c r="AH1093" s="25">
        <f t="shared" si="159"/>
        <v>9542.9287008264419</v>
      </c>
      <c r="AI1093" s="25">
        <f t="shared" si="160"/>
        <v>9412.9862975562064</v>
      </c>
    </row>
    <row r="1094" spans="1:35" ht="15.75" customHeight="1">
      <c r="A1094" s="12" t="s">
        <v>274</v>
      </c>
      <c r="B1094" s="12" t="s">
        <v>275</v>
      </c>
      <c r="C1094" s="12" t="s">
        <v>192</v>
      </c>
      <c r="D1094" s="12" t="s">
        <v>50</v>
      </c>
      <c r="E1094" s="12" t="s">
        <v>23</v>
      </c>
      <c r="F1094" s="13">
        <v>5.4811851851851854</v>
      </c>
      <c r="G1094" s="14">
        <v>327.11713185185187</v>
      </c>
      <c r="H1094" s="24" t="str">
        <f t="shared" si="163"/>
        <v>SPSP</v>
      </c>
      <c r="I1094" s="24" t="str">
        <f t="shared" si="162"/>
        <v>SPMG</v>
      </c>
      <c r="J1094" s="24" t="str">
        <f t="shared" si="162"/>
        <v>SPES</v>
      </c>
      <c r="K1094" s="24" t="str">
        <f t="shared" si="162"/>
        <v>SPSC</v>
      </c>
      <c r="L1094" s="24" t="str">
        <f t="shared" si="162"/>
        <v>SPRJ</v>
      </c>
      <c r="M1094" s="24" t="str">
        <f t="shared" si="162"/>
        <v>SPPR</v>
      </c>
      <c r="N1094" s="24" t="str">
        <f t="shared" si="162"/>
        <v>SPAM</v>
      </c>
      <c r="O1094" s="24">
        <f>VLOOKUP(H1094, KM!$A:$E, 5, 0)</f>
        <v>0</v>
      </c>
      <c r="P1094" s="24">
        <f>VLOOKUP(I1094, KM!$A:$E, 5, 0)</f>
        <v>586</v>
      </c>
      <c r="Q1094" s="24">
        <f>VLOOKUP(J1094, KM!$A:$E, 5, 0)</f>
        <v>882</v>
      </c>
      <c r="R1094" s="24">
        <f>VLOOKUP(K1094, KM!$A:$E, 5, 0)</f>
        <v>705</v>
      </c>
      <c r="S1094" s="24">
        <f>VLOOKUP(L1094, KM!$A:$E, 5, 0)</f>
        <v>429</v>
      </c>
      <c r="T1094" s="24">
        <f>VLOOKUP(M1094, KM!$A:$E, 5, 0)</f>
        <v>408</v>
      </c>
      <c r="U1094" s="24">
        <f>VLOOKUP(N1094, KM!$A:$E, 5, 0)</f>
        <v>3971</v>
      </c>
      <c r="V1094" s="24">
        <f>VLOOKUP(H1094, IMPOSTO!$A:$D, 4, 0)</f>
        <v>0.18</v>
      </c>
      <c r="W1094" s="24">
        <f>VLOOKUP(I1094, IMPOSTO!$A:$D, 4, 0)</f>
        <v>0.12</v>
      </c>
      <c r="X1094" s="24">
        <f>VLOOKUP(J1094, IMPOSTO!$A:$D, 4, 0)</f>
        <v>7.0000000000000007E-2</v>
      </c>
      <c r="Y1094" s="24">
        <f>VLOOKUP(K1094, IMPOSTO!$A:$D, 4, 0)</f>
        <v>0.12</v>
      </c>
      <c r="Z1094" s="24">
        <f>VLOOKUP(L1094, IMPOSTO!$A:$D, 4, 0)</f>
        <v>0.12</v>
      </c>
      <c r="AA1094" s="24">
        <f>VLOOKUP(M1094, IMPOSTO!$A:$D, 4, 0)</f>
        <v>0.12</v>
      </c>
      <c r="AB1094" s="24">
        <f>VLOOKUP(N1094, IMPOSTO!$A:$D, 4, 0)</f>
        <v>7.0000000000000007E-2</v>
      </c>
      <c r="AC1094" s="25">
        <f t="shared" si="154"/>
        <v>398.92333152664861</v>
      </c>
      <c r="AD1094" s="25">
        <f t="shared" si="155"/>
        <v>438.3149225589226</v>
      </c>
      <c r="AE1094" s="25">
        <f t="shared" si="156"/>
        <v>446.57756113102351</v>
      </c>
      <c r="AF1094" s="25">
        <f t="shared" si="157"/>
        <v>451.83764983164986</v>
      </c>
      <c r="AG1094" s="25">
        <f t="shared" si="158"/>
        <v>420.47401346801354</v>
      </c>
      <c r="AH1094" s="25">
        <f t="shared" si="159"/>
        <v>418.08764983164986</v>
      </c>
      <c r="AI1094" s="25">
        <f t="shared" si="160"/>
        <v>778.72809876543226</v>
      </c>
    </row>
    <row r="1095" spans="1:35" ht="15.75" customHeight="1">
      <c r="A1095" s="12" t="s">
        <v>796</v>
      </c>
      <c r="B1095" s="12" t="s">
        <v>797</v>
      </c>
      <c r="C1095" s="12" t="s">
        <v>192</v>
      </c>
      <c r="D1095" s="12" t="s">
        <v>33</v>
      </c>
      <c r="E1095" s="12" t="s">
        <v>23</v>
      </c>
      <c r="F1095" s="13">
        <v>4149.7173315964537</v>
      </c>
      <c r="G1095" s="14">
        <v>387542.08267091768</v>
      </c>
      <c r="H1095" s="24" t="str">
        <f t="shared" si="163"/>
        <v>SPSP</v>
      </c>
      <c r="I1095" s="24" t="str">
        <f t="shared" si="162"/>
        <v>SPMG</v>
      </c>
      <c r="J1095" s="24" t="str">
        <f t="shared" si="162"/>
        <v>SPES</v>
      </c>
      <c r="K1095" s="24" t="str">
        <f t="shared" si="162"/>
        <v>SPSC</v>
      </c>
      <c r="L1095" s="24" t="str">
        <f t="shared" si="162"/>
        <v>SPRJ</v>
      </c>
      <c r="M1095" s="24" t="str">
        <f t="shared" si="162"/>
        <v>SPPR</v>
      </c>
      <c r="N1095" s="24" t="str">
        <f t="shared" si="162"/>
        <v>SPAM</v>
      </c>
      <c r="O1095" s="24">
        <f>VLOOKUP(H1095, KM!$A:$E, 5, 0)</f>
        <v>0</v>
      </c>
      <c r="P1095" s="24">
        <f>VLOOKUP(I1095, KM!$A:$E, 5, 0)</f>
        <v>586</v>
      </c>
      <c r="Q1095" s="24">
        <f>VLOOKUP(J1095, KM!$A:$E, 5, 0)</f>
        <v>882</v>
      </c>
      <c r="R1095" s="24">
        <f>VLOOKUP(K1095, KM!$A:$E, 5, 0)</f>
        <v>705</v>
      </c>
      <c r="S1095" s="24">
        <f>VLOOKUP(L1095, KM!$A:$E, 5, 0)</f>
        <v>429</v>
      </c>
      <c r="T1095" s="24">
        <f>VLOOKUP(M1095, KM!$A:$E, 5, 0)</f>
        <v>408</v>
      </c>
      <c r="U1095" s="24">
        <f>VLOOKUP(N1095, KM!$A:$E, 5, 0)</f>
        <v>3971</v>
      </c>
      <c r="V1095" s="24">
        <f>VLOOKUP(H1095, IMPOSTO!$A:$D, 4, 0)</f>
        <v>0.18</v>
      </c>
      <c r="W1095" s="24">
        <f>VLOOKUP(I1095, IMPOSTO!$A:$D, 4, 0)</f>
        <v>0.12</v>
      </c>
      <c r="X1095" s="24">
        <f>VLOOKUP(J1095, IMPOSTO!$A:$D, 4, 0)</f>
        <v>7.0000000000000007E-2</v>
      </c>
      <c r="Y1095" s="24">
        <f>VLOOKUP(K1095, IMPOSTO!$A:$D, 4, 0)</f>
        <v>0.12</v>
      </c>
      <c r="Z1095" s="24">
        <f>VLOOKUP(L1095, IMPOSTO!$A:$D, 4, 0)</f>
        <v>0.12</v>
      </c>
      <c r="AA1095" s="24">
        <f>VLOOKUP(M1095, IMPOSTO!$A:$D, 4, 0)</f>
        <v>0.12</v>
      </c>
      <c r="AB1095" s="24">
        <f>VLOOKUP(N1095, IMPOSTO!$A:$D, 4, 0)</f>
        <v>7.0000000000000007E-2</v>
      </c>
      <c r="AC1095" s="25">
        <f t="shared" si="154"/>
        <v>472612.29594014346</v>
      </c>
      <c r="AD1095" s="25">
        <f t="shared" si="155"/>
        <v>440455.32121695188</v>
      </c>
      <c r="AE1095" s="25">
        <f t="shared" si="156"/>
        <v>416806.75556012656</v>
      </c>
      <c r="AF1095" s="25">
        <f t="shared" si="157"/>
        <v>440468.84394422465</v>
      </c>
      <c r="AG1095" s="25">
        <f t="shared" si="158"/>
        <v>440437.480307861</v>
      </c>
      <c r="AH1095" s="25">
        <f t="shared" si="159"/>
        <v>440435.09394422465</v>
      </c>
      <c r="AI1095" s="25">
        <f t="shared" si="160"/>
        <v>417138.90609776095</v>
      </c>
    </row>
    <row r="1096" spans="1:35" ht="15.75" customHeight="1">
      <c r="A1096" s="12" t="s">
        <v>560</v>
      </c>
      <c r="B1096" s="12" t="s">
        <v>561</v>
      </c>
      <c r="C1096" s="12" t="s">
        <v>192</v>
      </c>
      <c r="D1096" s="12" t="s">
        <v>33</v>
      </c>
      <c r="E1096" s="12" t="s">
        <v>23</v>
      </c>
      <c r="F1096" s="13">
        <v>740.54547169811281</v>
      </c>
      <c r="G1096" s="14">
        <v>29681.013135962254</v>
      </c>
      <c r="H1096" s="24" t="str">
        <f t="shared" si="163"/>
        <v>SPSP</v>
      </c>
      <c r="I1096" s="24" t="str">
        <f t="shared" si="162"/>
        <v>SPMG</v>
      </c>
      <c r="J1096" s="24" t="str">
        <f t="shared" si="162"/>
        <v>SPES</v>
      </c>
      <c r="K1096" s="24" t="str">
        <f t="shared" si="162"/>
        <v>SPSC</v>
      </c>
      <c r="L1096" s="24" t="str">
        <f t="shared" si="162"/>
        <v>SPRJ</v>
      </c>
      <c r="M1096" s="24" t="str">
        <f t="shared" si="162"/>
        <v>SPPR</v>
      </c>
      <c r="N1096" s="24" t="str">
        <f t="shared" si="162"/>
        <v>SPAM</v>
      </c>
      <c r="O1096" s="24">
        <f>VLOOKUP(H1096, KM!$A:$E, 5, 0)</f>
        <v>0</v>
      </c>
      <c r="P1096" s="24">
        <f>VLOOKUP(I1096, KM!$A:$E, 5, 0)</f>
        <v>586</v>
      </c>
      <c r="Q1096" s="24">
        <f>VLOOKUP(J1096, KM!$A:$E, 5, 0)</f>
        <v>882</v>
      </c>
      <c r="R1096" s="24">
        <f>VLOOKUP(K1096, KM!$A:$E, 5, 0)</f>
        <v>705</v>
      </c>
      <c r="S1096" s="24">
        <f>VLOOKUP(L1096, KM!$A:$E, 5, 0)</f>
        <v>429</v>
      </c>
      <c r="T1096" s="24">
        <f>VLOOKUP(M1096, KM!$A:$E, 5, 0)</f>
        <v>408</v>
      </c>
      <c r="U1096" s="24">
        <f>VLOOKUP(N1096, KM!$A:$E, 5, 0)</f>
        <v>3971</v>
      </c>
      <c r="V1096" s="24">
        <f>VLOOKUP(H1096, IMPOSTO!$A:$D, 4, 0)</f>
        <v>0.18</v>
      </c>
      <c r="W1096" s="24">
        <f>VLOOKUP(I1096, IMPOSTO!$A:$D, 4, 0)</f>
        <v>0.12</v>
      </c>
      <c r="X1096" s="24">
        <f>VLOOKUP(J1096, IMPOSTO!$A:$D, 4, 0)</f>
        <v>7.0000000000000007E-2</v>
      </c>
      <c r="Y1096" s="24">
        <f>VLOOKUP(K1096, IMPOSTO!$A:$D, 4, 0)</f>
        <v>0.12</v>
      </c>
      <c r="Z1096" s="24">
        <f>VLOOKUP(L1096, IMPOSTO!$A:$D, 4, 0)</f>
        <v>0.12</v>
      </c>
      <c r="AA1096" s="24">
        <f>VLOOKUP(M1096, IMPOSTO!$A:$D, 4, 0)</f>
        <v>0.12</v>
      </c>
      <c r="AB1096" s="24">
        <f>VLOOKUP(N1096, IMPOSTO!$A:$D, 4, 0)</f>
        <v>7.0000000000000007E-2</v>
      </c>
      <c r="AC1096" s="25">
        <f t="shared" si="154"/>
        <v>36196.357482880798</v>
      </c>
      <c r="AD1096" s="25">
        <f t="shared" si="155"/>
        <v>33795.014927229829</v>
      </c>
      <c r="AE1096" s="25">
        <f t="shared" si="156"/>
        <v>32009.906597808877</v>
      </c>
      <c r="AF1096" s="25">
        <f t="shared" si="157"/>
        <v>33808.537654502557</v>
      </c>
      <c r="AG1096" s="25">
        <f t="shared" si="158"/>
        <v>33777.174018138925</v>
      </c>
      <c r="AH1096" s="25">
        <f t="shared" si="159"/>
        <v>33774.787654502557</v>
      </c>
      <c r="AI1096" s="25">
        <f t="shared" si="160"/>
        <v>32342.057135443283</v>
      </c>
    </row>
    <row r="1097" spans="1:35" ht="15.75" customHeight="1">
      <c r="A1097" s="12" t="s">
        <v>824</v>
      </c>
      <c r="B1097" s="12" t="s">
        <v>825</v>
      </c>
      <c r="C1097" s="12" t="s">
        <v>160</v>
      </c>
      <c r="D1097" s="12" t="s">
        <v>33</v>
      </c>
      <c r="E1097" s="12" t="s">
        <v>23</v>
      </c>
      <c r="F1097" s="13">
        <v>168.05074137931041</v>
      </c>
      <c r="G1097" s="14">
        <v>764.71932103448285</v>
      </c>
      <c r="H1097" s="24" t="str">
        <f t="shared" si="163"/>
        <v>SPSP</v>
      </c>
      <c r="I1097" s="24" t="str">
        <f t="shared" si="162"/>
        <v>SPMG</v>
      </c>
      <c r="J1097" s="24" t="str">
        <f t="shared" si="162"/>
        <v>SPES</v>
      </c>
      <c r="K1097" s="24" t="str">
        <f t="shared" si="162"/>
        <v>SPSC</v>
      </c>
      <c r="L1097" s="24" t="str">
        <f t="shared" si="162"/>
        <v>SPRJ</v>
      </c>
      <c r="M1097" s="24" t="str">
        <f t="shared" si="162"/>
        <v>SPPR</v>
      </c>
      <c r="N1097" s="24" t="str">
        <f t="shared" si="162"/>
        <v>SPAM</v>
      </c>
      <c r="O1097" s="24">
        <f>VLOOKUP(H1097, KM!$A:$E, 5, 0)</f>
        <v>0</v>
      </c>
      <c r="P1097" s="24">
        <f>VLOOKUP(I1097, KM!$A:$E, 5, 0)</f>
        <v>586</v>
      </c>
      <c r="Q1097" s="24">
        <f>VLOOKUP(J1097, KM!$A:$E, 5, 0)</f>
        <v>882</v>
      </c>
      <c r="R1097" s="24">
        <f>VLOOKUP(K1097, KM!$A:$E, 5, 0)</f>
        <v>705</v>
      </c>
      <c r="S1097" s="24">
        <f>VLOOKUP(L1097, KM!$A:$E, 5, 0)</f>
        <v>429</v>
      </c>
      <c r="T1097" s="24">
        <f>VLOOKUP(M1097, KM!$A:$E, 5, 0)</f>
        <v>408</v>
      </c>
      <c r="U1097" s="24">
        <f>VLOOKUP(N1097, KM!$A:$E, 5, 0)</f>
        <v>3971</v>
      </c>
      <c r="V1097" s="24">
        <f>VLOOKUP(H1097, IMPOSTO!$A:$D, 4, 0)</f>
        <v>0.18</v>
      </c>
      <c r="W1097" s="24">
        <f>VLOOKUP(I1097, IMPOSTO!$A:$D, 4, 0)</f>
        <v>0.12</v>
      </c>
      <c r="X1097" s="24">
        <f>VLOOKUP(J1097, IMPOSTO!$A:$D, 4, 0)</f>
        <v>7.0000000000000007E-2</v>
      </c>
      <c r="Y1097" s="24">
        <f>VLOOKUP(K1097, IMPOSTO!$A:$D, 4, 0)</f>
        <v>0.12</v>
      </c>
      <c r="Z1097" s="24">
        <f>VLOOKUP(L1097, IMPOSTO!$A:$D, 4, 0)</f>
        <v>0.12</v>
      </c>
      <c r="AA1097" s="24">
        <f>VLOOKUP(M1097, IMPOSTO!$A:$D, 4, 0)</f>
        <v>0.12</v>
      </c>
      <c r="AB1097" s="24">
        <f>VLOOKUP(N1097, IMPOSTO!$A:$D, 4, 0)</f>
        <v>7.0000000000000007E-2</v>
      </c>
      <c r="AC1097" s="25">
        <f t="shared" si="154"/>
        <v>932.58453784693017</v>
      </c>
      <c r="AD1097" s="25">
        <f t="shared" si="155"/>
        <v>935.59013753918509</v>
      </c>
      <c r="AE1097" s="25">
        <f t="shared" si="156"/>
        <v>917.11754949944407</v>
      </c>
      <c r="AF1097" s="25">
        <f t="shared" si="157"/>
        <v>949.11286481191235</v>
      </c>
      <c r="AG1097" s="25">
        <f t="shared" si="158"/>
        <v>917.74922844827597</v>
      </c>
      <c r="AH1097" s="25">
        <f t="shared" si="159"/>
        <v>915.36286481191223</v>
      </c>
      <c r="AI1097" s="25">
        <f t="shared" si="160"/>
        <v>1249.2680871338528</v>
      </c>
    </row>
    <row r="1098" spans="1:35" ht="15.75" customHeight="1">
      <c r="A1098" s="12" t="s">
        <v>284</v>
      </c>
      <c r="B1098" s="12" t="s">
        <v>285</v>
      </c>
      <c r="C1098" s="12" t="s">
        <v>140</v>
      </c>
      <c r="D1098" s="12" t="s">
        <v>33</v>
      </c>
      <c r="E1098" s="12" t="s">
        <v>23</v>
      </c>
      <c r="F1098" s="13">
        <v>28098.872999999996</v>
      </c>
      <c r="G1098" s="14">
        <v>277673.35497216514</v>
      </c>
      <c r="H1098" s="24" t="str">
        <f t="shared" si="163"/>
        <v>SPSP</v>
      </c>
      <c r="I1098" s="24" t="str">
        <f t="shared" si="162"/>
        <v>SPMG</v>
      </c>
      <c r="J1098" s="24" t="str">
        <f t="shared" si="162"/>
        <v>SPES</v>
      </c>
      <c r="K1098" s="24" t="str">
        <f t="shared" si="162"/>
        <v>SPSC</v>
      </c>
      <c r="L1098" s="24" t="str">
        <f t="shared" si="162"/>
        <v>SPRJ</v>
      </c>
      <c r="M1098" s="24" t="str">
        <f t="shared" si="162"/>
        <v>SPPR</v>
      </c>
      <c r="N1098" s="24" t="str">
        <f t="shared" si="162"/>
        <v>SPAM</v>
      </c>
      <c r="O1098" s="24">
        <f>VLOOKUP(H1098, KM!$A:$E, 5, 0)</f>
        <v>0</v>
      </c>
      <c r="P1098" s="24">
        <f>VLOOKUP(I1098, KM!$A:$E, 5, 0)</f>
        <v>586</v>
      </c>
      <c r="Q1098" s="24">
        <f>VLOOKUP(J1098, KM!$A:$E, 5, 0)</f>
        <v>882</v>
      </c>
      <c r="R1098" s="24">
        <f>VLOOKUP(K1098, KM!$A:$E, 5, 0)</f>
        <v>705</v>
      </c>
      <c r="S1098" s="24">
        <f>VLOOKUP(L1098, KM!$A:$E, 5, 0)</f>
        <v>429</v>
      </c>
      <c r="T1098" s="24">
        <f>VLOOKUP(M1098, KM!$A:$E, 5, 0)</f>
        <v>408</v>
      </c>
      <c r="U1098" s="24">
        <f>VLOOKUP(N1098, KM!$A:$E, 5, 0)</f>
        <v>3971</v>
      </c>
      <c r="V1098" s="24">
        <f>VLOOKUP(H1098, IMPOSTO!$A:$D, 4, 0)</f>
        <v>0.18</v>
      </c>
      <c r="W1098" s="24">
        <f>VLOOKUP(I1098, IMPOSTO!$A:$D, 4, 0)</f>
        <v>0.12</v>
      </c>
      <c r="X1098" s="24">
        <f>VLOOKUP(J1098, IMPOSTO!$A:$D, 4, 0)</f>
        <v>7.0000000000000007E-2</v>
      </c>
      <c r="Y1098" s="24">
        <f>VLOOKUP(K1098, IMPOSTO!$A:$D, 4, 0)</f>
        <v>0.12</v>
      </c>
      <c r="Z1098" s="24">
        <f>VLOOKUP(L1098, IMPOSTO!$A:$D, 4, 0)</f>
        <v>0.12</v>
      </c>
      <c r="AA1098" s="24">
        <f>VLOOKUP(M1098, IMPOSTO!$A:$D, 4, 0)</f>
        <v>0.12</v>
      </c>
      <c r="AB1098" s="24">
        <f>VLOOKUP(N1098, IMPOSTO!$A:$D, 4, 0)</f>
        <v>7.0000000000000007E-2</v>
      </c>
      <c r="AC1098" s="25">
        <f t="shared" si="154"/>
        <v>338626.04264898185</v>
      </c>
      <c r="AD1098" s="25">
        <f t="shared" si="155"/>
        <v>315604.49428655126</v>
      </c>
      <c r="AE1098" s="25">
        <f t="shared" si="156"/>
        <v>298668.33867974748</v>
      </c>
      <c r="AF1098" s="25">
        <f t="shared" si="157"/>
        <v>315618.01701382402</v>
      </c>
      <c r="AG1098" s="25">
        <f t="shared" si="158"/>
        <v>315586.65337746043</v>
      </c>
      <c r="AH1098" s="25">
        <f t="shared" si="159"/>
        <v>315584.26701382402</v>
      </c>
      <c r="AI1098" s="25">
        <f t="shared" si="160"/>
        <v>299000.48921738187</v>
      </c>
    </row>
    <row r="1099" spans="1:35" ht="15.75" customHeight="1">
      <c r="A1099" s="12" t="s">
        <v>826</v>
      </c>
      <c r="B1099" s="12" t="s">
        <v>827</v>
      </c>
      <c r="C1099" s="12" t="s">
        <v>314</v>
      </c>
      <c r="D1099" s="12" t="s">
        <v>33</v>
      </c>
      <c r="E1099" s="12" t="s">
        <v>23</v>
      </c>
      <c r="F1099" s="13">
        <v>5522.8050000000003</v>
      </c>
      <c r="G1099" s="14">
        <v>231307.85327399999</v>
      </c>
      <c r="H1099" s="24" t="str">
        <f t="shared" si="163"/>
        <v>SPSP</v>
      </c>
      <c r="I1099" s="24" t="str">
        <f t="shared" si="162"/>
        <v>SPMG</v>
      </c>
      <c r="J1099" s="24" t="str">
        <f t="shared" si="162"/>
        <v>SPES</v>
      </c>
      <c r="K1099" s="24" t="str">
        <f t="shared" si="162"/>
        <v>SPSC</v>
      </c>
      <c r="L1099" s="24" t="str">
        <f t="shared" si="162"/>
        <v>SPRJ</v>
      </c>
      <c r="M1099" s="24" t="str">
        <f t="shared" si="162"/>
        <v>SPPR</v>
      </c>
      <c r="N1099" s="24" t="str">
        <f t="shared" si="162"/>
        <v>SPAM</v>
      </c>
      <c r="O1099" s="24">
        <f>VLOOKUP(H1099, KM!$A:$E, 5, 0)</f>
        <v>0</v>
      </c>
      <c r="P1099" s="24">
        <f>VLOOKUP(I1099, KM!$A:$E, 5, 0)</f>
        <v>586</v>
      </c>
      <c r="Q1099" s="24">
        <f>VLOOKUP(J1099, KM!$A:$E, 5, 0)</f>
        <v>882</v>
      </c>
      <c r="R1099" s="24">
        <f>VLOOKUP(K1099, KM!$A:$E, 5, 0)</f>
        <v>705</v>
      </c>
      <c r="S1099" s="24">
        <f>VLOOKUP(L1099, KM!$A:$E, 5, 0)</f>
        <v>429</v>
      </c>
      <c r="T1099" s="24">
        <f>VLOOKUP(M1099, KM!$A:$E, 5, 0)</f>
        <v>408</v>
      </c>
      <c r="U1099" s="24">
        <f>VLOOKUP(N1099, KM!$A:$E, 5, 0)</f>
        <v>3971</v>
      </c>
      <c r="V1099" s="24">
        <f>VLOOKUP(H1099, IMPOSTO!$A:$D, 4, 0)</f>
        <v>0.18</v>
      </c>
      <c r="W1099" s="24">
        <f>VLOOKUP(I1099, IMPOSTO!$A:$D, 4, 0)</f>
        <v>0.12</v>
      </c>
      <c r="X1099" s="24">
        <f>VLOOKUP(J1099, IMPOSTO!$A:$D, 4, 0)</f>
        <v>7.0000000000000007E-2</v>
      </c>
      <c r="Y1099" s="24">
        <f>VLOOKUP(K1099, IMPOSTO!$A:$D, 4, 0)</f>
        <v>0.12</v>
      </c>
      <c r="Z1099" s="24">
        <f>VLOOKUP(L1099, IMPOSTO!$A:$D, 4, 0)</f>
        <v>0.12</v>
      </c>
      <c r="AA1099" s="24">
        <f>VLOOKUP(M1099, IMPOSTO!$A:$D, 4, 0)</f>
        <v>0.12</v>
      </c>
      <c r="AB1099" s="24">
        <f>VLOOKUP(N1099, IMPOSTO!$A:$D, 4, 0)</f>
        <v>7.0000000000000007E-2</v>
      </c>
      <c r="AC1099" s="25">
        <f t="shared" si="154"/>
        <v>282082.74789512192</v>
      </c>
      <c r="AD1099" s="25">
        <f t="shared" si="155"/>
        <v>262916.42417499999</v>
      </c>
      <c r="AE1099" s="25">
        <f t="shared" si="156"/>
        <v>248812.96050967745</v>
      </c>
      <c r="AF1099" s="25">
        <f t="shared" si="157"/>
        <v>262929.9469022727</v>
      </c>
      <c r="AG1099" s="25">
        <f t="shared" si="158"/>
        <v>262898.58326590905</v>
      </c>
      <c r="AH1099" s="25">
        <f t="shared" si="159"/>
        <v>262896.1969022727</v>
      </c>
      <c r="AI1099" s="25">
        <f t="shared" si="160"/>
        <v>249145.11104731183</v>
      </c>
    </row>
    <row r="1100" spans="1:35" ht="15.75" customHeight="1">
      <c r="A1100" s="12" t="s">
        <v>408</v>
      </c>
      <c r="B1100" s="12" t="s">
        <v>409</v>
      </c>
      <c r="C1100" s="12" t="s">
        <v>143</v>
      </c>
      <c r="D1100" s="12" t="s">
        <v>33</v>
      </c>
      <c r="E1100" s="12" t="s">
        <v>23</v>
      </c>
      <c r="F1100" s="13">
        <v>3.9342532130657553</v>
      </c>
      <c r="G1100" s="14">
        <v>142.54799232525616</v>
      </c>
      <c r="H1100" s="24" t="str">
        <f t="shared" si="163"/>
        <v>SPSP</v>
      </c>
      <c r="I1100" s="24" t="str">
        <f t="shared" si="162"/>
        <v>SPMG</v>
      </c>
      <c r="J1100" s="24" t="str">
        <f t="shared" si="162"/>
        <v>SPES</v>
      </c>
      <c r="K1100" s="24" t="str">
        <f t="shared" si="162"/>
        <v>SPSC</v>
      </c>
      <c r="L1100" s="24" t="str">
        <f t="shared" si="162"/>
        <v>SPRJ</v>
      </c>
      <c r="M1100" s="24" t="str">
        <f t="shared" si="162"/>
        <v>SPPR</v>
      </c>
      <c r="N1100" s="24" t="str">
        <f t="shared" si="162"/>
        <v>SPAM</v>
      </c>
      <c r="O1100" s="24">
        <f>VLOOKUP(H1100, KM!$A:$E, 5, 0)</f>
        <v>0</v>
      </c>
      <c r="P1100" s="24">
        <f>VLOOKUP(I1100, KM!$A:$E, 5, 0)</f>
        <v>586</v>
      </c>
      <c r="Q1100" s="24">
        <f>VLOOKUP(J1100, KM!$A:$E, 5, 0)</f>
        <v>882</v>
      </c>
      <c r="R1100" s="24">
        <f>VLOOKUP(K1100, KM!$A:$E, 5, 0)</f>
        <v>705</v>
      </c>
      <c r="S1100" s="24">
        <f>VLOOKUP(L1100, KM!$A:$E, 5, 0)</f>
        <v>429</v>
      </c>
      <c r="T1100" s="24">
        <f>VLOOKUP(M1100, KM!$A:$E, 5, 0)</f>
        <v>408</v>
      </c>
      <c r="U1100" s="24">
        <f>VLOOKUP(N1100, KM!$A:$E, 5, 0)</f>
        <v>3971</v>
      </c>
      <c r="V1100" s="24">
        <f>VLOOKUP(H1100, IMPOSTO!$A:$D, 4, 0)</f>
        <v>0.18</v>
      </c>
      <c r="W1100" s="24">
        <f>VLOOKUP(I1100, IMPOSTO!$A:$D, 4, 0)</f>
        <v>0.12</v>
      </c>
      <c r="X1100" s="24">
        <f>VLOOKUP(J1100, IMPOSTO!$A:$D, 4, 0)</f>
        <v>7.0000000000000007E-2</v>
      </c>
      <c r="Y1100" s="24">
        <f>VLOOKUP(K1100, IMPOSTO!$A:$D, 4, 0)</f>
        <v>0.12</v>
      </c>
      <c r="Z1100" s="24">
        <f>VLOOKUP(L1100, IMPOSTO!$A:$D, 4, 0)</f>
        <v>0.12</v>
      </c>
      <c r="AA1100" s="24">
        <f>VLOOKUP(M1100, IMPOSTO!$A:$D, 4, 0)</f>
        <v>0.12</v>
      </c>
      <c r="AB1100" s="24">
        <f>VLOOKUP(N1100, IMPOSTO!$A:$D, 4, 0)</f>
        <v>7.0000000000000007E-2</v>
      </c>
      <c r="AC1100" s="25">
        <f t="shared" si="154"/>
        <v>173.83901503080017</v>
      </c>
      <c r="AD1100" s="25">
        <f t="shared" si="155"/>
        <v>228.57726400597289</v>
      </c>
      <c r="AE1100" s="25">
        <f t="shared" si="156"/>
        <v>248.11612077984537</v>
      </c>
      <c r="AF1100" s="25">
        <f t="shared" si="157"/>
        <v>242.09999127870017</v>
      </c>
      <c r="AG1100" s="25">
        <f t="shared" si="158"/>
        <v>210.73635491506383</v>
      </c>
      <c r="AH1100" s="25">
        <f t="shared" si="159"/>
        <v>208.3499912787002</v>
      </c>
      <c r="AI1100" s="25">
        <f t="shared" si="160"/>
        <v>580.26665841425393</v>
      </c>
    </row>
    <row r="1101" spans="1:35" ht="15.75" customHeight="1">
      <c r="A1101" s="12" t="s">
        <v>30</v>
      </c>
      <c r="B1101" s="12" t="s">
        <v>31</v>
      </c>
      <c r="C1101" s="12" t="s">
        <v>32</v>
      </c>
      <c r="D1101" s="12" t="s">
        <v>33</v>
      </c>
      <c r="E1101" s="12" t="s">
        <v>23</v>
      </c>
      <c r="F1101" s="13">
        <v>8576.8875027739741</v>
      </c>
      <c r="G1101" s="14">
        <v>272100.36551146157</v>
      </c>
      <c r="H1101" s="24" t="str">
        <f t="shared" si="163"/>
        <v>SPSP</v>
      </c>
      <c r="I1101" s="24" t="str">
        <f t="shared" si="162"/>
        <v>SPMG</v>
      </c>
      <c r="J1101" s="24" t="str">
        <f t="shared" si="162"/>
        <v>SPES</v>
      </c>
      <c r="K1101" s="24" t="str">
        <f t="shared" si="162"/>
        <v>SPSC</v>
      </c>
      <c r="L1101" s="24" t="str">
        <f t="shared" si="162"/>
        <v>SPRJ</v>
      </c>
      <c r="M1101" s="24" t="str">
        <f t="shared" si="162"/>
        <v>SPPR</v>
      </c>
      <c r="N1101" s="24" t="str">
        <f t="shared" si="162"/>
        <v>SPAM</v>
      </c>
      <c r="O1101" s="24">
        <f>VLOOKUP(H1101, KM!$A:$E, 5, 0)</f>
        <v>0</v>
      </c>
      <c r="P1101" s="24">
        <f>VLOOKUP(I1101, KM!$A:$E, 5, 0)</f>
        <v>586</v>
      </c>
      <c r="Q1101" s="24">
        <f>VLOOKUP(J1101, KM!$A:$E, 5, 0)</f>
        <v>882</v>
      </c>
      <c r="R1101" s="24">
        <f>VLOOKUP(K1101, KM!$A:$E, 5, 0)</f>
        <v>705</v>
      </c>
      <c r="S1101" s="24">
        <f>VLOOKUP(L1101, KM!$A:$E, 5, 0)</f>
        <v>429</v>
      </c>
      <c r="T1101" s="24">
        <f>VLOOKUP(M1101, KM!$A:$E, 5, 0)</f>
        <v>408</v>
      </c>
      <c r="U1101" s="24">
        <f>VLOOKUP(N1101, KM!$A:$E, 5, 0)</f>
        <v>3971</v>
      </c>
      <c r="V1101" s="24">
        <f>VLOOKUP(H1101, IMPOSTO!$A:$D, 4, 0)</f>
        <v>0.18</v>
      </c>
      <c r="W1101" s="24">
        <f>VLOOKUP(I1101, IMPOSTO!$A:$D, 4, 0)</f>
        <v>0.12</v>
      </c>
      <c r="X1101" s="24">
        <f>VLOOKUP(J1101, IMPOSTO!$A:$D, 4, 0)</f>
        <v>7.0000000000000007E-2</v>
      </c>
      <c r="Y1101" s="24">
        <f>VLOOKUP(K1101, IMPOSTO!$A:$D, 4, 0)</f>
        <v>0.12</v>
      </c>
      <c r="Z1101" s="24">
        <f>VLOOKUP(L1101, IMPOSTO!$A:$D, 4, 0)</f>
        <v>0.12</v>
      </c>
      <c r="AA1101" s="24">
        <f>VLOOKUP(M1101, IMPOSTO!$A:$D, 4, 0)</f>
        <v>0.12</v>
      </c>
      <c r="AB1101" s="24">
        <f>VLOOKUP(N1101, IMPOSTO!$A:$D, 4, 0)</f>
        <v>7.0000000000000007E-2</v>
      </c>
      <c r="AC1101" s="25">
        <f t="shared" si="154"/>
        <v>331829.71403836773</v>
      </c>
      <c r="AD1101" s="25">
        <f t="shared" si="155"/>
        <v>309271.55171756994</v>
      </c>
      <c r="AE1101" s="25">
        <f t="shared" si="156"/>
        <v>292675.87689404475</v>
      </c>
      <c r="AF1101" s="25">
        <f t="shared" si="157"/>
        <v>309285.0744448427</v>
      </c>
      <c r="AG1101" s="25">
        <f t="shared" si="158"/>
        <v>309253.71080847905</v>
      </c>
      <c r="AH1101" s="25">
        <f t="shared" si="159"/>
        <v>309251.3244448427</v>
      </c>
      <c r="AI1101" s="25">
        <f t="shared" si="160"/>
        <v>293008.02743167907</v>
      </c>
    </row>
    <row r="1102" spans="1:35" ht="15.75" customHeight="1">
      <c r="A1102" s="12" t="s">
        <v>30</v>
      </c>
      <c r="B1102" s="12" t="s">
        <v>31</v>
      </c>
      <c r="C1102" s="12" t="s">
        <v>32</v>
      </c>
      <c r="D1102" s="12" t="s">
        <v>33</v>
      </c>
      <c r="E1102" s="12" t="s">
        <v>23</v>
      </c>
      <c r="F1102" s="13">
        <v>307.6358501712329</v>
      </c>
      <c r="G1102" s="14">
        <v>9448.2639974783215</v>
      </c>
      <c r="H1102" s="24" t="str">
        <f t="shared" si="163"/>
        <v>SPSP</v>
      </c>
      <c r="I1102" s="24" t="str">
        <f t="shared" si="162"/>
        <v>SPMG</v>
      </c>
      <c r="J1102" s="24" t="str">
        <f t="shared" si="162"/>
        <v>SPES</v>
      </c>
      <c r="K1102" s="24" t="str">
        <f t="shared" si="162"/>
        <v>SPSC</v>
      </c>
      <c r="L1102" s="24" t="str">
        <f t="shared" si="162"/>
        <v>SPRJ</v>
      </c>
      <c r="M1102" s="24" t="str">
        <f t="shared" si="162"/>
        <v>SPPR</v>
      </c>
      <c r="N1102" s="24" t="str">
        <f t="shared" si="162"/>
        <v>SPAM</v>
      </c>
      <c r="O1102" s="24">
        <f>VLOOKUP(H1102, KM!$A:$E, 5, 0)</f>
        <v>0</v>
      </c>
      <c r="P1102" s="24">
        <f>VLOOKUP(I1102, KM!$A:$E, 5, 0)</f>
        <v>586</v>
      </c>
      <c r="Q1102" s="24">
        <f>VLOOKUP(J1102, KM!$A:$E, 5, 0)</f>
        <v>882</v>
      </c>
      <c r="R1102" s="24">
        <f>VLOOKUP(K1102, KM!$A:$E, 5, 0)</f>
        <v>705</v>
      </c>
      <c r="S1102" s="24">
        <f>VLOOKUP(L1102, KM!$A:$E, 5, 0)</f>
        <v>429</v>
      </c>
      <c r="T1102" s="24">
        <f>VLOOKUP(M1102, KM!$A:$E, 5, 0)</f>
        <v>408</v>
      </c>
      <c r="U1102" s="24">
        <f>VLOOKUP(N1102, KM!$A:$E, 5, 0)</f>
        <v>3971</v>
      </c>
      <c r="V1102" s="24">
        <f>VLOOKUP(H1102, IMPOSTO!$A:$D, 4, 0)</f>
        <v>0.18</v>
      </c>
      <c r="W1102" s="24">
        <f>VLOOKUP(I1102, IMPOSTO!$A:$D, 4, 0)</f>
        <v>0.12</v>
      </c>
      <c r="X1102" s="24">
        <f>VLOOKUP(J1102, IMPOSTO!$A:$D, 4, 0)</f>
        <v>7.0000000000000007E-2</v>
      </c>
      <c r="Y1102" s="24">
        <f>VLOOKUP(K1102, IMPOSTO!$A:$D, 4, 0)</f>
        <v>0.12</v>
      </c>
      <c r="Z1102" s="24">
        <f>VLOOKUP(L1102, IMPOSTO!$A:$D, 4, 0)</f>
        <v>0.12</v>
      </c>
      <c r="AA1102" s="24">
        <f>VLOOKUP(M1102, IMPOSTO!$A:$D, 4, 0)</f>
        <v>0.12</v>
      </c>
      <c r="AB1102" s="24">
        <f>VLOOKUP(N1102, IMPOSTO!$A:$D, 4, 0)</f>
        <v>7.0000000000000007E-2</v>
      </c>
      <c r="AC1102" s="25">
        <f t="shared" si="154"/>
        <v>11522.273167656489</v>
      </c>
      <c r="AD1102" s="25">
        <f t="shared" si="155"/>
        <v>10803.254542589002</v>
      </c>
      <c r="AE1102" s="25">
        <f t="shared" si="156"/>
        <v>10254.262362879917</v>
      </c>
      <c r="AF1102" s="25">
        <f t="shared" si="157"/>
        <v>10816.777269861728</v>
      </c>
      <c r="AG1102" s="25">
        <f t="shared" si="158"/>
        <v>10785.413633498092</v>
      </c>
      <c r="AH1102" s="25">
        <f t="shared" si="159"/>
        <v>10783.027269861728</v>
      </c>
      <c r="AI1102" s="25">
        <f t="shared" si="160"/>
        <v>10586.412900514326</v>
      </c>
    </row>
    <row r="1103" spans="1:35" ht="15.75" customHeight="1">
      <c r="A1103" s="12" t="s">
        <v>591</v>
      </c>
      <c r="B1103" s="12" t="s">
        <v>828</v>
      </c>
      <c r="C1103" s="12" t="s">
        <v>192</v>
      </c>
      <c r="D1103" s="12" t="s">
        <v>50</v>
      </c>
      <c r="E1103" s="12" t="s">
        <v>23</v>
      </c>
      <c r="F1103" s="13">
        <v>3.7072997711670479</v>
      </c>
      <c r="G1103" s="14">
        <v>26.314413775743709</v>
      </c>
      <c r="H1103" s="24" t="str">
        <f t="shared" si="163"/>
        <v>SPSP</v>
      </c>
      <c r="I1103" s="24" t="str">
        <f t="shared" si="162"/>
        <v>SPMG</v>
      </c>
      <c r="J1103" s="24" t="str">
        <f t="shared" si="162"/>
        <v>SPES</v>
      </c>
      <c r="K1103" s="24" t="str">
        <f t="shared" si="162"/>
        <v>SPSC</v>
      </c>
      <c r="L1103" s="24" t="str">
        <f t="shared" si="162"/>
        <v>SPRJ</v>
      </c>
      <c r="M1103" s="24" t="str">
        <f t="shared" si="162"/>
        <v>SPPR</v>
      </c>
      <c r="N1103" s="24" t="str">
        <f t="shared" si="162"/>
        <v>SPAM</v>
      </c>
      <c r="O1103" s="24">
        <f>VLOOKUP(H1103, KM!$A:$E, 5, 0)</f>
        <v>0</v>
      </c>
      <c r="P1103" s="24">
        <f>VLOOKUP(I1103, KM!$A:$E, 5, 0)</f>
        <v>586</v>
      </c>
      <c r="Q1103" s="24">
        <f>VLOOKUP(J1103, KM!$A:$E, 5, 0)</f>
        <v>882</v>
      </c>
      <c r="R1103" s="24">
        <f>VLOOKUP(K1103, KM!$A:$E, 5, 0)</f>
        <v>705</v>
      </c>
      <c r="S1103" s="24">
        <f>VLOOKUP(L1103, KM!$A:$E, 5, 0)</f>
        <v>429</v>
      </c>
      <c r="T1103" s="24">
        <f>VLOOKUP(M1103, KM!$A:$E, 5, 0)</f>
        <v>408</v>
      </c>
      <c r="U1103" s="24">
        <f>VLOOKUP(N1103, KM!$A:$E, 5, 0)</f>
        <v>3971</v>
      </c>
      <c r="V1103" s="24">
        <f>VLOOKUP(H1103, IMPOSTO!$A:$D, 4, 0)</f>
        <v>0.18</v>
      </c>
      <c r="W1103" s="24">
        <f>VLOOKUP(I1103, IMPOSTO!$A:$D, 4, 0)</f>
        <v>0.12</v>
      </c>
      <c r="X1103" s="24">
        <f>VLOOKUP(J1103, IMPOSTO!$A:$D, 4, 0)</f>
        <v>7.0000000000000007E-2</v>
      </c>
      <c r="Y1103" s="24">
        <f>VLOOKUP(K1103, IMPOSTO!$A:$D, 4, 0)</f>
        <v>0.12</v>
      </c>
      <c r="Z1103" s="24">
        <f>VLOOKUP(L1103, IMPOSTO!$A:$D, 4, 0)</f>
        <v>0.12</v>
      </c>
      <c r="AA1103" s="24">
        <f>VLOOKUP(M1103, IMPOSTO!$A:$D, 4, 0)</f>
        <v>0.12</v>
      </c>
      <c r="AB1103" s="24">
        <f>VLOOKUP(N1103, IMPOSTO!$A:$D, 4, 0)</f>
        <v>7.0000000000000007E-2</v>
      </c>
      <c r="AC1103" s="25">
        <f t="shared" si="154"/>
        <v>32.09074850700452</v>
      </c>
      <c r="AD1103" s="25">
        <f t="shared" si="155"/>
        <v>96.493652017890582</v>
      </c>
      <c r="AE1103" s="25">
        <f t="shared" si="156"/>
        <v>123.13377825348788</v>
      </c>
      <c r="AF1103" s="25">
        <f t="shared" si="157"/>
        <v>110.01637929061785</v>
      </c>
      <c r="AG1103" s="25">
        <f t="shared" si="158"/>
        <v>78.652742926981489</v>
      </c>
      <c r="AH1103" s="25">
        <f t="shared" si="159"/>
        <v>76.266379290617863</v>
      </c>
      <c r="AI1103" s="25">
        <f t="shared" si="160"/>
        <v>455.28431588789653</v>
      </c>
    </row>
    <row r="1104" spans="1:35" ht="15.75" customHeight="1">
      <c r="A1104" s="12" t="s">
        <v>762</v>
      </c>
      <c r="B1104" s="12" t="s">
        <v>763</v>
      </c>
      <c r="C1104" s="12" t="s">
        <v>140</v>
      </c>
      <c r="D1104" s="12" t="s">
        <v>33</v>
      </c>
      <c r="E1104" s="12" t="s">
        <v>23</v>
      </c>
      <c r="F1104" s="13">
        <v>194.16656417910445</v>
      </c>
      <c r="G1104" s="14">
        <v>6001.5806284626851</v>
      </c>
      <c r="H1104" s="24" t="str">
        <f t="shared" si="163"/>
        <v>SPSP</v>
      </c>
      <c r="I1104" s="24" t="str">
        <f t="shared" si="162"/>
        <v>SPMG</v>
      </c>
      <c r="J1104" s="24" t="str">
        <f t="shared" si="162"/>
        <v>SPES</v>
      </c>
      <c r="K1104" s="24" t="str">
        <f t="shared" si="162"/>
        <v>SPSC</v>
      </c>
      <c r="L1104" s="24" t="str">
        <f t="shared" si="162"/>
        <v>SPRJ</v>
      </c>
      <c r="M1104" s="24" t="str">
        <f t="shared" si="162"/>
        <v>SPPR</v>
      </c>
      <c r="N1104" s="24" t="str">
        <f t="shared" si="162"/>
        <v>SPAM</v>
      </c>
      <c r="O1104" s="24">
        <f>VLOOKUP(H1104, KM!$A:$E, 5, 0)</f>
        <v>0</v>
      </c>
      <c r="P1104" s="24">
        <f>VLOOKUP(I1104, KM!$A:$E, 5, 0)</f>
        <v>586</v>
      </c>
      <c r="Q1104" s="24">
        <f>VLOOKUP(J1104, KM!$A:$E, 5, 0)</f>
        <v>882</v>
      </c>
      <c r="R1104" s="24">
        <f>VLOOKUP(K1104, KM!$A:$E, 5, 0)</f>
        <v>705</v>
      </c>
      <c r="S1104" s="24">
        <f>VLOOKUP(L1104, KM!$A:$E, 5, 0)</f>
        <v>429</v>
      </c>
      <c r="T1104" s="24">
        <f>VLOOKUP(M1104, KM!$A:$E, 5, 0)</f>
        <v>408</v>
      </c>
      <c r="U1104" s="24">
        <f>VLOOKUP(N1104, KM!$A:$E, 5, 0)</f>
        <v>3971</v>
      </c>
      <c r="V1104" s="24">
        <f>VLOOKUP(H1104, IMPOSTO!$A:$D, 4, 0)</f>
        <v>0.18</v>
      </c>
      <c r="W1104" s="24">
        <f>VLOOKUP(I1104, IMPOSTO!$A:$D, 4, 0)</f>
        <v>0.12</v>
      </c>
      <c r="X1104" s="24">
        <f>VLOOKUP(J1104, IMPOSTO!$A:$D, 4, 0)</f>
        <v>7.0000000000000007E-2</v>
      </c>
      <c r="Y1104" s="24">
        <f>VLOOKUP(K1104, IMPOSTO!$A:$D, 4, 0)</f>
        <v>0.12</v>
      </c>
      <c r="Z1104" s="24">
        <f>VLOOKUP(L1104, IMPOSTO!$A:$D, 4, 0)</f>
        <v>0.12</v>
      </c>
      <c r="AA1104" s="24">
        <f>VLOOKUP(M1104, IMPOSTO!$A:$D, 4, 0)</f>
        <v>0.12</v>
      </c>
      <c r="AB1104" s="24">
        <f>VLOOKUP(N1104, IMPOSTO!$A:$D, 4, 0)</f>
        <v>7.0000000000000007E-2</v>
      </c>
      <c r="AC1104" s="25">
        <f t="shared" si="154"/>
        <v>7319.0007664179084</v>
      </c>
      <c r="AD1104" s="25">
        <f t="shared" si="155"/>
        <v>6886.5688959803247</v>
      </c>
      <c r="AE1104" s="25">
        <f t="shared" si="156"/>
        <v>6548.1512134007371</v>
      </c>
      <c r="AF1104" s="25">
        <f t="shared" si="157"/>
        <v>6900.0916232530517</v>
      </c>
      <c r="AG1104" s="25">
        <f t="shared" si="158"/>
        <v>6868.7279868894148</v>
      </c>
      <c r="AH1104" s="25">
        <f t="shared" si="159"/>
        <v>6866.3416232530517</v>
      </c>
      <c r="AI1104" s="25">
        <f t="shared" si="160"/>
        <v>6880.3017510351465</v>
      </c>
    </row>
    <row r="1105" spans="1:35" ht="15.75" customHeight="1">
      <c r="A1105" s="12" t="s">
        <v>829</v>
      </c>
      <c r="B1105" s="12" t="s">
        <v>830</v>
      </c>
      <c r="C1105" s="12" t="s">
        <v>265</v>
      </c>
      <c r="D1105" s="12" t="s">
        <v>33</v>
      </c>
      <c r="E1105" s="12" t="s">
        <v>23</v>
      </c>
      <c r="F1105" s="13">
        <v>5926.2216000000008</v>
      </c>
      <c r="G1105" s="14">
        <v>108947.7488338619</v>
      </c>
      <c r="H1105" s="24" t="str">
        <f t="shared" si="163"/>
        <v>SPSP</v>
      </c>
      <c r="I1105" s="24" t="str">
        <f t="shared" si="162"/>
        <v>SPMG</v>
      </c>
      <c r="J1105" s="24" t="str">
        <f t="shared" si="162"/>
        <v>SPES</v>
      </c>
      <c r="K1105" s="24" t="str">
        <f t="shared" si="162"/>
        <v>SPSC</v>
      </c>
      <c r="L1105" s="24" t="str">
        <f t="shared" si="162"/>
        <v>SPRJ</v>
      </c>
      <c r="M1105" s="24" t="str">
        <f t="shared" si="162"/>
        <v>SPPR</v>
      </c>
      <c r="N1105" s="24" t="str">
        <f t="shared" si="162"/>
        <v>SPAM</v>
      </c>
      <c r="O1105" s="24">
        <f>VLOOKUP(H1105, KM!$A:$E, 5, 0)</f>
        <v>0</v>
      </c>
      <c r="P1105" s="24">
        <f>VLOOKUP(I1105, KM!$A:$E, 5, 0)</f>
        <v>586</v>
      </c>
      <c r="Q1105" s="24">
        <f>VLOOKUP(J1105, KM!$A:$E, 5, 0)</f>
        <v>882</v>
      </c>
      <c r="R1105" s="24">
        <f>VLOOKUP(K1105, KM!$A:$E, 5, 0)</f>
        <v>705</v>
      </c>
      <c r="S1105" s="24">
        <f>VLOOKUP(L1105, KM!$A:$E, 5, 0)</f>
        <v>429</v>
      </c>
      <c r="T1105" s="24">
        <f>VLOOKUP(M1105, KM!$A:$E, 5, 0)</f>
        <v>408</v>
      </c>
      <c r="U1105" s="24">
        <f>VLOOKUP(N1105, KM!$A:$E, 5, 0)</f>
        <v>3971</v>
      </c>
      <c r="V1105" s="24">
        <f>VLOOKUP(H1105, IMPOSTO!$A:$D, 4, 0)</f>
        <v>0.18</v>
      </c>
      <c r="W1105" s="24">
        <f>VLOOKUP(I1105, IMPOSTO!$A:$D, 4, 0)</f>
        <v>0.12</v>
      </c>
      <c r="X1105" s="24">
        <f>VLOOKUP(J1105, IMPOSTO!$A:$D, 4, 0)</f>
        <v>7.0000000000000007E-2</v>
      </c>
      <c r="Y1105" s="24">
        <f>VLOOKUP(K1105, IMPOSTO!$A:$D, 4, 0)</f>
        <v>0.12</v>
      </c>
      <c r="Z1105" s="24">
        <f>VLOOKUP(L1105, IMPOSTO!$A:$D, 4, 0)</f>
        <v>0.12</v>
      </c>
      <c r="AA1105" s="24">
        <f>VLOOKUP(M1105, IMPOSTO!$A:$D, 4, 0)</f>
        <v>0.12</v>
      </c>
      <c r="AB1105" s="24">
        <f>VLOOKUP(N1105, IMPOSTO!$A:$D, 4, 0)</f>
        <v>7.0000000000000007E-2</v>
      </c>
      <c r="AC1105" s="25">
        <f t="shared" si="154"/>
        <v>132863.10833397793</v>
      </c>
      <c r="AD1105" s="25">
        <f t="shared" si="155"/>
        <v>123870.85094757035</v>
      </c>
      <c r="AE1105" s="25">
        <f t="shared" si="156"/>
        <v>117242.95573533539</v>
      </c>
      <c r="AF1105" s="25">
        <f t="shared" si="157"/>
        <v>123884.37367484307</v>
      </c>
      <c r="AG1105" s="25">
        <f t="shared" si="158"/>
        <v>123853.01003847942</v>
      </c>
      <c r="AH1105" s="25">
        <f t="shared" si="159"/>
        <v>123850.62367484307</v>
      </c>
      <c r="AI1105" s="25">
        <f t="shared" si="160"/>
        <v>117575.1062729698</v>
      </c>
    </row>
    <row r="1106" spans="1:35" ht="15.75" customHeight="1">
      <c r="A1106" s="12" t="s">
        <v>831</v>
      </c>
      <c r="B1106" s="12" t="s">
        <v>832</v>
      </c>
      <c r="C1106" s="12" t="s">
        <v>259</v>
      </c>
      <c r="D1106" s="12" t="s">
        <v>50</v>
      </c>
      <c r="E1106" s="12" t="s">
        <v>23</v>
      </c>
      <c r="F1106" s="13">
        <v>1149</v>
      </c>
      <c r="G1106" s="14">
        <v>101104.64640000001</v>
      </c>
      <c r="H1106" s="24" t="str">
        <f t="shared" si="163"/>
        <v>SPSP</v>
      </c>
      <c r="I1106" s="24" t="str">
        <f t="shared" si="162"/>
        <v>SPMG</v>
      </c>
      <c r="J1106" s="24" t="str">
        <f t="shared" si="162"/>
        <v>SPES</v>
      </c>
      <c r="K1106" s="24" t="str">
        <f t="shared" si="162"/>
        <v>SPSC</v>
      </c>
      <c r="L1106" s="24" t="str">
        <f t="shared" si="162"/>
        <v>SPRJ</v>
      </c>
      <c r="M1106" s="24" t="str">
        <f t="shared" si="162"/>
        <v>SPPR</v>
      </c>
      <c r="N1106" s="24" t="str">
        <f t="shared" si="162"/>
        <v>SPAM</v>
      </c>
      <c r="O1106" s="24">
        <f>VLOOKUP(H1106, KM!$A:$E, 5, 0)</f>
        <v>0</v>
      </c>
      <c r="P1106" s="24">
        <f>VLOOKUP(I1106, KM!$A:$E, 5, 0)</f>
        <v>586</v>
      </c>
      <c r="Q1106" s="24">
        <f>VLOOKUP(J1106, KM!$A:$E, 5, 0)</f>
        <v>882</v>
      </c>
      <c r="R1106" s="24">
        <f>VLOOKUP(K1106, KM!$A:$E, 5, 0)</f>
        <v>705</v>
      </c>
      <c r="S1106" s="24">
        <f>VLOOKUP(L1106, KM!$A:$E, 5, 0)</f>
        <v>429</v>
      </c>
      <c r="T1106" s="24">
        <f>VLOOKUP(M1106, KM!$A:$E, 5, 0)</f>
        <v>408</v>
      </c>
      <c r="U1106" s="24">
        <f>VLOOKUP(N1106, KM!$A:$E, 5, 0)</f>
        <v>3971</v>
      </c>
      <c r="V1106" s="24">
        <f>VLOOKUP(H1106, IMPOSTO!$A:$D, 4, 0)</f>
        <v>0.18</v>
      </c>
      <c r="W1106" s="24">
        <f>VLOOKUP(I1106, IMPOSTO!$A:$D, 4, 0)</f>
        <v>0.12</v>
      </c>
      <c r="X1106" s="24">
        <f>VLOOKUP(J1106, IMPOSTO!$A:$D, 4, 0)</f>
        <v>7.0000000000000007E-2</v>
      </c>
      <c r="Y1106" s="24">
        <f>VLOOKUP(K1106, IMPOSTO!$A:$D, 4, 0)</f>
        <v>0.12</v>
      </c>
      <c r="Z1106" s="24">
        <f>VLOOKUP(L1106, IMPOSTO!$A:$D, 4, 0)</f>
        <v>0.12</v>
      </c>
      <c r="AA1106" s="24">
        <f>VLOOKUP(M1106, IMPOSTO!$A:$D, 4, 0)</f>
        <v>0.12</v>
      </c>
      <c r="AB1106" s="24">
        <f>VLOOKUP(N1106, IMPOSTO!$A:$D, 4, 0)</f>
        <v>7.0000000000000007E-2</v>
      </c>
      <c r="AC1106" s="25">
        <f t="shared" si="154"/>
        <v>123298.34926829269</v>
      </c>
      <c r="AD1106" s="25">
        <f t="shared" si="155"/>
        <v>114958.23454545457</v>
      </c>
      <c r="AE1106" s="25">
        <f t="shared" si="156"/>
        <v>108809.51225806454</v>
      </c>
      <c r="AF1106" s="25">
        <f t="shared" si="157"/>
        <v>114971.75727272729</v>
      </c>
      <c r="AG1106" s="25">
        <f t="shared" si="158"/>
        <v>114940.39363636365</v>
      </c>
      <c r="AH1106" s="25">
        <f t="shared" si="159"/>
        <v>114938.00727272729</v>
      </c>
      <c r="AI1106" s="25">
        <f t="shared" si="160"/>
        <v>109141.66279569895</v>
      </c>
    </row>
    <row r="1107" spans="1:35" ht="15.75" customHeight="1">
      <c r="A1107" s="12" t="s">
        <v>833</v>
      </c>
      <c r="B1107" s="12" t="s">
        <v>834</v>
      </c>
      <c r="C1107" s="12" t="s">
        <v>89</v>
      </c>
      <c r="D1107" s="12" t="s">
        <v>33</v>
      </c>
      <c r="E1107" s="12" t="s">
        <v>23</v>
      </c>
      <c r="F1107" s="13">
        <v>5245.9008000000003</v>
      </c>
      <c r="G1107" s="14">
        <v>453372.06170460751</v>
      </c>
      <c r="H1107" s="24" t="str">
        <f t="shared" si="163"/>
        <v>SPSP</v>
      </c>
      <c r="I1107" s="24" t="str">
        <f t="shared" si="162"/>
        <v>SPMG</v>
      </c>
      <c r="J1107" s="24" t="str">
        <f t="shared" si="162"/>
        <v>SPES</v>
      </c>
      <c r="K1107" s="24" t="str">
        <f t="shared" si="162"/>
        <v>SPSC</v>
      </c>
      <c r="L1107" s="24" t="str">
        <f t="shared" si="162"/>
        <v>SPRJ</v>
      </c>
      <c r="M1107" s="24" t="str">
        <f t="shared" si="162"/>
        <v>SPPR</v>
      </c>
      <c r="N1107" s="24" t="str">
        <f t="shared" si="162"/>
        <v>SPAM</v>
      </c>
      <c r="O1107" s="24">
        <f>VLOOKUP(H1107, KM!$A:$E, 5, 0)</f>
        <v>0</v>
      </c>
      <c r="P1107" s="24">
        <f>VLOOKUP(I1107, KM!$A:$E, 5, 0)</f>
        <v>586</v>
      </c>
      <c r="Q1107" s="24">
        <f>VLOOKUP(J1107, KM!$A:$E, 5, 0)</f>
        <v>882</v>
      </c>
      <c r="R1107" s="24">
        <f>VLOOKUP(K1107, KM!$A:$E, 5, 0)</f>
        <v>705</v>
      </c>
      <c r="S1107" s="24">
        <f>VLOOKUP(L1107, KM!$A:$E, 5, 0)</f>
        <v>429</v>
      </c>
      <c r="T1107" s="24">
        <f>VLOOKUP(M1107, KM!$A:$E, 5, 0)</f>
        <v>408</v>
      </c>
      <c r="U1107" s="24">
        <f>VLOOKUP(N1107, KM!$A:$E, 5, 0)</f>
        <v>3971</v>
      </c>
      <c r="V1107" s="24">
        <f>VLOOKUP(H1107, IMPOSTO!$A:$D, 4, 0)</f>
        <v>0.18</v>
      </c>
      <c r="W1107" s="24">
        <f>VLOOKUP(I1107, IMPOSTO!$A:$D, 4, 0)</f>
        <v>0.12</v>
      </c>
      <c r="X1107" s="24">
        <f>VLOOKUP(J1107, IMPOSTO!$A:$D, 4, 0)</f>
        <v>7.0000000000000007E-2</v>
      </c>
      <c r="Y1107" s="24">
        <f>VLOOKUP(K1107, IMPOSTO!$A:$D, 4, 0)</f>
        <v>0.12</v>
      </c>
      <c r="Z1107" s="24">
        <f>VLOOKUP(L1107, IMPOSTO!$A:$D, 4, 0)</f>
        <v>0.12</v>
      </c>
      <c r="AA1107" s="24">
        <f>VLOOKUP(M1107, IMPOSTO!$A:$D, 4, 0)</f>
        <v>0.12</v>
      </c>
      <c r="AB1107" s="24">
        <f>VLOOKUP(N1107, IMPOSTO!$A:$D, 4, 0)</f>
        <v>7.0000000000000007E-2</v>
      </c>
      <c r="AC1107" s="25">
        <f t="shared" ref="AC1107:AC1170" si="164">($G1107 + O1107 * $AE$5) / (1 - V1107)</f>
        <v>552892.75817635062</v>
      </c>
      <c r="AD1107" s="25">
        <f t="shared" ref="AD1107:AD1170" si="165">($G1107 + P1107 * $AE$5) / (1 - W1107)</f>
        <v>515262.11557341757</v>
      </c>
      <c r="AE1107" s="25">
        <f t="shared" ref="AE1107:AE1170" si="166">($G1107 + Q1107 * $AE$5) / (1 - X1107)</f>
        <v>487591.67925226619</v>
      </c>
      <c r="AF1107" s="25">
        <f t="shared" ref="AF1107:AF1170" si="167">($G1107 + R1107 * $AE$5) / (1 - Y1107)</f>
        <v>515275.63830069033</v>
      </c>
      <c r="AG1107" s="25">
        <f t="shared" ref="AG1107:AG1170" si="168">($G1107 + S1107 * $AE$5) / (1 - Z1107)</f>
        <v>515244.27466432675</v>
      </c>
      <c r="AH1107" s="25">
        <f t="shared" ref="AH1107:AH1170" si="169">($G1107 + T1107 * $AE$5) / (1 - AA1107)</f>
        <v>515241.88830069033</v>
      </c>
      <c r="AI1107" s="25">
        <f t="shared" ref="AI1107:AI1170" si="170">($G1107 + U1107 * $AE$5) / (1 - AB1107)</f>
        <v>487923.82978990057</v>
      </c>
    </row>
    <row r="1108" spans="1:35" ht="15.75" customHeight="1">
      <c r="A1108" s="12" t="s">
        <v>835</v>
      </c>
      <c r="B1108" s="12" t="s">
        <v>836</v>
      </c>
      <c r="C1108" s="12" t="s">
        <v>296</v>
      </c>
      <c r="D1108" s="12" t="s">
        <v>33</v>
      </c>
      <c r="E1108" s="12" t="s">
        <v>23</v>
      </c>
      <c r="F1108" s="13">
        <v>17</v>
      </c>
      <c r="G1108" s="14">
        <v>5814.9418000000005</v>
      </c>
      <c r="H1108" s="24" t="str">
        <f t="shared" si="163"/>
        <v>SPSP</v>
      </c>
      <c r="I1108" s="24" t="str">
        <f t="shared" si="162"/>
        <v>SPMG</v>
      </c>
      <c r="J1108" s="24" t="str">
        <f t="shared" si="162"/>
        <v>SPES</v>
      </c>
      <c r="K1108" s="24" t="str">
        <f t="shared" si="162"/>
        <v>SPSC</v>
      </c>
      <c r="L1108" s="24" t="str">
        <f t="shared" si="162"/>
        <v>SPRJ</v>
      </c>
      <c r="M1108" s="24" t="str">
        <f t="shared" si="162"/>
        <v>SPPR</v>
      </c>
      <c r="N1108" s="24" t="str">
        <f t="shared" si="162"/>
        <v>SPAM</v>
      </c>
      <c r="O1108" s="24">
        <f>VLOOKUP(H1108, KM!$A:$E, 5, 0)</f>
        <v>0</v>
      </c>
      <c r="P1108" s="24">
        <f>VLOOKUP(I1108, KM!$A:$E, 5, 0)</f>
        <v>586</v>
      </c>
      <c r="Q1108" s="24">
        <f>VLOOKUP(J1108, KM!$A:$E, 5, 0)</f>
        <v>882</v>
      </c>
      <c r="R1108" s="24">
        <f>VLOOKUP(K1108, KM!$A:$E, 5, 0)</f>
        <v>705</v>
      </c>
      <c r="S1108" s="24">
        <f>VLOOKUP(L1108, KM!$A:$E, 5, 0)</f>
        <v>429</v>
      </c>
      <c r="T1108" s="24">
        <f>VLOOKUP(M1108, KM!$A:$E, 5, 0)</f>
        <v>408</v>
      </c>
      <c r="U1108" s="24">
        <f>VLOOKUP(N1108, KM!$A:$E, 5, 0)</f>
        <v>3971</v>
      </c>
      <c r="V1108" s="24">
        <f>VLOOKUP(H1108, IMPOSTO!$A:$D, 4, 0)</f>
        <v>0.18</v>
      </c>
      <c r="W1108" s="24">
        <f>VLOOKUP(I1108, IMPOSTO!$A:$D, 4, 0)</f>
        <v>0.12</v>
      </c>
      <c r="X1108" s="24">
        <f>VLOOKUP(J1108, IMPOSTO!$A:$D, 4, 0)</f>
        <v>7.0000000000000007E-2</v>
      </c>
      <c r="Y1108" s="24">
        <f>VLOOKUP(K1108, IMPOSTO!$A:$D, 4, 0)</f>
        <v>0.12</v>
      </c>
      <c r="Z1108" s="24">
        <f>VLOOKUP(L1108, IMPOSTO!$A:$D, 4, 0)</f>
        <v>0.12</v>
      </c>
      <c r="AA1108" s="24">
        <f>VLOOKUP(M1108, IMPOSTO!$A:$D, 4, 0)</f>
        <v>0.12</v>
      </c>
      <c r="AB1108" s="24">
        <f>VLOOKUP(N1108, IMPOSTO!$A:$D, 4, 0)</f>
        <v>7.0000000000000007E-2</v>
      </c>
      <c r="AC1108" s="25">
        <f t="shared" si="164"/>
        <v>7091.3924390243901</v>
      </c>
      <c r="AD1108" s="25">
        <f t="shared" si="165"/>
        <v>6674.4793181818195</v>
      </c>
      <c r="AE1108" s="25">
        <f t="shared" si="166"/>
        <v>6347.4643010752698</v>
      </c>
      <c r="AF1108" s="25">
        <f t="shared" si="167"/>
        <v>6688.0020454545456</v>
      </c>
      <c r="AG1108" s="25">
        <f t="shared" si="168"/>
        <v>6656.6384090909096</v>
      </c>
      <c r="AH1108" s="25">
        <f t="shared" si="169"/>
        <v>6654.2520454545465</v>
      </c>
      <c r="AI1108" s="25">
        <f t="shared" si="170"/>
        <v>6679.6148387096791</v>
      </c>
    </row>
    <row r="1109" spans="1:35" ht="15.75" customHeight="1">
      <c r="A1109" s="12" t="s">
        <v>837</v>
      </c>
      <c r="B1109" s="12" t="s">
        <v>838</v>
      </c>
      <c r="C1109" s="12" t="s">
        <v>223</v>
      </c>
      <c r="D1109" s="12" t="s">
        <v>50</v>
      </c>
      <c r="E1109" s="12" t="s">
        <v>23</v>
      </c>
      <c r="F1109" s="13">
        <v>1</v>
      </c>
      <c r="G1109" s="14">
        <v>168.745</v>
      </c>
      <c r="H1109" s="24" t="str">
        <f t="shared" si="163"/>
        <v>SPSP</v>
      </c>
      <c r="I1109" s="24" t="str">
        <f t="shared" si="162"/>
        <v>SPMG</v>
      </c>
      <c r="J1109" s="24" t="str">
        <f t="shared" si="162"/>
        <v>SPES</v>
      </c>
      <c r="K1109" s="24" t="str">
        <f t="shared" si="162"/>
        <v>SPSC</v>
      </c>
      <c r="L1109" s="24" t="str">
        <f t="shared" si="162"/>
        <v>SPRJ</v>
      </c>
      <c r="M1109" s="24" t="str">
        <f t="shared" si="162"/>
        <v>SPPR</v>
      </c>
      <c r="N1109" s="24" t="str">
        <f t="shared" si="162"/>
        <v>SPAM</v>
      </c>
      <c r="O1109" s="24">
        <f>VLOOKUP(H1109, KM!$A:$E, 5, 0)</f>
        <v>0</v>
      </c>
      <c r="P1109" s="24">
        <f>VLOOKUP(I1109, KM!$A:$E, 5, 0)</f>
        <v>586</v>
      </c>
      <c r="Q1109" s="24">
        <f>VLOOKUP(J1109, KM!$A:$E, 5, 0)</f>
        <v>882</v>
      </c>
      <c r="R1109" s="24">
        <f>VLOOKUP(K1109, KM!$A:$E, 5, 0)</f>
        <v>705</v>
      </c>
      <c r="S1109" s="24">
        <f>VLOOKUP(L1109, KM!$A:$E, 5, 0)</f>
        <v>429</v>
      </c>
      <c r="T1109" s="24">
        <f>VLOOKUP(M1109, KM!$A:$E, 5, 0)</f>
        <v>408</v>
      </c>
      <c r="U1109" s="24">
        <f>VLOOKUP(N1109, KM!$A:$E, 5, 0)</f>
        <v>3971</v>
      </c>
      <c r="V1109" s="24">
        <f>VLOOKUP(H1109, IMPOSTO!$A:$D, 4, 0)</f>
        <v>0.18</v>
      </c>
      <c r="W1109" s="24">
        <f>VLOOKUP(I1109, IMPOSTO!$A:$D, 4, 0)</f>
        <v>0.12</v>
      </c>
      <c r="X1109" s="24">
        <f>VLOOKUP(J1109, IMPOSTO!$A:$D, 4, 0)</f>
        <v>7.0000000000000007E-2</v>
      </c>
      <c r="Y1109" s="24">
        <f>VLOOKUP(K1109, IMPOSTO!$A:$D, 4, 0)</f>
        <v>0.12</v>
      </c>
      <c r="Z1109" s="24">
        <f>VLOOKUP(L1109, IMPOSTO!$A:$D, 4, 0)</f>
        <v>0.12</v>
      </c>
      <c r="AA1109" s="24">
        <f>VLOOKUP(M1109, IMPOSTO!$A:$D, 4, 0)</f>
        <v>0.12</v>
      </c>
      <c r="AB1109" s="24">
        <f>VLOOKUP(N1109, IMPOSTO!$A:$D, 4, 0)</f>
        <v>7.0000000000000007E-2</v>
      </c>
      <c r="AC1109" s="25">
        <f t="shared" si="164"/>
        <v>205.78658536585365</v>
      </c>
      <c r="AD1109" s="25">
        <f t="shared" si="165"/>
        <v>258.34659090909088</v>
      </c>
      <c r="AE1109" s="25">
        <f t="shared" si="166"/>
        <v>276.28494623655916</v>
      </c>
      <c r="AF1109" s="25">
        <f t="shared" si="167"/>
        <v>271.86931818181819</v>
      </c>
      <c r="AG1109" s="25">
        <f t="shared" si="168"/>
        <v>240.50568181818184</v>
      </c>
      <c r="AH1109" s="25">
        <f t="shared" si="169"/>
        <v>238.11931818181819</v>
      </c>
      <c r="AI1109" s="25">
        <f t="shared" si="170"/>
        <v>608.4354838709678</v>
      </c>
    </row>
    <row r="1110" spans="1:35" ht="15.75" customHeight="1">
      <c r="A1110" s="12" t="s">
        <v>839</v>
      </c>
      <c r="B1110" s="12" t="s">
        <v>840</v>
      </c>
      <c r="C1110" s="12" t="s">
        <v>192</v>
      </c>
      <c r="D1110" s="12" t="s">
        <v>50</v>
      </c>
      <c r="E1110" s="12" t="s">
        <v>23</v>
      </c>
      <c r="F1110" s="13">
        <v>7.0000000000000009</v>
      </c>
      <c r="G1110" s="14">
        <v>400.85640000000001</v>
      </c>
      <c r="H1110" s="24" t="str">
        <f t="shared" si="163"/>
        <v>SPSP</v>
      </c>
      <c r="I1110" s="24" t="str">
        <f t="shared" si="162"/>
        <v>SPMG</v>
      </c>
      <c r="J1110" s="24" t="str">
        <f t="shared" si="162"/>
        <v>SPES</v>
      </c>
      <c r="K1110" s="24" t="str">
        <f t="shared" si="162"/>
        <v>SPSC</v>
      </c>
      <c r="L1110" s="24" t="str">
        <f t="shared" si="162"/>
        <v>SPRJ</v>
      </c>
      <c r="M1110" s="24" t="str">
        <f t="shared" si="162"/>
        <v>SPPR</v>
      </c>
      <c r="N1110" s="24" t="str">
        <f t="shared" si="162"/>
        <v>SPAM</v>
      </c>
      <c r="O1110" s="24">
        <f>VLOOKUP(H1110, KM!$A:$E, 5, 0)</f>
        <v>0</v>
      </c>
      <c r="P1110" s="24">
        <f>VLOOKUP(I1110, KM!$A:$E, 5, 0)</f>
        <v>586</v>
      </c>
      <c r="Q1110" s="24">
        <f>VLOOKUP(J1110, KM!$A:$E, 5, 0)</f>
        <v>882</v>
      </c>
      <c r="R1110" s="24">
        <f>VLOOKUP(K1110, KM!$A:$E, 5, 0)</f>
        <v>705</v>
      </c>
      <c r="S1110" s="24">
        <f>VLOOKUP(L1110, KM!$A:$E, 5, 0)</f>
        <v>429</v>
      </c>
      <c r="T1110" s="24">
        <f>VLOOKUP(M1110, KM!$A:$E, 5, 0)</f>
        <v>408</v>
      </c>
      <c r="U1110" s="24">
        <f>VLOOKUP(N1110, KM!$A:$E, 5, 0)</f>
        <v>3971</v>
      </c>
      <c r="V1110" s="24">
        <f>VLOOKUP(H1110, IMPOSTO!$A:$D, 4, 0)</f>
        <v>0.18</v>
      </c>
      <c r="W1110" s="24">
        <f>VLOOKUP(I1110, IMPOSTO!$A:$D, 4, 0)</f>
        <v>0.12</v>
      </c>
      <c r="X1110" s="24">
        <f>VLOOKUP(J1110, IMPOSTO!$A:$D, 4, 0)</f>
        <v>7.0000000000000007E-2</v>
      </c>
      <c r="Y1110" s="24">
        <f>VLOOKUP(K1110, IMPOSTO!$A:$D, 4, 0)</f>
        <v>0.12</v>
      </c>
      <c r="Z1110" s="24">
        <f>VLOOKUP(L1110, IMPOSTO!$A:$D, 4, 0)</f>
        <v>0.12</v>
      </c>
      <c r="AA1110" s="24">
        <f>VLOOKUP(M1110, IMPOSTO!$A:$D, 4, 0)</f>
        <v>0.12</v>
      </c>
      <c r="AB1110" s="24">
        <f>VLOOKUP(N1110, IMPOSTO!$A:$D, 4, 0)</f>
        <v>7.0000000000000007E-2</v>
      </c>
      <c r="AC1110" s="25">
        <f t="shared" si="164"/>
        <v>488.84926829268289</v>
      </c>
      <c r="AD1110" s="25">
        <f t="shared" si="165"/>
        <v>522.10954545454547</v>
      </c>
      <c r="AE1110" s="25">
        <f t="shared" si="166"/>
        <v>525.86709677419356</v>
      </c>
      <c r="AF1110" s="25">
        <f t="shared" si="167"/>
        <v>535.63227272727272</v>
      </c>
      <c r="AG1110" s="25">
        <f t="shared" si="168"/>
        <v>504.26863636363635</v>
      </c>
      <c r="AH1110" s="25">
        <f t="shared" si="169"/>
        <v>501.88227272727272</v>
      </c>
      <c r="AI1110" s="25">
        <f t="shared" si="170"/>
        <v>858.01763440860225</v>
      </c>
    </row>
    <row r="1111" spans="1:35" ht="15.75" customHeight="1">
      <c r="A1111" s="12" t="s">
        <v>841</v>
      </c>
      <c r="B1111" s="12" t="s">
        <v>842</v>
      </c>
      <c r="C1111" s="12" t="s">
        <v>192</v>
      </c>
      <c r="D1111" s="12" t="s">
        <v>50</v>
      </c>
      <c r="E1111" s="12" t="s">
        <v>23</v>
      </c>
      <c r="F1111" s="13">
        <v>146.85505882352942</v>
      </c>
      <c r="G1111" s="14">
        <v>2888.3662762352938</v>
      </c>
      <c r="H1111" s="24" t="str">
        <f t="shared" si="163"/>
        <v>SPSP</v>
      </c>
      <c r="I1111" s="24" t="str">
        <f t="shared" si="162"/>
        <v>SPMG</v>
      </c>
      <c r="J1111" s="24" t="str">
        <f t="shared" si="162"/>
        <v>SPES</v>
      </c>
      <c r="K1111" s="24" t="str">
        <f t="shared" si="162"/>
        <v>SPSC</v>
      </c>
      <c r="L1111" s="24" t="str">
        <f t="shared" si="162"/>
        <v>SPRJ</v>
      </c>
      <c r="M1111" s="24" t="str">
        <f t="shared" si="162"/>
        <v>SPPR</v>
      </c>
      <c r="N1111" s="24" t="str">
        <f t="shared" si="162"/>
        <v>SPAM</v>
      </c>
      <c r="O1111" s="24">
        <f>VLOOKUP(H1111, KM!$A:$E, 5, 0)</f>
        <v>0</v>
      </c>
      <c r="P1111" s="24">
        <f>VLOOKUP(I1111, KM!$A:$E, 5, 0)</f>
        <v>586</v>
      </c>
      <c r="Q1111" s="24">
        <f>VLOOKUP(J1111, KM!$A:$E, 5, 0)</f>
        <v>882</v>
      </c>
      <c r="R1111" s="24">
        <f>VLOOKUP(K1111, KM!$A:$E, 5, 0)</f>
        <v>705</v>
      </c>
      <c r="S1111" s="24">
        <f>VLOOKUP(L1111, KM!$A:$E, 5, 0)</f>
        <v>429</v>
      </c>
      <c r="T1111" s="24">
        <f>VLOOKUP(M1111, KM!$A:$E, 5, 0)</f>
        <v>408</v>
      </c>
      <c r="U1111" s="24">
        <f>VLOOKUP(N1111, KM!$A:$E, 5, 0)</f>
        <v>3971</v>
      </c>
      <c r="V1111" s="24">
        <f>VLOOKUP(H1111, IMPOSTO!$A:$D, 4, 0)</f>
        <v>0.18</v>
      </c>
      <c r="W1111" s="24">
        <f>VLOOKUP(I1111, IMPOSTO!$A:$D, 4, 0)</f>
        <v>0.12</v>
      </c>
      <c r="X1111" s="24">
        <f>VLOOKUP(J1111, IMPOSTO!$A:$D, 4, 0)</f>
        <v>7.0000000000000007E-2</v>
      </c>
      <c r="Y1111" s="24">
        <f>VLOOKUP(K1111, IMPOSTO!$A:$D, 4, 0)</f>
        <v>0.12</v>
      </c>
      <c r="Z1111" s="24">
        <f>VLOOKUP(L1111, IMPOSTO!$A:$D, 4, 0)</f>
        <v>0.12</v>
      </c>
      <c r="AA1111" s="24">
        <f>VLOOKUP(M1111, IMPOSTO!$A:$D, 4, 0)</f>
        <v>0.12</v>
      </c>
      <c r="AB1111" s="24">
        <f>VLOOKUP(N1111, IMPOSTO!$A:$D, 4, 0)</f>
        <v>7.0000000000000007E-2</v>
      </c>
      <c r="AC1111" s="25">
        <f t="shared" si="164"/>
        <v>3522.397897847919</v>
      </c>
      <c r="AD1111" s="25">
        <f t="shared" si="165"/>
        <v>3348.8253139037429</v>
      </c>
      <c r="AE1111" s="25">
        <f t="shared" si="166"/>
        <v>3200.6088991777351</v>
      </c>
      <c r="AF1111" s="25">
        <f t="shared" si="167"/>
        <v>3362.3480411764704</v>
      </c>
      <c r="AG1111" s="25">
        <f t="shared" si="168"/>
        <v>3330.9844048128339</v>
      </c>
      <c r="AH1111" s="25">
        <f t="shared" si="169"/>
        <v>3328.5980411764704</v>
      </c>
      <c r="AI1111" s="25">
        <f t="shared" si="170"/>
        <v>3532.759436812144</v>
      </c>
    </row>
    <row r="1112" spans="1:35" ht="15.75" customHeight="1">
      <c r="A1112" s="12" t="s">
        <v>843</v>
      </c>
      <c r="B1112" s="12" t="s">
        <v>844</v>
      </c>
      <c r="C1112" s="12" t="s">
        <v>192</v>
      </c>
      <c r="D1112" s="12" t="s">
        <v>50</v>
      </c>
      <c r="E1112" s="12" t="s">
        <v>23</v>
      </c>
      <c r="F1112" s="13">
        <v>341</v>
      </c>
      <c r="G1112" s="14">
        <v>10212.625878460363</v>
      </c>
      <c r="H1112" s="24" t="str">
        <f t="shared" si="163"/>
        <v>SPSP</v>
      </c>
      <c r="I1112" s="24" t="str">
        <f t="shared" si="162"/>
        <v>SPMG</v>
      </c>
      <c r="J1112" s="24" t="str">
        <f t="shared" si="162"/>
        <v>SPES</v>
      </c>
      <c r="K1112" s="24" t="str">
        <f t="shared" si="162"/>
        <v>SPSC</v>
      </c>
      <c r="L1112" s="24" t="str">
        <f t="shared" si="162"/>
        <v>SPRJ</v>
      </c>
      <c r="M1112" s="24" t="str">
        <f t="shared" si="162"/>
        <v>SPPR</v>
      </c>
      <c r="N1112" s="24" t="str">
        <f t="shared" si="162"/>
        <v>SPAM</v>
      </c>
      <c r="O1112" s="24">
        <f>VLOOKUP(H1112, KM!$A:$E, 5, 0)</f>
        <v>0</v>
      </c>
      <c r="P1112" s="24">
        <f>VLOOKUP(I1112, KM!$A:$E, 5, 0)</f>
        <v>586</v>
      </c>
      <c r="Q1112" s="24">
        <f>VLOOKUP(J1112, KM!$A:$E, 5, 0)</f>
        <v>882</v>
      </c>
      <c r="R1112" s="24">
        <f>VLOOKUP(K1112, KM!$A:$E, 5, 0)</f>
        <v>705</v>
      </c>
      <c r="S1112" s="24">
        <f>VLOOKUP(L1112, KM!$A:$E, 5, 0)</f>
        <v>429</v>
      </c>
      <c r="T1112" s="24">
        <f>VLOOKUP(M1112, KM!$A:$E, 5, 0)</f>
        <v>408</v>
      </c>
      <c r="U1112" s="24">
        <f>VLOOKUP(N1112, KM!$A:$E, 5, 0)</f>
        <v>3971</v>
      </c>
      <c r="V1112" s="24">
        <f>VLOOKUP(H1112, IMPOSTO!$A:$D, 4, 0)</f>
        <v>0.18</v>
      </c>
      <c r="W1112" s="24">
        <f>VLOOKUP(I1112, IMPOSTO!$A:$D, 4, 0)</f>
        <v>0.12</v>
      </c>
      <c r="X1112" s="24">
        <f>VLOOKUP(J1112, IMPOSTO!$A:$D, 4, 0)</f>
        <v>7.0000000000000007E-2</v>
      </c>
      <c r="Y1112" s="24">
        <f>VLOOKUP(K1112, IMPOSTO!$A:$D, 4, 0)</f>
        <v>0.12</v>
      </c>
      <c r="Z1112" s="24">
        <f>VLOOKUP(L1112, IMPOSTO!$A:$D, 4, 0)</f>
        <v>0.12</v>
      </c>
      <c r="AA1112" s="24">
        <f>VLOOKUP(M1112, IMPOSTO!$A:$D, 4, 0)</f>
        <v>0.12</v>
      </c>
      <c r="AB1112" s="24">
        <f>VLOOKUP(N1112, IMPOSTO!$A:$D, 4, 0)</f>
        <v>7.0000000000000007E-2</v>
      </c>
      <c r="AC1112" s="25">
        <f t="shared" si="164"/>
        <v>12454.421803000441</v>
      </c>
      <c r="AD1112" s="25">
        <f t="shared" si="165"/>
        <v>11671.847589159504</v>
      </c>
      <c r="AE1112" s="25">
        <f t="shared" si="166"/>
        <v>11076.156858559532</v>
      </c>
      <c r="AF1112" s="25">
        <f t="shared" si="167"/>
        <v>11685.370316432231</v>
      </c>
      <c r="AG1112" s="25">
        <f t="shared" si="168"/>
        <v>11654.006680068595</v>
      </c>
      <c r="AH1112" s="25">
        <f t="shared" si="169"/>
        <v>11651.620316432231</v>
      </c>
      <c r="AI1112" s="25">
        <f t="shared" si="170"/>
        <v>11408.307396193941</v>
      </c>
    </row>
    <row r="1113" spans="1:35" ht="15.75" customHeight="1">
      <c r="A1113" s="12" t="s">
        <v>845</v>
      </c>
      <c r="B1113" s="12" t="s">
        <v>846</v>
      </c>
      <c r="C1113" s="12" t="s">
        <v>296</v>
      </c>
      <c r="D1113" s="12" t="s">
        <v>33</v>
      </c>
      <c r="E1113" s="12" t="s">
        <v>23</v>
      </c>
      <c r="F1113" s="13">
        <v>5.764288955168098</v>
      </c>
      <c r="G1113" s="14">
        <v>69.154474222380557</v>
      </c>
      <c r="H1113" s="24" t="str">
        <f t="shared" si="163"/>
        <v>SPSP</v>
      </c>
      <c r="I1113" s="24" t="str">
        <f t="shared" si="162"/>
        <v>SPMG</v>
      </c>
      <c r="J1113" s="24" t="str">
        <f t="shared" si="162"/>
        <v>SPES</v>
      </c>
      <c r="K1113" s="24" t="str">
        <f t="shared" si="162"/>
        <v>SPSC</v>
      </c>
      <c r="L1113" s="24" t="str">
        <f t="shared" si="162"/>
        <v>SPRJ</v>
      </c>
      <c r="M1113" s="24" t="str">
        <f t="shared" si="162"/>
        <v>SPPR</v>
      </c>
      <c r="N1113" s="24" t="str">
        <f t="shared" si="162"/>
        <v>SPAM</v>
      </c>
      <c r="O1113" s="24">
        <f>VLOOKUP(H1113, KM!$A:$E, 5, 0)</f>
        <v>0</v>
      </c>
      <c r="P1113" s="24">
        <f>VLOOKUP(I1113, KM!$A:$E, 5, 0)</f>
        <v>586</v>
      </c>
      <c r="Q1113" s="24">
        <f>VLOOKUP(J1113, KM!$A:$E, 5, 0)</f>
        <v>882</v>
      </c>
      <c r="R1113" s="24">
        <f>VLOOKUP(K1113, KM!$A:$E, 5, 0)</f>
        <v>705</v>
      </c>
      <c r="S1113" s="24">
        <f>VLOOKUP(L1113, KM!$A:$E, 5, 0)</f>
        <v>429</v>
      </c>
      <c r="T1113" s="24">
        <f>VLOOKUP(M1113, KM!$A:$E, 5, 0)</f>
        <v>408</v>
      </c>
      <c r="U1113" s="24">
        <f>VLOOKUP(N1113, KM!$A:$E, 5, 0)</f>
        <v>3971</v>
      </c>
      <c r="V1113" s="24">
        <f>VLOOKUP(H1113, IMPOSTO!$A:$D, 4, 0)</f>
        <v>0.18</v>
      </c>
      <c r="W1113" s="24">
        <f>VLOOKUP(I1113, IMPOSTO!$A:$D, 4, 0)</f>
        <v>0.12</v>
      </c>
      <c r="X1113" s="24">
        <f>VLOOKUP(J1113, IMPOSTO!$A:$D, 4, 0)</f>
        <v>7.0000000000000007E-2</v>
      </c>
      <c r="Y1113" s="24">
        <f>VLOOKUP(K1113, IMPOSTO!$A:$D, 4, 0)</f>
        <v>0.12</v>
      </c>
      <c r="Z1113" s="24">
        <f>VLOOKUP(L1113, IMPOSTO!$A:$D, 4, 0)</f>
        <v>0.12</v>
      </c>
      <c r="AA1113" s="24">
        <f>VLOOKUP(M1113, IMPOSTO!$A:$D, 4, 0)</f>
        <v>0.12</v>
      </c>
      <c r="AB1113" s="24">
        <f>VLOOKUP(N1113, IMPOSTO!$A:$D, 4, 0)</f>
        <v>7.0000000000000007E-2</v>
      </c>
      <c r="AC1113" s="25">
        <f t="shared" si="164"/>
        <v>84.334724661439694</v>
      </c>
      <c r="AD1113" s="25">
        <f t="shared" si="165"/>
        <v>145.17553888906883</v>
      </c>
      <c r="AE1113" s="25">
        <f t="shared" si="166"/>
        <v>169.19835937890383</v>
      </c>
      <c r="AF1113" s="25">
        <f t="shared" si="167"/>
        <v>158.69826616179608</v>
      </c>
      <c r="AG1113" s="25">
        <f t="shared" si="168"/>
        <v>127.33462979815972</v>
      </c>
      <c r="AH1113" s="25">
        <f t="shared" si="169"/>
        <v>124.94826616179608</v>
      </c>
      <c r="AI1113" s="25">
        <f t="shared" si="170"/>
        <v>501.34889701331247</v>
      </c>
    </row>
    <row r="1114" spans="1:35" ht="15.75" customHeight="1">
      <c r="A1114" s="12" t="s">
        <v>117</v>
      </c>
      <c r="B1114" s="12" t="s">
        <v>118</v>
      </c>
      <c r="C1114" s="12" t="s">
        <v>119</v>
      </c>
      <c r="D1114" s="12" t="s">
        <v>33</v>
      </c>
      <c r="E1114" s="12" t="s">
        <v>23</v>
      </c>
      <c r="F1114" s="13">
        <v>490031.06631481764</v>
      </c>
      <c r="G1114" s="14">
        <v>850070.00644614652</v>
      </c>
      <c r="H1114" s="24" t="str">
        <f t="shared" si="163"/>
        <v>SPSP</v>
      </c>
      <c r="I1114" s="24" t="str">
        <f t="shared" si="162"/>
        <v>SPMG</v>
      </c>
      <c r="J1114" s="24" t="str">
        <f t="shared" si="162"/>
        <v>SPES</v>
      </c>
      <c r="K1114" s="24" t="str">
        <f t="shared" si="162"/>
        <v>SPSC</v>
      </c>
      <c r="L1114" s="24" t="str">
        <f t="shared" si="162"/>
        <v>SPRJ</v>
      </c>
      <c r="M1114" s="24" t="str">
        <f t="shared" si="162"/>
        <v>SPPR</v>
      </c>
      <c r="N1114" s="24" t="str">
        <f t="shared" si="162"/>
        <v>SPAM</v>
      </c>
      <c r="O1114" s="24">
        <f>VLOOKUP(H1114, KM!$A:$E, 5, 0)</f>
        <v>0</v>
      </c>
      <c r="P1114" s="24">
        <f>VLOOKUP(I1114, KM!$A:$E, 5, 0)</f>
        <v>586</v>
      </c>
      <c r="Q1114" s="24">
        <f>VLOOKUP(J1114, KM!$A:$E, 5, 0)</f>
        <v>882</v>
      </c>
      <c r="R1114" s="24">
        <f>VLOOKUP(K1114, KM!$A:$E, 5, 0)</f>
        <v>705</v>
      </c>
      <c r="S1114" s="24">
        <f>VLOOKUP(L1114, KM!$A:$E, 5, 0)</f>
        <v>429</v>
      </c>
      <c r="T1114" s="24">
        <f>VLOOKUP(M1114, KM!$A:$E, 5, 0)</f>
        <v>408</v>
      </c>
      <c r="U1114" s="24">
        <f>VLOOKUP(N1114, KM!$A:$E, 5, 0)</f>
        <v>3971</v>
      </c>
      <c r="V1114" s="24">
        <f>VLOOKUP(H1114, IMPOSTO!$A:$D, 4, 0)</f>
        <v>0.18</v>
      </c>
      <c r="W1114" s="24">
        <f>VLOOKUP(I1114, IMPOSTO!$A:$D, 4, 0)</f>
        <v>0.12</v>
      </c>
      <c r="X1114" s="24">
        <f>VLOOKUP(J1114, IMPOSTO!$A:$D, 4, 0)</f>
        <v>7.0000000000000007E-2</v>
      </c>
      <c r="Y1114" s="24">
        <f>VLOOKUP(K1114, IMPOSTO!$A:$D, 4, 0)</f>
        <v>0.12</v>
      </c>
      <c r="Z1114" s="24">
        <f>VLOOKUP(L1114, IMPOSTO!$A:$D, 4, 0)</f>
        <v>0.12</v>
      </c>
      <c r="AA1114" s="24">
        <f>VLOOKUP(M1114, IMPOSTO!$A:$D, 4, 0)</f>
        <v>0.12</v>
      </c>
      <c r="AB1114" s="24">
        <f>VLOOKUP(N1114, IMPOSTO!$A:$D, 4, 0)</f>
        <v>7.0000000000000007E-2</v>
      </c>
      <c r="AC1114" s="25">
        <f t="shared" si="164"/>
        <v>1036670.7395684713</v>
      </c>
      <c r="AD1114" s="25">
        <f t="shared" si="165"/>
        <v>966055.23459789378</v>
      </c>
      <c r="AE1114" s="25">
        <f t="shared" si="166"/>
        <v>914148.60908187798</v>
      </c>
      <c r="AF1114" s="25">
        <f t="shared" si="167"/>
        <v>966068.75732516649</v>
      </c>
      <c r="AG1114" s="25">
        <f t="shared" si="168"/>
        <v>966037.39368880284</v>
      </c>
      <c r="AH1114" s="25">
        <f t="shared" si="169"/>
        <v>966035.0073251666</v>
      </c>
      <c r="AI1114" s="25">
        <f t="shared" si="170"/>
        <v>914480.75961951248</v>
      </c>
    </row>
    <row r="1115" spans="1:35" ht="15.75" customHeight="1">
      <c r="A1115" s="12" t="s">
        <v>610</v>
      </c>
      <c r="B1115" s="12" t="s">
        <v>611</v>
      </c>
      <c r="C1115" s="12" t="s">
        <v>278</v>
      </c>
      <c r="D1115" s="12" t="s">
        <v>33</v>
      </c>
      <c r="E1115" s="12" t="s">
        <v>23</v>
      </c>
      <c r="F1115" s="13">
        <v>54869.230870146639</v>
      </c>
      <c r="G1115" s="14">
        <v>239688.86348315032</v>
      </c>
      <c r="H1115" s="24" t="str">
        <f t="shared" si="163"/>
        <v>SPSP</v>
      </c>
      <c r="I1115" s="24" t="str">
        <f t="shared" si="162"/>
        <v>SPMG</v>
      </c>
      <c r="J1115" s="24" t="str">
        <f t="shared" si="162"/>
        <v>SPES</v>
      </c>
      <c r="K1115" s="24" t="str">
        <f t="shared" si="162"/>
        <v>SPSC</v>
      </c>
      <c r="L1115" s="24" t="str">
        <f t="shared" si="162"/>
        <v>SPRJ</v>
      </c>
      <c r="M1115" s="24" t="str">
        <f t="shared" si="162"/>
        <v>SPPR</v>
      </c>
      <c r="N1115" s="24" t="str">
        <f t="shared" si="162"/>
        <v>SPAM</v>
      </c>
      <c r="O1115" s="24">
        <f>VLOOKUP(H1115, KM!$A:$E, 5, 0)</f>
        <v>0</v>
      </c>
      <c r="P1115" s="24">
        <f>VLOOKUP(I1115, KM!$A:$E, 5, 0)</f>
        <v>586</v>
      </c>
      <c r="Q1115" s="24">
        <f>VLOOKUP(J1115, KM!$A:$E, 5, 0)</f>
        <v>882</v>
      </c>
      <c r="R1115" s="24">
        <f>VLOOKUP(K1115, KM!$A:$E, 5, 0)</f>
        <v>705</v>
      </c>
      <c r="S1115" s="24">
        <f>VLOOKUP(L1115, KM!$A:$E, 5, 0)</f>
        <v>429</v>
      </c>
      <c r="T1115" s="24">
        <f>VLOOKUP(M1115, KM!$A:$E, 5, 0)</f>
        <v>408</v>
      </c>
      <c r="U1115" s="24">
        <f>VLOOKUP(N1115, KM!$A:$E, 5, 0)</f>
        <v>3971</v>
      </c>
      <c r="V1115" s="24">
        <f>VLOOKUP(H1115, IMPOSTO!$A:$D, 4, 0)</f>
        <v>0.18</v>
      </c>
      <c r="W1115" s="24">
        <f>VLOOKUP(I1115, IMPOSTO!$A:$D, 4, 0)</f>
        <v>0.12</v>
      </c>
      <c r="X1115" s="24">
        <f>VLOOKUP(J1115, IMPOSTO!$A:$D, 4, 0)</f>
        <v>7.0000000000000007E-2</v>
      </c>
      <c r="Y1115" s="24">
        <f>VLOOKUP(K1115, IMPOSTO!$A:$D, 4, 0)</f>
        <v>0.12</v>
      </c>
      <c r="Z1115" s="24">
        <f>VLOOKUP(L1115, IMPOSTO!$A:$D, 4, 0)</f>
        <v>0.12</v>
      </c>
      <c r="AA1115" s="24">
        <f>VLOOKUP(M1115, IMPOSTO!$A:$D, 4, 0)</f>
        <v>0.12</v>
      </c>
      <c r="AB1115" s="24">
        <f>VLOOKUP(N1115, IMPOSTO!$A:$D, 4, 0)</f>
        <v>7.0000000000000007E-2</v>
      </c>
      <c r="AC1115" s="25">
        <f t="shared" si="164"/>
        <v>292303.49205262231</v>
      </c>
      <c r="AD1115" s="25">
        <f t="shared" si="165"/>
        <v>272440.29941267084</v>
      </c>
      <c r="AE1115" s="25">
        <f t="shared" si="166"/>
        <v>257824.79944424768</v>
      </c>
      <c r="AF1115" s="25">
        <f t="shared" si="167"/>
        <v>272453.82213994354</v>
      </c>
      <c r="AG1115" s="25">
        <f t="shared" si="168"/>
        <v>272422.4585035799</v>
      </c>
      <c r="AH1115" s="25">
        <f t="shared" si="169"/>
        <v>272420.07213994354</v>
      </c>
      <c r="AI1115" s="25">
        <f t="shared" si="170"/>
        <v>258156.94998188209</v>
      </c>
    </row>
    <row r="1116" spans="1:35" ht="15.75" customHeight="1">
      <c r="A1116" s="12" t="s">
        <v>847</v>
      </c>
      <c r="B1116" s="12" t="s">
        <v>848</v>
      </c>
      <c r="C1116" s="12" t="s">
        <v>278</v>
      </c>
      <c r="D1116" s="12" t="s">
        <v>33</v>
      </c>
      <c r="E1116" s="12" t="s">
        <v>23</v>
      </c>
      <c r="F1116" s="13">
        <v>1.9184551724137935</v>
      </c>
      <c r="G1116" s="14">
        <v>4.7176978687430484</v>
      </c>
      <c r="H1116" s="24" t="str">
        <f t="shared" si="163"/>
        <v>SPSP</v>
      </c>
      <c r="I1116" s="24" t="str">
        <f t="shared" si="162"/>
        <v>SPMG</v>
      </c>
      <c r="J1116" s="24" t="str">
        <f t="shared" si="162"/>
        <v>SPES</v>
      </c>
      <c r="K1116" s="24" t="str">
        <f t="shared" si="162"/>
        <v>SPSC</v>
      </c>
      <c r="L1116" s="24" t="str">
        <f t="shared" si="162"/>
        <v>SPRJ</v>
      </c>
      <c r="M1116" s="24" t="str">
        <f t="shared" si="162"/>
        <v>SPPR</v>
      </c>
      <c r="N1116" s="24" t="str">
        <f t="shared" si="162"/>
        <v>SPAM</v>
      </c>
      <c r="O1116" s="24">
        <f>VLOOKUP(H1116, KM!$A:$E, 5, 0)</f>
        <v>0</v>
      </c>
      <c r="P1116" s="24">
        <f>VLOOKUP(I1116, KM!$A:$E, 5, 0)</f>
        <v>586</v>
      </c>
      <c r="Q1116" s="24">
        <f>VLOOKUP(J1116, KM!$A:$E, 5, 0)</f>
        <v>882</v>
      </c>
      <c r="R1116" s="24">
        <f>VLOOKUP(K1116, KM!$A:$E, 5, 0)</f>
        <v>705</v>
      </c>
      <c r="S1116" s="24">
        <f>VLOOKUP(L1116, KM!$A:$E, 5, 0)</f>
        <v>429</v>
      </c>
      <c r="T1116" s="24">
        <f>VLOOKUP(M1116, KM!$A:$E, 5, 0)</f>
        <v>408</v>
      </c>
      <c r="U1116" s="24">
        <f>VLOOKUP(N1116, KM!$A:$E, 5, 0)</f>
        <v>3971</v>
      </c>
      <c r="V1116" s="24">
        <f>VLOOKUP(H1116, IMPOSTO!$A:$D, 4, 0)</f>
        <v>0.18</v>
      </c>
      <c r="W1116" s="24">
        <f>VLOOKUP(I1116, IMPOSTO!$A:$D, 4, 0)</f>
        <v>0.12</v>
      </c>
      <c r="X1116" s="24">
        <f>VLOOKUP(J1116, IMPOSTO!$A:$D, 4, 0)</f>
        <v>7.0000000000000007E-2</v>
      </c>
      <c r="Y1116" s="24">
        <f>VLOOKUP(K1116, IMPOSTO!$A:$D, 4, 0)</f>
        <v>0.12</v>
      </c>
      <c r="Z1116" s="24">
        <f>VLOOKUP(L1116, IMPOSTO!$A:$D, 4, 0)</f>
        <v>0.12</v>
      </c>
      <c r="AA1116" s="24">
        <f>VLOOKUP(M1116, IMPOSTO!$A:$D, 4, 0)</f>
        <v>0.12</v>
      </c>
      <c r="AB1116" s="24">
        <f>VLOOKUP(N1116, IMPOSTO!$A:$D, 4, 0)</f>
        <v>7.0000000000000007E-2</v>
      </c>
      <c r="AC1116" s="25">
        <f t="shared" si="164"/>
        <v>5.7532900838329857</v>
      </c>
      <c r="AD1116" s="25">
        <f t="shared" si="165"/>
        <v>71.951929396298922</v>
      </c>
      <c r="AE1116" s="25">
        <f t="shared" si="166"/>
        <v>99.911503084669945</v>
      </c>
      <c r="AF1116" s="25">
        <f t="shared" si="167"/>
        <v>85.474656669026189</v>
      </c>
      <c r="AG1116" s="25">
        <f t="shared" si="168"/>
        <v>54.111020305389829</v>
      </c>
      <c r="AH1116" s="25">
        <f t="shared" si="169"/>
        <v>51.724656669026203</v>
      </c>
      <c r="AI1116" s="25">
        <f t="shared" si="170"/>
        <v>432.06204071907865</v>
      </c>
    </row>
    <row r="1117" spans="1:35" ht="15.75" customHeight="1">
      <c r="A1117" s="12" t="s">
        <v>263</v>
      </c>
      <c r="B1117" s="12" t="s">
        <v>264</v>
      </c>
      <c r="C1117" s="12" t="s">
        <v>265</v>
      </c>
      <c r="D1117" s="12" t="s">
        <v>50</v>
      </c>
      <c r="E1117" s="12" t="s">
        <v>23</v>
      </c>
      <c r="F1117" s="13">
        <v>1.4275816221322035</v>
      </c>
      <c r="G1117" s="14">
        <v>10.006674168382027</v>
      </c>
      <c r="H1117" s="24" t="str">
        <f t="shared" si="163"/>
        <v>SPSP</v>
      </c>
      <c r="I1117" s="24" t="str">
        <f t="shared" si="162"/>
        <v>SPMG</v>
      </c>
      <c r="J1117" s="24" t="str">
        <f t="shared" si="162"/>
        <v>SPES</v>
      </c>
      <c r="K1117" s="24" t="str">
        <f t="shared" si="162"/>
        <v>SPSC</v>
      </c>
      <c r="L1117" s="24" t="str">
        <f t="shared" si="162"/>
        <v>SPRJ</v>
      </c>
      <c r="M1117" s="24" t="str">
        <f t="shared" si="162"/>
        <v>SPPR</v>
      </c>
      <c r="N1117" s="24" t="str">
        <f t="shared" si="162"/>
        <v>SPAM</v>
      </c>
      <c r="O1117" s="24">
        <f>VLOOKUP(H1117, KM!$A:$E, 5, 0)</f>
        <v>0</v>
      </c>
      <c r="P1117" s="24">
        <f>VLOOKUP(I1117, KM!$A:$E, 5, 0)</f>
        <v>586</v>
      </c>
      <c r="Q1117" s="24">
        <f>VLOOKUP(J1117, KM!$A:$E, 5, 0)</f>
        <v>882</v>
      </c>
      <c r="R1117" s="24">
        <f>VLOOKUP(K1117, KM!$A:$E, 5, 0)</f>
        <v>705</v>
      </c>
      <c r="S1117" s="24">
        <f>VLOOKUP(L1117, KM!$A:$E, 5, 0)</f>
        <v>429</v>
      </c>
      <c r="T1117" s="24">
        <f>VLOOKUP(M1117, KM!$A:$E, 5, 0)</f>
        <v>408</v>
      </c>
      <c r="U1117" s="24">
        <f>VLOOKUP(N1117, KM!$A:$E, 5, 0)</f>
        <v>3971</v>
      </c>
      <c r="V1117" s="24">
        <f>VLOOKUP(H1117, IMPOSTO!$A:$D, 4, 0)</f>
        <v>0.18</v>
      </c>
      <c r="W1117" s="24">
        <f>VLOOKUP(I1117, IMPOSTO!$A:$D, 4, 0)</f>
        <v>0.12</v>
      </c>
      <c r="X1117" s="24">
        <f>VLOOKUP(J1117, IMPOSTO!$A:$D, 4, 0)</f>
        <v>7.0000000000000007E-2</v>
      </c>
      <c r="Y1117" s="24">
        <f>VLOOKUP(K1117, IMPOSTO!$A:$D, 4, 0)</f>
        <v>0.12</v>
      </c>
      <c r="Z1117" s="24">
        <f>VLOOKUP(L1117, IMPOSTO!$A:$D, 4, 0)</f>
        <v>0.12</v>
      </c>
      <c r="AA1117" s="24">
        <f>VLOOKUP(M1117, IMPOSTO!$A:$D, 4, 0)</f>
        <v>0.12</v>
      </c>
      <c r="AB1117" s="24">
        <f>VLOOKUP(N1117, IMPOSTO!$A:$D, 4, 0)</f>
        <v>7.0000000000000007E-2</v>
      </c>
      <c r="AC1117" s="25">
        <f t="shared" si="164"/>
        <v>12.203261180953691</v>
      </c>
      <c r="AD1117" s="25">
        <f t="shared" si="165"/>
        <v>77.962129736797763</v>
      </c>
      <c r="AE1117" s="25">
        <f t="shared" si="166"/>
        <v>105.59857437460433</v>
      </c>
      <c r="AF1117" s="25">
        <f t="shared" si="167"/>
        <v>91.484857009525044</v>
      </c>
      <c r="AG1117" s="25">
        <f t="shared" si="168"/>
        <v>60.12122064588867</v>
      </c>
      <c r="AH1117" s="25">
        <f t="shared" si="169"/>
        <v>57.734857009525037</v>
      </c>
      <c r="AI1117" s="25">
        <f t="shared" si="170"/>
        <v>437.74911200901295</v>
      </c>
    </row>
    <row r="1118" spans="1:35" ht="15.75" customHeight="1">
      <c r="A1118" s="12" t="s">
        <v>263</v>
      </c>
      <c r="B1118" s="12" t="s">
        <v>264</v>
      </c>
      <c r="C1118" s="12" t="s">
        <v>265</v>
      </c>
      <c r="D1118" s="12" t="s">
        <v>50</v>
      </c>
      <c r="E1118" s="12" t="s">
        <v>23</v>
      </c>
      <c r="F1118" s="13">
        <v>1.0197011586658597E-2</v>
      </c>
      <c r="G1118" s="14">
        <v>0.30545148207835826</v>
      </c>
      <c r="H1118" s="24" t="str">
        <f t="shared" si="163"/>
        <v>SPSP</v>
      </c>
      <c r="I1118" s="24" t="str">
        <f t="shared" si="162"/>
        <v>SPMG</v>
      </c>
      <c r="J1118" s="24" t="str">
        <f t="shared" si="162"/>
        <v>SPES</v>
      </c>
      <c r="K1118" s="24" t="str">
        <f t="shared" si="162"/>
        <v>SPSC</v>
      </c>
      <c r="L1118" s="24" t="str">
        <f t="shared" si="162"/>
        <v>SPRJ</v>
      </c>
      <c r="M1118" s="24" t="str">
        <f t="shared" si="162"/>
        <v>SPPR</v>
      </c>
      <c r="N1118" s="24" t="str">
        <f t="shared" si="162"/>
        <v>SPAM</v>
      </c>
      <c r="O1118" s="24">
        <f>VLOOKUP(H1118, KM!$A:$E, 5, 0)</f>
        <v>0</v>
      </c>
      <c r="P1118" s="24">
        <f>VLOOKUP(I1118, KM!$A:$E, 5, 0)</f>
        <v>586</v>
      </c>
      <c r="Q1118" s="24">
        <f>VLOOKUP(J1118, KM!$A:$E, 5, 0)</f>
        <v>882</v>
      </c>
      <c r="R1118" s="24">
        <f>VLOOKUP(K1118, KM!$A:$E, 5, 0)</f>
        <v>705</v>
      </c>
      <c r="S1118" s="24">
        <f>VLOOKUP(L1118, KM!$A:$E, 5, 0)</f>
        <v>429</v>
      </c>
      <c r="T1118" s="24">
        <f>VLOOKUP(M1118, KM!$A:$E, 5, 0)</f>
        <v>408</v>
      </c>
      <c r="U1118" s="24">
        <f>VLOOKUP(N1118, KM!$A:$E, 5, 0)</f>
        <v>3971</v>
      </c>
      <c r="V1118" s="24">
        <f>VLOOKUP(H1118, IMPOSTO!$A:$D, 4, 0)</f>
        <v>0.18</v>
      </c>
      <c r="W1118" s="24">
        <f>VLOOKUP(I1118, IMPOSTO!$A:$D, 4, 0)</f>
        <v>0.12</v>
      </c>
      <c r="X1118" s="24">
        <f>VLOOKUP(J1118, IMPOSTO!$A:$D, 4, 0)</f>
        <v>7.0000000000000007E-2</v>
      </c>
      <c r="Y1118" s="24">
        <f>VLOOKUP(K1118, IMPOSTO!$A:$D, 4, 0)</f>
        <v>0.12</v>
      </c>
      <c r="Z1118" s="24">
        <f>VLOOKUP(L1118, IMPOSTO!$A:$D, 4, 0)</f>
        <v>0.12</v>
      </c>
      <c r="AA1118" s="24">
        <f>VLOOKUP(M1118, IMPOSTO!$A:$D, 4, 0)</f>
        <v>0.12</v>
      </c>
      <c r="AB1118" s="24">
        <f>VLOOKUP(N1118, IMPOSTO!$A:$D, 4, 0)</f>
        <v>7.0000000000000007E-2</v>
      </c>
      <c r="AC1118" s="25">
        <f t="shared" si="164"/>
        <v>0.372501807412632</v>
      </c>
      <c r="AD1118" s="25">
        <f t="shared" si="165"/>
        <v>66.938013047816327</v>
      </c>
      <c r="AE1118" s="25">
        <f t="shared" si="166"/>
        <v>95.167152131267059</v>
      </c>
      <c r="AF1118" s="25">
        <f t="shared" si="167"/>
        <v>80.460740320543579</v>
      </c>
      <c r="AG1118" s="25">
        <f t="shared" si="168"/>
        <v>49.097103956907233</v>
      </c>
      <c r="AH1118" s="25">
        <f t="shared" si="169"/>
        <v>46.7107403205436</v>
      </c>
      <c r="AI1118" s="25">
        <f t="shared" si="170"/>
        <v>427.31768976567571</v>
      </c>
    </row>
    <row r="1119" spans="1:35" ht="15.75" customHeight="1">
      <c r="A1119" s="12" t="s">
        <v>117</v>
      </c>
      <c r="B1119" s="12" t="s">
        <v>118</v>
      </c>
      <c r="C1119" s="12" t="s">
        <v>119</v>
      </c>
      <c r="D1119" s="12" t="s">
        <v>33</v>
      </c>
      <c r="E1119" s="12" t="s">
        <v>23</v>
      </c>
      <c r="F1119" s="13">
        <v>0</v>
      </c>
      <c r="G1119" s="14">
        <v>0</v>
      </c>
      <c r="H1119" s="24" t="str">
        <f t="shared" si="163"/>
        <v>SPSP</v>
      </c>
      <c r="I1119" s="24" t="str">
        <f t="shared" si="162"/>
        <v>SPMG</v>
      </c>
      <c r="J1119" s="24" t="str">
        <f t="shared" si="162"/>
        <v>SPES</v>
      </c>
      <c r="K1119" s="24" t="str">
        <f t="shared" si="162"/>
        <v>SPSC</v>
      </c>
      <c r="L1119" s="24" t="str">
        <f t="shared" si="162"/>
        <v>SPRJ</v>
      </c>
      <c r="M1119" s="24" t="str">
        <f t="shared" si="162"/>
        <v>SPPR</v>
      </c>
      <c r="N1119" s="24" t="str">
        <f t="shared" si="162"/>
        <v>SPAM</v>
      </c>
      <c r="O1119" s="24">
        <f>VLOOKUP(H1119, KM!$A:$E, 5, 0)</f>
        <v>0</v>
      </c>
      <c r="P1119" s="24">
        <f>VLOOKUP(I1119, KM!$A:$E, 5, 0)</f>
        <v>586</v>
      </c>
      <c r="Q1119" s="24">
        <f>VLOOKUP(J1119, KM!$A:$E, 5, 0)</f>
        <v>882</v>
      </c>
      <c r="R1119" s="24">
        <f>VLOOKUP(K1119, KM!$A:$E, 5, 0)</f>
        <v>705</v>
      </c>
      <c r="S1119" s="24">
        <f>VLOOKUP(L1119, KM!$A:$E, 5, 0)</f>
        <v>429</v>
      </c>
      <c r="T1119" s="24">
        <f>VLOOKUP(M1119, KM!$A:$E, 5, 0)</f>
        <v>408</v>
      </c>
      <c r="U1119" s="24">
        <f>VLOOKUP(N1119, KM!$A:$E, 5, 0)</f>
        <v>3971</v>
      </c>
      <c r="V1119" s="24">
        <f>VLOOKUP(H1119, IMPOSTO!$A:$D, 4, 0)</f>
        <v>0.18</v>
      </c>
      <c r="W1119" s="24">
        <f>VLOOKUP(I1119, IMPOSTO!$A:$D, 4, 0)</f>
        <v>0.12</v>
      </c>
      <c r="X1119" s="24">
        <f>VLOOKUP(J1119, IMPOSTO!$A:$D, 4, 0)</f>
        <v>7.0000000000000007E-2</v>
      </c>
      <c r="Y1119" s="24">
        <f>VLOOKUP(K1119, IMPOSTO!$A:$D, 4, 0)</f>
        <v>0.12</v>
      </c>
      <c r="Z1119" s="24">
        <f>VLOOKUP(L1119, IMPOSTO!$A:$D, 4, 0)</f>
        <v>0.12</v>
      </c>
      <c r="AA1119" s="24">
        <f>VLOOKUP(M1119, IMPOSTO!$A:$D, 4, 0)</f>
        <v>0.12</v>
      </c>
      <c r="AB1119" s="24">
        <f>VLOOKUP(N1119, IMPOSTO!$A:$D, 4, 0)</f>
        <v>7.0000000000000007E-2</v>
      </c>
      <c r="AC1119" s="25">
        <f t="shared" si="164"/>
        <v>0</v>
      </c>
      <c r="AD1119" s="25">
        <f t="shared" si="165"/>
        <v>66.590909090909093</v>
      </c>
      <c r="AE1119" s="25">
        <f t="shared" si="166"/>
        <v>94.838709677419359</v>
      </c>
      <c r="AF1119" s="25">
        <f t="shared" si="167"/>
        <v>80.11363636363636</v>
      </c>
      <c r="AG1119" s="25">
        <f t="shared" si="168"/>
        <v>48.750000000000007</v>
      </c>
      <c r="AH1119" s="25">
        <f t="shared" si="169"/>
        <v>46.363636363636367</v>
      </c>
      <c r="AI1119" s="25">
        <f t="shared" si="170"/>
        <v>426.98924731182802</v>
      </c>
    </row>
    <row r="1120" spans="1:35" ht="15.75" customHeight="1">
      <c r="A1120" s="12" t="s">
        <v>849</v>
      </c>
      <c r="B1120" s="12" t="s">
        <v>850</v>
      </c>
      <c r="C1120" s="12" t="s">
        <v>337</v>
      </c>
      <c r="D1120" s="12" t="s">
        <v>33</v>
      </c>
      <c r="E1120" s="12" t="s">
        <v>23</v>
      </c>
      <c r="F1120" s="13">
        <v>4085.867667761614</v>
      </c>
      <c r="G1120" s="14">
        <v>14080.861677854913</v>
      </c>
      <c r="H1120" s="24" t="str">
        <f t="shared" si="163"/>
        <v>SPSP</v>
      </c>
      <c r="I1120" s="24" t="str">
        <f t="shared" si="162"/>
        <v>SPMG</v>
      </c>
      <c r="J1120" s="24" t="str">
        <f t="shared" si="162"/>
        <v>SPES</v>
      </c>
      <c r="K1120" s="24" t="str">
        <f t="shared" si="162"/>
        <v>SPSC</v>
      </c>
      <c r="L1120" s="24" t="str">
        <f t="shared" si="162"/>
        <v>SPRJ</v>
      </c>
      <c r="M1120" s="24" t="str">
        <f t="shared" si="162"/>
        <v>SPPR</v>
      </c>
      <c r="N1120" s="24" t="str">
        <f t="shared" si="162"/>
        <v>SPAM</v>
      </c>
      <c r="O1120" s="24">
        <f>VLOOKUP(H1120, KM!$A:$E, 5, 0)</f>
        <v>0</v>
      </c>
      <c r="P1120" s="24">
        <f>VLOOKUP(I1120, KM!$A:$E, 5, 0)</f>
        <v>586</v>
      </c>
      <c r="Q1120" s="24">
        <f>VLOOKUP(J1120, KM!$A:$E, 5, 0)</f>
        <v>882</v>
      </c>
      <c r="R1120" s="24">
        <f>VLOOKUP(K1120, KM!$A:$E, 5, 0)</f>
        <v>705</v>
      </c>
      <c r="S1120" s="24">
        <f>VLOOKUP(L1120, KM!$A:$E, 5, 0)</f>
        <v>429</v>
      </c>
      <c r="T1120" s="24">
        <f>VLOOKUP(M1120, KM!$A:$E, 5, 0)</f>
        <v>408</v>
      </c>
      <c r="U1120" s="24">
        <f>VLOOKUP(N1120, KM!$A:$E, 5, 0)</f>
        <v>3971</v>
      </c>
      <c r="V1120" s="24">
        <f>VLOOKUP(H1120, IMPOSTO!$A:$D, 4, 0)</f>
        <v>0.18</v>
      </c>
      <c r="W1120" s="24">
        <f>VLOOKUP(I1120, IMPOSTO!$A:$D, 4, 0)</f>
        <v>0.12</v>
      </c>
      <c r="X1120" s="24">
        <f>VLOOKUP(J1120, IMPOSTO!$A:$D, 4, 0)</f>
        <v>7.0000000000000007E-2</v>
      </c>
      <c r="Y1120" s="24">
        <f>VLOOKUP(K1120, IMPOSTO!$A:$D, 4, 0)</f>
        <v>0.12</v>
      </c>
      <c r="Z1120" s="24">
        <f>VLOOKUP(L1120, IMPOSTO!$A:$D, 4, 0)</f>
        <v>0.12</v>
      </c>
      <c r="AA1120" s="24">
        <f>VLOOKUP(M1120, IMPOSTO!$A:$D, 4, 0)</f>
        <v>0.12</v>
      </c>
      <c r="AB1120" s="24">
        <f>VLOOKUP(N1120, IMPOSTO!$A:$D, 4, 0)</f>
        <v>7.0000000000000007E-2</v>
      </c>
      <c r="AC1120" s="25">
        <f t="shared" si="164"/>
        <v>17171.782533969406</v>
      </c>
      <c r="AD1120" s="25">
        <f t="shared" si="165"/>
        <v>16067.570088471493</v>
      </c>
      <c r="AE1120" s="25">
        <f t="shared" si="166"/>
        <v>15235.550191241844</v>
      </c>
      <c r="AF1120" s="25">
        <f t="shared" si="167"/>
        <v>16081.092815744219</v>
      </c>
      <c r="AG1120" s="25">
        <f t="shared" si="168"/>
        <v>16049.729179380583</v>
      </c>
      <c r="AH1120" s="25">
        <f t="shared" si="169"/>
        <v>16047.342815744218</v>
      </c>
      <c r="AI1120" s="25">
        <f t="shared" si="170"/>
        <v>15567.700728876252</v>
      </c>
    </row>
    <row r="1121" spans="1:35" ht="15.75" customHeight="1">
      <c r="A1121" s="12" t="s">
        <v>851</v>
      </c>
      <c r="B1121" s="12" t="s">
        <v>852</v>
      </c>
      <c r="C1121" s="12" t="s">
        <v>169</v>
      </c>
      <c r="D1121" s="12" t="s">
        <v>33</v>
      </c>
      <c r="E1121" s="12" t="s">
        <v>23</v>
      </c>
      <c r="F1121" s="13">
        <v>4.1940999999999997</v>
      </c>
      <c r="G1121" s="14">
        <v>2.345024774688012</v>
      </c>
      <c r="H1121" s="24" t="str">
        <f t="shared" si="163"/>
        <v>SPSP</v>
      </c>
      <c r="I1121" s="24" t="str">
        <f t="shared" si="162"/>
        <v>SPMG</v>
      </c>
      <c r="J1121" s="24" t="str">
        <f t="shared" si="162"/>
        <v>SPES</v>
      </c>
      <c r="K1121" s="24" t="str">
        <f t="shared" si="162"/>
        <v>SPSC</v>
      </c>
      <c r="L1121" s="24" t="str">
        <f t="shared" si="162"/>
        <v>SPRJ</v>
      </c>
      <c r="M1121" s="24" t="str">
        <f t="shared" si="162"/>
        <v>SPPR</v>
      </c>
      <c r="N1121" s="24" t="str">
        <f t="shared" si="162"/>
        <v>SPAM</v>
      </c>
      <c r="O1121" s="24">
        <f>VLOOKUP(H1121, KM!$A:$E, 5, 0)</f>
        <v>0</v>
      </c>
      <c r="P1121" s="24">
        <f>VLOOKUP(I1121, KM!$A:$E, 5, 0)</f>
        <v>586</v>
      </c>
      <c r="Q1121" s="24">
        <f>VLOOKUP(J1121, KM!$A:$E, 5, 0)</f>
        <v>882</v>
      </c>
      <c r="R1121" s="24">
        <f>VLOOKUP(K1121, KM!$A:$E, 5, 0)</f>
        <v>705</v>
      </c>
      <c r="S1121" s="24">
        <f>VLOOKUP(L1121, KM!$A:$E, 5, 0)</f>
        <v>429</v>
      </c>
      <c r="T1121" s="24">
        <f>VLOOKUP(M1121, KM!$A:$E, 5, 0)</f>
        <v>408</v>
      </c>
      <c r="U1121" s="24">
        <f>VLOOKUP(N1121, KM!$A:$E, 5, 0)</f>
        <v>3971</v>
      </c>
      <c r="V1121" s="24">
        <f>VLOOKUP(H1121, IMPOSTO!$A:$D, 4, 0)</f>
        <v>0.18</v>
      </c>
      <c r="W1121" s="24">
        <f>VLOOKUP(I1121, IMPOSTO!$A:$D, 4, 0)</f>
        <v>0.12</v>
      </c>
      <c r="X1121" s="24">
        <f>VLOOKUP(J1121, IMPOSTO!$A:$D, 4, 0)</f>
        <v>7.0000000000000007E-2</v>
      </c>
      <c r="Y1121" s="24">
        <f>VLOOKUP(K1121, IMPOSTO!$A:$D, 4, 0)</f>
        <v>0.12</v>
      </c>
      <c r="Z1121" s="24">
        <f>VLOOKUP(L1121, IMPOSTO!$A:$D, 4, 0)</f>
        <v>0.12</v>
      </c>
      <c r="AA1121" s="24">
        <f>VLOOKUP(M1121, IMPOSTO!$A:$D, 4, 0)</f>
        <v>0.12</v>
      </c>
      <c r="AB1121" s="24">
        <f>VLOOKUP(N1121, IMPOSTO!$A:$D, 4, 0)</f>
        <v>7.0000000000000007E-2</v>
      </c>
      <c r="AC1121" s="25">
        <f t="shared" si="164"/>
        <v>2.8597863105951364</v>
      </c>
      <c r="AD1121" s="25">
        <f t="shared" si="165"/>
        <v>69.255709971236385</v>
      </c>
      <c r="AE1121" s="25">
        <f t="shared" si="166"/>
        <v>97.360241693212927</v>
      </c>
      <c r="AF1121" s="25">
        <f t="shared" si="167"/>
        <v>82.778437243963651</v>
      </c>
      <c r="AG1121" s="25">
        <f t="shared" si="168"/>
        <v>51.414800880327292</v>
      </c>
      <c r="AH1121" s="25">
        <f t="shared" si="169"/>
        <v>49.028437243963658</v>
      </c>
      <c r="AI1121" s="25">
        <f t="shared" si="170"/>
        <v>429.51077932762155</v>
      </c>
    </row>
    <row r="1122" spans="1:35" ht="15.75" customHeight="1">
      <c r="A1122" s="12" t="s">
        <v>845</v>
      </c>
      <c r="B1122" s="12" t="s">
        <v>846</v>
      </c>
      <c r="C1122" s="12" t="s">
        <v>296</v>
      </c>
      <c r="D1122" s="12" t="s">
        <v>33</v>
      </c>
      <c r="E1122" s="12" t="s">
        <v>23</v>
      </c>
      <c r="F1122" s="13">
        <v>4797.8098403515833</v>
      </c>
      <c r="G1122" s="14">
        <v>57559.574044428089</v>
      </c>
      <c r="H1122" s="24" t="str">
        <f t="shared" si="163"/>
        <v>SPSP</v>
      </c>
      <c r="I1122" s="24" t="str">
        <f t="shared" si="162"/>
        <v>SPMG</v>
      </c>
      <c r="J1122" s="24" t="str">
        <f t="shared" si="162"/>
        <v>SPES</v>
      </c>
      <c r="K1122" s="24" t="str">
        <f t="shared" si="162"/>
        <v>SPSC</v>
      </c>
      <c r="L1122" s="24" t="str">
        <f t="shared" si="162"/>
        <v>SPRJ</v>
      </c>
      <c r="M1122" s="24" t="str">
        <f t="shared" si="162"/>
        <v>SPPR</v>
      </c>
      <c r="N1122" s="24" t="str">
        <f t="shared" si="162"/>
        <v>SPAM</v>
      </c>
      <c r="O1122" s="24">
        <f>VLOOKUP(H1122, KM!$A:$E, 5, 0)</f>
        <v>0</v>
      </c>
      <c r="P1122" s="24">
        <f>VLOOKUP(I1122, KM!$A:$E, 5, 0)</f>
        <v>586</v>
      </c>
      <c r="Q1122" s="24">
        <f>VLOOKUP(J1122, KM!$A:$E, 5, 0)</f>
        <v>882</v>
      </c>
      <c r="R1122" s="24">
        <f>VLOOKUP(K1122, KM!$A:$E, 5, 0)</f>
        <v>705</v>
      </c>
      <c r="S1122" s="24">
        <f>VLOOKUP(L1122, KM!$A:$E, 5, 0)</f>
        <v>429</v>
      </c>
      <c r="T1122" s="24">
        <f>VLOOKUP(M1122, KM!$A:$E, 5, 0)</f>
        <v>408</v>
      </c>
      <c r="U1122" s="24">
        <f>VLOOKUP(N1122, KM!$A:$E, 5, 0)</f>
        <v>3971</v>
      </c>
      <c r="V1122" s="24">
        <f>VLOOKUP(H1122, IMPOSTO!$A:$D, 4, 0)</f>
        <v>0.18</v>
      </c>
      <c r="W1122" s="24">
        <f>VLOOKUP(I1122, IMPOSTO!$A:$D, 4, 0)</f>
        <v>0.12</v>
      </c>
      <c r="X1122" s="24">
        <f>VLOOKUP(J1122, IMPOSTO!$A:$D, 4, 0)</f>
        <v>7.0000000000000007E-2</v>
      </c>
      <c r="Y1122" s="24">
        <f>VLOOKUP(K1122, IMPOSTO!$A:$D, 4, 0)</f>
        <v>0.12</v>
      </c>
      <c r="Z1122" s="24">
        <f>VLOOKUP(L1122, IMPOSTO!$A:$D, 4, 0)</f>
        <v>0.12</v>
      </c>
      <c r="AA1122" s="24">
        <f>VLOOKUP(M1122, IMPOSTO!$A:$D, 4, 0)</f>
        <v>0.12</v>
      </c>
      <c r="AB1122" s="24">
        <f>VLOOKUP(N1122, IMPOSTO!$A:$D, 4, 0)</f>
        <v>7.0000000000000007E-2</v>
      </c>
      <c r="AC1122" s="25">
        <f t="shared" si="164"/>
        <v>70194.602493204977</v>
      </c>
      <c r="AD1122" s="25">
        <f t="shared" si="165"/>
        <v>65475.197777759189</v>
      </c>
      <c r="AE1122" s="25">
        <f t="shared" si="166"/>
        <v>61986.853811212997</v>
      </c>
      <c r="AF1122" s="25">
        <f t="shared" si="167"/>
        <v>65488.720505031917</v>
      </c>
      <c r="AG1122" s="25">
        <f t="shared" si="168"/>
        <v>65457.356868668285</v>
      </c>
      <c r="AH1122" s="25">
        <f t="shared" si="169"/>
        <v>65454.970505031924</v>
      </c>
      <c r="AI1122" s="25">
        <f t="shared" si="170"/>
        <v>62319.004348847411</v>
      </c>
    </row>
    <row r="1123" spans="1:35" ht="15.75" customHeight="1">
      <c r="A1123" s="12" t="s">
        <v>90</v>
      </c>
      <c r="B1123" s="12" t="s">
        <v>91</v>
      </c>
      <c r="C1123" s="12" t="s">
        <v>63</v>
      </c>
      <c r="D1123" s="12" t="s">
        <v>33</v>
      </c>
      <c r="E1123" s="12" t="s">
        <v>23</v>
      </c>
      <c r="F1123" s="13">
        <v>44.921686863570336</v>
      </c>
      <c r="G1123" s="14">
        <v>961.36316121680841</v>
      </c>
      <c r="H1123" s="24" t="str">
        <f t="shared" si="163"/>
        <v>SPSP</v>
      </c>
      <c r="I1123" s="24" t="str">
        <f t="shared" si="162"/>
        <v>SPMG</v>
      </c>
      <c r="J1123" s="24" t="str">
        <f t="shared" si="162"/>
        <v>SPES</v>
      </c>
      <c r="K1123" s="24" t="str">
        <f t="shared" si="162"/>
        <v>SPSC</v>
      </c>
      <c r="L1123" s="24" t="str">
        <f t="shared" si="162"/>
        <v>SPRJ</v>
      </c>
      <c r="M1123" s="24" t="str">
        <f t="shared" si="162"/>
        <v>SPPR</v>
      </c>
      <c r="N1123" s="24" t="str">
        <f t="shared" si="162"/>
        <v>SPAM</v>
      </c>
      <c r="O1123" s="24">
        <f>VLOOKUP(H1123, KM!$A:$E, 5, 0)</f>
        <v>0</v>
      </c>
      <c r="P1123" s="24">
        <f>VLOOKUP(I1123, KM!$A:$E, 5, 0)</f>
        <v>586</v>
      </c>
      <c r="Q1123" s="24">
        <f>VLOOKUP(J1123, KM!$A:$E, 5, 0)</f>
        <v>882</v>
      </c>
      <c r="R1123" s="24">
        <f>VLOOKUP(K1123, KM!$A:$E, 5, 0)</f>
        <v>705</v>
      </c>
      <c r="S1123" s="24">
        <f>VLOOKUP(L1123, KM!$A:$E, 5, 0)</f>
        <v>429</v>
      </c>
      <c r="T1123" s="24">
        <f>VLOOKUP(M1123, KM!$A:$E, 5, 0)</f>
        <v>408</v>
      </c>
      <c r="U1123" s="24">
        <f>VLOOKUP(N1123, KM!$A:$E, 5, 0)</f>
        <v>3971</v>
      </c>
      <c r="V1123" s="24">
        <f>VLOOKUP(H1123, IMPOSTO!$A:$D, 4, 0)</f>
        <v>0.18</v>
      </c>
      <c r="W1123" s="24">
        <f>VLOOKUP(I1123, IMPOSTO!$A:$D, 4, 0)</f>
        <v>0.12</v>
      </c>
      <c r="X1123" s="24">
        <f>VLOOKUP(J1123, IMPOSTO!$A:$D, 4, 0)</f>
        <v>7.0000000000000007E-2</v>
      </c>
      <c r="Y1123" s="24">
        <f>VLOOKUP(K1123, IMPOSTO!$A:$D, 4, 0)</f>
        <v>0.12</v>
      </c>
      <c r="Z1123" s="24">
        <f>VLOOKUP(L1123, IMPOSTO!$A:$D, 4, 0)</f>
        <v>0.12</v>
      </c>
      <c r="AA1123" s="24">
        <f>VLOOKUP(M1123, IMPOSTO!$A:$D, 4, 0)</f>
        <v>0.12</v>
      </c>
      <c r="AB1123" s="24">
        <f>VLOOKUP(N1123, IMPOSTO!$A:$D, 4, 0)</f>
        <v>7.0000000000000007E-2</v>
      </c>
      <c r="AC1123" s="25">
        <f t="shared" si="164"/>
        <v>1172.3940990448882</v>
      </c>
      <c r="AD1123" s="25">
        <f t="shared" si="165"/>
        <v>1159.0490468372823</v>
      </c>
      <c r="AE1123" s="25">
        <f t="shared" si="166"/>
        <v>1128.5625389428048</v>
      </c>
      <c r="AF1123" s="25">
        <f t="shared" si="167"/>
        <v>1172.5717741100095</v>
      </c>
      <c r="AG1123" s="25">
        <f t="shared" si="168"/>
        <v>1141.2081377463733</v>
      </c>
      <c r="AH1123" s="25">
        <f t="shared" si="169"/>
        <v>1138.8217741100095</v>
      </c>
      <c r="AI1123" s="25">
        <f t="shared" si="170"/>
        <v>1460.7130765772135</v>
      </c>
    </row>
    <row r="1124" spans="1:35" ht="15.75" customHeight="1">
      <c r="A1124" s="12" t="s">
        <v>70</v>
      </c>
      <c r="B1124" s="12" t="s">
        <v>71</v>
      </c>
      <c r="C1124" s="12" t="s">
        <v>54</v>
      </c>
      <c r="D1124" s="12" t="s">
        <v>33</v>
      </c>
      <c r="E1124" s="12" t="s">
        <v>23</v>
      </c>
      <c r="F1124" s="13">
        <v>16322.499143704517</v>
      </c>
      <c r="G1124" s="14">
        <v>220539.6622092693</v>
      </c>
      <c r="H1124" s="24" t="str">
        <f t="shared" si="163"/>
        <v>SPSP</v>
      </c>
      <c r="I1124" s="24" t="str">
        <f t="shared" si="162"/>
        <v>SPMG</v>
      </c>
      <c r="J1124" s="24" t="str">
        <f t="shared" si="162"/>
        <v>SPES</v>
      </c>
      <c r="K1124" s="24" t="str">
        <f t="shared" si="162"/>
        <v>SPSC</v>
      </c>
      <c r="L1124" s="24" t="str">
        <f t="shared" si="162"/>
        <v>SPRJ</v>
      </c>
      <c r="M1124" s="24" t="str">
        <f t="shared" si="162"/>
        <v>SPPR</v>
      </c>
      <c r="N1124" s="24" t="str">
        <f t="shared" si="162"/>
        <v>SPAM</v>
      </c>
      <c r="O1124" s="24">
        <f>VLOOKUP(H1124, KM!$A:$E, 5, 0)</f>
        <v>0</v>
      </c>
      <c r="P1124" s="24">
        <f>VLOOKUP(I1124, KM!$A:$E, 5, 0)</f>
        <v>586</v>
      </c>
      <c r="Q1124" s="24">
        <f>VLOOKUP(J1124, KM!$A:$E, 5, 0)</f>
        <v>882</v>
      </c>
      <c r="R1124" s="24">
        <f>VLOOKUP(K1124, KM!$A:$E, 5, 0)</f>
        <v>705</v>
      </c>
      <c r="S1124" s="24">
        <f>VLOOKUP(L1124, KM!$A:$E, 5, 0)</f>
        <v>429</v>
      </c>
      <c r="T1124" s="24">
        <f>VLOOKUP(M1124, KM!$A:$E, 5, 0)</f>
        <v>408</v>
      </c>
      <c r="U1124" s="24">
        <f>VLOOKUP(N1124, KM!$A:$E, 5, 0)</f>
        <v>3971</v>
      </c>
      <c r="V1124" s="24">
        <f>VLOOKUP(H1124, IMPOSTO!$A:$D, 4, 0)</f>
        <v>0.18</v>
      </c>
      <c r="W1124" s="24">
        <f>VLOOKUP(I1124, IMPOSTO!$A:$D, 4, 0)</f>
        <v>0.12</v>
      </c>
      <c r="X1124" s="24">
        <f>VLOOKUP(J1124, IMPOSTO!$A:$D, 4, 0)</f>
        <v>7.0000000000000007E-2</v>
      </c>
      <c r="Y1124" s="24">
        <f>VLOOKUP(K1124, IMPOSTO!$A:$D, 4, 0)</f>
        <v>0.12</v>
      </c>
      <c r="Z1124" s="24">
        <f>VLOOKUP(L1124, IMPOSTO!$A:$D, 4, 0)</f>
        <v>0.12</v>
      </c>
      <c r="AA1124" s="24">
        <f>VLOOKUP(M1124, IMPOSTO!$A:$D, 4, 0)</f>
        <v>0.12</v>
      </c>
      <c r="AB1124" s="24">
        <f>VLOOKUP(N1124, IMPOSTO!$A:$D, 4, 0)</f>
        <v>7.0000000000000007E-2</v>
      </c>
      <c r="AC1124" s="25">
        <f t="shared" si="164"/>
        <v>268950.80757227959</v>
      </c>
      <c r="AD1124" s="25">
        <f t="shared" si="165"/>
        <v>250679.8434196242</v>
      </c>
      <c r="AE1124" s="25">
        <f t="shared" si="166"/>
        <v>237234.26044007455</v>
      </c>
      <c r="AF1124" s="25">
        <f t="shared" si="167"/>
        <v>250693.36614689694</v>
      </c>
      <c r="AG1124" s="25">
        <f t="shared" si="168"/>
        <v>250662.00251053329</v>
      </c>
      <c r="AH1124" s="25">
        <f t="shared" si="169"/>
        <v>250659.61614689691</v>
      </c>
      <c r="AI1124" s="25">
        <f t="shared" si="170"/>
        <v>237566.41097770893</v>
      </c>
    </row>
    <row r="1125" spans="1:35" ht="15.75" customHeight="1">
      <c r="A1125" s="12" t="s">
        <v>263</v>
      </c>
      <c r="B1125" s="12" t="s">
        <v>264</v>
      </c>
      <c r="C1125" s="12" t="s">
        <v>265</v>
      </c>
      <c r="D1125" s="12" t="s">
        <v>50</v>
      </c>
      <c r="E1125" s="12" t="s">
        <v>23</v>
      </c>
      <c r="F1125" s="13">
        <v>4516.9370359044487</v>
      </c>
      <c r="G1125" s="14">
        <v>32667.214613041073</v>
      </c>
      <c r="H1125" s="24" t="str">
        <f t="shared" si="163"/>
        <v>SPSP</v>
      </c>
      <c r="I1125" s="24" t="str">
        <f t="shared" si="162"/>
        <v>SPMG</v>
      </c>
      <c r="J1125" s="24" t="str">
        <f t="shared" si="162"/>
        <v>SPES</v>
      </c>
      <c r="K1125" s="24" t="str">
        <f t="shared" si="162"/>
        <v>SPSC</v>
      </c>
      <c r="L1125" s="24" t="str">
        <f t="shared" si="162"/>
        <v>SPRJ</v>
      </c>
      <c r="M1125" s="24" t="str">
        <f t="shared" si="162"/>
        <v>SPPR</v>
      </c>
      <c r="N1125" s="24" t="str">
        <f t="shared" si="162"/>
        <v>SPAM</v>
      </c>
      <c r="O1125" s="24">
        <f>VLOOKUP(H1125, KM!$A:$E, 5, 0)</f>
        <v>0</v>
      </c>
      <c r="P1125" s="24">
        <f>VLOOKUP(I1125, KM!$A:$E, 5, 0)</f>
        <v>586</v>
      </c>
      <c r="Q1125" s="24">
        <f>VLOOKUP(J1125, KM!$A:$E, 5, 0)</f>
        <v>882</v>
      </c>
      <c r="R1125" s="24">
        <f>VLOOKUP(K1125, KM!$A:$E, 5, 0)</f>
        <v>705</v>
      </c>
      <c r="S1125" s="24">
        <f>VLOOKUP(L1125, KM!$A:$E, 5, 0)</f>
        <v>429</v>
      </c>
      <c r="T1125" s="24">
        <f>VLOOKUP(M1125, KM!$A:$E, 5, 0)</f>
        <v>408</v>
      </c>
      <c r="U1125" s="24">
        <f>VLOOKUP(N1125, KM!$A:$E, 5, 0)</f>
        <v>3971</v>
      </c>
      <c r="V1125" s="24">
        <f>VLOOKUP(H1125, IMPOSTO!$A:$D, 4, 0)</f>
        <v>0.18</v>
      </c>
      <c r="W1125" s="24">
        <f>VLOOKUP(I1125, IMPOSTO!$A:$D, 4, 0)</f>
        <v>0.12</v>
      </c>
      <c r="X1125" s="24">
        <f>VLOOKUP(J1125, IMPOSTO!$A:$D, 4, 0)</f>
        <v>7.0000000000000007E-2</v>
      </c>
      <c r="Y1125" s="24">
        <f>VLOOKUP(K1125, IMPOSTO!$A:$D, 4, 0)</f>
        <v>0.12</v>
      </c>
      <c r="Z1125" s="24">
        <f>VLOOKUP(L1125, IMPOSTO!$A:$D, 4, 0)</f>
        <v>0.12</v>
      </c>
      <c r="AA1125" s="24">
        <f>VLOOKUP(M1125, IMPOSTO!$A:$D, 4, 0)</f>
        <v>0.12</v>
      </c>
      <c r="AB1125" s="24">
        <f>VLOOKUP(N1125, IMPOSTO!$A:$D, 4, 0)</f>
        <v>7.0000000000000007E-2</v>
      </c>
      <c r="AC1125" s="25">
        <f t="shared" si="164"/>
        <v>39838.066601269595</v>
      </c>
      <c r="AD1125" s="25">
        <f t="shared" si="165"/>
        <v>37188.425696637583</v>
      </c>
      <c r="AE1125" s="25">
        <f t="shared" si="166"/>
        <v>35220.875928001158</v>
      </c>
      <c r="AF1125" s="25">
        <f t="shared" si="167"/>
        <v>37201.948423910311</v>
      </c>
      <c r="AG1125" s="25">
        <f t="shared" si="168"/>
        <v>37170.584787546672</v>
      </c>
      <c r="AH1125" s="25">
        <f t="shared" si="169"/>
        <v>37168.198423910311</v>
      </c>
      <c r="AI1125" s="25">
        <f t="shared" si="170"/>
        <v>35553.026465635565</v>
      </c>
    </row>
    <row r="1126" spans="1:35" ht="15.75" customHeight="1">
      <c r="A1126" s="12" t="s">
        <v>616</v>
      </c>
      <c r="B1126" s="12" t="s">
        <v>617</v>
      </c>
      <c r="C1126" s="12" t="s">
        <v>135</v>
      </c>
      <c r="D1126" s="12" t="s">
        <v>33</v>
      </c>
      <c r="E1126" s="12" t="s">
        <v>23</v>
      </c>
      <c r="F1126" s="13">
        <v>50541.945300000029</v>
      </c>
      <c r="G1126" s="14">
        <v>1143521.9427780793</v>
      </c>
      <c r="H1126" s="24" t="str">
        <f t="shared" si="163"/>
        <v>SPSP</v>
      </c>
      <c r="I1126" s="24" t="str">
        <f t="shared" si="162"/>
        <v>SPMG</v>
      </c>
      <c r="J1126" s="24" t="str">
        <f t="shared" si="162"/>
        <v>SPES</v>
      </c>
      <c r="K1126" s="24" t="str">
        <f t="shared" si="162"/>
        <v>SPSC</v>
      </c>
      <c r="L1126" s="24" t="str">
        <f t="shared" si="162"/>
        <v>SPRJ</v>
      </c>
      <c r="M1126" s="24" t="str">
        <f t="shared" si="162"/>
        <v>SPPR</v>
      </c>
      <c r="N1126" s="24" t="str">
        <f t="shared" si="162"/>
        <v>SPAM</v>
      </c>
      <c r="O1126" s="24">
        <f>VLOOKUP(H1126, KM!$A:$E, 5, 0)</f>
        <v>0</v>
      </c>
      <c r="P1126" s="24">
        <f>VLOOKUP(I1126, KM!$A:$E, 5, 0)</f>
        <v>586</v>
      </c>
      <c r="Q1126" s="24">
        <f>VLOOKUP(J1126, KM!$A:$E, 5, 0)</f>
        <v>882</v>
      </c>
      <c r="R1126" s="24">
        <f>VLOOKUP(K1126, KM!$A:$E, 5, 0)</f>
        <v>705</v>
      </c>
      <c r="S1126" s="24">
        <f>VLOOKUP(L1126, KM!$A:$E, 5, 0)</f>
        <v>429</v>
      </c>
      <c r="T1126" s="24">
        <f>VLOOKUP(M1126, KM!$A:$E, 5, 0)</f>
        <v>408</v>
      </c>
      <c r="U1126" s="24">
        <f>VLOOKUP(N1126, KM!$A:$E, 5, 0)</f>
        <v>3971</v>
      </c>
      <c r="V1126" s="24">
        <f>VLOOKUP(H1126, IMPOSTO!$A:$D, 4, 0)</f>
        <v>0.18</v>
      </c>
      <c r="W1126" s="24">
        <f>VLOOKUP(I1126, IMPOSTO!$A:$D, 4, 0)</f>
        <v>0.12</v>
      </c>
      <c r="X1126" s="24">
        <f>VLOOKUP(J1126, IMPOSTO!$A:$D, 4, 0)</f>
        <v>7.0000000000000007E-2</v>
      </c>
      <c r="Y1126" s="24">
        <f>VLOOKUP(K1126, IMPOSTO!$A:$D, 4, 0)</f>
        <v>0.12</v>
      </c>
      <c r="Z1126" s="24">
        <f>VLOOKUP(L1126, IMPOSTO!$A:$D, 4, 0)</f>
        <v>0.12</v>
      </c>
      <c r="AA1126" s="24">
        <f>VLOOKUP(M1126, IMPOSTO!$A:$D, 4, 0)</f>
        <v>0.12</v>
      </c>
      <c r="AB1126" s="24">
        <f>VLOOKUP(N1126, IMPOSTO!$A:$D, 4, 0)</f>
        <v>7.0000000000000007E-2</v>
      </c>
      <c r="AC1126" s="25">
        <f t="shared" si="164"/>
        <v>1394538.9546074136</v>
      </c>
      <c r="AD1126" s="25">
        <f t="shared" si="165"/>
        <v>1299523.3440659994</v>
      </c>
      <c r="AE1126" s="25">
        <f t="shared" si="166"/>
        <v>1229688.3255678273</v>
      </c>
      <c r="AF1126" s="25">
        <f t="shared" si="167"/>
        <v>1299536.8667932719</v>
      </c>
      <c r="AG1126" s="25">
        <f t="shared" si="168"/>
        <v>1299505.5031569081</v>
      </c>
      <c r="AH1126" s="25">
        <f t="shared" si="169"/>
        <v>1299503.1167932721</v>
      </c>
      <c r="AI1126" s="25">
        <f t="shared" si="170"/>
        <v>1230020.4761054618</v>
      </c>
    </row>
    <row r="1127" spans="1:35" ht="15.75" customHeight="1">
      <c r="A1127" s="12" t="s">
        <v>853</v>
      </c>
      <c r="B1127" s="12" t="s">
        <v>854</v>
      </c>
      <c r="C1127" s="12" t="s">
        <v>265</v>
      </c>
      <c r="D1127" s="12" t="s">
        <v>33</v>
      </c>
      <c r="E1127" s="12" t="s">
        <v>23</v>
      </c>
      <c r="F1127" s="13">
        <v>352.75739644970412</v>
      </c>
      <c r="G1127" s="14">
        <v>2230.3968284023667</v>
      </c>
      <c r="H1127" s="24" t="str">
        <f t="shared" si="163"/>
        <v>SPSP</v>
      </c>
      <c r="I1127" s="24" t="str">
        <f t="shared" si="162"/>
        <v>SPMG</v>
      </c>
      <c r="J1127" s="24" t="str">
        <f t="shared" si="162"/>
        <v>SPES</v>
      </c>
      <c r="K1127" s="24" t="str">
        <f t="shared" si="162"/>
        <v>SPSC</v>
      </c>
      <c r="L1127" s="24" t="str">
        <f t="shared" si="162"/>
        <v>SPRJ</v>
      </c>
      <c r="M1127" s="24" t="str">
        <f t="shared" si="162"/>
        <v>SPPR</v>
      </c>
      <c r="N1127" s="24" t="str">
        <f t="shared" si="162"/>
        <v>SPAM</v>
      </c>
      <c r="O1127" s="24">
        <f>VLOOKUP(H1127, KM!$A:$E, 5, 0)</f>
        <v>0</v>
      </c>
      <c r="P1127" s="24">
        <f>VLOOKUP(I1127, KM!$A:$E, 5, 0)</f>
        <v>586</v>
      </c>
      <c r="Q1127" s="24">
        <f>VLOOKUP(J1127, KM!$A:$E, 5, 0)</f>
        <v>882</v>
      </c>
      <c r="R1127" s="24">
        <f>VLOOKUP(K1127, KM!$A:$E, 5, 0)</f>
        <v>705</v>
      </c>
      <c r="S1127" s="24">
        <f>VLOOKUP(L1127, KM!$A:$E, 5, 0)</f>
        <v>429</v>
      </c>
      <c r="T1127" s="24">
        <f>VLOOKUP(M1127, KM!$A:$E, 5, 0)</f>
        <v>408</v>
      </c>
      <c r="U1127" s="24">
        <f>VLOOKUP(N1127, KM!$A:$E, 5, 0)</f>
        <v>3971</v>
      </c>
      <c r="V1127" s="24">
        <f>VLOOKUP(H1127, IMPOSTO!$A:$D, 4, 0)</f>
        <v>0.18</v>
      </c>
      <c r="W1127" s="24">
        <f>VLOOKUP(I1127, IMPOSTO!$A:$D, 4, 0)</f>
        <v>0.12</v>
      </c>
      <c r="X1127" s="24">
        <f>VLOOKUP(J1127, IMPOSTO!$A:$D, 4, 0)</f>
        <v>7.0000000000000007E-2</v>
      </c>
      <c r="Y1127" s="24">
        <f>VLOOKUP(K1127, IMPOSTO!$A:$D, 4, 0)</f>
        <v>0.12</v>
      </c>
      <c r="Z1127" s="24">
        <f>VLOOKUP(L1127, IMPOSTO!$A:$D, 4, 0)</f>
        <v>0.12</v>
      </c>
      <c r="AA1127" s="24">
        <f>VLOOKUP(M1127, IMPOSTO!$A:$D, 4, 0)</f>
        <v>0.12</v>
      </c>
      <c r="AB1127" s="24">
        <f>VLOOKUP(N1127, IMPOSTO!$A:$D, 4, 0)</f>
        <v>7.0000000000000007E-2</v>
      </c>
      <c r="AC1127" s="25">
        <f t="shared" si="164"/>
        <v>2719.9961321980081</v>
      </c>
      <c r="AD1127" s="25">
        <f t="shared" si="165"/>
        <v>2601.1327595481439</v>
      </c>
      <c r="AE1127" s="25">
        <f t="shared" si="166"/>
        <v>2493.1148692498568</v>
      </c>
      <c r="AF1127" s="25">
        <f t="shared" si="167"/>
        <v>2614.6554868208714</v>
      </c>
      <c r="AG1127" s="25">
        <f t="shared" si="168"/>
        <v>2583.2918504572349</v>
      </c>
      <c r="AH1127" s="25">
        <f t="shared" si="169"/>
        <v>2580.9054868208714</v>
      </c>
      <c r="AI1127" s="25">
        <f t="shared" si="170"/>
        <v>2825.2654068842653</v>
      </c>
    </row>
    <row r="1128" spans="1:35" ht="15.75" customHeight="1">
      <c r="A1128" s="12" t="s">
        <v>855</v>
      </c>
      <c r="B1128" s="12" t="s">
        <v>856</v>
      </c>
      <c r="C1128" s="12" t="s">
        <v>192</v>
      </c>
      <c r="D1128" s="12" t="s">
        <v>33</v>
      </c>
      <c r="E1128" s="12" t="s">
        <v>23</v>
      </c>
      <c r="F1128" s="13">
        <v>39.160000000000004</v>
      </c>
      <c r="G1128" s="14">
        <v>247.37016</v>
      </c>
      <c r="H1128" s="24" t="str">
        <f t="shared" si="163"/>
        <v>SPSP</v>
      </c>
      <c r="I1128" s="24" t="str">
        <f t="shared" si="162"/>
        <v>SPMG</v>
      </c>
      <c r="J1128" s="24" t="str">
        <f t="shared" si="162"/>
        <v>SPES</v>
      </c>
      <c r="K1128" s="24" t="str">
        <f t="shared" si="162"/>
        <v>SPSC</v>
      </c>
      <c r="L1128" s="24" t="str">
        <f t="shared" si="162"/>
        <v>SPRJ</v>
      </c>
      <c r="M1128" s="24" t="str">
        <f t="shared" si="162"/>
        <v>SPPR</v>
      </c>
      <c r="N1128" s="24" t="str">
        <f t="shared" si="162"/>
        <v>SPAM</v>
      </c>
      <c r="O1128" s="24">
        <f>VLOOKUP(H1128, KM!$A:$E, 5, 0)</f>
        <v>0</v>
      </c>
      <c r="P1128" s="24">
        <f>VLOOKUP(I1128, KM!$A:$E, 5, 0)</f>
        <v>586</v>
      </c>
      <c r="Q1128" s="24">
        <f>VLOOKUP(J1128, KM!$A:$E, 5, 0)</f>
        <v>882</v>
      </c>
      <c r="R1128" s="24">
        <f>VLOOKUP(K1128, KM!$A:$E, 5, 0)</f>
        <v>705</v>
      </c>
      <c r="S1128" s="24">
        <f>VLOOKUP(L1128, KM!$A:$E, 5, 0)</f>
        <v>429</v>
      </c>
      <c r="T1128" s="24">
        <f>VLOOKUP(M1128, KM!$A:$E, 5, 0)</f>
        <v>408</v>
      </c>
      <c r="U1128" s="24">
        <f>VLOOKUP(N1128, KM!$A:$E, 5, 0)</f>
        <v>3971</v>
      </c>
      <c r="V1128" s="24">
        <f>VLOOKUP(H1128, IMPOSTO!$A:$D, 4, 0)</f>
        <v>0.18</v>
      </c>
      <c r="W1128" s="24">
        <f>VLOOKUP(I1128, IMPOSTO!$A:$D, 4, 0)</f>
        <v>0.12</v>
      </c>
      <c r="X1128" s="24">
        <f>VLOOKUP(J1128, IMPOSTO!$A:$D, 4, 0)</f>
        <v>7.0000000000000007E-2</v>
      </c>
      <c r="Y1128" s="24">
        <f>VLOOKUP(K1128, IMPOSTO!$A:$D, 4, 0)</f>
        <v>0.12</v>
      </c>
      <c r="Z1128" s="24">
        <f>VLOOKUP(L1128, IMPOSTO!$A:$D, 4, 0)</f>
        <v>0.12</v>
      </c>
      <c r="AA1128" s="24">
        <f>VLOOKUP(M1128, IMPOSTO!$A:$D, 4, 0)</f>
        <v>0.12</v>
      </c>
      <c r="AB1128" s="24">
        <f>VLOOKUP(N1128, IMPOSTO!$A:$D, 4, 0)</f>
        <v>7.0000000000000007E-2</v>
      </c>
      <c r="AC1128" s="25">
        <f t="shared" si="164"/>
        <v>301.6709268292683</v>
      </c>
      <c r="AD1128" s="25">
        <f t="shared" si="165"/>
        <v>347.69336363636364</v>
      </c>
      <c r="AE1128" s="25">
        <f t="shared" si="166"/>
        <v>360.82812903225806</v>
      </c>
      <c r="AF1128" s="25">
        <f t="shared" si="167"/>
        <v>361.21609090909089</v>
      </c>
      <c r="AG1128" s="25">
        <f t="shared" si="168"/>
        <v>329.85245454545458</v>
      </c>
      <c r="AH1128" s="25">
        <f t="shared" si="169"/>
        <v>327.46609090909089</v>
      </c>
      <c r="AI1128" s="25">
        <f t="shared" si="170"/>
        <v>692.97866666666675</v>
      </c>
    </row>
    <row r="1129" spans="1:35" ht="15.75" customHeight="1">
      <c r="A1129" s="12" t="s">
        <v>855</v>
      </c>
      <c r="B1129" s="12" t="s">
        <v>856</v>
      </c>
      <c r="C1129" s="12" t="s">
        <v>192</v>
      </c>
      <c r="D1129" s="12" t="s">
        <v>33</v>
      </c>
      <c r="E1129" s="12" t="s">
        <v>23</v>
      </c>
      <c r="F1129" s="13">
        <v>47.704000000000001</v>
      </c>
      <c r="G1129" s="14">
        <v>312.99520000000001</v>
      </c>
      <c r="H1129" s="24" t="str">
        <f t="shared" si="163"/>
        <v>SPSP</v>
      </c>
      <c r="I1129" s="24" t="str">
        <f t="shared" si="162"/>
        <v>SPMG</v>
      </c>
      <c r="J1129" s="24" t="str">
        <f t="shared" si="162"/>
        <v>SPES</v>
      </c>
      <c r="K1129" s="24" t="str">
        <f t="shared" si="162"/>
        <v>SPSC</v>
      </c>
      <c r="L1129" s="24" t="str">
        <f t="shared" si="162"/>
        <v>SPRJ</v>
      </c>
      <c r="M1129" s="24" t="str">
        <f t="shared" si="162"/>
        <v>SPPR</v>
      </c>
      <c r="N1129" s="24" t="str">
        <f t="shared" si="162"/>
        <v>SPAM</v>
      </c>
      <c r="O1129" s="24">
        <f>VLOOKUP(H1129, KM!$A:$E, 5, 0)</f>
        <v>0</v>
      </c>
      <c r="P1129" s="24">
        <f>VLOOKUP(I1129, KM!$A:$E, 5, 0)</f>
        <v>586</v>
      </c>
      <c r="Q1129" s="24">
        <f>VLOOKUP(J1129, KM!$A:$E, 5, 0)</f>
        <v>882</v>
      </c>
      <c r="R1129" s="24">
        <f>VLOOKUP(K1129, KM!$A:$E, 5, 0)</f>
        <v>705</v>
      </c>
      <c r="S1129" s="24">
        <f>VLOOKUP(L1129, KM!$A:$E, 5, 0)</f>
        <v>429</v>
      </c>
      <c r="T1129" s="24">
        <f>VLOOKUP(M1129, KM!$A:$E, 5, 0)</f>
        <v>408</v>
      </c>
      <c r="U1129" s="24">
        <f>VLOOKUP(N1129, KM!$A:$E, 5, 0)</f>
        <v>3971</v>
      </c>
      <c r="V1129" s="24">
        <f>VLOOKUP(H1129, IMPOSTO!$A:$D, 4, 0)</f>
        <v>0.18</v>
      </c>
      <c r="W1129" s="24">
        <f>VLOOKUP(I1129, IMPOSTO!$A:$D, 4, 0)</f>
        <v>0.12</v>
      </c>
      <c r="X1129" s="24">
        <f>VLOOKUP(J1129, IMPOSTO!$A:$D, 4, 0)</f>
        <v>7.0000000000000007E-2</v>
      </c>
      <c r="Y1129" s="24">
        <f>VLOOKUP(K1129, IMPOSTO!$A:$D, 4, 0)</f>
        <v>0.12</v>
      </c>
      <c r="Z1129" s="24">
        <f>VLOOKUP(L1129, IMPOSTO!$A:$D, 4, 0)</f>
        <v>0.12</v>
      </c>
      <c r="AA1129" s="24">
        <f>VLOOKUP(M1129, IMPOSTO!$A:$D, 4, 0)</f>
        <v>0.12</v>
      </c>
      <c r="AB1129" s="24">
        <f>VLOOKUP(N1129, IMPOSTO!$A:$D, 4, 0)</f>
        <v>7.0000000000000007E-2</v>
      </c>
      <c r="AC1129" s="25">
        <f t="shared" si="164"/>
        <v>381.70146341463413</v>
      </c>
      <c r="AD1129" s="25">
        <f t="shared" si="165"/>
        <v>422.26727272727277</v>
      </c>
      <c r="AE1129" s="25">
        <f t="shared" si="166"/>
        <v>431.39268817204305</v>
      </c>
      <c r="AF1129" s="25">
        <f t="shared" si="167"/>
        <v>435.79</v>
      </c>
      <c r="AG1129" s="25">
        <f t="shared" si="168"/>
        <v>404.4263636363637</v>
      </c>
      <c r="AH1129" s="25">
        <f t="shared" si="169"/>
        <v>402.04</v>
      </c>
      <c r="AI1129" s="25">
        <f t="shared" si="170"/>
        <v>763.54322580645169</v>
      </c>
    </row>
    <row r="1130" spans="1:35" ht="15.75" customHeight="1">
      <c r="A1130" s="12" t="s">
        <v>857</v>
      </c>
      <c r="B1130" s="12" t="s">
        <v>858</v>
      </c>
      <c r="C1130" s="12" t="s">
        <v>192</v>
      </c>
      <c r="D1130" s="12" t="s">
        <v>50</v>
      </c>
      <c r="E1130" s="12" t="s">
        <v>23</v>
      </c>
      <c r="F1130" s="13">
        <v>349.17081081081079</v>
      </c>
      <c r="G1130" s="14">
        <v>1342.0561973310812</v>
      </c>
      <c r="H1130" s="24" t="str">
        <f t="shared" si="163"/>
        <v>SPSP</v>
      </c>
      <c r="I1130" s="24" t="str">
        <f t="shared" si="162"/>
        <v>SPMG</v>
      </c>
      <c r="J1130" s="24" t="str">
        <f t="shared" si="162"/>
        <v>SPES</v>
      </c>
      <c r="K1130" s="24" t="str">
        <f t="shared" si="162"/>
        <v>SPSC</v>
      </c>
      <c r="L1130" s="24" t="str">
        <f t="shared" si="162"/>
        <v>SPRJ</v>
      </c>
      <c r="M1130" s="24" t="str">
        <f t="shared" ref="I1130:N1193" si="171">$E1130 &amp; M$17</f>
        <v>SPPR</v>
      </c>
      <c r="N1130" s="24" t="str">
        <f t="shared" si="171"/>
        <v>SPAM</v>
      </c>
      <c r="O1130" s="24">
        <f>VLOOKUP(H1130, KM!$A:$E, 5, 0)</f>
        <v>0</v>
      </c>
      <c r="P1130" s="24">
        <f>VLOOKUP(I1130, KM!$A:$E, 5, 0)</f>
        <v>586</v>
      </c>
      <c r="Q1130" s="24">
        <f>VLOOKUP(J1130, KM!$A:$E, 5, 0)</f>
        <v>882</v>
      </c>
      <c r="R1130" s="24">
        <f>VLOOKUP(K1130, KM!$A:$E, 5, 0)</f>
        <v>705</v>
      </c>
      <c r="S1130" s="24">
        <f>VLOOKUP(L1130, KM!$A:$E, 5, 0)</f>
        <v>429</v>
      </c>
      <c r="T1130" s="24">
        <f>VLOOKUP(M1130, KM!$A:$E, 5, 0)</f>
        <v>408</v>
      </c>
      <c r="U1130" s="24">
        <f>VLOOKUP(N1130, KM!$A:$E, 5, 0)</f>
        <v>3971</v>
      </c>
      <c r="V1130" s="24">
        <f>VLOOKUP(H1130, IMPOSTO!$A:$D, 4, 0)</f>
        <v>0.18</v>
      </c>
      <c r="W1130" s="24">
        <f>VLOOKUP(I1130, IMPOSTO!$A:$D, 4, 0)</f>
        <v>0.12</v>
      </c>
      <c r="X1130" s="24">
        <f>VLOOKUP(J1130, IMPOSTO!$A:$D, 4, 0)</f>
        <v>7.0000000000000007E-2</v>
      </c>
      <c r="Y1130" s="24">
        <f>VLOOKUP(K1130, IMPOSTO!$A:$D, 4, 0)</f>
        <v>0.12</v>
      </c>
      <c r="Z1130" s="24">
        <f>VLOOKUP(L1130, IMPOSTO!$A:$D, 4, 0)</f>
        <v>0.12</v>
      </c>
      <c r="AA1130" s="24">
        <f>VLOOKUP(M1130, IMPOSTO!$A:$D, 4, 0)</f>
        <v>0.12</v>
      </c>
      <c r="AB1130" s="24">
        <f>VLOOKUP(N1130, IMPOSTO!$A:$D, 4, 0)</f>
        <v>7.0000000000000007E-2</v>
      </c>
      <c r="AC1130" s="25">
        <f t="shared" si="164"/>
        <v>1636.6538991842453</v>
      </c>
      <c r="AD1130" s="25">
        <f t="shared" si="165"/>
        <v>1591.6547696944103</v>
      </c>
      <c r="AE1130" s="25">
        <f t="shared" si="166"/>
        <v>1537.9098896033133</v>
      </c>
      <c r="AF1130" s="25">
        <f t="shared" si="167"/>
        <v>1605.1774969671378</v>
      </c>
      <c r="AG1130" s="25">
        <f t="shared" si="168"/>
        <v>1573.8138606035016</v>
      </c>
      <c r="AH1130" s="25">
        <f t="shared" si="169"/>
        <v>1571.4274969671376</v>
      </c>
      <c r="AI1130" s="25">
        <f t="shared" si="170"/>
        <v>1870.060427237722</v>
      </c>
    </row>
    <row r="1131" spans="1:35" ht="15.75" customHeight="1">
      <c r="A1131" s="12" t="s">
        <v>857</v>
      </c>
      <c r="B1131" s="12" t="s">
        <v>858</v>
      </c>
      <c r="C1131" s="12" t="s">
        <v>192</v>
      </c>
      <c r="D1131" s="12" t="s">
        <v>50</v>
      </c>
      <c r="E1131" s="12" t="s">
        <v>23</v>
      </c>
      <c r="F1131" s="13">
        <v>248.78420270270271</v>
      </c>
      <c r="G1131" s="14">
        <v>945.42725381756736</v>
      </c>
      <c r="H1131" s="24" t="str">
        <f t="shared" si="163"/>
        <v>SPSP</v>
      </c>
      <c r="I1131" s="24" t="str">
        <f t="shared" si="171"/>
        <v>SPMG</v>
      </c>
      <c r="J1131" s="24" t="str">
        <f t="shared" si="171"/>
        <v>SPES</v>
      </c>
      <c r="K1131" s="24" t="str">
        <f t="shared" si="171"/>
        <v>SPSC</v>
      </c>
      <c r="L1131" s="24" t="str">
        <f t="shared" si="171"/>
        <v>SPRJ</v>
      </c>
      <c r="M1131" s="24" t="str">
        <f t="shared" si="171"/>
        <v>SPPR</v>
      </c>
      <c r="N1131" s="24" t="str">
        <f t="shared" si="171"/>
        <v>SPAM</v>
      </c>
      <c r="O1131" s="24">
        <f>VLOOKUP(H1131, KM!$A:$E, 5, 0)</f>
        <v>0</v>
      </c>
      <c r="P1131" s="24">
        <f>VLOOKUP(I1131, KM!$A:$E, 5, 0)</f>
        <v>586</v>
      </c>
      <c r="Q1131" s="24">
        <f>VLOOKUP(J1131, KM!$A:$E, 5, 0)</f>
        <v>882</v>
      </c>
      <c r="R1131" s="24">
        <f>VLOOKUP(K1131, KM!$A:$E, 5, 0)</f>
        <v>705</v>
      </c>
      <c r="S1131" s="24">
        <f>VLOOKUP(L1131, KM!$A:$E, 5, 0)</f>
        <v>429</v>
      </c>
      <c r="T1131" s="24">
        <f>VLOOKUP(M1131, KM!$A:$E, 5, 0)</f>
        <v>408</v>
      </c>
      <c r="U1131" s="24">
        <f>VLOOKUP(N1131, KM!$A:$E, 5, 0)</f>
        <v>3971</v>
      </c>
      <c r="V1131" s="24">
        <f>VLOOKUP(H1131, IMPOSTO!$A:$D, 4, 0)</f>
        <v>0.18</v>
      </c>
      <c r="W1131" s="24">
        <f>VLOOKUP(I1131, IMPOSTO!$A:$D, 4, 0)</f>
        <v>0.12</v>
      </c>
      <c r="X1131" s="24">
        <f>VLOOKUP(J1131, IMPOSTO!$A:$D, 4, 0)</f>
        <v>7.0000000000000007E-2</v>
      </c>
      <c r="Y1131" s="24">
        <f>VLOOKUP(K1131, IMPOSTO!$A:$D, 4, 0)</f>
        <v>0.12</v>
      </c>
      <c r="Z1131" s="24">
        <f>VLOOKUP(L1131, IMPOSTO!$A:$D, 4, 0)</f>
        <v>0.12</v>
      </c>
      <c r="AA1131" s="24">
        <f>VLOOKUP(M1131, IMPOSTO!$A:$D, 4, 0)</f>
        <v>0.12</v>
      </c>
      <c r="AB1131" s="24">
        <f>VLOOKUP(N1131, IMPOSTO!$A:$D, 4, 0)</f>
        <v>7.0000000000000007E-2</v>
      </c>
      <c r="AC1131" s="25">
        <f t="shared" si="164"/>
        <v>1152.9600656311795</v>
      </c>
      <c r="AD1131" s="25">
        <f t="shared" si="165"/>
        <v>1140.9400611563265</v>
      </c>
      <c r="AE1131" s="25">
        <f t="shared" si="166"/>
        <v>1111.4271546425457</v>
      </c>
      <c r="AF1131" s="25">
        <f t="shared" si="167"/>
        <v>1154.4627884290537</v>
      </c>
      <c r="AG1131" s="25">
        <f t="shared" si="168"/>
        <v>1123.0991520654175</v>
      </c>
      <c r="AH1131" s="25">
        <f t="shared" si="169"/>
        <v>1120.7127884290537</v>
      </c>
      <c r="AI1131" s="25">
        <f t="shared" si="170"/>
        <v>1443.5776922769542</v>
      </c>
    </row>
    <row r="1132" spans="1:35" ht="15.75" customHeight="1">
      <c r="A1132" s="12" t="s">
        <v>857</v>
      </c>
      <c r="B1132" s="12" t="s">
        <v>858</v>
      </c>
      <c r="C1132" s="12" t="s">
        <v>192</v>
      </c>
      <c r="D1132" s="12" t="s">
        <v>50</v>
      </c>
      <c r="E1132" s="12" t="s">
        <v>23</v>
      </c>
      <c r="F1132" s="13">
        <v>48.010986486486487</v>
      </c>
      <c r="G1132" s="14">
        <v>185.43516091216222</v>
      </c>
      <c r="H1132" s="24" t="str">
        <f t="shared" si="163"/>
        <v>SPSP</v>
      </c>
      <c r="I1132" s="24" t="str">
        <f t="shared" si="171"/>
        <v>SPMG</v>
      </c>
      <c r="J1132" s="24" t="str">
        <f t="shared" si="171"/>
        <v>SPES</v>
      </c>
      <c r="K1132" s="24" t="str">
        <f t="shared" si="171"/>
        <v>SPSC</v>
      </c>
      <c r="L1132" s="24" t="str">
        <f t="shared" si="171"/>
        <v>SPRJ</v>
      </c>
      <c r="M1132" s="24" t="str">
        <f t="shared" si="171"/>
        <v>SPPR</v>
      </c>
      <c r="N1132" s="24" t="str">
        <f t="shared" si="171"/>
        <v>SPAM</v>
      </c>
      <c r="O1132" s="24">
        <f>VLOOKUP(H1132, KM!$A:$E, 5, 0)</f>
        <v>0</v>
      </c>
      <c r="P1132" s="24">
        <f>VLOOKUP(I1132, KM!$A:$E, 5, 0)</f>
        <v>586</v>
      </c>
      <c r="Q1132" s="24">
        <f>VLOOKUP(J1132, KM!$A:$E, 5, 0)</f>
        <v>882</v>
      </c>
      <c r="R1132" s="24">
        <f>VLOOKUP(K1132, KM!$A:$E, 5, 0)</f>
        <v>705</v>
      </c>
      <c r="S1132" s="24">
        <f>VLOOKUP(L1132, KM!$A:$E, 5, 0)</f>
        <v>429</v>
      </c>
      <c r="T1132" s="24">
        <f>VLOOKUP(M1132, KM!$A:$E, 5, 0)</f>
        <v>408</v>
      </c>
      <c r="U1132" s="24">
        <f>VLOOKUP(N1132, KM!$A:$E, 5, 0)</f>
        <v>3971</v>
      </c>
      <c r="V1132" s="24">
        <f>VLOOKUP(H1132, IMPOSTO!$A:$D, 4, 0)</f>
        <v>0.18</v>
      </c>
      <c r="W1132" s="24">
        <f>VLOOKUP(I1132, IMPOSTO!$A:$D, 4, 0)</f>
        <v>0.12</v>
      </c>
      <c r="X1132" s="24">
        <f>VLOOKUP(J1132, IMPOSTO!$A:$D, 4, 0)</f>
        <v>7.0000000000000007E-2</v>
      </c>
      <c r="Y1132" s="24">
        <f>VLOOKUP(K1132, IMPOSTO!$A:$D, 4, 0)</f>
        <v>0.12</v>
      </c>
      <c r="Z1132" s="24">
        <f>VLOOKUP(L1132, IMPOSTO!$A:$D, 4, 0)</f>
        <v>0.12</v>
      </c>
      <c r="AA1132" s="24">
        <f>VLOOKUP(M1132, IMPOSTO!$A:$D, 4, 0)</f>
        <v>0.12</v>
      </c>
      <c r="AB1132" s="24">
        <f>VLOOKUP(N1132, IMPOSTO!$A:$D, 4, 0)</f>
        <v>7.0000000000000007E-2</v>
      </c>
      <c r="AC1132" s="25">
        <f t="shared" si="164"/>
        <v>226.14044013678318</v>
      </c>
      <c r="AD1132" s="25">
        <f t="shared" si="165"/>
        <v>277.31268285472976</v>
      </c>
      <c r="AE1132" s="25">
        <f t="shared" si="166"/>
        <v>294.23135581952931</v>
      </c>
      <c r="AF1132" s="25">
        <f t="shared" si="167"/>
        <v>290.83541012745707</v>
      </c>
      <c r="AG1132" s="25">
        <f t="shared" si="168"/>
        <v>259.47177376382069</v>
      </c>
      <c r="AH1132" s="25">
        <f t="shared" si="169"/>
        <v>257.08541012745707</v>
      </c>
      <c r="AI1132" s="25">
        <f t="shared" si="170"/>
        <v>626.38189345393801</v>
      </c>
    </row>
    <row r="1133" spans="1:35" ht="15.75" customHeight="1">
      <c r="A1133" s="12" t="s">
        <v>247</v>
      </c>
      <c r="B1133" s="12" t="s">
        <v>248</v>
      </c>
      <c r="C1133" s="12" t="s">
        <v>192</v>
      </c>
      <c r="D1133" s="12" t="s">
        <v>50</v>
      </c>
      <c r="E1133" s="12" t="s">
        <v>23</v>
      </c>
      <c r="F1133" s="13">
        <v>1132.321917808219</v>
      </c>
      <c r="G1133" s="14">
        <v>31476.744410958905</v>
      </c>
      <c r="H1133" s="24" t="str">
        <f t="shared" si="163"/>
        <v>SPSP</v>
      </c>
      <c r="I1133" s="24" t="str">
        <f t="shared" si="171"/>
        <v>SPMG</v>
      </c>
      <c r="J1133" s="24" t="str">
        <f t="shared" si="171"/>
        <v>SPES</v>
      </c>
      <c r="K1133" s="24" t="str">
        <f t="shared" si="171"/>
        <v>SPSC</v>
      </c>
      <c r="L1133" s="24" t="str">
        <f t="shared" si="171"/>
        <v>SPRJ</v>
      </c>
      <c r="M1133" s="24" t="str">
        <f t="shared" si="171"/>
        <v>SPPR</v>
      </c>
      <c r="N1133" s="24" t="str">
        <f t="shared" si="171"/>
        <v>SPAM</v>
      </c>
      <c r="O1133" s="24">
        <f>VLOOKUP(H1133, KM!$A:$E, 5, 0)</f>
        <v>0</v>
      </c>
      <c r="P1133" s="24">
        <f>VLOOKUP(I1133, KM!$A:$E, 5, 0)</f>
        <v>586</v>
      </c>
      <c r="Q1133" s="24">
        <f>VLOOKUP(J1133, KM!$A:$E, 5, 0)</f>
        <v>882</v>
      </c>
      <c r="R1133" s="24">
        <f>VLOOKUP(K1133, KM!$A:$E, 5, 0)</f>
        <v>705</v>
      </c>
      <c r="S1133" s="24">
        <f>VLOOKUP(L1133, KM!$A:$E, 5, 0)</f>
        <v>429</v>
      </c>
      <c r="T1133" s="24">
        <f>VLOOKUP(M1133, KM!$A:$E, 5, 0)</f>
        <v>408</v>
      </c>
      <c r="U1133" s="24">
        <f>VLOOKUP(N1133, KM!$A:$E, 5, 0)</f>
        <v>3971</v>
      </c>
      <c r="V1133" s="24">
        <f>VLOOKUP(H1133, IMPOSTO!$A:$D, 4, 0)</f>
        <v>0.18</v>
      </c>
      <c r="W1133" s="24">
        <f>VLOOKUP(I1133, IMPOSTO!$A:$D, 4, 0)</f>
        <v>0.12</v>
      </c>
      <c r="X1133" s="24">
        <f>VLOOKUP(J1133, IMPOSTO!$A:$D, 4, 0)</f>
        <v>7.0000000000000007E-2</v>
      </c>
      <c r="Y1133" s="24">
        <f>VLOOKUP(K1133, IMPOSTO!$A:$D, 4, 0)</f>
        <v>0.12</v>
      </c>
      <c r="Z1133" s="24">
        <f>VLOOKUP(L1133, IMPOSTO!$A:$D, 4, 0)</f>
        <v>0.12</v>
      </c>
      <c r="AA1133" s="24">
        <f>VLOOKUP(M1133, IMPOSTO!$A:$D, 4, 0)</f>
        <v>0.12</v>
      </c>
      <c r="AB1133" s="24">
        <f>VLOOKUP(N1133, IMPOSTO!$A:$D, 4, 0)</f>
        <v>7.0000000000000007E-2</v>
      </c>
      <c r="AC1133" s="25">
        <f t="shared" si="164"/>
        <v>38386.273671901101</v>
      </c>
      <c r="AD1133" s="25">
        <f t="shared" si="165"/>
        <v>35835.618648816933</v>
      </c>
      <c r="AE1133" s="25">
        <f t="shared" si="166"/>
        <v>33940.800441891297</v>
      </c>
      <c r="AF1133" s="25">
        <f t="shared" si="167"/>
        <v>35849.141376089661</v>
      </c>
      <c r="AG1133" s="25">
        <f t="shared" si="168"/>
        <v>35817.777739726029</v>
      </c>
      <c r="AH1133" s="25">
        <f t="shared" si="169"/>
        <v>35815.391376089661</v>
      </c>
      <c r="AI1133" s="25">
        <f t="shared" si="170"/>
        <v>34272.950979525704</v>
      </c>
    </row>
    <row r="1134" spans="1:35" ht="15.75" customHeight="1">
      <c r="A1134" s="12" t="s">
        <v>312</v>
      </c>
      <c r="B1134" s="12" t="s">
        <v>313</v>
      </c>
      <c r="C1134" s="12" t="s">
        <v>314</v>
      </c>
      <c r="D1134" s="12" t="s">
        <v>33</v>
      </c>
      <c r="E1134" s="12" t="s">
        <v>23</v>
      </c>
      <c r="F1134" s="13">
        <v>47381.01538426504</v>
      </c>
      <c r="G1134" s="14">
        <v>975837.0702504213</v>
      </c>
      <c r="H1134" s="24" t="str">
        <f t="shared" si="163"/>
        <v>SPSP</v>
      </c>
      <c r="I1134" s="24" t="str">
        <f t="shared" si="171"/>
        <v>SPMG</v>
      </c>
      <c r="J1134" s="24" t="str">
        <f t="shared" si="171"/>
        <v>SPES</v>
      </c>
      <c r="K1134" s="24" t="str">
        <f t="shared" si="171"/>
        <v>SPSC</v>
      </c>
      <c r="L1134" s="24" t="str">
        <f t="shared" si="171"/>
        <v>SPRJ</v>
      </c>
      <c r="M1134" s="24" t="str">
        <f t="shared" si="171"/>
        <v>SPPR</v>
      </c>
      <c r="N1134" s="24" t="str">
        <f t="shared" si="171"/>
        <v>SPAM</v>
      </c>
      <c r="O1134" s="24">
        <f>VLOOKUP(H1134, KM!$A:$E, 5, 0)</f>
        <v>0</v>
      </c>
      <c r="P1134" s="24">
        <f>VLOOKUP(I1134, KM!$A:$E, 5, 0)</f>
        <v>586</v>
      </c>
      <c r="Q1134" s="24">
        <f>VLOOKUP(J1134, KM!$A:$E, 5, 0)</f>
        <v>882</v>
      </c>
      <c r="R1134" s="24">
        <f>VLOOKUP(K1134, KM!$A:$E, 5, 0)</f>
        <v>705</v>
      </c>
      <c r="S1134" s="24">
        <f>VLOOKUP(L1134, KM!$A:$E, 5, 0)</f>
        <v>429</v>
      </c>
      <c r="T1134" s="24">
        <f>VLOOKUP(M1134, KM!$A:$E, 5, 0)</f>
        <v>408</v>
      </c>
      <c r="U1134" s="24">
        <f>VLOOKUP(N1134, KM!$A:$E, 5, 0)</f>
        <v>3971</v>
      </c>
      <c r="V1134" s="24">
        <f>VLOOKUP(H1134, IMPOSTO!$A:$D, 4, 0)</f>
        <v>0.18</v>
      </c>
      <c r="W1134" s="24">
        <f>VLOOKUP(I1134, IMPOSTO!$A:$D, 4, 0)</f>
        <v>0.12</v>
      </c>
      <c r="X1134" s="24">
        <f>VLOOKUP(J1134, IMPOSTO!$A:$D, 4, 0)</f>
        <v>7.0000000000000007E-2</v>
      </c>
      <c r="Y1134" s="24">
        <f>VLOOKUP(K1134, IMPOSTO!$A:$D, 4, 0)</f>
        <v>0.12</v>
      </c>
      <c r="Z1134" s="24">
        <f>VLOOKUP(L1134, IMPOSTO!$A:$D, 4, 0)</f>
        <v>0.12</v>
      </c>
      <c r="AA1134" s="24">
        <f>VLOOKUP(M1134, IMPOSTO!$A:$D, 4, 0)</f>
        <v>0.12</v>
      </c>
      <c r="AB1134" s="24">
        <f>VLOOKUP(N1134, IMPOSTO!$A:$D, 4, 0)</f>
        <v>7.0000000000000007E-2</v>
      </c>
      <c r="AC1134" s="25">
        <f t="shared" si="164"/>
        <v>1190045.207622465</v>
      </c>
      <c r="AD1134" s="25">
        <f t="shared" si="165"/>
        <v>1108972.3525572969</v>
      </c>
      <c r="AE1134" s="25">
        <f t="shared" si="166"/>
        <v>1049382.0110219584</v>
      </c>
      <c r="AF1134" s="25">
        <f t="shared" si="167"/>
        <v>1108985.8752845696</v>
      </c>
      <c r="AG1134" s="25">
        <f t="shared" si="168"/>
        <v>1108954.511648206</v>
      </c>
      <c r="AH1134" s="25">
        <f t="shared" si="169"/>
        <v>1108952.1252845698</v>
      </c>
      <c r="AI1134" s="25">
        <f t="shared" si="170"/>
        <v>1049714.1615595929</v>
      </c>
    </row>
    <row r="1135" spans="1:35" ht="15.75" customHeight="1">
      <c r="A1135" s="12" t="s">
        <v>859</v>
      </c>
      <c r="B1135" s="12" t="s">
        <v>860</v>
      </c>
      <c r="C1135" s="12" t="s">
        <v>192</v>
      </c>
      <c r="D1135" s="12" t="s">
        <v>33</v>
      </c>
      <c r="E1135" s="12" t="s">
        <v>23</v>
      </c>
      <c r="F1135" s="13">
        <v>52.835526315789473</v>
      </c>
      <c r="G1135" s="14">
        <v>962.78657236842093</v>
      </c>
      <c r="H1135" s="24" t="str">
        <f t="shared" si="163"/>
        <v>SPSP</v>
      </c>
      <c r="I1135" s="24" t="str">
        <f t="shared" si="171"/>
        <v>SPMG</v>
      </c>
      <c r="J1135" s="24" t="str">
        <f t="shared" si="171"/>
        <v>SPES</v>
      </c>
      <c r="K1135" s="24" t="str">
        <f t="shared" si="171"/>
        <v>SPSC</v>
      </c>
      <c r="L1135" s="24" t="str">
        <f t="shared" si="171"/>
        <v>SPRJ</v>
      </c>
      <c r="M1135" s="24" t="str">
        <f t="shared" si="171"/>
        <v>SPPR</v>
      </c>
      <c r="N1135" s="24" t="str">
        <f t="shared" si="171"/>
        <v>SPAM</v>
      </c>
      <c r="O1135" s="24">
        <f>VLOOKUP(H1135, KM!$A:$E, 5, 0)</f>
        <v>0</v>
      </c>
      <c r="P1135" s="24">
        <f>VLOOKUP(I1135, KM!$A:$E, 5, 0)</f>
        <v>586</v>
      </c>
      <c r="Q1135" s="24">
        <f>VLOOKUP(J1135, KM!$A:$E, 5, 0)</f>
        <v>882</v>
      </c>
      <c r="R1135" s="24">
        <f>VLOOKUP(K1135, KM!$A:$E, 5, 0)</f>
        <v>705</v>
      </c>
      <c r="S1135" s="24">
        <f>VLOOKUP(L1135, KM!$A:$E, 5, 0)</f>
        <v>429</v>
      </c>
      <c r="T1135" s="24">
        <f>VLOOKUP(M1135, KM!$A:$E, 5, 0)</f>
        <v>408</v>
      </c>
      <c r="U1135" s="24">
        <f>VLOOKUP(N1135, KM!$A:$E, 5, 0)</f>
        <v>3971</v>
      </c>
      <c r="V1135" s="24">
        <f>VLOOKUP(H1135, IMPOSTO!$A:$D, 4, 0)</f>
        <v>0.18</v>
      </c>
      <c r="W1135" s="24">
        <f>VLOOKUP(I1135, IMPOSTO!$A:$D, 4, 0)</f>
        <v>0.12</v>
      </c>
      <c r="X1135" s="24">
        <f>VLOOKUP(J1135, IMPOSTO!$A:$D, 4, 0)</f>
        <v>7.0000000000000007E-2</v>
      </c>
      <c r="Y1135" s="24">
        <f>VLOOKUP(K1135, IMPOSTO!$A:$D, 4, 0)</f>
        <v>0.12</v>
      </c>
      <c r="Z1135" s="24">
        <f>VLOOKUP(L1135, IMPOSTO!$A:$D, 4, 0)</f>
        <v>0.12</v>
      </c>
      <c r="AA1135" s="24">
        <f>VLOOKUP(M1135, IMPOSTO!$A:$D, 4, 0)</f>
        <v>0.12</v>
      </c>
      <c r="AB1135" s="24">
        <f>VLOOKUP(N1135, IMPOSTO!$A:$D, 4, 0)</f>
        <v>7.0000000000000007E-2</v>
      </c>
      <c r="AC1135" s="25">
        <f t="shared" si="164"/>
        <v>1174.1299663029522</v>
      </c>
      <c r="AD1135" s="25">
        <f t="shared" si="165"/>
        <v>1160.6665595095692</v>
      </c>
      <c r="AE1135" s="25">
        <f t="shared" si="166"/>
        <v>1130.0930885681946</v>
      </c>
      <c r="AF1135" s="25">
        <f t="shared" si="167"/>
        <v>1174.1892867822964</v>
      </c>
      <c r="AG1135" s="25">
        <f t="shared" si="168"/>
        <v>1142.8256504186602</v>
      </c>
      <c r="AH1135" s="25">
        <f t="shared" si="169"/>
        <v>1140.4392867822964</v>
      </c>
      <c r="AI1135" s="25">
        <f t="shared" si="170"/>
        <v>1462.2436262026033</v>
      </c>
    </row>
    <row r="1136" spans="1:35" ht="15.75" customHeight="1">
      <c r="A1136" s="12" t="s">
        <v>859</v>
      </c>
      <c r="B1136" s="12" t="s">
        <v>860</v>
      </c>
      <c r="C1136" s="12" t="s">
        <v>192</v>
      </c>
      <c r="D1136" s="12" t="s">
        <v>33</v>
      </c>
      <c r="E1136" s="12" t="s">
        <v>23</v>
      </c>
      <c r="F1136" s="13">
        <v>176.11842105263159</v>
      </c>
      <c r="G1136" s="14">
        <v>2624.2525328947368</v>
      </c>
      <c r="H1136" s="24" t="str">
        <f t="shared" si="163"/>
        <v>SPSP</v>
      </c>
      <c r="I1136" s="24" t="str">
        <f t="shared" si="171"/>
        <v>SPMG</v>
      </c>
      <c r="J1136" s="24" t="str">
        <f t="shared" si="171"/>
        <v>SPES</v>
      </c>
      <c r="K1136" s="24" t="str">
        <f t="shared" si="171"/>
        <v>SPSC</v>
      </c>
      <c r="L1136" s="24" t="str">
        <f t="shared" si="171"/>
        <v>SPRJ</v>
      </c>
      <c r="M1136" s="24" t="str">
        <f t="shared" si="171"/>
        <v>SPPR</v>
      </c>
      <c r="N1136" s="24" t="str">
        <f t="shared" si="171"/>
        <v>SPAM</v>
      </c>
      <c r="O1136" s="24">
        <f>VLOOKUP(H1136, KM!$A:$E, 5, 0)</f>
        <v>0</v>
      </c>
      <c r="P1136" s="24">
        <f>VLOOKUP(I1136, KM!$A:$E, 5, 0)</f>
        <v>586</v>
      </c>
      <c r="Q1136" s="24">
        <f>VLOOKUP(J1136, KM!$A:$E, 5, 0)</f>
        <v>882</v>
      </c>
      <c r="R1136" s="24">
        <f>VLOOKUP(K1136, KM!$A:$E, 5, 0)</f>
        <v>705</v>
      </c>
      <c r="S1136" s="24">
        <f>VLOOKUP(L1136, KM!$A:$E, 5, 0)</f>
        <v>429</v>
      </c>
      <c r="T1136" s="24">
        <f>VLOOKUP(M1136, KM!$A:$E, 5, 0)</f>
        <v>408</v>
      </c>
      <c r="U1136" s="24">
        <f>VLOOKUP(N1136, KM!$A:$E, 5, 0)</f>
        <v>3971</v>
      </c>
      <c r="V1136" s="24">
        <f>VLOOKUP(H1136, IMPOSTO!$A:$D, 4, 0)</f>
        <v>0.18</v>
      </c>
      <c r="W1136" s="24">
        <f>VLOOKUP(I1136, IMPOSTO!$A:$D, 4, 0)</f>
        <v>0.12</v>
      </c>
      <c r="X1136" s="24">
        <f>VLOOKUP(J1136, IMPOSTO!$A:$D, 4, 0)</f>
        <v>7.0000000000000007E-2</v>
      </c>
      <c r="Y1136" s="24">
        <f>VLOOKUP(K1136, IMPOSTO!$A:$D, 4, 0)</f>
        <v>0.12</v>
      </c>
      <c r="Z1136" s="24">
        <f>VLOOKUP(L1136, IMPOSTO!$A:$D, 4, 0)</f>
        <v>0.12</v>
      </c>
      <c r="AA1136" s="24">
        <f>VLOOKUP(M1136, IMPOSTO!$A:$D, 4, 0)</f>
        <v>0.12</v>
      </c>
      <c r="AB1136" s="24">
        <f>VLOOKUP(N1136, IMPOSTO!$A:$D, 4, 0)</f>
        <v>7.0000000000000007E-2</v>
      </c>
      <c r="AC1136" s="25">
        <f t="shared" si="164"/>
        <v>3200.3079669448007</v>
      </c>
      <c r="AD1136" s="25">
        <f t="shared" si="165"/>
        <v>3048.6960601076553</v>
      </c>
      <c r="AE1136" s="25">
        <f t="shared" si="166"/>
        <v>2916.6156267685342</v>
      </c>
      <c r="AF1136" s="25">
        <f t="shared" si="167"/>
        <v>3062.2187873803828</v>
      </c>
      <c r="AG1136" s="25">
        <f t="shared" si="168"/>
        <v>3030.8551510167463</v>
      </c>
      <c r="AH1136" s="25">
        <f t="shared" si="169"/>
        <v>3028.4687873803828</v>
      </c>
      <c r="AI1136" s="25">
        <f t="shared" si="170"/>
        <v>3248.7661644029426</v>
      </c>
    </row>
    <row r="1137" spans="1:35" ht="15.75" customHeight="1">
      <c r="A1137" s="12" t="s">
        <v>556</v>
      </c>
      <c r="B1137" s="12" t="s">
        <v>557</v>
      </c>
      <c r="C1137" s="12" t="s">
        <v>192</v>
      </c>
      <c r="D1137" s="12" t="s">
        <v>50</v>
      </c>
      <c r="E1137" s="12" t="s">
        <v>23</v>
      </c>
      <c r="F1137" s="13">
        <v>258.73121869782972</v>
      </c>
      <c r="G1137" s="14">
        <v>18066.020033388984</v>
      </c>
      <c r="H1137" s="24" t="str">
        <f t="shared" si="163"/>
        <v>SPSP</v>
      </c>
      <c r="I1137" s="24" t="str">
        <f t="shared" si="171"/>
        <v>SPMG</v>
      </c>
      <c r="J1137" s="24" t="str">
        <f t="shared" si="171"/>
        <v>SPES</v>
      </c>
      <c r="K1137" s="24" t="str">
        <f t="shared" si="171"/>
        <v>SPSC</v>
      </c>
      <c r="L1137" s="24" t="str">
        <f t="shared" si="171"/>
        <v>SPRJ</v>
      </c>
      <c r="M1137" s="24" t="str">
        <f t="shared" si="171"/>
        <v>SPPR</v>
      </c>
      <c r="N1137" s="24" t="str">
        <f t="shared" si="171"/>
        <v>SPAM</v>
      </c>
      <c r="O1137" s="24">
        <f>VLOOKUP(H1137, KM!$A:$E, 5, 0)</f>
        <v>0</v>
      </c>
      <c r="P1137" s="24">
        <f>VLOOKUP(I1137, KM!$A:$E, 5, 0)</f>
        <v>586</v>
      </c>
      <c r="Q1137" s="24">
        <f>VLOOKUP(J1137, KM!$A:$E, 5, 0)</f>
        <v>882</v>
      </c>
      <c r="R1137" s="24">
        <f>VLOOKUP(K1137, KM!$A:$E, 5, 0)</f>
        <v>705</v>
      </c>
      <c r="S1137" s="24">
        <f>VLOOKUP(L1137, KM!$A:$E, 5, 0)</f>
        <v>429</v>
      </c>
      <c r="T1137" s="24">
        <f>VLOOKUP(M1137, KM!$A:$E, 5, 0)</f>
        <v>408</v>
      </c>
      <c r="U1137" s="24">
        <f>VLOOKUP(N1137, KM!$A:$E, 5, 0)</f>
        <v>3971</v>
      </c>
      <c r="V1137" s="24">
        <f>VLOOKUP(H1137, IMPOSTO!$A:$D, 4, 0)</f>
        <v>0.18</v>
      </c>
      <c r="W1137" s="24">
        <f>VLOOKUP(I1137, IMPOSTO!$A:$D, 4, 0)</f>
        <v>0.12</v>
      </c>
      <c r="X1137" s="24">
        <f>VLOOKUP(J1137, IMPOSTO!$A:$D, 4, 0)</f>
        <v>7.0000000000000007E-2</v>
      </c>
      <c r="Y1137" s="24">
        <f>VLOOKUP(K1137, IMPOSTO!$A:$D, 4, 0)</f>
        <v>0.12</v>
      </c>
      <c r="Z1137" s="24">
        <f>VLOOKUP(L1137, IMPOSTO!$A:$D, 4, 0)</f>
        <v>0.12</v>
      </c>
      <c r="AA1137" s="24">
        <f>VLOOKUP(M1137, IMPOSTO!$A:$D, 4, 0)</f>
        <v>0.12</v>
      </c>
      <c r="AB1137" s="24">
        <f>VLOOKUP(N1137, IMPOSTO!$A:$D, 4, 0)</f>
        <v>7.0000000000000007E-2</v>
      </c>
      <c r="AC1137" s="25">
        <f t="shared" si="164"/>
        <v>22031.731748035345</v>
      </c>
      <c r="AD1137" s="25">
        <f t="shared" si="165"/>
        <v>20596.159128851115</v>
      </c>
      <c r="AE1137" s="25">
        <f t="shared" si="166"/>
        <v>19520.666702568804</v>
      </c>
      <c r="AF1137" s="25">
        <f t="shared" si="167"/>
        <v>20609.681856123847</v>
      </c>
      <c r="AG1137" s="25">
        <f t="shared" si="168"/>
        <v>20578.318219760211</v>
      </c>
      <c r="AH1137" s="25">
        <f t="shared" si="169"/>
        <v>20575.931856123843</v>
      </c>
      <c r="AI1137" s="25">
        <f t="shared" si="170"/>
        <v>19852.817240203207</v>
      </c>
    </row>
    <row r="1138" spans="1:35" ht="15.75" customHeight="1">
      <c r="A1138" s="12" t="s">
        <v>556</v>
      </c>
      <c r="B1138" s="12" t="s">
        <v>557</v>
      </c>
      <c r="C1138" s="12" t="s">
        <v>192</v>
      </c>
      <c r="D1138" s="12" t="s">
        <v>50</v>
      </c>
      <c r="E1138" s="12" t="s">
        <v>23</v>
      </c>
      <c r="F1138" s="13">
        <v>151.45242070116859</v>
      </c>
      <c r="G1138" s="14">
        <v>10447.954257095162</v>
      </c>
      <c r="H1138" s="24" t="str">
        <f t="shared" si="163"/>
        <v>SPSP</v>
      </c>
      <c r="I1138" s="24" t="str">
        <f t="shared" si="171"/>
        <v>SPMG</v>
      </c>
      <c r="J1138" s="24" t="str">
        <f t="shared" si="171"/>
        <v>SPES</v>
      </c>
      <c r="K1138" s="24" t="str">
        <f t="shared" si="171"/>
        <v>SPSC</v>
      </c>
      <c r="L1138" s="24" t="str">
        <f t="shared" si="171"/>
        <v>SPRJ</v>
      </c>
      <c r="M1138" s="24" t="str">
        <f t="shared" si="171"/>
        <v>SPPR</v>
      </c>
      <c r="N1138" s="24" t="str">
        <f t="shared" si="171"/>
        <v>SPAM</v>
      </c>
      <c r="O1138" s="24">
        <f>VLOOKUP(H1138, KM!$A:$E, 5, 0)</f>
        <v>0</v>
      </c>
      <c r="P1138" s="24">
        <f>VLOOKUP(I1138, KM!$A:$E, 5, 0)</f>
        <v>586</v>
      </c>
      <c r="Q1138" s="24">
        <f>VLOOKUP(J1138, KM!$A:$E, 5, 0)</f>
        <v>882</v>
      </c>
      <c r="R1138" s="24">
        <f>VLOOKUP(K1138, KM!$A:$E, 5, 0)</f>
        <v>705</v>
      </c>
      <c r="S1138" s="24">
        <f>VLOOKUP(L1138, KM!$A:$E, 5, 0)</f>
        <v>429</v>
      </c>
      <c r="T1138" s="24">
        <f>VLOOKUP(M1138, KM!$A:$E, 5, 0)</f>
        <v>408</v>
      </c>
      <c r="U1138" s="24">
        <f>VLOOKUP(N1138, KM!$A:$E, 5, 0)</f>
        <v>3971</v>
      </c>
      <c r="V1138" s="24">
        <f>VLOOKUP(H1138, IMPOSTO!$A:$D, 4, 0)</f>
        <v>0.18</v>
      </c>
      <c r="W1138" s="24">
        <f>VLOOKUP(I1138, IMPOSTO!$A:$D, 4, 0)</f>
        <v>0.12</v>
      </c>
      <c r="X1138" s="24">
        <f>VLOOKUP(J1138, IMPOSTO!$A:$D, 4, 0)</f>
        <v>7.0000000000000007E-2</v>
      </c>
      <c r="Y1138" s="24">
        <f>VLOOKUP(K1138, IMPOSTO!$A:$D, 4, 0)</f>
        <v>0.12</v>
      </c>
      <c r="Z1138" s="24">
        <f>VLOOKUP(L1138, IMPOSTO!$A:$D, 4, 0)</f>
        <v>0.12</v>
      </c>
      <c r="AA1138" s="24">
        <f>VLOOKUP(M1138, IMPOSTO!$A:$D, 4, 0)</f>
        <v>0.12</v>
      </c>
      <c r="AB1138" s="24">
        <f>VLOOKUP(N1138, IMPOSTO!$A:$D, 4, 0)</f>
        <v>7.0000000000000007E-2</v>
      </c>
      <c r="AC1138" s="25">
        <f t="shared" si="164"/>
        <v>12741.407630603855</v>
      </c>
      <c r="AD1138" s="25">
        <f t="shared" si="165"/>
        <v>11939.266201244502</v>
      </c>
      <c r="AE1138" s="25">
        <f t="shared" si="166"/>
        <v>11329.198125908777</v>
      </c>
      <c r="AF1138" s="25">
        <f t="shared" si="167"/>
        <v>11952.78892851723</v>
      </c>
      <c r="AG1138" s="25">
        <f t="shared" si="168"/>
        <v>11921.425292153592</v>
      </c>
      <c r="AH1138" s="25">
        <f t="shared" si="169"/>
        <v>11919.038928517228</v>
      </c>
      <c r="AI1138" s="25">
        <f t="shared" si="170"/>
        <v>11661.348663543185</v>
      </c>
    </row>
    <row r="1139" spans="1:35" ht="15.75" customHeight="1">
      <c r="A1139" s="12" t="s">
        <v>556</v>
      </c>
      <c r="B1139" s="12" t="s">
        <v>557</v>
      </c>
      <c r="C1139" s="12" t="s">
        <v>192</v>
      </c>
      <c r="D1139" s="12" t="s">
        <v>50</v>
      </c>
      <c r="E1139" s="12" t="s">
        <v>23</v>
      </c>
      <c r="F1139" s="13">
        <v>97.362270450751254</v>
      </c>
      <c r="G1139" s="14">
        <v>6797.9328881469119</v>
      </c>
      <c r="H1139" s="24" t="str">
        <f t="shared" si="163"/>
        <v>SPSP</v>
      </c>
      <c r="I1139" s="24" t="str">
        <f t="shared" si="171"/>
        <v>SPMG</v>
      </c>
      <c r="J1139" s="24" t="str">
        <f t="shared" si="171"/>
        <v>SPES</v>
      </c>
      <c r="K1139" s="24" t="str">
        <f t="shared" si="171"/>
        <v>SPSC</v>
      </c>
      <c r="L1139" s="24" t="str">
        <f t="shared" si="171"/>
        <v>SPRJ</v>
      </c>
      <c r="M1139" s="24" t="str">
        <f t="shared" si="171"/>
        <v>SPPR</v>
      </c>
      <c r="N1139" s="24" t="str">
        <f t="shared" si="171"/>
        <v>SPAM</v>
      </c>
      <c r="O1139" s="24">
        <f>VLOOKUP(H1139, KM!$A:$E, 5, 0)</f>
        <v>0</v>
      </c>
      <c r="P1139" s="24">
        <f>VLOOKUP(I1139, KM!$A:$E, 5, 0)</f>
        <v>586</v>
      </c>
      <c r="Q1139" s="24">
        <f>VLOOKUP(J1139, KM!$A:$E, 5, 0)</f>
        <v>882</v>
      </c>
      <c r="R1139" s="24">
        <f>VLOOKUP(K1139, KM!$A:$E, 5, 0)</f>
        <v>705</v>
      </c>
      <c r="S1139" s="24">
        <f>VLOOKUP(L1139, KM!$A:$E, 5, 0)</f>
        <v>429</v>
      </c>
      <c r="T1139" s="24">
        <f>VLOOKUP(M1139, KM!$A:$E, 5, 0)</f>
        <v>408</v>
      </c>
      <c r="U1139" s="24">
        <f>VLOOKUP(N1139, KM!$A:$E, 5, 0)</f>
        <v>3971</v>
      </c>
      <c r="V1139" s="24">
        <f>VLOOKUP(H1139, IMPOSTO!$A:$D, 4, 0)</f>
        <v>0.18</v>
      </c>
      <c r="W1139" s="24">
        <f>VLOOKUP(I1139, IMPOSTO!$A:$D, 4, 0)</f>
        <v>0.12</v>
      </c>
      <c r="X1139" s="24">
        <f>VLOOKUP(J1139, IMPOSTO!$A:$D, 4, 0)</f>
        <v>7.0000000000000007E-2</v>
      </c>
      <c r="Y1139" s="24">
        <f>VLOOKUP(K1139, IMPOSTO!$A:$D, 4, 0)</f>
        <v>0.12</v>
      </c>
      <c r="Z1139" s="24">
        <f>VLOOKUP(L1139, IMPOSTO!$A:$D, 4, 0)</f>
        <v>0.12</v>
      </c>
      <c r="AA1139" s="24">
        <f>VLOOKUP(M1139, IMPOSTO!$A:$D, 4, 0)</f>
        <v>0.12</v>
      </c>
      <c r="AB1139" s="24">
        <f>VLOOKUP(N1139, IMPOSTO!$A:$D, 4, 0)</f>
        <v>7.0000000000000007E-2</v>
      </c>
      <c r="AC1139" s="25">
        <f t="shared" si="164"/>
        <v>8290.1620587157449</v>
      </c>
      <c r="AD1139" s="25">
        <f t="shared" si="165"/>
        <v>7791.5146456214916</v>
      </c>
      <c r="AE1139" s="25">
        <f t="shared" si="166"/>
        <v>7404.4439657493676</v>
      </c>
      <c r="AF1139" s="25">
        <f t="shared" si="167"/>
        <v>7805.0373728942177</v>
      </c>
      <c r="AG1139" s="25">
        <f t="shared" si="168"/>
        <v>7773.6737365305817</v>
      </c>
      <c r="AH1139" s="25">
        <f t="shared" si="169"/>
        <v>7771.2873728942186</v>
      </c>
      <c r="AI1139" s="25">
        <f t="shared" si="170"/>
        <v>7736.594503383777</v>
      </c>
    </row>
    <row r="1140" spans="1:35" ht="15.75" customHeight="1">
      <c r="A1140" s="12" t="s">
        <v>861</v>
      </c>
      <c r="B1140" s="12" t="s">
        <v>862</v>
      </c>
      <c r="C1140" s="12" t="s">
        <v>192</v>
      </c>
      <c r="D1140" s="12" t="s">
        <v>50</v>
      </c>
      <c r="E1140" s="12" t="s">
        <v>23</v>
      </c>
      <c r="F1140" s="13">
        <v>1072.0723002457003</v>
      </c>
      <c r="G1140" s="14">
        <v>14913.105700628992</v>
      </c>
      <c r="H1140" s="24" t="str">
        <f t="shared" si="163"/>
        <v>SPSP</v>
      </c>
      <c r="I1140" s="24" t="str">
        <f t="shared" si="171"/>
        <v>SPMG</v>
      </c>
      <c r="J1140" s="24" t="str">
        <f t="shared" si="171"/>
        <v>SPES</v>
      </c>
      <c r="K1140" s="24" t="str">
        <f t="shared" si="171"/>
        <v>SPSC</v>
      </c>
      <c r="L1140" s="24" t="str">
        <f t="shared" si="171"/>
        <v>SPRJ</v>
      </c>
      <c r="M1140" s="24" t="str">
        <f t="shared" si="171"/>
        <v>SPPR</v>
      </c>
      <c r="N1140" s="24" t="str">
        <f t="shared" si="171"/>
        <v>SPAM</v>
      </c>
      <c r="O1140" s="24">
        <f>VLOOKUP(H1140, KM!$A:$E, 5, 0)</f>
        <v>0</v>
      </c>
      <c r="P1140" s="24">
        <f>VLOOKUP(I1140, KM!$A:$E, 5, 0)</f>
        <v>586</v>
      </c>
      <c r="Q1140" s="24">
        <f>VLOOKUP(J1140, KM!$A:$E, 5, 0)</f>
        <v>882</v>
      </c>
      <c r="R1140" s="24">
        <f>VLOOKUP(K1140, KM!$A:$E, 5, 0)</f>
        <v>705</v>
      </c>
      <c r="S1140" s="24">
        <f>VLOOKUP(L1140, KM!$A:$E, 5, 0)</f>
        <v>429</v>
      </c>
      <c r="T1140" s="24">
        <f>VLOOKUP(M1140, KM!$A:$E, 5, 0)</f>
        <v>408</v>
      </c>
      <c r="U1140" s="24">
        <f>VLOOKUP(N1140, KM!$A:$E, 5, 0)</f>
        <v>3971</v>
      </c>
      <c r="V1140" s="24">
        <f>VLOOKUP(H1140, IMPOSTO!$A:$D, 4, 0)</f>
        <v>0.18</v>
      </c>
      <c r="W1140" s="24">
        <f>VLOOKUP(I1140, IMPOSTO!$A:$D, 4, 0)</f>
        <v>0.12</v>
      </c>
      <c r="X1140" s="24">
        <f>VLOOKUP(J1140, IMPOSTO!$A:$D, 4, 0)</f>
        <v>7.0000000000000007E-2</v>
      </c>
      <c r="Y1140" s="24">
        <f>VLOOKUP(K1140, IMPOSTO!$A:$D, 4, 0)</f>
        <v>0.12</v>
      </c>
      <c r="Z1140" s="24">
        <f>VLOOKUP(L1140, IMPOSTO!$A:$D, 4, 0)</f>
        <v>0.12</v>
      </c>
      <c r="AA1140" s="24">
        <f>VLOOKUP(M1140, IMPOSTO!$A:$D, 4, 0)</f>
        <v>0.12</v>
      </c>
      <c r="AB1140" s="24">
        <f>VLOOKUP(N1140, IMPOSTO!$A:$D, 4, 0)</f>
        <v>7.0000000000000007E-2</v>
      </c>
      <c r="AC1140" s="25">
        <f t="shared" si="164"/>
        <v>18186.714269059747</v>
      </c>
      <c r="AD1140" s="25">
        <f t="shared" si="165"/>
        <v>17013.301932532944</v>
      </c>
      <c r="AE1140" s="25">
        <f t="shared" si="166"/>
        <v>16130.436237235477</v>
      </c>
      <c r="AF1140" s="25">
        <f t="shared" si="167"/>
        <v>17026.824659805672</v>
      </c>
      <c r="AG1140" s="25">
        <f t="shared" si="168"/>
        <v>16995.461023442036</v>
      </c>
      <c r="AH1140" s="25">
        <f t="shared" si="169"/>
        <v>16993.074659805672</v>
      </c>
      <c r="AI1140" s="25">
        <f t="shared" si="170"/>
        <v>16462.586774869884</v>
      </c>
    </row>
    <row r="1141" spans="1:35" ht="15.75" customHeight="1">
      <c r="A1141" s="12" t="s">
        <v>389</v>
      </c>
      <c r="B1141" s="12" t="s">
        <v>863</v>
      </c>
      <c r="C1141" s="12" t="s">
        <v>119</v>
      </c>
      <c r="D1141" s="12" t="s">
        <v>50</v>
      </c>
      <c r="E1141" s="12" t="s">
        <v>23</v>
      </c>
      <c r="F1141" s="13">
        <v>1006</v>
      </c>
      <c r="G1141" s="14">
        <v>54444.72</v>
      </c>
      <c r="H1141" s="24" t="str">
        <f t="shared" si="163"/>
        <v>SPSP</v>
      </c>
      <c r="I1141" s="24" t="str">
        <f t="shared" si="171"/>
        <v>SPMG</v>
      </c>
      <c r="J1141" s="24" t="str">
        <f t="shared" si="171"/>
        <v>SPES</v>
      </c>
      <c r="K1141" s="24" t="str">
        <f t="shared" si="171"/>
        <v>SPSC</v>
      </c>
      <c r="L1141" s="24" t="str">
        <f t="shared" si="171"/>
        <v>SPRJ</v>
      </c>
      <c r="M1141" s="24" t="str">
        <f t="shared" si="171"/>
        <v>SPPR</v>
      </c>
      <c r="N1141" s="24" t="str">
        <f t="shared" si="171"/>
        <v>SPAM</v>
      </c>
      <c r="O1141" s="24">
        <f>VLOOKUP(H1141, KM!$A:$E, 5, 0)</f>
        <v>0</v>
      </c>
      <c r="P1141" s="24">
        <f>VLOOKUP(I1141, KM!$A:$E, 5, 0)</f>
        <v>586</v>
      </c>
      <c r="Q1141" s="24">
        <f>VLOOKUP(J1141, KM!$A:$E, 5, 0)</f>
        <v>882</v>
      </c>
      <c r="R1141" s="24">
        <f>VLOOKUP(K1141, KM!$A:$E, 5, 0)</f>
        <v>705</v>
      </c>
      <c r="S1141" s="24">
        <f>VLOOKUP(L1141, KM!$A:$E, 5, 0)</f>
        <v>429</v>
      </c>
      <c r="T1141" s="24">
        <f>VLOOKUP(M1141, KM!$A:$E, 5, 0)</f>
        <v>408</v>
      </c>
      <c r="U1141" s="24">
        <f>VLOOKUP(N1141, KM!$A:$E, 5, 0)</f>
        <v>3971</v>
      </c>
      <c r="V1141" s="24">
        <f>VLOOKUP(H1141, IMPOSTO!$A:$D, 4, 0)</f>
        <v>0.18</v>
      </c>
      <c r="W1141" s="24">
        <f>VLOOKUP(I1141, IMPOSTO!$A:$D, 4, 0)</f>
        <v>0.12</v>
      </c>
      <c r="X1141" s="24">
        <f>VLOOKUP(J1141, IMPOSTO!$A:$D, 4, 0)</f>
        <v>7.0000000000000007E-2</v>
      </c>
      <c r="Y1141" s="24">
        <f>VLOOKUP(K1141, IMPOSTO!$A:$D, 4, 0)</f>
        <v>0.12</v>
      </c>
      <c r="Z1141" s="24">
        <f>VLOOKUP(L1141, IMPOSTO!$A:$D, 4, 0)</f>
        <v>0.12</v>
      </c>
      <c r="AA1141" s="24">
        <f>VLOOKUP(M1141, IMPOSTO!$A:$D, 4, 0)</f>
        <v>0.12</v>
      </c>
      <c r="AB1141" s="24">
        <f>VLOOKUP(N1141, IMPOSTO!$A:$D, 4, 0)</f>
        <v>7.0000000000000007E-2</v>
      </c>
      <c r="AC1141" s="25">
        <f t="shared" si="164"/>
        <v>66396</v>
      </c>
      <c r="AD1141" s="25">
        <f t="shared" si="165"/>
        <v>61935.590909090912</v>
      </c>
      <c r="AE1141" s="25">
        <f t="shared" si="166"/>
        <v>58637.548387096773</v>
      </c>
      <c r="AF1141" s="25">
        <f t="shared" si="167"/>
        <v>61949.11363636364</v>
      </c>
      <c r="AG1141" s="25">
        <f t="shared" si="168"/>
        <v>61917.75</v>
      </c>
      <c r="AH1141" s="25">
        <f t="shared" si="169"/>
        <v>61915.36363636364</v>
      </c>
      <c r="AI1141" s="25">
        <f t="shared" si="170"/>
        <v>58969.698924731187</v>
      </c>
    </row>
    <row r="1142" spans="1:35" ht="15.75" customHeight="1">
      <c r="A1142" s="12" t="s">
        <v>864</v>
      </c>
      <c r="B1142" s="12" t="s">
        <v>865</v>
      </c>
      <c r="C1142" s="12" t="s">
        <v>217</v>
      </c>
      <c r="D1142" s="12" t="s">
        <v>33</v>
      </c>
      <c r="E1142" s="12" t="s">
        <v>23</v>
      </c>
      <c r="F1142" s="13">
        <v>111</v>
      </c>
      <c r="G1142" s="14">
        <v>5257.4039999999995</v>
      </c>
      <c r="H1142" s="24" t="str">
        <f t="shared" si="163"/>
        <v>SPSP</v>
      </c>
      <c r="I1142" s="24" t="str">
        <f t="shared" si="171"/>
        <v>SPMG</v>
      </c>
      <c r="J1142" s="24" t="str">
        <f t="shared" si="171"/>
        <v>SPES</v>
      </c>
      <c r="K1142" s="24" t="str">
        <f t="shared" si="171"/>
        <v>SPSC</v>
      </c>
      <c r="L1142" s="24" t="str">
        <f t="shared" si="171"/>
        <v>SPRJ</v>
      </c>
      <c r="M1142" s="24" t="str">
        <f t="shared" si="171"/>
        <v>SPPR</v>
      </c>
      <c r="N1142" s="24" t="str">
        <f t="shared" si="171"/>
        <v>SPAM</v>
      </c>
      <c r="O1142" s="24">
        <f>VLOOKUP(H1142, KM!$A:$E, 5, 0)</f>
        <v>0</v>
      </c>
      <c r="P1142" s="24">
        <f>VLOOKUP(I1142, KM!$A:$E, 5, 0)</f>
        <v>586</v>
      </c>
      <c r="Q1142" s="24">
        <f>VLOOKUP(J1142, KM!$A:$E, 5, 0)</f>
        <v>882</v>
      </c>
      <c r="R1142" s="24">
        <f>VLOOKUP(K1142, KM!$A:$E, 5, 0)</f>
        <v>705</v>
      </c>
      <c r="S1142" s="24">
        <f>VLOOKUP(L1142, KM!$A:$E, 5, 0)</f>
        <v>429</v>
      </c>
      <c r="T1142" s="24">
        <f>VLOOKUP(M1142, KM!$A:$E, 5, 0)</f>
        <v>408</v>
      </c>
      <c r="U1142" s="24">
        <f>VLOOKUP(N1142, KM!$A:$E, 5, 0)</f>
        <v>3971</v>
      </c>
      <c r="V1142" s="24">
        <f>VLOOKUP(H1142, IMPOSTO!$A:$D, 4, 0)</f>
        <v>0.18</v>
      </c>
      <c r="W1142" s="24">
        <f>VLOOKUP(I1142, IMPOSTO!$A:$D, 4, 0)</f>
        <v>0.12</v>
      </c>
      <c r="X1142" s="24">
        <f>VLOOKUP(J1142, IMPOSTO!$A:$D, 4, 0)</f>
        <v>7.0000000000000007E-2</v>
      </c>
      <c r="Y1142" s="24">
        <f>VLOOKUP(K1142, IMPOSTO!$A:$D, 4, 0)</f>
        <v>0.12</v>
      </c>
      <c r="Z1142" s="24">
        <f>VLOOKUP(L1142, IMPOSTO!$A:$D, 4, 0)</f>
        <v>0.12</v>
      </c>
      <c r="AA1142" s="24">
        <f>VLOOKUP(M1142, IMPOSTO!$A:$D, 4, 0)</f>
        <v>0.12</v>
      </c>
      <c r="AB1142" s="24">
        <f>VLOOKUP(N1142, IMPOSTO!$A:$D, 4, 0)</f>
        <v>7.0000000000000007E-2</v>
      </c>
      <c r="AC1142" s="25">
        <f t="shared" si="164"/>
        <v>6411.4682926829255</v>
      </c>
      <c r="AD1142" s="25">
        <f t="shared" si="165"/>
        <v>6040.9136363636362</v>
      </c>
      <c r="AE1142" s="25">
        <f t="shared" si="166"/>
        <v>5747.9612903225807</v>
      </c>
      <c r="AF1142" s="25">
        <f t="shared" si="167"/>
        <v>6054.4363636363632</v>
      </c>
      <c r="AG1142" s="25">
        <f t="shared" si="168"/>
        <v>6023.0727272727263</v>
      </c>
      <c r="AH1142" s="25">
        <f t="shared" si="169"/>
        <v>6020.6863636363632</v>
      </c>
      <c r="AI1142" s="25">
        <f t="shared" si="170"/>
        <v>6080.1118279569891</v>
      </c>
    </row>
    <row r="1143" spans="1:35" ht="15.75" customHeight="1">
      <c r="A1143" s="12" t="s">
        <v>822</v>
      </c>
      <c r="B1143" s="12" t="s">
        <v>823</v>
      </c>
      <c r="C1143" s="12" t="s">
        <v>116</v>
      </c>
      <c r="D1143" s="12" t="s">
        <v>50</v>
      </c>
      <c r="E1143" s="12" t="s">
        <v>23</v>
      </c>
      <c r="F1143" s="13">
        <v>2.0127999999999999</v>
      </c>
      <c r="G1143" s="14">
        <v>13.392591757575762</v>
      </c>
      <c r="H1143" s="24" t="str">
        <f t="shared" si="163"/>
        <v>SPSP</v>
      </c>
      <c r="I1143" s="24" t="str">
        <f t="shared" si="171"/>
        <v>SPMG</v>
      </c>
      <c r="J1143" s="24" t="str">
        <f t="shared" si="171"/>
        <v>SPES</v>
      </c>
      <c r="K1143" s="24" t="str">
        <f t="shared" si="171"/>
        <v>SPSC</v>
      </c>
      <c r="L1143" s="24" t="str">
        <f t="shared" si="171"/>
        <v>SPRJ</v>
      </c>
      <c r="M1143" s="24" t="str">
        <f t="shared" si="171"/>
        <v>SPPR</v>
      </c>
      <c r="N1143" s="24" t="str">
        <f t="shared" si="171"/>
        <v>SPAM</v>
      </c>
      <c r="O1143" s="24">
        <f>VLOOKUP(H1143, KM!$A:$E, 5, 0)</f>
        <v>0</v>
      </c>
      <c r="P1143" s="24">
        <f>VLOOKUP(I1143, KM!$A:$E, 5, 0)</f>
        <v>586</v>
      </c>
      <c r="Q1143" s="24">
        <f>VLOOKUP(J1143, KM!$A:$E, 5, 0)</f>
        <v>882</v>
      </c>
      <c r="R1143" s="24">
        <f>VLOOKUP(K1143, KM!$A:$E, 5, 0)</f>
        <v>705</v>
      </c>
      <c r="S1143" s="24">
        <f>VLOOKUP(L1143, KM!$A:$E, 5, 0)</f>
        <v>429</v>
      </c>
      <c r="T1143" s="24">
        <f>VLOOKUP(M1143, KM!$A:$E, 5, 0)</f>
        <v>408</v>
      </c>
      <c r="U1143" s="24">
        <f>VLOOKUP(N1143, KM!$A:$E, 5, 0)</f>
        <v>3971</v>
      </c>
      <c r="V1143" s="24">
        <f>VLOOKUP(H1143, IMPOSTO!$A:$D, 4, 0)</f>
        <v>0.18</v>
      </c>
      <c r="W1143" s="24">
        <f>VLOOKUP(I1143, IMPOSTO!$A:$D, 4, 0)</f>
        <v>0.12</v>
      </c>
      <c r="X1143" s="24">
        <f>VLOOKUP(J1143, IMPOSTO!$A:$D, 4, 0)</f>
        <v>7.0000000000000007E-2</v>
      </c>
      <c r="Y1143" s="24">
        <f>VLOOKUP(K1143, IMPOSTO!$A:$D, 4, 0)</f>
        <v>0.12</v>
      </c>
      <c r="Z1143" s="24">
        <f>VLOOKUP(L1143, IMPOSTO!$A:$D, 4, 0)</f>
        <v>0.12</v>
      </c>
      <c r="AA1143" s="24">
        <f>VLOOKUP(M1143, IMPOSTO!$A:$D, 4, 0)</f>
        <v>0.12</v>
      </c>
      <c r="AB1143" s="24">
        <f>VLOOKUP(N1143, IMPOSTO!$A:$D, 4, 0)</f>
        <v>7.0000000000000007E-2</v>
      </c>
      <c r="AC1143" s="25">
        <f t="shared" si="164"/>
        <v>16.332428972653368</v>
      </c>
      <c r="AD1143" s="25">
        <f t="shared" si="165"/>
        <v>81.809763360881547</v>
      </c>
      <c r="AE1143" s="25">
        <f t="shared" si="166"/>
        <v>109.23934597588793</v>
      </c>
      <c r="AF1143" s="25">
        <f t="shared" si="167"/>
        <v>95.332490633608813</v>
      </c>
      <c r="AG1143" s="25">
        <f t="shared" si="168"/>
        <v>63.968854269972461</v>
      </c>
      <c r="AH1143" s="25">
        <f t="shared" si="169"/>
        <v>61.582490633608828</v>
      </c>
      <c r="AI1143" s="25">
        <f t="shared" si="170"/>
        <v>441.38988361029658</v>
      </c>
    </row>
    <row r="1144" spans="1:35" ht="15.75" customHeight="1">
      <c r="A1144" s="12" t="s">
        <v>417</v>
      </c>
      <c r="B1144" s="12" t="s">
        <v>418</v>
      </c>
      <c r="C1144" s="12" t="s">
        <v>192</v>
      </c>
      <c r="D1144" s="12" t="s">
        <v>33</v>
      </c>
      <c r="E1144" s="12" t="s">
        <v>23</v>
      </c>
      <c r="F1144" s="13">
        <v>3.8613972552607509</v>
      </c>
      <c r="G1144" s="14">
        <v>17.852369676120773</v>
      </c>
      <c r="H1144" s="24" t="str">
        <f t="shared" si="163"/>
        <v>SPSP</v>
      </c>
      <c r="I1144" s="24" t="str">
        <f t="shared" si="171"/>
        <v>SPMG</v>
      </c>
      <c r="J1144" s="24" t="str">
        <f t="shared" si="171"/>
        <v>SPES</v>
      </c>
      <c r="K1144" s="24" t="str">
        <f t="shared" si="171"/>
        <v>SPSC</v>
      </c>
      <c r="L1144" s="24" t="str">
        <f t="shared" si="171"/>
        <v>SPRJ</v>
      </c>
      <c r="M1144" s="24" t="str">
        <f t="shared" si="171"/>
        <v>SPPR</v>
      </c>
      <c r="N1144" s="24" t="str">
        <f t="shared" si="171"/>
        <v>SPAM</v>
      </c>
      <c r="O1144" s="24">
        <f>VLOOKUP(H1144, KM!$A:$E, 5, 0)</f>
        <v>0</v>
      </c>
      <c r="P1144" s="24">
        <f>VLOOKUP(I1144, KM!$A:$E, 5, 0)</f>
        <v>586</v>
      </c>
      <c r="Q1144" s="24">
        <f>VLOOKUP(J1144, KM!$A:$E, 5, 0)</f>
        <v>882</v>
      </c>
      <c r="R1144" s="24">
        <f>VLOOKUP(K1144, KM!$A:$E, 5, 0)</f>
        <v>705</v>
      </c>
      <c r="S1144" s="24">
        <f>VLOOKUP(L1144, KM!$A:$E, 5, 0)</f>
        <v>429</v>
      </c>
      <c r="T1144" s="24">
        <f>VLOOKUP(M1144, KM!$A:$E, 5, 0)</f>
        <v>408</v>
      </c>
      <c r="U1144" s="24">
        <f>VLOOKUP(N1144, KM!$A:$E, 5, 0)</f>
        <v>3971</v>
      </c>
      <c r="V1144" s="24">
        <f>VLOOKUP(H1144, IMPOSTO!$A:$D, 4, 0)</f>
        <v>0.18</v>
      </c>
      <c r="W1144" s="24">
        <f>VLOOKUP(I1144, IMPOSTO!$A:$D, 4, 0)</f>
        <v>0.12</v>
      </c>
      <c r="X1144" s="24">
        <f>VLOOKUP(J1144, IMPOSTO!$A:$D, 4, 0)</f>
        <v>7.0000000000000007E-2</v>
      </c>
      <c r="Y1144" s="24">
        <f>VLOOKUP(K1144, IMPOSTO!$A:$D, 4, 0)</f>
        <v>0.12</v>
      </c>
      <c r="Z1144" s="24">
        <f>VLOOKUP(L1144, IMPOSTO!$A:$D, 4, 0)</f>
        <v>0.12</v>
      </c>
      <c r="AA1144" s="24">
        <f>VLOOKUP(M1144, IMPOSTO!$A:$D, 4, 0)</f>
        <v>0.12</v>
      </c>
      <c r="AB1144" s="24">
        <f>VLOOKUP(N1144, IMPOSTO!$A:$D, 4, 0)</f>
        <v>7.0000000000000007E-2</v>
      </c>
      <c r="AC1144" s="25">
        <f t="shared" si="164"/>
        <v>21.771182531854599</v>
      </c>
      <c r="AD1144" s="25">
        <f t="shared" si="165"/>
        <v>86.877692813773621</v>
      </c>
      <c r="AE1144" s="25">
        <f t="shared" si="166"/>
        <v>114.03480610335568</v>
      </c>
      <c r="AF1144" s="25">
        <f t="shared" si="167"/>
        <v>100.40042008650087</v>
      </c>
      <c r="AG1144" s="25">
        <f t="shared" si="168"/>
        <v>69.036783722864527</v>
      </c>
      <c r="AH1144" s="25">
        <f t="shared" si="169"/>
        <v>66.650420086500887</v>
      </c>
      <c r="AI1144" s="25">
        <f t="shared" si="170"/>
        <v>446.1853437377643</v>
      </c>
    </row>
    <row r="1145" spans="1:35" ht="15.75" customHeight="1">
      <c r="A1145" s="12" t="s">
        <v>796</v>
      </c>
      <c r="B1145" s="12" t="s">
        <v>797</v>
      </c>
      <c r="C1145" s="12" t="s">
        <v>192</v>
      </c>
      <c r="D1145" s="12" t="s">
        <v>33</v>
      </c>
      <c r="E1145" s="12" t="s">
        <v>23</v>
      </c>
      <c r="F1145" s="13">
        <v>2.906836917960089</v>
      </c>
      <c r="G1145" s="14">
        <v>271.46948651019954</v>
      </c>
      <c r="H1145" s="24" t="str">
        <f t="shared" si="163"/>
        <v>SPSP</v>
      </c>
      <c r="I1145" s="24" t="str">
        <f t="shared" si="171"/>
        <v>SPMG</v>
      </c>
      <c r="J1145" s="24" t="str">
        <f t="shared" si="171"/>
        <v>SPES</v>
      </c>
      <c r="K1145" s="24" t="str">
        <f t="shared" si="171"/>
        <v>SPSC</v>
      </c>
      <c r="L1145" s="24" t="str">
        <f t="shared" si="171"/>
        <v>SPRJ</v>
      </c>
      <c r="M1145" s="24" t="str">
        <f t="shared" si="171"/>
        <v>SPPR</v>
      </c>
      <c r="N1145" s="24" t="str">
        <f t="shared" si="171"/>
        <v>SPAM</v>
      </c>
      <c r="O1145" s="24">
        <f>VLOOKUP(H1145, KM!$A:$E, 5, 0)</f>
        <v>0</v>
      </c>
      <c r="P1145" s="24">
        <f>VLOOKUP(I1145, KM!$A:$E, 5, 0)</f>
        <v>586</v>
      </c>
      <c r="Q1145" s="24">
        <f>VLOOKUP(J1145, KM!$A:$E, 5, 0)</f>
        <v>882</v>
      </c>
      <c r="R1145" s="24">
        <f>VLOOKUP(K1145, KM!$A:$E, 5, 0)</f>
        <v>705</v>
      </c>
      <c r="S1145" s="24">
        <f>VLOOKUP(L1145, KM!$A:$E, 5, 0)</f>
        <v>429</v>
      </c>
      <c r="T1145" s="24">
        <f>VLOOKUP(M1145, KM!$A:$E, 5, 0)</f>
        <v>408</v>
      </c>
      <c r="U1145" s="24">
        <f>VLOOKUP(N1145, KM!$A:$E, 5, 0)</f>
        <v>3971</v>
      </c>
      <c r="V1145" s="24">
        <f>VLOOKUP(H1145, IMPOSTO!$A:$D, 4, 0)</f>
        <v>0.18</v>
      </c>
      <c r="W1145" s="24">
        <f>VLOOKUP(I1145, IMPOSTO!$A:$D, 4, 0)</f>
        <v>0.12</v>
      </c>
      <c r="X1145" s="24">
        <f>VLOOKUP(J1145, IMPOSTO!$A:$D, 4, 0)</f>
        <v>7.0000000000000007E-2</v>
      </c>
      <c r="Y1145" s="24">
        <f>VLOOKUP(K1145, IMPOSTO!$A:$D, 4, 0)</f>
        <v>0.12</v>
      </c>
      <c r="Z1145" s="24">
        <f>VLOOKUP(L1145, IMPOSTO!$A:$D, 4, 0)</f>
        <v>0.12</v>
      </c>
      <c r="AA1145" s="24">
        <f>VLOOKUP(M1145, IMPOSTO!$A:$D, 4, 0)</f>
        <v>0.12</v>
      </c>
      <c r="AB1145" s="24">
        <f>VLOOKUP(N1145, IMPOSTO!$A:$D, 4, 0)</f>
        <v>7.0000000000000007E-2</v>
      </c>
      <c r="AC1145" s="25">
        <f t="shared" si="164"/>
        <v>331.06034940268233</v>
      </c>
      <c r="AD1145" s="25">
        <f t="shared" si="165"/>
        <v>375.07896194340861</v>
      </c>
      <c r="AE1145" s="25">
        <f t="shared" si="166"/>
        <v>386.74138334430057</v>
      </c>
      <c r="AF1145" s="25">
        <f t="shared" si="167"/>
        <v>388.60168921613587</v>
      </c>
      <c r="AG1145" s="25">
        <f t="shared" si="168"/>
        <v>357.23805285249944</v>
      </c>
      <c r="AH1145" s="25">
        <f t="shared" si="169"/>
        <v>354.85168921613587</v>
      </c>
      <c r="AI1145" s="25">
        <f t="shared" si="170"/>
        <v>718.89192097870921</v>
      </c>
    </row>
    <row r="1146" spans="1:35" ht="15.75" customHeight="1">
      <c r="A1146" s="12" t="s">
        <v>58</v>
      </c>
      <c r="B1146" s="12" t="s">
        <v>59</v>
      </c>
      <c r="C1146" s="12" t="s">
        <v>60</v>
      </c>
      <c r="D1146" s="12" t="s">
        <v>50</v>
      </c>
      <c r="E1146" s="12" t="s">
        <v>23</v>
      </c>
      <c r="F1146" s="13">
        <v>4.941920800889875</v>
      </c>
      <c r="G1146" s="14">
        <v>213.41835369076745</v>
      </c>
      <c r="H1146" s="24" t="str">
        <f t="shared" si="163"/>
        <v>SPSP</v>
      </c>
      <c r="I1146" s="24" t="str">
        <f t="shared" si="171"/>
        <v>SPMG</v>
      </c>
      <c r="J1146" s="24" t="str">
        <f t="shared" si="171"/>
        <v>SPES</v>
      </c>
      <c r="K1146" s="24" t="str">
        <f t="shared" si="171"/>
        <v>SPSC</v>
      </c>
      <c r="L1146" s="24" t="str">
        <f t="shared" si="171"/>
        <v>SPRJ</v>
      </c>
      <c r="M1146" s="24" t="str">
        <f t="shared" si="171"/>
        <v>SPPR</v>
      </c>
      <c r="N1146" s="24" t="str">
        <f t="shared" si="171"/>
        <v>SPAM</v>
      </c>
      <c r="O1146" s="24">
        <f>VLOOKUP(H1146, KM!$A:$E, 5, 0)</f>
        <v>0</v>
      </c>
      <c r="P1146" s="24">
        <f>VLOOKUP(I1146, KM!$A:$E, 5, 0)</f>
        <v>586</v>
      </c>
      <c r="Q1146" s="24">
        <f>VLOOKUP(J1146, KM!$A:$E, 5, 0)</f>
        <v>882</v>
      </c>
      <c r="R1146" s="24">
        <f>VLOOKUP(K1146, KM!$A:$E, 5, 0)</f>
        <v>705</v>
      </c>
      <c r="S1146" s="24">
        <f>VLOOKUP(L1146, KM!$A:$E, 5, 0)</f>
        <v>429</v>
      </c>
      <c r="T1146" s="24">
        <f>VLOOKUP(M1146, KM!$A:$E, 5, 0)</f>
        <v>408</v>
      </c>
      <c r="U1146" s="24">
        <f>VLOOKUP(N1146, KM!$A:$E, 5, 0)</f>
        <v>3971</v>
      </c>
      <c r="V1146" s="24">
        <f>VLOOKUP(H1146, IMPOSTO!$A:$D, 4, 0)</f>
        <v>0.18</v>
      </c>
      <c r="W1146" s="24">
        <f>VLOOKUP(I1146, IMPOSTO!$A:$D, 4, 0)</f>
        <v>0.12</v>
      </c>
      <c r="X1146" s="24">
        <f>VLOOKUP(J1146, IMPOSTO!$A:$D, 4, 0)</f>
        <v>7.0000000000000007E-2</v>
      </c>
      <c r="Y1146" s="24">
        <f>VLOOKUP(K1146, IMPOSTO!$A:$D, 4, 0)</f>
        <v>0.12</v>
      </c>
      <c r="Z1146" s="24">
        <f>VLOOKUP(L1146, IMPOSTO!$A:$D, 4, 0)</f>
        <v>0.12</v>
      </c>
      <c r="AA1146" s="24">
        <f>VLOOKUP(M1146, IMPOSTO!$A:$D, 4, 0)</f>
        <v>0.12</v>
      </c>
      <c r="AB1146" s="24">
        <f>VLOOKUP(N1146, IMPOSTO!$A:$D, 4, 0)</f>
        <v>7.0000000000000007E-2</v>
      </c>
      <c r="AC1146" s="25">
        <f t="shared" si="164"/>
        <v>260.26628498874078</v>
      </c>
      <c r="AD1146" s="25">
        <f t="shared" si="165"/>
        <v>309.11176555769032</v>
      </c>
      <c r="AE1146" s="25">
        <f t="shared" si="166"/>
        <v>324.32081042018007</v>
      </c>
      <c r="AF1146" s="25">
        <f t="shared" si="167"/>
        <v>322.63449283041757</v>
      </c>
      <c r="AG1146" s="25">
        <f t="shared" si="168"/>
        <v>291.27085646678125</v>
      </c>
      <c r="AH1146" s="25">
        <f t="shared" si="169"/>
        <v>288.88449283041757</v>
      </c>
      <c r="AI1146" s="25">
        <f t="shared" si="170"/>
        <v>656.47134805458882</v>
      </c>
    </row>
    <row r="1147" spans="1:35" ht="15.75" customHeight="1">
      <c r="A1147" s="12" t="s">
        <v>866</v>
      </c>
      <c r="B1147" s="12" t="s">
        <v>867</v>
      </c>
      <c r="C1147" s="12" t="s">
        <v>205</v>
      </c>
      <c r="D1147" s="12" t="s">
        <v>33</v>
      </c>
      <c r="E1147" s="12" t="s">
        <v>23</v>
      </c>
      <c r="F1147" s="13">
        <v>17.258965898294917</v>
      </c>
      <c r="G1147" s="14">
        <v>1120.5624645715288</v>
      </c>
      <c r="H1147" s="24" t="str">
        <f t="shared" si="163"/>
        <v>SPSP</v>
      </c>
      <c r="I1147" s="24" t="str">
        <f t="shared" si="171"/>
        <v>SPMG</v>
      </c>
      <c r="J1147" s="24" t="str">
        <f t="shared" si="171"/>
        <v>SPES</v>
      </c>
      <c r="K1147" s="24" t="str">
        <f t="shared" si="171"/>
        <v>SPSC</v>
      </c>
      <c r="L1147" s="24" t="str">
        <f t="shared" si="171"/>
        <v>SPRJ</v>
      </c>
      <c r="M1147" s="24" t="str">
        <f t="shared" si="171"/>
        <v>SPPR</v>
      </c>
      <c r="N1147" s="24" t="str">
        <f t="shared" si="171"/>
        <v>SPAM</v>
      </c>
      <c r="O1147" s="24">
        <f>VLOOKUP(H1147, KM!$A:$E, 5, 0)</f>
        <v>0</v>
      </c>
      <c r="P1147" s="24">
        <f>VLOOKUP(I1147, KM!$A:$E, 5, 0)</f>
        <v>586</v>
      </c>
      <c r="Q1147" s="24">
        <f>VLOOKUP(J1147, KM!$A:$E, 5, 0)</f>
        <v>882</v>
      </c>
      <c r="R1147" s="24">
        <f>VLOOKUP(K1147, KM!$A:$E, 5, 0)</f>
        <v>705</v>
      </c>
      <c r="S1147" s="24">
        <f>VLOOKUP(L1147, KM!$A:$E, 5, 0)</f>
        <v>429</v>
      </c>
      <c r="T1147" s="24">
        <f>VLOOKUP(M1147, KM!$A:$E, 5, 0)</f>
        <v>408</v>
      </c>
      <c r="U1147" s="24">
        <f>VLOOKUP(N1147, KM!$A:$E, 5, 0)</f>
        <v>3971</v>
      </c>
      <c r="V1147" s="24">
        <f>VLOOKUP(H1147, IMPOSTO!$A:$D, 4, 0)</f>
        <v>0.18</v>
      </c>
      <c r="W1147" s="24">
        <f>VLOOKUP(I1147, IMPOSTO!$A:$D, 4, 0)</f>
        <v>0.12</v>
      </c>
      <c r="X1147" s="24">
        <f>VLOOKUP(J1147, IMPOSTO!$A:$D, 4, 0)</f>
        <v>7.0000000000000007E-2</v>
      </c>
      <c r="Y1147" s="24">
        <f>VLOOKUP(K1147, IMPOSTO!$A:$D, 4, 0)</f>
        <v>0.12</v>
      </c>
      <c r="Z1147" s="24">
        <f>VLOOKUP(L1147, IMPOSTO!$A:$D, 4, 0)</f>
        <v>0.12</v>
      </c>
      <c r="AA1147" s="24">
        <f>VLOOKUP(M1147, IMPOSTO!$A:$D, 4, 0)</f>
        <v>0.12</v>
      </c>
      <c r="AB1147" s="24">
        <f>VLOOKUP(N1147, IMPOSTO!$A:$D, 4, 0)</f>
        <v>7.0000000000000007E-2</v>
      </c>
      <c r="AC1147" s="25">
        <f t="shared" si="164"/>
        <v>1366.5395909408887</v>
      </c>
      <c r="AD1147" s="25">
        <f t="shared" si="165"/>
        <v>1339.95734610401</v>
      </c>
      <c r="AE1147" s="25">
        <f t="shared" si="166"/>
        <v>1299.7445855607839</v>
      </c>
      <c r="AF1147" s="25">
        <f t="shared" si="167"/>
        <v>1353.4800733767372</v>
      </c>
      <c r="AG1147" s="25">
        <f t="shared" si="168"/>
        <v>1322.1164370131009</v>
      </c>
      <c r="AH1147" s="25">
        <f t="shared" si="169"/>
        <v>1319.7300733767372</v>
      </c>
      <c r="AI1147" s="25">
        <f t="shared" si="170"/>
        <v>1631.8951231951924</v>
      </c>
    </row>
    <row r="1148" spans="1:35" ht="15.75" customHeight="1">
      <c r="A1148" s="12" t="s">
        <v>408</v>
      </c>
      <c r="B1148" s="12" t="s">
        <v>409</v>
      </c>
      <c r="C1148" s="12" t="s">
        <v>143</v>
      </c>
      <c r="D1148" s="12" t="s">
        <v>33</v>
      </c>
      <c r="E1148" s="12" t="s">
        <v>23</v>
      </c>
      <c r="F1148" s="13">
        <v>13110.24312367279</v>
      </c>
      <c r="G1148" s="14">
        <v>475017.4264251953</v>
      </c>
      <c r="H1148" s="24" t="str">
        <f t="shared" si="163"/>
        <v>SPSP</v>
      </c>
      <c r="I1148" s="24" t="str">
        <f t="shared" si="171"/>
        <v>SPMG</v>
      </c>
      <c r="J1148" s="24" t="str">
        <f t="shared" si="171"/>
        <v>SPES</v>
      </c>
      <c r="K1148" s="24" t="str">
        <f t="shared" si="171"/>
        <v>SPSC</v>
      </c>
      <c r="L1148" s="24" t="str">
        <f t="shared" si="171"/>
        <v>SPRJ</v>
      </c>
      <c r="M1148" s="24" t="str">
        <f t="shared" si="171"/>
        <v>SPPR</v>
      </c>
      <c r="N1148" s="24" t="str">
        <f t="shared" si="171"/>
        <v>SPAM</v>
      </c>
      <c r="O1148" s="24">
        <f>VLOOKUP(H1148, KM!$A:$E, 5, 0)</f>
        <v>0</v>
      </c>
      <c r="P1148" s="24">
        <f>VLOOKUP(I1148, KM!$A:$E, 5, 0)</f>
        <v>586</v>
      </c>
      <c r="Q1148" s="24">
        <f>VLOOKUP(J1148, KM!$A:$E, 5, 0)</f>
        <v>882</v>
      </c>
      <c r="R1148" s="24">
        <f>VLOOKUP(K1148, KM!$A:$E, 5, 0)</f>
        <v>705</v>
      </c>
      <c r="S1148" s="24">
        <f>VLOOKUP(L1148, KM!$A:$E, 5, 0)</f>
        <v>429</v>
      </c>
      <c r="T1148" s="24">
        <f>VLOOKUP(M1148, KM!$A:$E, 5, 0)</f>
        <v>408</v>
      </c>
      <c r="U1148" s="24">
        <f>VLOOKUP(N1148, KM!$A:$E, 5, 0)</f>
        <v>3971</v>
      </c>
      <c r="V1148" s="24">
        <f>VLOOKUP(H1148, IMPOSTO!$A:$D, 4, 0)</f>
        <v>0.18</v>
      </c>
      <c r="W1148" s="24">
        <f>VLOOKUP(I1148, IMPOSTO!$A:$D, 4, 0)</f>
        <v>0.12</v>
      </c>
      <c r="X1148" s="24">
        <f>VLOOKUP(J1148, IMPOSTO!$A:$D, 4, 0)</f>
        <v>7.0000000000000007E-2</v>
      </c>
      <c r="Y1148" s="24">
        <f>VLOOKUP(K1148, IMPOSTO!$A:$D, 4, 0)</f>
        <v>0.12</v>
      </c>
      <c r="Z1148" s="24">
        <f>VLOOKUP(L1148, IMPOSTO!$A:$D, 4, 0)</f>
        <v>0.12</v>
      </c>
      <c r="AA1148" s="24">
        <f>VLOOKUP(M1148, IMPOSTO!$A:$D, 4, 0)</f>
        <v>0.12</v>
      </c>
      <c r="AB1148" s="24">
        <f>VLOOKUP(N1148, IMPOSTO!$A:$D, 4, 0)</f>
        <v>7.0000000000000007E-2</v>
      </c>
      <c r="AC1148" s="25">
        <f t="shared" si="164"/>
        <v>579289.54442096979</v>
      </c>
      <c r="AD1148" s="25">
        <f t="shared" si="165"/>
        <v>539859.12093772192</v>
      </c>
      <c r="AE1148" s="25">
        <f t="shared" si="166"/>
        <v>510866.26497332833</v>
      </c>
      <c r="AF1148" s="25">
        <f t="shared" si="167"/>
        <v>539872.64366499463</v>
      </c>
      <c r="AG1148" s="25">
        <f t="shared" si="168"/>
        <v>539841.2800286311</v>
      </c>
      <c r="AH1148" s="25">
        <f t="shared" si="169"/>
        <v>539838.89366499463</v>
      </c>
      <c r="AI1148" s="25">
        <f t="shared" si="170"/>
        <v>511198.41551096272</v>
      </c>
    </row>
    <row r="1149" spans="1:35" ht="15.75" customHeight="1">
      <c r="A1149" s="12" t="s">
        <v>30</v>
      </c>
      <c r="B1149" s="12" t="s">
        <v>31</v>
      </c>
      <c r="C1149" s="12" t="s">
        <v>32</v>
      </c>
      <c r="D1149" s="12" t="s">
        <v>33</v>
      </c>
      <c r="E1149" s="12" t="s">
        <v>23</v>
      </c>
      <c r="F1149" s="13">
        <v>7.5567636986301367E-2</v>
      </c>
      <c r="G1149" s="14">
        <v>2.3208705471575346</v>
      </c>
      <c r="H1149" s="24" t="str">
        <f t="shared" si="163"/>
        <v>SPSP</v>
      </c>
      <c r="I1149" s="24" t="str">
        <f t="shared" si="171"/>
        <v>SPMG</v>
      </c>
      <c r="J1149" s="24" t="str">
        <f t="shared" si="171"/>
        <v>SPES</v>
      </c>
      <c r="K1149" s="24" t="str">
        <f t="shared" si="171"/>
        <v>SPSC</v>
      </c>
      <c r="L1149" s="24" t="str">
        <f t="shared" si="171"/>
        <v>SPRJ</v>
      </c>
      <c r="M1149" s="24" t="str">
        <f t="shared" si="171"/>
        <v>SPPR</v>
      </c>
      <c r="N1149" s="24" t="str">
        <f t="shared" si="171"/>
        <v>SPAM</v>
      </c>
      <c r="O1149" s="24">
        <f>VLOOKUP(H1149, KM!$A:$E, 5, 0)</f>
        <v>0</v>
      </c>
      <c r="P1149" s="24">
        <f>VLOOKUP(I1149, KM!$A:$E, 5, 0)</f>
        <v>586</v>
      </c>
      <c r="Q1149" s="24">
        <f>VLOOKUP(J1149, KM!$A:$E, 5, 0)</f>
        <v>882</v>
      </c>
      <c r="R1149" s="24">
        <f>VLOOKUP(K1149, KM!$A:$E, 5, 0)</f>
        <v>705</v>
      </c>
      <c r="S1149" s="24">
        <f>VLOOKUP(L1149, KM!$A:$E, 5, 0)</f>
        <v>429</v>
      </c>
      <c r="T1149" s="24">
        <f>VLOOKUP(M1149, KM!$A:$E, 5, 0)</f>
        <v>408</v>
      </c>
      <c r="U1149" s="24">
        <f>VLOOKUP(N1149, KM!$A:$E, 5, 0)</f>
        <v>3971</v>
      </c>
      <c r="V1149" s="24">
        <f>VLOOKUP(H1149, IMPOSTO!$A:$D, 4, 0)</f>
        <v>0.18</v>
      </c>
      <c r="W1149" s="24">
        <f>VLOOKUP(I1149, IMPOSTO!$A:$D, 4, 0)</f>
        <v>0.12</v>
      </c>
      <c r="X1149" s="24">
        <f>VLOOKUP(J1149, IMPOSTO!$A:$D, 4, 0)</f>
        <v>7.0000000000000007E-2</v>
      </c>
      <c r="Y1149" s="24">
        <f>VLOOKUP(K1149, IMPOSTO!$A:$D, 4, 0)</f>
        <v>0.12</v>
      </c>
      <c r="Z1149" s="24">
        <f>VLOOKUP(L1149, IMPOSTO!$A:$D, 4, 0)</f>
        <v>0.12</v>
      </c>
      <c r="AA1149" s="24">
        <f>VLOOKUP(M1149, IMPOSTO!$A:$D, 4, 0)</f>
        <v>0.12</v>
      </c>
      <c r="AB1149" s="24">
        <f>VLOOKUP(N1149, IMPOSTO!$A:$D, 4, 0)</f>
        <v>7.0000000000000007E-2</v>
      </c>
      <c r="AC1149" s="25">
        <f t="shared" si="164"/>
        <v>2.8303299355579687</v>
      </c>
      <c r="AD1149" s="25">
        <f t="shared" si="165"/>
        <v>69.228261985406292</v>
      </c>
      <c r="AE1149" s="25">
        <f t="shared" si="166"/>
        <v>97.334269405545754</v>
      </c>
      <c r="AF1149" s="25">
        <f t="shared" si="167"/>
        <v>82.750989258133572</v>
      </c>
      <c r="AG1149" s="25">
        <f t="shared" si="168"/>
        <v>51.387352894497205</v>
      </c>
      <c r="AH1149" s="25">
        <f t="shared" si="169"/>
        <v>49.000989258133565</v>
      </c>
      <c r="AI1149" s="25">
        <f t="shared" si="170"/>
        <v>429.48480703995438</v>
      </c>
    </row>
    <row r="1150" spans="1:35" ht="15.75" customHeight="1">
      <c r="A1150" s="12" t="s">
        <v>461</v>
      </c>
      <c r="B1150" s="12" t="s">
        <v>462</v>
      </c>
      <c r="C1150" s="12" t="s">
        <v>217</v>
      </c>
      <c r="D1150" s="12" t="s">
        <v>50</v>
      </c>
      <c r="E1150" s="12" t="s">
        <v>23</v>
      </c>
      <c r="F1150" s="13">
        <v>3206.1192056872037</v>
      </c>
      <c r="G1150" s="14">
        <v>19516.096771476776</v>
      </c>
      <c r="H1150" s="24" t="str">
        <f t="shared" si="163"/>
        <v>SPSP</v>
      </c>
      <c r="I1150" s="24" t="str">
        <f t="shared" si="171"/>
        <v>SPMG</v>
      </c>
      <c r="J1150" s="24" t="str">
        <f t="shared" si="171"/>
        <v>SPES</v>
      </c>
      <c r="K1150" s="24" t="str">
        <f t="shared" si="171"/>
        <v>SPSC</v>
      </c>
      <c r="L1150" s="24" t="str">
        <f t="shared" si="171"/>
        <v>SPRJ</v>
      </c>
      <c r="M1150" s="24" t="str">
        <f t="shared" si="171"/>
        <v>SPPR</v>
      </c>
      <c r="N1150" s="24" t="str">
        <f t="shared" si="171"/>
        <v>SPAM</v>
      </c>
      <c r="O1150" s="24">
        <f>VLOOKUP(H1150, KM!$A:$E, 5, 0)</f>
        <v>0</v>
      </c>
      <c r="P1150" s="24">
        <f>VLOOKUP(I1150, KM!$A:$E, 5, 0)</f>
        <v>586</v>
      </c>
      <c r="Q1150" s="24">
        <f>VLOOKUP(J1150, KM!$A:$E, 5, 0)</f>
        <v>882</v>
      </c>
      <c r="R1150" s="24">
        <f>VLOOKUP(K1150, KM!$A:$E, 5, 0)</f>
        <v>705</v>
      </c>
      <c r="S1150" s="24">
        <f>VLOOKUP(L1150, KM!$A:$E, 5, 0)</f>
        <v>429</v>
      </c>
      <c r="T1150" s="24">
        <f>VLOOKUP(M1150, KM!$A:$E, 5, 0)</f>
        <v>408</v>
      </c>
      <c r="U1150" s="24">
        <f>VLOOKUP(N1150, KM!$A:$E, 5, 0)</f>
        <v>3971</v>
      </c>
      <c r="V1150" s="24">
        <f>VLOOKUP(H1150, IMPOSTO!$A:$D, 4, 0)</f>
        <v>0.18</v>
      </c>
      <c r="W1150" s="24">
        <f>VLOOKUP(I1150, IMPOSTO!$A:$D, 4, 0)</f>
        <v>0.12</v>
      </c>
      <c r="X1150" s="24">
        <f>VLOOKUP(J1150, IMPOSTO!$A:$D, 4, 0)</f>
        <v>7.0000000000000007E-2</v>
      </c>
      <c r="Y1150" s="24">
        <f>VLOOKUP(K1150, IMPOSTO!$A:$D, 4, 0)</f>
        <v>0.12</v>
      </c>
      <c r="Z1150" s="24">
        <f>VLOOKUP(L1150, IMPOSTO!$A:$D, 4, 0)</f>
        <v>0.12</v>
      </c>
      <c r="AA1150" s="24">
        <f>VLOOKUP(M1150, IMPOSTO!$A:$D, 4, 0)</f>
        <v>0.12</v>
      </c>
      <c r="AB1150" s="24">
        <f>VLOOKUP(N1150, IMPOSTO!$A:$D, 4, 0)</f>
        <v>7.0000000000000007E-2</v>
      </c>
      <c r="AC1150" s="25">
        <f t="shared" si="164"/>
        <v>23800.118013996067</v>
      </c>
      <c r="AD1150" s="25">
        <f t="shared" si="165"/>
        <v>22243.973603950879</v>
      </c>
      <c r="AE1150" s="25">
        <f t="shared" si="166"/>
        <v>21079.889001587933</v>
      </c>
      <c r="AF1150" s="25">
        <f t="shared" si="167"/>
        <v>22257.49633122361</v>
      </c>
      <c r="AG1150" s="25">
        <f t="shared" si="168"/>
        <v>22226.132694859974</v>
      </c>
      <c r="AH1150" s="25">
        <f t="shared" si="169"/>
        <v>22223.746331223607</v>
      </c>
      <c r="AI1150" s="25">
        <f t="shared" si="170"/>
        <v>21412.03953922234</v>
      </c>
    </row>
    <row r="1151" spans="1:35" ht="15.75" customHeight="1">
      <c r="A1151" s="12" t="s">
        <v>762</v>
      </c>
      <c r="B1151" s="12" t="s">
        <v>763</v>
      </c>
      <c r="C1151" s="12" t="s">
        <v>140</v>
      </c>
      <c r="D1151" s="12" t="s">
        <v>33</v>
      </c>
      <c r="E1151" s="12" t="s">
        <v>23</v>
      </c>
      <c r="F1151" s="13">
        <v>0.47139850746268652</v>
      </c>
      <c r="G1151" s="14">
        <v>14.57066597761194</v>
      </c>
      <c r="H1151" s="24" t="str">
        <f t="shared" si="163"/>
        <v>SPSP</v>
      </c>
      <c r="I1151" s="24" t="str">
        <f t="shared" si="171"/>
        <v>SPMG</v>
      </c>
      <c r="J1151" s="24" t="str">
        <f t="shared" si="171"/>
        <v>SPES</v>
      </c>
      <c r="K1151" s="24" t="str">
        <f t="shared" si="171"/>
        <v>SPSC</v>
      </c>
      <c r="L1151" s="24" t="str">
        <f t="shared" si="171"/>
        <v>SPRJ</v>
      </c>
      <c r="M1151" s="24" t="str">
        <f t="shared" si="171"/>
        <v>SPPR</v>
      </c>
      <c r="N1151" s="24" t="str">
        <f t="shared" si="171"/>
        <v>SPAM</v>
      </c>
      <c r="O1151" s="24">
        <f>VLOOKUP(H1151, KM!$A:$E, 5, 0)</f>
        <v>0</v>
      </c>
      <c r="P1151" s="24">
        <f>VLOOKUP(I1151, KM!$A:$E, 5, 0)</f>
        <v>586</v>
      </c>
      <c r="Q1151" s="24">
        <f>VLOOKUP(J1151, KM!$A:$E, 5, 0)</f>
        <v>882</v>
      </c>
      <c r="R1151" s="24">
        <f>VLOOKUP(K1151, KM!$A:$E, 5, 0)</f>
        <v>705</v>
      </c>
      <c r="S1151" s="24">
        <f>VLOOKUP(L1151, KM!$A:$E, 5, 0)</f>
        <v>429</v>
      </c>
      <c r="T1151" s="24">
        <f>VLOOKUP(M1151, KM!$A:$E, 5, 0)</f>
        <v>408</v>
      </c>
      <c r="U1151" s="24">
        <f>VLOOKUP(N1151, KM!$A:$E, 5, 0)</f>
        <v>3971</v>
      </c>
      <c r="V1151" s="24">
        <f>VLOOKUP(H1151, IMPOSTO!$A:$D, 4, 0)</f>
        <v>0.18</v>
      </c>
      <c r="W1151" s="24">
        <f>VLOOKUP(I1151, IMPOSTO!$A:$D, 4, 0)</f>
        <v>0.12</v>
      </c>
      <c r="X1151" s="24">
        <f>VLOOKUP(J1151, IMPOSTO!$A:$D, 4, 0)</f>
        <v>7.0000000000000007E-2</v>
      </c>
      <c r="Y1151" s="24">
        <f>VLOOKUP(K1151, IMPOSTO!$A:$D, 4, 0)</f>
        <v>0.12</v>
      </c>
      <c r="Z1151" s="24">
        <f>VLOOKUP(L1151, IMPOSTO!$A:$D, 4, 0)</f>
        <v>0.12</v>
      </c>
      <c r="AA1151" s="24">
        <f>VLOOKUP(M1151, IMPOSTO!$A:$D, 4, 0)</f>
        <v>0.12</v>
      </c>
      <c r="AB1151" s="24">
        <f>VLOOKUP(N1151, IMPOSTO!$A:$D, 4, 0)</f>
        <v>7.0000000000000007E-2</v>
      </c>
      <c r="AC1151" s="25">
        <f t="shared" si="164"/>
        <v>17.769104850746267</v>
      </c>
      <c r="AD1151" s="25">
        <f t="shared" si="165"/>
        <v>83.148484065468125</v>
      </c>
      <c r="AE1151" s="25">
        <f t="shared" si="166"/>
        <v>110.5060924490451</v>
      </c>
      <c r="AF1151" s="25">
        <f t="shared" si="167"/>
        <v>96.671211338195377</v>
      </c>
      <c r="AG1151" s="25">
        <f t="shared" si="168"/>
        <v>65.307574974559031</v>
      </c>
      <c r="AH1151" s="25">
        <f t="shared" si="169"/>
        <v>62.921211338195391</v>
      </c>
      <c r="AI1151" s="25">
        <f t="shared" si="170"/>
        <v>442.65663008345376</v>
      </c>
    </row>
    <row r="1152" spans="1:35" ht="15.75" customHeight="1">
      <c r="A1152" s="12" t="s">
        <v>868</v>
      </c>
      <c r="B1152" s="12" t="s">
        <v>869</v>
      </c>
      <c r="C1152" s="12" t="s">
        <v>299</v>
      </c>
      <c r="D1152" s="12" t="s">
        <v>33</v>
      </c>
      <c r="E1152" s="12" t="s">
        <v>23</v>
      </c>
      <c r="F1152" s="13">
        <v>6.6618000000000022</v>
      </c>
      <c r="G1152" s="14">
        <v>43.347432108413791</v>
      </c>
      <c r="H1152" s="24" t="str">
        <f t="shared" si="163"/>
        <v>SPSP</v>
      </c>
      <c r="I1152" s="24" t="str">
        <f t="shared" si="171"/>
        <v>SPMG</v>
      </c>
      <c r="J1152" s="24" t="str">
        <f t="shared" si="171"/>
        <v>SPES</v>
      </c>
      <c r="K1152" s="24" t="str">
        <f t="shared" si="171"/>
        <v>SPSC</v>
      </c>
      <c r="L1152" s="24" t="str">
        <f t="shared" si="171"/>
        <v>SPRJ</v>
      </c>
      <c r="M1152" s="24" t="str">
        <f t="shared" si="171"/>
        <v>SPPR</v>
      </c>
      <c r="N1152" s="24" t="str">
        <f t="shared" si="171"/>
        <v>SPAM</v>
      </c>
      <c r="O1152" s="24">
        <f>VLOOKUP(H1152, KM!$A:$E, 5, 0)</f>
        <v>0</v>
      </c>
      <c r="P1152" s="24">
        <f>VLOOKUP(I1152, KM!$A:$E, 5, 0)</f>
        <v>586</v>
      </c>
      <c r="Q1152" s="24">
        <f>VLOOKUP(J1152, KM!$A:$E, 5, 0)</f>
        <v>882</v>
      </c>
      <c r="R1152" s="24">
        <f>VLOOKUP(K1152, KM!$A:$E, 5, 0)</f>
        <v>705</v>
      </c>
      <c r="S1152" s="24">
        <f>VLOOKUP(L1152, KM!$A:$E, 5, 0)</f>
        <v>429</v>
      </c>
      <c r="T1152" s="24">
        <f>VLOOKUP(M1152, KM!$A:$E, 5, 0)</f>
        <v>408</v>
      </c>
      <c r="U1152" s="24">
        <f>VLOOKUP(N1152, KM!$A:$E, 5, 0)</f>
        <v>3971</v>
      </c>
      <c r="V1152" s="24">
        <f>VLOOKUP(H1152, IMPOSTO!$A:$D, 4, 0)</f>
        <v>0.18</v>
      </c>
      <c r="W1152" s="24">
        <f>VLOOKUP(I1152, IMPOSTO!$A:$D, 4, 0)</f>
        <v>0.12</v>
      </c>
      <c r="X1152" s="24">
        <f>VLOOKUP(J1152, IMPOSTO!$A:$D, 4, 0)</f>
        <v>7.0000000000000007E-2</v>
      </c>
      <c r="Y1152" s="24">
        <f>VLOOKUP(K1152, IMPOSTO!$A:$D, 4, 0)</f>
        <v>0.12</v>
      </c>
      <c r="Z1152" s="24">
        <f>VLOOKUP(L1152, IMPOSTO!$A:$D, 4, 0)</f>
        <v>0.12</v>
      </c>
      <c r="AA1152" s="24">
        <f>VLOOKUP(M1152, IMPOSTO!$A:$D, 4, 0)</f>
        <v>0.12</v>
      </c>
      <c r="AB1152" s="24">
        <f>VLOOKUP(N1152, IMPOSTO!$A:$D, 4, 0)</f>
        <v>7.0000000000000007E-2</v>
      </c>
      <c r="AC1152" s="25">
        <f t="shared" si="164"/>
        <v>52.86272208343145</v>
      </c>
      <c r="AD1152" s="25">
        <f t="shared" si="165"/>
        <v>115.84935466865204</v>
      </c>
      <c r="AE1152" s="25">
        <f t="shared" si="166"/>
        <v>141.44885172947721</v>
      </c>
      <c r="AF1152" s="25">
        <f t="shared" si="167"/>
        <v>129.37208194137929</v>
      </c>
      <c r="AG1152" s="25">
        <f t="shared" si="168"/>
        <v>98.008445577742947</v>
      </c>
      <c r="AH1152" s="25">
        <f t="shared" si="169"/>
        <v>95.622081941379307</v>
      </c>
      <c r="AI1152" s="25">
        <f t="shared" si="170"/>
        <v>473.59938936388585</v>
      </c>
    </row>
    <row r="1153" spans="1:35" ht="15.75" customHeight="1">
      <c r="A1153" s="12" t="s">
        <v>829</v>
      </c>
      <c r="B1153" s="12" t="s">
        <v>830</v>
      </c>
      <c r="C1153" s="12" t="s">
        <v>265</v>
      </c>
      <c r="D1153" s="12" t="s">
        <v>33</v>
      </c>
      <c r="E1153" s="12" t="s">
        <v>23</v>
      </c>
      <c r="F1153" s="13">
        <v>1.7783999999999998</v>
      </c>
      <c r="G1153" s="14">
        <v>32.694132890025578</v>
      </c>
      <c r="H1153" s="24" t="str">
        <f t="shared" si="163"/>
        <v>SPSP</v>
      </c>
      <c r="I1153" s="24" t="str">
        <f t="shared" si="171"/>
        <v>SPMG</v>
      </c>
      <c r="J1153" s="24" t="str">
        <f t="shared" si="171"/>
        <v>SPES</v>
      </c>
      <c r="K1153" s="24" t="str">
        <f t="shared" si="171"/>
        <v>SPSC</v>
      </c>
      <c r="L1153" s="24" t="str">
        <f t="shared" si="171"/>
        <v>SPRJ</v>
      </c>
      <c r="M1153" s="24" t="str">
        <f t="shared" si="171"/>
        <v>SPPR</v>
      </c>
      <c r="N1153" s="24" t="str">
        <f t="shared" si="171"/>
        <v>SPAM</v>
      </c>
      <c r="O1153" s="24">
        <f>VLOOKUP(H1153, KM!$A:$E, 5, 0)</f>
        <v>0</v>
      </c>
      <c r="P1153" s="24">
        <f>VLOOKUP(I1153, KM!$A:$E, 5, 0)</f>
        <v>586</v>
      </c>
      <c r="Q1153" s="24">
        <f>VLOOKUP(J1153, KM!$A:$E, 5, 0)</f>
        <v>882</v>
      </c>
      <c r="R1153" s="24">
        <f>VLOOKUP(K1153, KM!$A:$E, 5, 0)</f>
        <v>705</v>
      </c>
      <c r="S1153" s="24">
        <f>VLOOKUP(L1153, KM!$A:$E, 5, 0)</f>
        <v>429</v>
      </c>
      <c r="T1153" s="24">
        <f>VLOOKUP(M1153, KM!$A:$E, 5, 0)</f>
        <v>408</v>
      </c>
      <c r="U1153" s="24">
        <f>VLOOKUP(N1153, KM!$A:$E, 5, 0)</f>
        <v>3971</v>
      </c>
      <c r="V1153" s="24">
        <f>VLOOKUP(H1153, IMPOSTO!$A:$D, 4, 0)</f>
        <v>0.18</v>
      </c>
      <c r="W1153" s="24">
        <f>VLOOKUP(I1153, IMPOSTO!$A:$D, 4, 0)</f>
        <v>0.12</v>
      </c>
      <c r="X1153" s="24">
        <f>VLOOKUP(J1153, IMPOSTO!$A:$D, 4, 0)</f>
        <v>7.0000000000000007E-2</v>
      </c>
      <c r="Y1153" s="24">
        <f>VLOOKUP(K1153, IMPOSTO!$A:$D, 4, 0)</f>
        <v>0.12</v>
      </c>
      <c r="Z1153" s="24">
        <f>VLOOKUP(L1153, IMPOSTO!$A:$D, 4, 0)</f>
        <v>0.12</v>
      </c>
      <c r="AA1153" s="24">
        <f>VLOOKUP(M1153, IMPOSTO!$A:$D, 4, 0)</f>
        <v>0.12</v>
      </c>
      <c r="AB1153" s="24">
        <f>VLOOKUP(N1153, IMPOSTO!$A:$D, 4, 0)</f>
        <v>7.0000000000000007E-2</v>
      </c>
      <c r="AC1153" s="25">
        <f t="shared" si="164"/>
        <v>39.870893768323874</v>
      </c>
      <c r="AD1153" s="25">
        <f t="shared" si="165"/>
        <v>103.74333282957453</v>
      </c>
      <c r="AE1153" s="25">
        <f t="shared" si="166"/>
        <v>129.99369127959741</v>
      </c>
      <c r="AF1153" s="25">
        <f t="shared" si="167"/>
        <v>117.26606010230178</v>
      </c>
      <c r="AG1153" s="25">
        <f t="shared" si="168"/>
        <v>85.902423738665433</v>
      </c>
      <c r="AH1153" s="25">
        <f t="shared" si="169"/>
        <v>83.516060102301793</v>
      </c>
      <c r="AI1153" s="25">
        <f t="shared" si="170"/>
        <v>462.14422891400602</v>
      </c>
    </row>
    <row r="1154" spans="1:35" ht="15.75" customHeight="1">
      <c r="A1154" s="12" t="s">
        <v>833</v>
      </c>
      <c r="B1154" s="12" t="s">
        <v>834</v>
      </c>
      <c r="C1154" s="12" t="s">
        <v>89</v>
      </c>
      <c r="D1154" s="12" t="s">
        <v>33</v>
      </c>
      <c r="E1154" s="12" t="s">
        <v>23</v>
      </c>
      <c r="F1154" s="13">
        <v>2.0992000000000002</v>
      </c>
      <c r="G1154" s="14">
        <v>181.42139323913869</v>
      </c>
      <c r="H1154" s="24" t="str">
        <f t="shared" si="163"/>
        <v>SPSP</v>
      </c>
      <c r="I1154" s="24" t="str">
        <f t="shared" si="171"/>
        <v>SPMG</v>
      </c>
      <c r="J1154" s="24" t="str">
        <f t="shared" si="171"/>
        <v>SPES</v>
      </c>
      <c r="K1154" s="24" t="str">
        <f t="shared" si="171"/>
        <v>SPSC</v>
      </c>
      <c r="L1154" s="24" t="str">
        <f t="shared" si="171"/>
        <v>SPRJ</v>
      </c>
      <c r="M1154" s="24" t="str">
        <f t="shared" si="171"/>
        <v>SPPR</v>
      </c>
      <c r="N1154" s="24" t="str">
        <f t="shared" si="171"/>
        <v>SPAM</v>
      </c>
      <c r="O1154" s="24">
        <f>VLOOKUP(H1154, KM!$A:$E, 5, 0)</f>
        <v>0</v>
      </c>
      <c r="P1154" s="24">
        <f>VLOOKUP(I1154, KM!$A:$E, 5, 0)</f>
        <v>586</v>
      </c>
      <c r="Q1154" s="24">
        <f>VLOOKUP(J1154, KM!$A:$E, 5, 0)</f>
        <v>882</v>
      </c>
      <c r="R1154" s="24">
        <f>VLOOKUP(K1154, KM!$A:$E, 5, 0)</f>
        <v>705</v>
      </c>
      <c r="S1154" s="24">
        <f>VLOOKUP(L1154, KM!$A:$E, 5, 0)</f>
        <v>429</v>
      </c>
      <c r="T1154" s="24">
        <f>VLOOKUP(M1154, KM!$A:$E, 5, 0)</f>
        <v>408</v>
      </c>
      <c r="U1154" s="24">
        <f>VLOOKUP(N1154, KM!$A:$E, 5, 0)</f>
        <v>3971</v>
      </c>
      <c r="V1154" s="24">
        <f>VLOOKUP(H1154, IMPOSTO!$A:$D, 4, 0)</f>
        <v>0.18</v>
      </c>
      <c r="W1154" s="24">
        <f>VLOOKUP(I1154, IMPOSTO!$A:$D, 4, 0)</f>
        <v>0.12</v>
      </c>
      <c r="X1154" s="24">
        <f>VLOOKUP(J1154, IMPOSTO!$A:$D, 4, 0)</f>
        <v>7.0000000000000007E-2</v>
      </c>
      <c r="Y1154" s="24">
        <f>VLOOKUP(K1154, IMPOSTO!$A:$D, 4, 0)</f>
        <v>0.12</v>
      </c>
      <c r="Z1154" s="24">
        <f>VLOOKUP(L1154, IMPOSTO!$A:$D, 4, 0)</f>
        <v>0.12</v>
      </c>
      <c r="AA1154" s="24">
        <f>VLOOKUP(M1154, IMPOSTO!$A:$D, 4, 0)</f>
        <v>0.12</v>
      </c>
      <c r="AB1154" s="24">
        <f>VLOOKUP(N1154, IMPOSTO!$A:$D, 4, 0)</f>
        <v>7.0000000000000007E-2</v>
      </c>
      <c r="AC1154" s="25">
        <f t="shared" si="164"/>
        <v>221.24560151114474</v>
      </c>
      <c r="AD1154" s="25">
        <f t="shared" si="165"/>
        <v>272.75158322629397</v>
      </c>
      <c r="AE1154" s="25">
        <f t="shared" si="166"/>
        <v>289.91547660122438</v>
      </c>
      <c r="AF1154" s="25">
        <f t="shared" si="167"/>
        <v>286.27431049902123</v>
      </c>
      <c r="AG1154" s="25">
        <f t="shared" si="168"/>
        <v>254.91067413538488</v>
      </c>
      <c r="AH1154" s="25">
        <f t="shared" si="169"/>
        <v>252.52431049902125</v>
      </c>
      <c r="AI1154" s="25">
        <f t="shared" si="170"/>
        <v>622.06601423563302</v>
      </c>
    </row>
    <row r="1155" spans="1:35" ht="15.75" customHeight="1">
      <c r="A1155" s="12" t="s">
        <v>870</v>
      </c>
      <c r="B1155" s="12" t="s">
        <v>871</v>
      </c>
      <c r="C1155" s="12" t="s">
        <v>192</v>
      </c>
      <c r="D1155" s="12" t="s">
        <v>33</v>
      </c>
      <c r="E1155" s="12" t="s">
        <v>23</v>
      </c>
      <c r="F1155" s="13">
        <v>1</v>
      </c>
      <c r="G1155" s="14">
        <v>34.980000000000004</v>
      </c>
      <c r="H1155" s="24" t="str">
        <f t="shared" si="163"/>
        <v>SPSP</v>
      </c>
      <c r="I1155" s="24" t="str">
        <f t="shared" si="171"/>
        <v>SPMG</v>
      </c>
      <c r="J1155" s="24" t="str">
        <f t="shared" si="171"/>
        <v>SPES</v>
      </c>
      <c r="K1155" s="24" t="str">
        <f t="shared" si="171"/>
        <v>SPSC</v>
      </c>
      <c r="L1155" s="24" t="str">
        <f t="shared" si="171"/>
        <v>SPRJ</v>
      </c>
      <c r="M1155" s="24" t="str">
        <f t="shared" si="171"/>
        <v>SPPR</v>
      </c>
      <c r="N1155" s="24" t="str">
        <f t="shared" si="171"/>
        <v>SPAM</v>
      </c>
      <c r="O1155" s="24">
        <f>VLOOKUP(H1155, KM!$A:$E, 5, 0)</f>
        <v>0</v>
      </c>
      <c r="P1155" s="24">
        <f>VLOOKUP(I1155, KM!$A:$E, 5, 0)</f>
        <v>586</v>
      </c>
      <c r="Q1155" s="24">
        <f>VLOOKUP(J1155, KM!$A:$E, 5, 0)</f>
        <v>882</v>
      </c>
      <c r="R1155" s="24">
        <f>VLOOKUP(K1155, KM!$A:$E, 5, 0)</f>
        <v>705</v>
      </c>
      <c r="S1155" s="24">
        <f>VLOOKUP(L1155, KM!$A:$E, 5, 0)</f>
        <v>429</v>
      </c>
      <c r="T1155" s="24">
        <f>VLOOKUP(M1155, KM!$A:$E, 5, 0)</f>
        <v>408</v>
      </c>
      <c r="U1155" s="24">
        <f>VLOOKUP(N1155, KM!$A:$E, 5, 0)</f>
        <v>3971</v>
      </c>
      <c r="V1155" s="24">
        <f>VLOOKUP(H1155, IMPOSTO!$A:$D, 4, 0)</f>
        <v>0.18</v>
      </c>
      <c r="W1155" s="24">
        <f>VLOOKUP(I1155, IMPOSTO!$A:$D, 4, 0)</f>
        <v>0.12</v>
      </c>
      <c r="X1155" s="24">
        <f>VLOOKUP(J1155, IMPOSTO!$A:$D, 4, 0)</f>
        <v>7.0000000000000007E-2</v>
      </c>
      <c r="Y1155" s="24">
        <f>VLOOKUP(K1155, IMPOSTO!$A:$D, 4, 0)</f>
        <v>0.12</v>
      </c>
      <c r="Z1155" s="24">
        <f>VLOOKUP(L1155, IMPOSTO!$A:$D, 4, 0)</f>
        <v>0.12</v>
      </c>
      <c r="AA1155" s="24">
        <f>VLOOKUP(M1155, IMPOSTO!$A:$D, 4, 0)</f>
        <v>0.12</v>
      </c>
      <c r="AB1155" s="24">
        <f>VLOOKUP(N1155, IMPOSTO!$A:$D, 4, 0)</f>
        <v>7.0000000000000007E-2</v>
      </c>
      <c r="AC1155" s="25">
        <f t="shared" si="164"/>
        <v>42.658536585365859</v>
      </c>
      <c r="AD1155" s="25">
        <f t="shared" si="165"/>
        <v>106.34090909090911</v>
      </c>
      <c r="AE1155" s="25">
        <f t="shared" si="166"/>
        <v>132.45161290322582</v>
      </c>
      <c r="AF1155" s="25">
        <f t="shared" si="167"/>
        <v>119.86363636363637</v>
      </c>
      <c r="AG1155" s="25">
        <f t="shared" si="168"/>
        <v>88.500000000000014</v>
      </c>
      <c r="AH1155" s="25">
        <f t="shared" si="169"/>
        <v>86.11363636363636</v>
      </c>
      <c r="AI1155" s="25">
        <f t="shared" si="170"/>
        <v>464.60215053763449</v>
      </c>
    </row>
    <row r="1156" spans="1:35" ht="15.75" customHeight="1">
      <c r="A1156" s="12" t="s">
        <v>872</v>
      </c>
      <c r="B1156" s="12" t="s">
        <v>873</v>
      </c>
      <c r="C1156" s="12" t="s">
        <v>181</v>
      </c>
      <c r="D1156" s="12" t="s">
        <v>33</v>
      </c>
      <c r="E1156" s="12" t="s">
        <v>23</v>
      </c>
      <c r="F1156" s="13">
        <v>216.96660000000006</v>
      </c>
      <c r="G1156" s="14">
        <v>2453.7287508845839</v>
      </c>
      <c r="H1156" s="24" t="str">
        <f t="shared" si="163"/>
        <v>SPSP</v>
      </c>
      <c r="I1156" s="24" t="str">
        <f t="shared" si="171"/>
        <v>SPMG</v>
      </c>
      <c r="J1156" s="24" t="str">
        <f t="shared" si="171"/>
        <v>SPES</v>
      </c>
      <c r="K1156" s="24" t="str">
        <f t="shared" si="171"/>
        <v>SPSC</v>
      </c>
      <c r="L1156" s="24" t="str">
        <f t="shared" si="171"/>
        <v>SPRJ</v>
      </c>
      <c r="M1156" s="24" t="str">
        <f t="shared" si="171"/>
        <v>SPPR</v>
      </c>
      <c r="N1156" s="24" t="str">
        <f t="shared" si="171"/>
        <v>SPAM</v>
      </c>
      <c r="O1156" s="24">
        <f>VLOOKUP(H1156, KM!$A:$E, 5, 0)</f>
        <v>0</v>
      </c>
      <c r="P1156" s="24">
        <f>VLOOKUP(I1156, KM!$A:$E, 5, 0)</f>
        <v>586</v>
      </c>
      <c r="Q1156" s="24">
        <f>VLOOKUP(J1156, KM!$A:$E, 5, 0)</f>
        <v>882</v>
      </c>
      <c r="R1156" s="24">
        <f>VLOOKUP(K1156, KM!$A:$E, 5, 0)</f>
        <v>705</v>
      </c>
      <c r="S1156" s="24">
        <f>VLOOKUP(L1156, KM!$A:$E, 5, 0)</f>
        <v>429</v>
      </c>
      <c r="T1156" s="24">
        <f>VLOOKUP(M1156, KM!$A:$E, 5, 0)</f>
        <v>408</v>
      </c>
      <c r="U1156" s="24">
        <f>VLOOKUP(N1156, KM!$A:$E, 5, 0)</f>
        <v>3971</v>
      </c>
      <c r="V1156" s="24">
        <f>VLOOKUP(H1156, IMPOSTO!$A:$D, 4, 0)</f>
        <v>0.18</v>
      </c>
      <c r="W1156" s="24">
        <f>VLOOKUP(I1156, IMPOSTO!$A:$D, 4, 0)</f>
        <v>0.12</v>
      </c>
      <c r="X1156" s="24">
        <f>VLOOKUP(J1156, IMPOSTO!$A:$D, 4, 0)</f>
        <v>7.0000000000000007E-2</v>
      </c>
      <c r="Y1156" s="24">
        <f>VLOOKUP(K1156, IMPOSTO!$A:$D, 4, 0)</f>
        <v>0.12</v>
      </c>
      <c r="Z1156" s="24">
        <f>VLOOKUP(L1156, IMPOSTO!$A:$D, 4, 0)</f>
        <v>0.12</v>
      </c>
      <c r="AA1156" s="24">
        <f>VLOOKUP(M1156, IMPOSTO!$A:$D, 4, 0)</f>
        <v>0.12</v>
      </c>
      <c r="AB1156" s="24">
        <f>VLOOKUP(N1156, IMPOSTO!$A:$D, 4, 0)</f>
        <v>7.0000000000000007E-2</v>
      </c>
      <c r="AC1156" s="25">
        <f t="shared" si="164"/>
        <v>2992.3521352251018</v>
      </c>
      <c r="AD1156" s="25">
        <f t="shared" si="165"/>
        <v>2854.919035096118</v>
      </c>
      <c r="AE1156" s="25">
        <f t="shared" si="166"/>
        <v>2733.2567213812731</v>
      </c>
      <c r="AF1156" s="25">
        <f t="shared" si="167"/>
        <v>2868.4417623688455</v>
      </c>
      <c r="AG1156" s="25">
        <f t="shared" si="168"/>
        <v>2837.078126005209</v>
      </c>
      <c r="AH1156" s="25">
        <f t="shared" si="169"/>
        <v>2834.6917623688455</v>
      </c>
      <c r="AI1156" s="25">
        <f t="shared" si="170"/>
        <v>3065.4072590156816</v>
      </c>
    </row>
    <row r="1157" spans="1:35" ht="15.75" customHeight="1">
      <c r="A1157" s="12" t="s">
        <v>861</v>
      </c>
      <c r="B1157" s="12" t="s">
        <v>862</v>
      </c>
      <c r="C1157" s="12" t="s">
        <v>192</v>
      </c>
      <c r="D1157" s="12" t="s">
        <v>50</v>
      </c>
      <c r="E1157" s="12" t="s">
        <v>23</v>
      </c>
      <c r="F1157" s="13">
        <v>66.571135135135137</v>
      </c>
      <c r="G1157" s="14">
        <v>926.86040432432435</v>
      </c>
      <c r="H1157" s="24" t="str">
        <f t="shared" ref="H1157:H1220" si="172">$E1157 &amp; H$17</f>
        <v>SPSP</v>
      </c>
      <c r="I1157" s="24" t="str">
        <f t="shared" si="171"/>
        <v>SPMG</v>
      </c>
      <c r="J1157" s="24" t="str">
        <f t="shared" si="171"/>
        <v>SPES</v>
      </c>
      <c r="K1157" s="24" t="str">
        <f t="shared" si="171"/>
        <v>SPSC</v>
      </c>
      <c r="L1157" s="24" t="str">
        <f t="shared" si="171"/>
        <v>SPRJ</v>
      </c>
      <c r="M1157" s="24" t="str">
        <f t="shared" si="171"/>
        <v>SPPR</v>
      </c>
      <c r="N1157" s="24" t="str">
        <f t="shared" si="171"/>
        <v>SPAM</v>
      </c>
      <c r="O1157" s="24">
        <f>VLOOKUP(H1157, KM!$A:$E, 5, 0)</f>
        <v>0</v>
      </c>
      <c r="P1157" s="24">
        <f>VLOOKUP(I1157, KM!$A:$E, 5, 0)</f>
        <v>586</v>
      </c>
      <c r="Q1157" s="24">
        <f>VLOOKUP(J1157, KM!$A:$E, 5, 0)</f>
        <v>882</v>
      </c>
      <c r="R1157" s="24">
        <f>VLOOKUP(K1157, KM!$A:$E, 5, 0)</f>
        <v>705</v>
      </c>
      <c r="S1157" s="24">
        <f>VLOOKUP(L1157, KM!$A:$E, 5, 0)</f>
        <v>429</v>
      </c>
      <c r="T1157" s="24">
        <f>VLOOKUP(M1157, KM!$A:$E, 5, 0)</f>
        <v>408</v>
      </c>
      <c r="U1157" s="24">
        <f>VLOOKUP(N1157, KM!$A:$E, 5, 0)</f>
        <v>3971</v>
      </c>
      <c r="V1157" s="24">
        <f>VLOOKUP(H1157, IMPOSTO!$A:$D, 4, 0)</f>
        <v>0.18</v>
      </c>
      <c r="W1157" s="24">
        <f>VLOOKUP(I1157, IMPOSTO!$A:$D, 4, 0)</f>
        <v>0.12</v>
      </c>
      <c r="X1157" s="24">
        <f>VLOOKUP(J1157, IMPOSTO!$A:$D, 4, 0)</f>
        <v>7.0000000000000007E-2</v>
      </c>
      <c r="Y1157" s="24">
        <f>VLOOKUP(K1157, IMPOSTO!$A:$D, 4, 0)</f>
        <v>0.12</v>
      </c>
      <c r="Z1157" s="24">
        <f>VLOOKUP(L1157, IMPOSTO!$A:$D, 4, 0)</f>
        <v>0.12</v>
      </c>
      <c r="AA1157" s="24">
        <f>VLOOKUP(M1157, IMPOSTO!$A:$D, 4, 0)</f>
        <v>0.12</v>
      </c>
      <c r="AB1157" s="24">
        <f>VLOOKUP(N1157, IMPOSTO!$A:$D, 4, 0)</f>
        <v>7.0000000000000007E-2</v>
      </c>
      <c r="AC1157" s="25">
        <f t="shared" si="164"/>
        <v>1130.317566249176</v>
      </c>
      <c r="AD1157" s="25">
        <f t="shared" si="165"/>
        <v>1119.8413685503685</v>
      </c>
      <c r="AE1157" s="25">
        <f t="shared" si="166"/>
        <v>1091.462800348736</v>
      </c>
      <c r="AF1157" s="25">
        <f t="shared" si="167"/>
        <v>1133.3640958230958</v>
      </c>
      <c r="AG1157" s="25">
        <f t="shared" si="168"/>
        <v>1102.0004594594595</v>
      </c>
      <c r="AH1157" s="25">
        <f t="shared" si="169"/>
        <v>1099.6140958230958</v>
      </c>
      <c r="AI1157" s="25">
        <f t="shared" si="170"/>
        <v>1423.6133379831447</v>
      </c>
    </row>
    <row r="1158" spans="1:35" ht="15.75" customHeight="1">
      <c r="A1158" s="12" t="s">
        <v>502</v>
      </c>
      <c r="B1158" s="12" t="s">
        <v>503</v>
      </c>
      <c r="C1158" s="12" t="s">
        <v>140</v>
      </c>
      <c r="D1158" s="12" t="s">
        <v>33</v>
      </c>
      <c r="E1158" s="12" t="s">
        <v>23</v>
      </c>
      <c r="F1158" s="13">
        <v>518.92658227848108</v>
      </c>
      <c r="G1158" s="14">
        <v>25532.744627848097</v>
      </c>
      <c r="H1158" s="24" t="str">
        <f t="shared" si="172"/>
        <v>SPSP</v>
      </c>
      <c r="I1158" s="24" t="str">
        <f t="shared" si="171"/>
        <v>SPMG</v>
      </c>
      <c r="J1158" s="24" t="str">
        <f t="shared" si="171"/>
        <v>SPES</v>
      </c>
      <c r="K1158" s="24" t="str">
        <f t="shared" si="171"/>
        <v>SPSC</v>
      </c>
      <c r="L1158" s="24" t="str">
        <f t="shared" si="171"/>
        <v>SPRJ</v>
      </c>
      <c r="M1158" s="24" t="str">
        <f t="shared" si="171"/>
        <v>SPPR</v>
      </c>
      <c r="N1158" s="24" t="str">
        <f t="shared" si="171"/>
        <v>SPAM</v>
      </c>
      <c r="O1158" s="24">
        <f>VLOOKUP(H1158, KM!$A:$E, 5, 0)</f>
        <v>0</v>
      </c>
      <c r="P1158" s="24">
        <f>VLOOKUP(I1158, KM!$A:$E, 5, 0)</f>
        <v>586</v>
      </c>
      <c r="Q1158" s="24">
        <f>VLOOKUP(J1158, KM!$A:$E, 5, 0)</f>
        <v>882</v>
      </c>
      <c r="R1158" s="24">
        <f>VLOOKUP(K1158, KM!$A:$E, 5, 0)</f>
        <v>705</v>
      </c>
      <c r="S1158" s="24">
        <f>VLOOKUP(L1158, KM!$A:$E, 5, 0)</f>
        <v>429</v>
      </c>
      <c r="T1158" s="24">
        <f>VLOOKUP(M1158, KM!$A:$E, 5, 0)</f>
        <v>408</v>
      </c>
      <c r="U1158" s="24">
        <f>VLOOKUP(N1158, KM!$A:$E, 5, 0)</f>
        <v>3971</v>
      </c>
      <c r="V1158" s="24">
        <f>VLOOKUP(H1158, IMPOSTO!$A:$D, 4, 0)</f>
        <v>0.18</v>
      </c>
      <c r="W1158" s="24">
        <f>VLOOKUP(I1158, IMPOSTO!$A:$D, 4, 0)</f>
        <v>0.12</v>
      </c>
      <c r="X1158" s="24">
        <f>VLOOKUP(J1158, IMPOSTO!$A:$D, 4, 0)</f>
        <v>7.0000000000000007E-2</v>
      </c>
      <c r="Y1158" s="24">
        <f>VLOOKUP(K1158, IMPOSTO!$A:$D, 4, 0)</f>
        <v>0.12</v>
      </c>
      <c r="Z1158" s="24">
        <f>VLOOKUP(L1158, IMPOSTO!$A:$D, 4, 0)</f>
        <v>0.12</v>
      </c>
      <c r="AA1158" s="24">
        <f>VLOOKUP(M1158, IMPOSTO!$A:$D, 4, 0)</f>
        <v>0.12</v>
      </c>
      <c r="AB1158" s="24">
        <f>VLOOKUP(N1158, IMPOSTO!$A:$D, 4, 0)</f>
        <v>7.0000000000000007E-2</v>
      </c>
      <c r="AC1158" s="25">
        <f t="shared" si="164"/>
        <v>31137.493448595236</v>
      </c>
      <c r="AD1158" s="25">
        <f t="shared" si="165"/>
        <v>29081.073440736473</v>
      </c>
      <c r="AE1158" s="25">
        <f t="shared" si="166"/>
        <v>27549.402825643116</v>
      </c>
      <c r="AF1158" s="25">
        <f t="shared" si="167"/>
        <v>29094.5961680092</v>
      </c>
      <c r="AG1158" s="25">
        <f t="shared" si="168"/>
        <v>29063.232531645564</v>
      </c>
      <c r="AH1158" s="25">
        <f t="shared" si="169"/>
        <v>29060.8461680092</v>
      </c>
      <c r="AI1158" s="25">
        <f t="shared" si="170"/>
        <v>27881.553363277522</v>
      </c>
    </row>
    <row r="1159" spans="1:35" ht="15.75" customHeight="1">
      <c r="A1159" s="12" t="s">
        <v>874</v>
      </c>
      <c r="B1159" s="12" t="s">
        <v>875</v>
      </c>
      <c r="C1159" s="12" t="s">
        <v>876</v>
      </c>
      <c r="D1159" s="12" t="s">
        <v>33</v>
      </c>
      <c r="E1159" s="12" t="s">
        <v>23</v>
      </c>
      <c r="F1159" s="13">
        <v>157.02870000000001</v>
      </c>
      <c r="G1159" s="14">
        <v>2709.275046862499</v>
      </c>
      <c r="H1159" s="24" t="str">
        <f t="shared" si="172"/>
        <v>SPSP</v>
      </c>
      <c r="I1159" s="24" t="str">
        <f t="shared" si="171"/>
        <v>SPMG</v>
      </c>
      <c r="J1159" s="24" t="str">
        <f t="shared" si="171"/>
        <v>SPES</v>
      </c>
      <c r="K1159" s="24" t="str">
        <f t="shared" si="171"/>
        <v>SPSC</v>
      </c>
      <c r="L1159" s="24" t="str">
        <f t="shared" si="171"/>
        <v>SPRJ</v>
      </c>
      <c r="M1159" s="24" t="str">
        <f t="shared" si="171"/>
        <v>SPPR</v>
      </c>
      <c r="N1159" s="24" t="str">
        <f t="shared" si="171"/>
        <v>SPAM</v>
      </c>
      <c r="O1159" s="24">
        <f>VLOOKUP(H1159, KM!$A:$E, 5, 0)</f>
        <v>0</v>
      </c>
      <c r="P1159" s="24">
        <f>VLOOKUP(I1159, KM!$A:$E, 5, 0)</f>
        <v>586</v>
      </c>
      <c r="Q1159" s="24">
        <f>VLOOKUP(J1159, KM!$A:$E, 5, 0)</f>
        <v>882</v>
      </c>
      <c r="R1159" s="24">
        <f>VLOOKUP(K1159, KM!$A:$E, 5, 0)</f>
        <v>705</v>
      </c>
      <c r="S1159" s="24">
        <f>VLOOKUP(L1159, KM!$A:$E, 5, 0)</f>
        <v>429</v>
      </c>
      <c r="T1159" s="24">
        <f>VLOOKUP(M1159, KM!$A:$E, 5, 0)</f>
        <v>408</v>
      </c>
      <c r="U1159" s="24">
        <f>VLOOKUP(N1159, KM!$A:$E, 5, 0)</f>
        <v>3971</v>
      </c>
      <c r="V1159" s="24">
        <f>VLOOKUP(H1159, IMPOSTO!$A:$D, 4, 0)</f>
        <v>0.18</v>
      </c>
      <c r="W1159" s="24">
        <f>VLOOKUP(I1159, IMPOSTO!$A:$D, 4, 0)</f>
        <v>0.12</v>
      </c>
      <c r="X1159" s="24">
        <f>VLOOKUP(J1159, IMPOSTO!$A:$D, 4, 0)</f>
        <v>7.0000000000000007E-2</v>
      </c>
      <c r="Y1159" s="24">
        <f>VLOOKUP(K1159, IMPOSTO!$A:$D, 4, 0)</f>
        <v>0.12</v>
      </c>
      <c r="Z1159" s="24">
        <f>VLOOKUP(L1159, IMPOSTO!$A:$D, 4, 0)</f>
        <v>0.12</v>
      </c>
      <c r="AA1159" s="24">
        <f>VLOOKUP(M1159, IMPOSTO!$A:$D, 4, 0)</f>
        <v>0.12</v>
      </c>
      <c r="AB1159" s="24">
        <f>VLOOKUP(N1159, IMPOSTO!$A:$D, 4, 0)</f>
        <v>7.0000000000000007E-2</v>
      </c>
      <c r="AC1159" s="25">
        <f t="shared" si="164"/>
        <v>3303.9939595884134</v>
      </c>
      <c r="AD1159" s="25">
        <f t="shared" si="165"/>
        <v>3145.3125532528397</v>
      </c>
      <c r="AE1159" s="25">
        <f t="shared" si="166"/>
        <v>3008.0376847983862</v>
      </c>
      <c r="AF1159" s="25">
        <f t="shared" si="167"/>
        <v>3158.8352805255672</v>
      </c>
      <c r="AG1159" s="25">
        <f t="shared" si="168"/>
        <v>3127.4716441619307</v>
      </c>
      <c r="AH1159" s="25">
        <f t="shared" si="169"/>
        <v>3125.0852805255672</v>
      </c>
      <c r="AI1159" s="25">
        <f t="shared" si="170"/>
        <v>3340.1882224327946</v>
      </c>
    </row>
    <row r="1160" spans="1:35" ht="15.75" customHeight="1">
      <c r="A1160" s="12" t="s">
        <v>877</v>
      </c>
      <c r="B1160" s="12" t="s">
        <v>878</v>
      </c>
      <c r="C1160" s="12" t="s">
        <v>876</v>
      </c>
      <c r="D1160" s="12" t="s">
        <v>33</v>
      </c>
      <c r="E1160" s="12" t="s">
        <v>23</v>
      </c>
      <c r="F1160" s="13">
        <v>3197.9719999999993</v>
      </c>
      <c r="G1160" s="14">
        <v>64806.004990330926</v>
      </c>
      <c r="H1160" s="24" t="str">
        <f t="shared" si="172"/>
        <v>SPSP</v>
      </c>
      <c r="I1160" s="24" t="str">
        <f t="shared" si="171"/>
        <v>SPMG</v>
      </c>
      <c r="J1160" s="24" t="str">
        <f t="shared" si="171"/>
        <v>SPES</v>
      </c>
      <c r="K1160" s="24" t="str">
        <f t="shared" si="171"/>
        <v>SPSC</v>
      </c>
      <c r="L1160" s="24" t="str">
        <f t="shared" si="171"/>
        <v>SPRJ</v>
      </c>
      <c r="M1160" s="24" t="str">
        <f t="shared" si="171"/>
        <v>SPPR</v>
      </c>
      <c r="N1160" s="24" t="str">
        <f t="shared" si="171"/>
        <v>SPAM</v>
      </c>
      <c r="O1160" s="24">
        <f>VLOOKUP(H1160, KM!$A:$E, 5, 0)</f>
        <v>0</v>
      </c>
      <c r="P1160" s="24">
        <f>VLOOKUP(I1160, KM!$A:$E, 5, 0)</f>
        <v>586</v>
      </c>
      <c r="Q1160" s="24">
        <f>VLOOKUP(J1160, KM!$A:$E, 5, 0)</f>
        <v>882</v>
      </c>
      <c r="R1160" s="24">
        <f>VLOOKUP(K1160, KM!$A:$E, 5, 0)</f>
        <v>705</v>
      </c>
      <c r="S1160" s="24">
        <f>VLOOKUP(L1160, KM!$A:$E, 5, 0)</f>
        <v>429</v>
      </c>
      <c r="T1160" s="24">
        <f>VLOOKUP(M1160, KM!$A:$E, 5, 0)</f>
        <v>408</v>
      </c>
      <c r="U1160" s="24">
        <f>VLOOKUP(N1160, KM!$A:$E, 5, 0)</f>
        <v>3971</v>
      </c>
      <c r="V1160" s="24">
        <f>VLOOKUP(H1160, IMPOSTO!$A:$D, 4, 0)</f>
        <v>0.18</v>
      </c>
      <c r="W1160" s="24">
        <f>VLOOKUP(I1160, IMPOSTO!$A:$D, 4, 0)</f>
        <v>0.12</v>
      </c>
      <c r="X1160" s="24">
        <f>VLOOKUP(J1160, IMPOSTO!$A:$D, 4, 0)</f>
        <v>7.0000000000000007E-2</v>
      </c>
      <c r="Y1160" s="24">
        <f>VLOOKUP(K1160, IMPOSTO!$A:$D, 4, 0)</f>
        <v>0.12</v>
      </c>
      <c r="Z1160" s="24">
        <f>VLOOKUP(L1160, IMPOSTO!$A:$D, 4, 0)</f>
        <v>0.12</v>
      </c>
      <c r="AA1160" s="24">
        <f>VLOOKUP(M1160, IMPOSTO!$A:$D, 4, 0)</f>
        <v>0.12</v>
      </c>
      <c r="AB1160" s="24">
        <f>VLOOKUP(N1160, IMPOSTO!$A:$D, 4, 0)</f>
        <v>7.0000000000000007E-2</v>
      </c>
      <c r="AC1160" s="25">
        <f t="shared" si="164"/>
        <v>79031.713402842593</v>
      </c>
      <c r="AD1160" s="25">
        <f t="shared" si="165"/>
        <v>73709.778398103328</v>
      </c>
      <c r="AE1160" s="25">
        <f t="shared" si="166"/>
        <v>69778.715043366596</v>
      </c>
      <c r="AF1160" s="25">
        <f t="shared" si="167"/>
        <v>73723.301125376049</v>
      </c>
      <c r="AG1160" s="25">
        <f t="shared" si="168"/>
        <v>73691.937489012416</v>
      </c>
      <c r="AH1160" s="25">
        <f t="shared" si="169"/>
        <v>73689.551125376049</v>
      </c>
      <c r="AI1160" s="25">
        <f t="shared" si="170"/>
        <v>70110.865581000995</v>
      </c>
    </row>
    <row r="1161" spans="1:35" ht="15.75" customHeight="1">
      <c r="A1161" s="12" t="s">
        <v>879</v>
      </c>
      <c r="B1161" s="12" t="s">
        <v>880</v>
      </c>
      <c r="C1161" s="12" t="s">
        <v>143</v>
      </c>
      <c r="D1161" s="12" t="s">
        <v>33</v>
      </c>
      <c r="E1161" s="12" t="s">
        <v>23</v>
      </c>
      <c r="F1161" s="13">
        <v>6682.4753999999975</v>
      </c>
      <c r="G1161" s="14">
        <v>148280.23820311326</v>
      </c>
      <c r="H1161" s="24" t="str">
        <f t="shared" si="172"/>
        <v>SPSP</v>
      </c>
      <c r="I1161" s="24" t="str">
        <f t="shared" si="171"/>
        <v>SPMG</v>
      </c>
      <c r="J1161" s="24" t="str">
        <f t="shared" si="171"/>
        <v>SPES</v>
      </c>
      <c r="K1161" s="24" t="str">
        <f t="shared" si="171"/>
        <v>SPSC</v>
      </c>
      <c r="L1161" s="24" t="str">
        <f t="shared" si="171"/>
        <v>SPRJ</v>
      </c>
      <c r="M1161" s="24" t="str">
        <f t="shared" si="171"/>
        <v>SPPR</v>
      </c>
      <c r="N1161" s="24" t="str">
        <f t="shared" si="171"/>
        <v>SPAM</v>
      </c>
      <c r="O1161" s="24">
        <f>VLOOKUP(H1161, KM!$A:$E, 5, 0)</f>
        <v>0</v>
      </c>
      <c r="P1161" s="24">
        <f>VLOOKUP(I1161, KM!$A:$E, 5, 0)</f>
        <v>586</v>
      </c>
      <c r="Q1161" s="24">
        <f>VLOOKUP(J1161, KM!$A:$E, 5, 0)</f>
        <v>882</v>
      </c>
      <c r="R1161" s="24">
        <f>VLOOKUP(K1161, KM!$A:$E, 5, 0)</f>
        <v>705</v>
      </c>
      <c r="S1161" s="24">
        <f>VLOOKUP(L1161, KM!$A:$E, 5, 0)</f>
        <v>429</v>
      </c>
      <c r="T1161" s="24">
        <f>VLOOKUP(M1161, KM!$A:$E, 5, 0)</f>
        <v>408</v>
      </c>
      <c r="U1161" s="24">
        <f>VLOOKUP(N1161, KM!$A:$E, 5, 0)</f>
        <v>3971</v>
      </c>
      <c r="V1161" s="24">
        <f>VLOOKUP(H1161, IMPOSTO!$A:$D, 4, 0)</f>
        <v>0.18</v>
      </c>
      <c r="W1161" s="24">
        <f>VLOOKUP(I1161, IMPOSTO!$A:$D, 4, 0)</f>
        <v>0.12</v>
      </c>
      <c r="X1161" s="24">
        <f>VLOOKUP(J1161, IMPOSTO!$A:$D, 4, 0)</f>
        <v>7.0000000000000007E-2</v>
      </c>
      <c r="Y1161" s="24">
        <f>VLOOKUP(K1161, IMPOSTO!$A:$D, 4, 0)</f>
        <v>0.12</v>
      </c>
      <c r="Z1161" s="24">
        <f>VLOOKUP(L1161, IMPOSTO!$A:$D, 4, 0)</f>
        <v>0.12</v>
      </c>
      <c r="AA1161" s="24">
        <f>VLOOKUP(M1161, IMPOSTO!$A:$D, 4, 0)</f>
        <v>0.12</v>
      </c>
      <c r="AB1161" s="24">
        <f>VLOOKUP(N1161, IMPOSTO!$A:$D, 4, 0)</f>
        <v>7.0000000000000007E-2</v>
      </c>
      <c r="AC1161" s="25">
        <f t="shared" si="164"/>
        <v>180829.55878428445</v>
      </c>
      <c r="AD1161" s="25">
        <f t="shared" si="165"/>
        <v>168566.86159444688</v>
      </c>
      <c r="AE1161" s="25">
        <f t="shared" si="166"/>
        <v>159535.95505711104</v>
      </c>
      <c r="AF1161" s="25">
        <f t="shared" si="167"/>
        <v>168580.38432171961</v>
      </c>
      <c r="AG1161" s="25">
        <f t="shared" si="168"/>
        <v>168549.02068535596</v>
      </c>
      <c r="AH1161" s="25">
        <f t="shared" si="169"/>
        <v>168546.63432171961</v>
      </c>
      <c r="AI1161" s="25">
        <f t="shared" si="170"/>
        <v>159868.10559474546</v>
      </c>
    </row>
    <row r="1162" spans="1:35" ht="15.75" customHeight="1">
      <c r="A1162" s="12" t="s">
        <v>30</v>
      </c>
      <c r="B1162" s="12" t="s">
        <v>31</v>
      </c>
      <c r="C1162" s="12" t="s">
        <v>32</v>
      </c>
      <c r="D1162" s="12" t="s">
        <v>33</v>
      </c>
      <c r="E1162" s="12" t="s">
        <v>23</v>
      </c>
      <c r="F1162" s="13">
        <v>447.96495205479454</v>
      </c>
      <c r="G1162" s="14">
        <v>13758.120603549862</v>
      </c>
      <c r="H1162" s="24" t="str">
        <f t="shared" si="172"/>
        <v>SPSP</v>
      </c>
      <c r="I1162" s="24" t="str">
        <f t="shared" si="171"/>
        <v>SPMG</v>
      </c>
      <c r="J1162" s="24" t="str">
        <f t="shared" si="171"/>
        <v>SPES</v>
      </c>
      <c r="K1162" s="24" t="str">
        <f t="shared" si="171"/>
        <v>SPSC</v>
      </c>
      <c r="L1162" s="24" t="str">
        <f t="shared" si="171"/>
        <v>SPRJ</v>
      </c>
      <c r="M1162" s="24" t="str">
        <f t="shared" si="171"/>
        <v>SPPR</v>
      </c>
      <c r="N1162" s="24" t="str">
        <f t="shared" si="171"/>
        <v>SPAM</v>
      </c>
      <c r="O1162" s="24">
        <f>VLOOKUP(H1162, KM!$A:$E, 5, 0)</f>
        <v>0</v>
      </c>
      <c r="P1162" s="24">
        <f>VLOOKUP(I1162, KM!$A:$E, 5, 0)</f>
        <v>586</v>
      </c>
      <c r="Q1162" s="24">
        <f>VLOOKUP(J1162, KM!$A:$E, 5, 0)</f>
        <v>882</v>
      </c>
      <c r="R1162" s="24">
        <f>VLOOKUP(K1162, KM!$A:$E, 5, 0)</f>
        <v>705</v>
      </c>
      <c r="S1162" s="24">
        <f>VLOOKUP(L1162, KM!$A:$E, 5, 0)</f>
        <v>429</v>
      </c>
      <c r="T1162" s="24">
        <f>VLOOKUP(M1162, KM!$A:$E, 5, 0)</f>
        <v>408</v>
      </c>
      <c r="U1162" s="24">
        <f>VLOOKUP(N1162, KM!$A:$E, 5, 0)</f>
        <v>3971</v>
      </c>
      <c r="V1162" s="24">
        <f>VLOOKUP(H1162, IMPOSTO!$A:$D, 4, 0)</f>
        <v>0.18</v>
      </c>
      <c r="W1162" s="24">
        <f>VLOOKUP(I1162, IMPOSTO!$A:$D, 4, 0)</f>
        <v>0.12</v>
      </c>
      <c r="X1162" s="24">
        <f>VLOOKUP(J1162, IMPOSTO!$A:$D, 4, 0)</f>
        <v>7.0000000000000007E-2</v>
      </c>
      <c r="Y1162" s="24">
        <f>VLOOKUP(K1162, IMPOSTO!$A:$D, 4, 0)</f>
        <v>0.12</v>
      </c>
      <c r="Z1162" s="24">
        <f>VLOOKUP(L1162, IMPOSTO!$A:$D, 4, 0)</f>
        <v>0.12</v>
      </c>
      <c r="AA1162" s="24">
        <f>VLOOKUP(M1162, IMPOSTO!$A:$D, 4, 0)</f>
        <v>0.12</v>
      </c>
      <c r="AB1162" s="24">
        <f>VLOOKUP(N1162, IMPOSTO!$A:$D, 4, 0)</f>
        <v>7.0000000000000007E-2</v>
      </c>
      <c r="AC1162" s="25">
        <f t="shared" si="164"/>
        <v>16778.195857987634</v>
      </c>
      <c r="AD1162" s="25">
        <f t="shared" si="165"/>
        <v>15700.818867670298</v>
      </c>
      <c r="AE1162" s="25">
        <f t="shared" si="166"/>
        <v>14888.516778010606</v>
      </c>
      <c r="AF1162" s="25">
        <f t="shared" si="167"/>
        <v>15714.341594943025</v>
      </c>
      <c r="AG1162" s="25">
        <f t="shared" si="168"/>
        <v>15682.977958579388</v>
      </c>
      <c r="AH1162" s="25">
        <f t="shared" si="169"/>
        <v>15680.591594943024</v>
      </c>
      <c r="AI1162" s="25">
        <f t="shared" si="170"/>
        <v>15220.667315645014</v>
      </c>
    </row>
    <row r="1163" spans="1:35" ht="15.75" customHeight="1">
      <c r="A1163" s="12" t="s">
        <v>461</v>
      </c>
      <c r="B1163" s="12" t="s">
        <v>462</v>
      </c>
      <c r="C1163" s="12" t="s">
        <v>217</v>
      </c>
      <c r="D1163" s="12" t="s">
        <v>50</v>
      </c>
      <c r="E1163" s="12" t="s">
        <v>23</v>
      </c>
      <c r="F1163" s="13">
        <v>492.59328909952603</v>
      </c>
      <c r="G1163" s="14">
        <v>2998.4843614028437</v>
      </c>
      <c r="H1163" s="24" t="str">
        <f t="shared" si="172"/>
        <v>SPSP</v>
      </c>
      <c r="I1163" s="24" t="str">
        <f t="shared" si="171"/>
        <v>SPMG</v>
      </c>
      <c r="J1163" s="24" t="str">
        <f t="shared" si="171"/>
        <v>SPES</v>
      </c>
      <c r="K1163" s="24" t="str">
        <f t="shared" si="171"/>
        <v>SPSC</v>
      </c>
      <c r="L1163" s="24" t="str">
        <f t="shared" si="171"/>
        <v>SPRJ</v>
      </c>
      <c r="M1163" s="24" t="str">
        <f t="shared" si="171"/>
        <v>SPPR</v>
      </c>
      <c r="N1163" s="24" t="str">
        <f t="shared" si="171"/>
        <v>SPAM</v>
      </c>
      <c r="O1163" s="24">
        <f>VLOOKUP(H1163, KM!$A:$E, 5, 0)</f>
        <v>0</v>
      </c>
      <c r="P1163" s="24">
        <f>VLOOKUP(I1163, KM!$A:$E, 5, 0)</f>
        <v>586</v>
      </c>
      <c r="Q1163" s="24">
        <f>VLOOKUP(J1163, KM!$A:$E, 5, 0)</f>
        <v>882</v>
      </c>
      <c r="R1163" s="24">
        <f>VLOOKUP(K1163, KM!$A:$E, 5, 0)</f>
        <v>705</v>
      </c>
      <c r="S1163" s="24">
        <f>VLOOKUP(L1163, KM!$A:$E, 5, 0)</f>
        <v>429</v>
      </c>
      <c r="T1163" s="24">
        <f>VLOOKUP(M1163, KM!$A:$E, 5, 0)</f>
        <v>408</v>
      </c>
      <c r="U1163" s="24">
        <f>VLOOKUP(N1163, KM!$A:$E, 5, 0)</f>
        <v>3971</v>
      </c>
      <c r="V1163" s="24">
        <f>VLOOKUP(H1163, IMPOSTO!$A:$D, 4, 0)</f>
        <v>0.18</v>
      </c>
      <c r="W1163" s="24">
        <f>VLOOKUP(I1163, IMPOSTO!$A:$D, 4, 0)</f>
        <v>0.12</v>
      </c>
      <c r="X1163" s="24">
        <f>VLOOKUP(J1163, IMPOSTO!$A:$D, 4, 0)</f>
        <v>7.0000000000000007E-2</v>
      </c>
      <c r="Y1163" s="24">
        <f>VLOOKUP(K1163, IMPOSTO!$A:$D, 4, 0)</f>
        <v>0.12</v>
      </c>
      <c r="Z1163" s="24">
        <f>VLOOKUP(L1163, IMPOSTO!$A:$D, 4, 0)</f>
        <v>0.12</v>
      </c>
      <c r="AA1163" s="24">
        <f>VLOOKUP(M1163, IMPOSTO!$A:$D, 4, 0)</f>
        <v>0.12</v>
      </c>
      <c r="AB1163" s="24">
        <f>VLOOKUP(N1163, IMPOSTO!$A:$D, 4, 0)</f>
        <v>7.0000000000000007E-2</v>
      </c>
      <c r="AC1163" s="25">
        <f t="shared" si="164"/>
        <v>3656.6882456132239</v>
      </c>
      <c r="AD1163" s="25">
        <f t="shared" si="165"/>
        <v>3473.9595015941404</v>
      </c>
      <c r="AE1163" s="25">
        <f t="shared" si="166"/>
        <v>3319.015442368649</v>
      </c>
      <c r="AF1163" s="25">
        <f t="shared" si="167"/>
        <v>3487.4822288668679</v>
      </c>
      <c r="AG1163" s="25">
        <f t="shared" si="168"/>
        <v>3456.1185925032314</v>
      </c>
      <c r="AH1163" s="25">
        <f t="shared" si="169"/>
        <v>3453.7322288668679</v>
      </c>
      <c r="AI1163" s="25">
        <f t="shared" si="170"/>
        <v>3651.1659800030579</v>
      </c>
    </row>
    <row r="1164" spans="1:35" ht="15.75" customHeight="1">
      <c r="A1164" s="12" t="s">
        <v>762</v>
      </c>
      <c r="B1164" s="12" t="s">
        <v>763</v>
      </c>
      <c r="C1164" s="12" t="s">
        <v>140</v>
      </c>
      <c r="D1164" s="12" t="s">
        <v>33</v>
      </c>
      <c r="E1164" s="12" t="s">
        <v>23</v>
      </c>
      <c r="F1164" s="13">
        <v>53.466514925373133</v>
      </c>
      <c r="G1164" s="14">
        <v>1652.6202727238804</v>
      </c>
      <c r="H1164" s="24" t="str">
        <f t="shared" si="172"/>
        <v>SPSP</v>
      </c>
      <c r="I1164" s="24" t="str">
        <f t="shared" si="171"/>
        <v>SPMG</v>
      </c>
      <c r="J1164" s="24" t="str">
        <f t="shared" si="171"/>
        <v>SPES</v>
      </c>
      <c r="K1164" s="24" t="str">
        <f t="shared" si="171"/>
        <v>SPSC</v>
      </c>
      <c r="L1164" s="24" t="str">
        <f t="shared" si="171"/>
        <v>SPRJ</v>
      </c>
      <c r="M1164" s="24" t="str">
        <f t="shared" si="171"/>
        <v>SPPR</v>
      </c>
      <c r="N1164" s="24" t="str">
        <f t="shared" si="171"/>
        <v>SPAM</v>
      </c>
      <c r="O1164" s="24">
        <f>VLOOKUP(H1164, KM!$A:$E, 5, 0)</f>
        <v>0</v>
      </c>
      <c r="P1164" s="24">
        <f>VLOOKUP(I1164, KM!$A:$E, 5, 0)</f>
        <v>586</v>
      </c>
      <c r="Q1164" s="24">
        <f>VLOOKUP(J1164, KM!$A:$E, 5, 0)</f>
        <v>882</v>
      </c>
      <c r="R1164" s="24">
        <f>VLOOKUP(K1164, KM!$A:$E, 5, 0)</f>
        <v>705</v>
      </c>
      <c r="S1164" s="24">
        <f>VLOOKUP(L1164, KM!$A:$E, 5, 0)</f>
        <v>429</v>
      </c>
      <c r="T1164" s="24">
        <f>VLOOKUP(M1164, KM!$A:$E, 5, 0)</f>
        <v>408</v>
      </c>
      <c r="U1164" s="24">
        <f>VLOOKUP(N1164, KM!$A:$E, 5, 0)</f>
        <v>3971</v>
      </c>
      <c r="V1164" s="24">
        <f>VLOOKUP(H1164, IMPOSTO!$A:$D, 4, 0)</f>
        <v>0.18</v>
      </c>
      <c r="W1164" s="24">
        <f>VLOOKUP(I1164, IMPOSTO!$A:$D, 4, 0)</f>
        <v>0.12</v>
      </c>
      <c r="X1164" s="24">
        <f>VLOOKUP(J1164, IMPOSTO!$A:$D, 4, 0)</f>
        <v>7.0000000000000007E-2</v>
      </c>
      <c r="Y1164" s="24">
        <f>VLOOKUP(K1164, IMPOSTO!$A:$D, 4, 0)</f>
        <v>0.12</v>
      </c>
      <c r="Z1164" s="24">
        <f>VLOOKUP(L1164, IMPOSTO!$A:$D, 4, 0)</f>
        <v>0.12</v>
      </c>
      <c r="AA1164" s="24">
        <f>VLOOKUP(M1164, IMPOSTO!$A:$D, 4, 0)</f>
        <v>0.12</v>
      </c>
      <c r="AB1164" s="24">
        <f>VLOOKUP(N1164, IMPOSTO!$A:$D, 4, 0)</f>
        <v>7.0000000000000007E-2</v>
      </c>
      <c r="AC1164" s="25">
        <f t="shared" si="164"/>
        <v>2015.3905764925369</v>
      </c>
      <c r="AD1164" s="25">
        <f t="shared" si="165"/>
        <v>1944.5684917316821</v>
      </c>
      <c r="AE1164" s="25">
        <f t="shared" si="166"/>
        <v>1871.8497556170757</v>
      </c>
      <c r="AF1164" s="25">
        <f t="shared" si="167"/>
        <v>1958.0912190044096</v>
      </c>
      <c r="AG1164" s="25">
        <f t="shared" si="168"/>
        <v>1926.7275826407733</v>
      </c>
      <c r="AH1164" s="25">
        <f t="shared" si="169"/>
        <v>1924.3412190044094</v>
      </c>
      <c r="AI1164" s="25">
        <f t="shared" si="170"/>
        <v>2204.0002932514844</v>
      </c>
    </row>
    <row r="1165" spans="1:35" ht="15.75" customHeight="1">
      <c r="A1165" s="12" t="s">
        <v>881</v>
      </c>
      <c r="B1165" s="12" t="s">
        <v>882</v>
      </c>
      <c r="C1165" s="12" t="s">
        <v>192</v>
      </c>
      <c r="D1165" s="12" t="s">
        <v>50</v>
      </c>
      <c r="E1165" s="12" t="s">
        <v>23</v>
      </c>
      <c r="F1165" s="13">
        <v>263.16045380875204</v>
      </c>
      <c r="G1165" s="14">
        <v>10985.633144246354</v>
      </c>
      <c r="H1165" s="24" t="str">
        <f t="shared" si="172"/>
        <v>SPSP</v>
      </c>
      <c r="I1165" s="24" t="str">
        <f t="shared" si="171"/>
        <v>SPMG</v>
      </c>
      <c r="J1165" s="24" t="str">
        <f t="shared" si="171"/>
        <v>SPES</v>
      </c>
      <c r="K1165" s="24" t="str">
        <f t="shared" si="171"/>
        <v>SPSC</v>
      </c>
      <c r="L1165" s="24" t="str">
        <f t="shared" si="171"/>
        <v>SPRJ</v>
      </c>
      <c r="M1165" s="24" t="str">
        <f t="shared" si="171"/>
        <v>SPPR</v>
      </c>
      <c r="N1165" s="24" t="str">
        <f t="shared" si="171"/>
        <v>SPAM</v>
      </c>
      <c r="O1165" s="24">
        <f>VLOOKUP(H1165, KM!$A:$E, 5, 0)</f>
        <v>0</v>
      </c>
      <c r="P1165" s="24">
        <f>VLOOKUP(I1165, KM!$A:$E, 5, 0)</f>
        <v>586</v>
      </c>
      <c r="Q1165" s="24">
        <f>VLOOKUP(J1165, KM!$A:$E, 5, 0)</f>
        <v>882</v>
      </c>
      <c r="R1165" s="24">
        <f>VLOOKUP(K1165, KM!$A:$E, 5, 0)</f>
        <v>705</v>
      </c>
      <c r="S1165" s="24">
        <f>VLOOKUP(L1165, KM!$A:$E, 5, 0)</f>
        <v>429</v>
      </c>
      <c r="T1165" s="24">
        <f>VLOOKUP(M1165, KM!$A:$E, 5, 0)</f>
        <v>408</v>
      </c>
      <c r="U1165" s="24">
        <f>VLOOKUP(N1165, KM!$A:$E, 5, 0)</f>
        <v>3971</v>
      </c>
      <c r="V1165" s="24">
        <f>VLOOKUP(H1165, IMPOSTO!$A:$D, 4, 0)</f>
        <v>0.18</v>
      </c>
      <c r="W1165" s="24">
        <f>VLOOKUP(I1165, IMPOSTO!$A:$D, 4, 0)</f>
        <v>0.12</v>
      </c>
      <c r="X1165" s="24">
        <f>VLOOKUP(J1165, IMPOSTO!$A:$D, 4, 0)</f>
        <v>7.0000000000000007E-2</v>
      </c>
      <c r="Y1165" s="24">
        <f>VLOOKUP(K1165, IMPOSTO!$A:$D, 4, 0)</f>
        <v>0.12</v>
      </c>
      <c r="Z1165" s="24">
        <f>VLOOKUP(L1165, IMPOSTO!$A:$D, 4, 0)</f>
        <v>0.12</v>
      </c>
      <c r="AA1165" s="24">
        <f>VLOOKUP(M1165, IMPOSTO!$A:$D, 4, 0)</f>
        <v>0.12</v>
      </c>
      <c r="AB1165" s="24">
        <f>VLOOKUP(N1165, IMPOSTO!$A:$D, 4, 0)</f>
        <v>7.0000000000000007E-2</v>
      </c>
      <c r="AC1165" s="25">
        <f t="shared" si="164"/>
        <v>13397.113590544333</v>
      </c>
      <c r="AD1165" s="25">
        <f t="shared" si="165"/>
        <v>12550.264936643585</v>
      </c>
      <c r="AE1165" s="25">
        <f t="shared" si="166"/>
        <v>11907.347466931566</v>
      </c>
      <c r="AF1165" s="25">
        <f t="shared" si="167"/>
        <v>12563.787663916311</v>
      </c>
      <c r="AG1165" s="25">
        <f t="shared" si="168"/>
        <v>12532.424027552675</v>
      </c>
      <c r="AH1165" s="25">
        <f t="shared" si="169"/>
        <v>12530.037663916311</v>
      </c>
      <c r="AI1165" s="25">
        <f t="shared" si="170"/>
        <v>12239.498004565974</v>
      </c>
    </row>
    <row r="1166" spans="1:35" ht="15.75" customHeight="1">
      <c r="A1166" s="12" t="s">
        <v>883</v>
      </c>
      <c r="B1166" s="12" t="s">
        <v>884</v>
      </c>
      <c r="C1166" s="12" t="s">
        <v>337</v>
      </c>
      <c r="D1166" s="12" t="s">
        <v>33</v>
      </c>
      <c r="E1166" s="12" t="s">
        <v>23</v>
      </c>
      <c r="F1166" s="13">
        <v>1204.0000000000005</v>
      </c>
      <c r="G1166" s="14">
        <v>20353.383818657356</v>
      </c>
      <c r="H1166" s="24" t="str">
        <f t="shared" si="172"/>
        <v>SPSP</v>
      </c>
      <c r="I1166" s="24" t="str">
        <f t="shared" si="171"/>
        <v>SPMG</v>
      </c>
      <c r="J1166" s="24" t="str">
        <f t="shared" si="171"/>
        <v>SPES</v>
      </c>
      <c r="K1166" s="24" t="str">
        <f t="shared" si="171"/>
        <v>SPSC</v>
      </c>
      <c r="L1166" s="24" t="str">
        <f t="shared" si="171"/>
        <v>SPRJ</v>
      </c>
      <c r="M1166" s="24" t="str">
        <f t="shared" si="171"/>
        <v>SPPR</v>
      </c>
      <c r="N1166" s="24" t="str">
        <f t="shared" si="171"/>
        <v>SPAM</v>
      </c>
      <c r="O1166" s="24">
        <f>VLOOKUP(H1166, KM!$A:$E, 5, 0)</f>
        <v>0</v>
      </c>
      <c r="P1166" s="24">
        <f>VLOOKUP(I1166, KM!$A:$E, 5, 0)</f>
        <v>586</v>
      </c>
      <c r="Q1166" s="24">
        <f>VLOOKUP(J1166, KM!$A:$E, 5, 0)</f>
        <v>882</v>
      </c>
      <c r="R1166" s="24">
        <f>VLOOKUP(K1166, KM!$A:$E, 5, 0)</f>
        <v>705</v>
      </c>
      <c r="S1166" s="24">
        <f>VLOOKUP(L1166, KM!$A:$E, 5, 0)</f>
        <v>429</v>
      </c>
      <c r="T1166" s="24">
        <f>VLOOKUP(M1166, KM!$A:$E, 5, 0)</f>
        <v>408</v>
      </c>
      <c r="U1166" s="24">
        <f>VLOOKUP(N1166, KM!$A:$E, 5, 0)</f>
        <v>3971</v>
      </c>
      <c r="V1166" s="24">
        <f>VLOOKUP(H1166, IMPOSTO!$A:$D, 4, 0)</f>
        <v>0.18</v>
      </c>
      <c r="W1166" s="24">
        <f>VLOOKUP(I1166, IMPOSTO!$A:$D, 4, 0)</f>
        <v>0.12</v>
      </c>
      <c r="X1166" s="24">
        <f>VLOOKUP(J1166, IMPOSTO!$A:$D, 4, 0)</f>
        <v>7.0000000000000007E-2</v>
      </c>
      <c r="Y1166" s="24">
        <f>VLOOKUP(K1166, IMPOSTO!$A:$D, 4, 0)</f>
        <v>0.12</v>
      </c>
      <c r="Z1166" s="24">
        <f>VLOOKUP(L1166, IMPOSTO!$A:$D, 4, 0)</f>
        <v>0.12</v>
      </c>
      <c r="AA1166" s="24">
        <f>VLOOKUP(M1166, IMPOSTO!$A:$D, 4, 0)</f>
        <v>0.12</v>
      </c>
      <c r="AB1166" s="24">
        <f>VLOOKUP(N1166, IMPOSTO!$A:$D, 4, 0)</f>
        <v>7.0000000000000007E-2</v>
      </c>
      <c r="AC1166" s="25">
        <f t="shared" si="164"/>
        <v>24821.19977885043</v>
      </c>
      <c r="AD1166" s="25">
        <f t="shared" si="165"/>
        <v>23195.436157565175</v>
      </c>
      <c r="AE1166" s="25">
        <f t="shared" si="166"/>
        <v>21980.197654470277</v>
      </c>
      <c r="AF1166" s="25">
        <f t="shared" si="167"/>
        <v>23208.958884837903</v>
      </c>
      <c r="AG1166" s="25">
        <f t="shared" si="168"/>
        <v>23177.59524847427</v>
      </c>
      <c r="AH1166" s="25">
        <f t="shared" si="169"/>
        <v>23175.208884837903</v>
      </c>
      <c r="AI1166" s="25">
        <f t="shared" si="170"/>
        <v>22312.348192104684</v>
      </c>
    </row>
    <row r="1167" spans="1:35" ht="15.75" customHeight="1">
      <c r="A1167" s="12" t="s">
        <v>687</v>
      </c>
      <c r="B1167" s="12" t="s">
        <v>885</v>
      </c>
      <c r="C1167" s="12" t="s">
        <v>689</v>
      </c>
      <c r="D1167" s="12" t="s">
        <v>50</v>
      </c>
      <c r="E1167" s="12" t="s">
        <v>23</v>
      </c>
      <c r="F1167" s="13">
        <v>1497.1358428805238</v>
      </c>
      <c r="G1167" s="14">
        <v>11436.241429350792</v>
      </c>
      <c r="H1167" s="24" t="str">
        <f t="shared" si="172"/>
        <v>SPSP</v>
      </c>
      <c r="I1167" s="24" t="str">
        <f t="shared" si="171"/>
        <v>SPMG</v>
      </c>
      <c r="J1167" s="24" t="str">
        <f t="shared" si="171"/>
        <v>SPES</v>
      </c>
      <c r="K1167" s="24" t="str">
        <f t="shared" si="171"/>
        <v>SPSC</v>
      </c>
      <c r="L1167" s="24" t="str">
        <f t="shared" si="171"/>
        <v>SPRJ</v>
      </c>
      <c r="M1167" s="24" t="str">
        <f t="shared" si="171"/>
        <v>SPPR</v>
      </c>
      <c r="N1167" s="24" t="str">
        <f t="shared" si="171"/>
        <v>SPAM</v>
      </c>
      <c r="O1167" s="24">
        <f>VLOOKUP(H1167, KM!$A:$E, 5, 0)</f>
        <v>0</v>
      </c>
      <c r="P1167" s="24">
        <f>VLOOKUP(I1167, KM!$A:$E, 5, 0)</f>
        <v>586</v>
      </c>
      <c r="Q1167" s="24">
        <f>VLOOKUP(J1167, KM!$A:$E, 5, 0)</f>
        <v>882</v>
      </c>
      <c r="R1167" s="24">
        <f>VLOOKUP(K1167, KM!$A:$E, 5, 0)</f>
        <v>705</v>
      </c>
      <c r="S1167" s="24">
        <f>VLOOKUP(L1167, KM!$A:$E, 5, 0)</f>
        <v>429</v>
      </c>
      <c r="T1167" s="24">
        <f>VLOOKUP(M1167, KM!$A:$E, 5, 0)</f>
        <v>408</v>
      </c>
      <c r="U1167" s="24">
        <f>VLOOKUP(N1167, KM!$A:$E, 5, 0)</f>
        <v>3971</v>
      </c>
      <c r="V1167" s="24">
        <f>VLOOKUP(H1167, IMPOSTO!$A:$D, 4, 0)</f>
        <v>0.18</v>
      </c>
      <c r="W1167" s="24">
        <f>VLOOKUP(I1167, IMPOSTO!$A:$D, 4, 0)</f>
        <v>0.12</v>
      </c>
      <c r="X1167" s="24">
        <f>VLOOKUP(J1167, IMPOSTO!$A:$D, 4, 0)</f>
        <v>7.0000000000000007E-2</v>
      </c>
      <c r="Y1167" s="24">
        <f>VLOOKUP(K1167, IMPOSTO!$A:$D, 4, 0)</f>
        <v>0.12</v>
      </c>
      <c r="Z1167" s="24">
        <f>VLOOKUP(L1167, IMPOSTO!$A:$D, 4, 0)</f>
        <v>0.12</v>
      </c>
      <c r="AA1167" s="24">
        <f>VLOOKUP(M1167, IMPOSTO!$A:$D, 4, 0)</f>
        <v>0.12</v>
      </c>
      <c r="AB1167" s="24">
        <f>VLOOKUP(N1167, IMPOSTO!$A:$D, 4, 0)</f>
        <v>7.0000000000000007E-2</v>
      </c>
      <c r="AC1167" s="25">
        <f t="shared" si="164"/>
        <v>13946.635889452184</v>
      </c>
      <c r="AD1167" s="25">
        <f t="shared" si="165"/>
        <v>13062.319806080446</v>
      </c>
      <c r="AE1167" s="25">
        <f t="shared" si="166"/>
        <v>12391.872504678273</v>
      </c>
      <c r="AF1167" s="25">
        <f t="shared" si="167"/>
        <v>13075.842533353172</v>
      </c>
      <c r="AG1167" s="25">
        <f t="shared" si="168"/>
        <v>13044.478896989536</v>
      </c>
      <c r="AH1167" s="25">
        <f t="shared" si="169"/>
        <v>13042.092533353172</v>
      </c>
      <c r="AI1167" s="25">
        <f t="shared" si="170"/>
        <v>12724.023042312681</v>
      </c>
    </row>
    <row r="1168" spans="1:35" ht="15.75" customHeight="1">
      <c r="A1168" s="12" t="s">
        <v>886</v>
      </c>
      <c r="B1168" s="12" t="s">
        <v>887</v>
      </c>
      <c r="C1168" s="12" t="s">
        <v>337</v>
      </c>
      <c r="D1168" s="12" t="s">
        <v>33</v>
      </c>
      <c r="E1168" s="12" t="s">
        <v>23</v>
      </c>
      <c r="F1168" s="13">
        <v>840.99999999999955</v>
      </c>
      <c r="G1168" s="14">
        <v>46207.003946731224</v>
      </c>
      <c r="H1168" s="24" t="str">
        <f t="shared" si="172"/>
        <v>SPSP</v>
      </c>
      <c r="I1168" s="24" t="str">
        <f t="shared" si="171"/>
        <v>SPMG</v>
      </c>
      <c r="J1168" s="24" t="str">
        <f t="shared" si="171"/>
        <v>SPES</v>
      </c>
      <c r="K1168" s="24" t="str">
        <f t="shared" si="171"/>
        <v>SPSC</v>
      </c>
      <c r="L1168" s="24" t="str">
        <f t="shared" si="171"/>
        <v>SPRJ</v>
      </c>
      <c r="M1168" s="24" t="str">
        <f t="shared" si="171"/>
        <v>SPPR</v>
      </c>
      <c r="N1168" s="24" t="str">
        <f t="shared" si="171"/>
        <v>SPAM</v>
      </c>
      <c r="O1168" s="24">
        <f>VLOOKUP(H1168, KM!$A:$E, 5, 0)</f>
        <v>0</v>
      </c>
      <c r="P1168" s="24">
        <f>VLOOKUP(I1168, KM!$A:$E, 5, 0)</f>
        <v>586</v>
      </c>
      <c r="Q1168" s="24">
        <f>VLOOKUP(J1168, KM!$A:$E, 5, 0)</f>
        <v>882</v>
      </c>
      <c r="R1168" s="24">
        <f>VLOOKUP(K1168, KM!$A:$E, 5, 0)</f>
        <v>705</v>
      </c>
      <c r="S1168" s="24">
        <f>VLOOKUP(L1168, KM!$A:$E, 5, 0)</f>
        <v>429</v>
      </c>
      <c r="T1168" s="24">
        <f>VLOOKUP(M1168, KM!$A:$E, 5, 0)</f>
        <v>408</v>
      </c>
      <c r="U1168" s="24">
        <f>VLOOKUP(N1168, KM!$A:$E, 5, 0)</f>
        <v>3971</v>
      </c>
      <c r="V1168" s="24">
        <f>VLOOKUP(H1168, IMPOSTO!$A:$D, 4, 0)</f>
        <v>0.18</v>
      </c>
      <c r="W1168" s="24">
        <f>VLOOKUP(I1168, IMPOSTO!$A:$D, 4, 0)</f>
        <v>0.12</v>
      </c>
      <c r="X1168" s="24">
        <f>VLOOKUP(J1168, IMPOSTO!$A:$D, 4, 0)</f>
        <v>7.0000000000000007E-2</v>
      </c>
      <c r="Y1168" s="24">
        <f>VLOOKUP(K1168, IMPOSTO!$A:$D, 4, 0)</f>
        <v>0.12</v>
      </c>
      <c r="Z1168" s="24">
        <f>VLOOKUP(L1168, IMPOSTO!$A:$D, 4, 0)</f>
        <v>0.12</v>
      </c>
      <c r="AA1168" s="24">
        <f>VLOOKUP(M1168, IMPOSTO!$A:$D, 4, 0)</f>
        <v>0.12</v>
      </c>
      <c r="AB1168" s="24">
        <f>VLOOKUP(N1168, IMPOSTO!$A:$D, 4, 0)</f>
        <v>7.0000000000000007E-2</v>
      </c>
      <c r="AC1168" s="25">
        <f t="shared" si="164"/>
        <v>56350.004813086853</v>
      </c>
      <c r="AD1168" s="25">
        <f t="shared" si="165"/>
        <v>52574.549939467295</v>
      </c>
      <c r="AE1168" s="25">
        <f t="shared" si="166"/>
        <v>49779.789190033574</v>
      </c>
      <c r="AF1168" s="25">
        <f t="shared" si="167"/>
        <v>52588.072666740023</v>
      </c>
      <c r="AG1168" s="25">
        <f t="shared" si="168"/>
        <v>52556.709030376391</v>
      </c>
      <c r="AH1168" s="25">
        <f t="shared" si="169"/>
        <v>52554.32266674003</v>
      </c>
      <c r="AI1168" s="25">
        <f t="shared" si="170"/>
        <v>50111.939727667981</v>
      </c>
    </row>
    <row r="1169" spans="1:35" ht="15.75" customHeight="1">
      <c r="A1169" s="12" t="s">
        <v>888</v>
      </c>
      <c r="B1169" s="12" t="s">
        <v>889</v>
      </c>
      <c r="C1169" s="12" t="s">
        <v>223</v>
      </c>
      <c r="D1169" s="12" t="s">
        <v>50</v>
      </c>
      <c r="E1169" s="12" t="s">
        <v>23</v>
      </c>
      <c r="F1169" s="13">
        <v>773.14709110867182</v>
      </c>
      <c r="G1169" s="14">
        <v>12408.051948408342</v>
      </c>
      <c r="H1169" s="24" t="str">
        <f t="shared" si="172"/>
        <v>SPSP</v>
      </c>
      <c r="I1169" s="24" t="str">
        <f t="shared" si="171"/>
        <v>SPMG</v>
      </c>
      <c r="J1169" s="24" t="str">
        <f t="shared" si="171"/>
        <v>SPES</v>
      </c>
      <c r="K1169" s="24" t="str">
        <f t="shared" si="171"/>
        <v>SPSC</v>
      </c>
      <c r="L1169" s="24" t="str">
        <f t="shared" si="171"/>
        <v>SPRJ</v>
      </c>
      <c r="M1169" s="24" t="str">
        <f t="shared" si="171"/>
        <v>SPPR</v>
      </c>
      <c r="N1169" s="24" t="str">
        <f t="shared" si="171"/>
        <v>SPAM</v>
      </c>
      <c r="O1169" s="24">
        <f>VLOOKUP(H1169, KM!$A:$E, 5, 0)</f>
        <v>0</v>
      </c>
      <c r="P1169" s="24">
        <f>VLOOKUP(I1169, KM!$A:$E, 5, 0)</f>
        <v>586</v>
      </c>
      <c r="Q1169" s="24">
        <f>VLOOKUP(J1169, KM!$A:$E, 5, 0)</f>
        <v>882</v>
      </c>
      <c r="R1169" s="24">
        <f>VLOOKUP(K1169, KM!$A:$E, 5, 0)</f>
        <v>705</v>
      </c>
      <c r="S1169" s="24">
        <f>VLOOKUP(L1169, KM!$A:$E, 5, 0)</f>
        <v>429</v>
      </c>
      <c r="T1169" s="24">
        <f>VLOOKUP(M1169, KM!$A:$E, 5, 0)</f>
        <v>408</v>
      </c>
      <c r="U1169" s="24">
        <f>VLOOKUP(N1169, KM!$A:$E, 5, 0)</f>
        <v>3971</v>
      </c>
      <c r="V1169" s="24">
        <f>VLOOKUP(H1169, IMPOSTO!$A:$D, 4, 0)</f>
        <v>0.18</v>
      </c>
      <c r="W1169" s="24">
        <f>VLOOKUP(I1169, IMPOSTO!$A:$D, 4, 0)</f>
        <v>0.12</v>
      </c>
      <c r="X1169" s="24">
        <f>VLOOKUP(J1169, IMPOSTO!$A:$D, 4, 0)</f>
        <v>7.0000000000000007E-2</v>
      </c>
      <c r="Y1169" s="24">
        <f>VLOOKUP(K1169, IMPOSTO!$A:$D, 4, 0)</f>
        <v>0.12</v>
      </c>
      <c r="Z1169" s="24">
        <f>VLOOKUP(L1169, IMPOSTO!$A:$D, 4, 0)</f>
        <v>0.12</v>
      </c>
      <c r="AA1169" s="24">
        <f>VLOOKUP(M1169, IMPOSTO!$A:$D, 4, 0)</f>
        <v>0.12</v>
      </c>
      <c r="AB1169" s="24">
        <f>VLOOKUP(N1169, IMPOSTO!$A:$D, 4, 0)</f>
        <v>7.0000000000000007E-2</v>
      </c>
      <c r="AC1169" s="25">
        <f t="shared" si="164"/>
        <v>15131.770668790659</v>
      </c>
      <c r="AD1169" s="25">
        <f t="shared" si="165"/>
        <v>14166.649941373116</v>
      </c>
      <c r="AE1169" s="25">
        <f t="shared" si="166"/>
        <v>13436.830052051982</v>
      </c>
      <c r="AF1169" s="25">
        <f t="shared" si="167"/>
        <v>14180.172668645842</v>
      </c>
      <c r="AG1169" s="25">
        <f t="shared" si="168"/>
        <v>14148.809032282206</v>
      </c>
      <c r="AH1169" s="25">
        <f t="shared" si="169"/>
        <v>14146.422668645842</v>
      </c>
      <c r="AI1169" s="25">
        <f t="shared" si="170"/>
        <v>13768.980589686391</v>
      </c>
    </row>
    <row r="1170" spans="1:35" ht="15.75" customHeight="1">
      <c r="A1170" s="12" t="s">
        <v>806</v>
      </c>
      <c r="B1170" s="12" t="s">
        <v>807</v>
      </c>
      <c r="C1170" s="12" t="s">
        <v>116</v>
      </c>
      <c r="D1170" s="12" t="s">
        <v>50</v>
      </c>
      <c r="E1170" s="12" t="s">
        <v>23</v>
      </c>
      <c r="F1170" s="13">
        <v>78.631578947368425</v>
      </c>
      <c r="G1170" s="14">
        <v>20461.083552631575</v>
      </c>
      <c r="H1170" s="24" t="str">
        <f t="shared" si="172"/>
        <v>SPSP</v>
      </c>
      <c r="I1170" s="24" t="str">
        <f t="shared" si="171"/>
        <v>SPMG</v>
      </c>
      <c r="J1170" s="24" t="str">
        <f t="shared" si="171"/>
        <v>SPES</v>
      </c>
      <c r="K1170" s="24" t="str">
        <f t="shared" si="171"/>
        <v>SPSC</v>
      </c>
      <c r="L1170" s="24" t="str">
        <f t="shared" si="171"/>
        <v>SPRJ</v>
      </c>
      <c r="M1170" s="24" t="str">
        <f t="shared" si="171"/>
        <v>SPPR</v>
      </c>
      <c r="N1170" s="24" t="str">
        <f t="shared" si="171"/>
        <v>SPAM</v>
      </c>
      <c r="O1170" s="24">
        <f>VLOOKUP(H1170, KM!$A:$E, 5, 0)</f>
        <v>0</v>
      </c>
      <c r="P1170" s="24">
        <f>VLOOKUP(I1170, KM!$A:$E, 5, 0)</f>
        <v>586</v>
      </c>
      <c r="Q1170" s="24">
        <f>VLOOKUP(J1170, KM!$A:$E, 5, 0)</f>
        <v>882</v>
      </c>
      <c r="R1170" s="24">
        <f>VLOOKUP(K1170, KM!$A:$E, 5, 0)</f>
        <v>705</v>
      </c>
      <c r="S1170" s="24">
        <f>VLOOKUP(L1170, KM!$A:$E, 5, 0)</f>
        <v>429</v>
      </c>
      <c r="T1170" s="24">
        <f>VLOOKUP(M1170, KM!$A:$E, 5, 0)</f>
        <v>408</v>
      </c>
      <c r="U1170" s="24">
        <f>VLOOKUP(N1170, KM!$A:$E, 5, 0)</f>
        <v>3971</v>
      </c>
      <c r="V1170" s="24">
        <f>VLOOKUP(H1170, IMPOSTO!$A:$D, 4, 0)</f>
        <v>0.18</v>
      </c>
      <c r="W1170" s="24">
        <f>VLOOKUP(I1170, IMPOSTO!$A:$D, 4, 0)</f>
        <v>0.12</v>
      </c>
      <c r="X1170" s="24">
        <f>VLOOKUP(J1170, IMPOSTO!$A:$D, 4, 0)</f>
        <v>7.0000000000000007E-2</v>
      </c>
      <c r="Y1170" s="24">
        <f>VLOOKUP(K1170, IMPOSTO!$A:$D, 4, 0)</f>
        <v>0.12</v>
      </c>
      <c r="Z1170" s="24">
        <f>VLOOKUP(L1170, IMPOSTO!$A:$D, 4, 0)</f>
        <v>0.12</v>
      </c>
      <c r="AA1170" s="24">
        <f>VLOOKUP(M1170, IMPOSTO!$A:$D, 4, 0)</f>
        <v>0.12</v>
      </c>
      <c r="AB1170" s="24">
        <f>VLOOKUP(N1170, IMPOSTO!$A:$D, 4, 0)</f>
        <v>7.0000000000000007E-2</v>
      </c>
      <c r="AC1170" s="25">
        <f t="shared" si="164"/>
        <v>24952.540917843384</v>
      </c>
      <c r="AD1170" s="25">
        <f t="shared" si="165"/>
        <v>23317.822218899517</v>
      </c>
      <c r="AE1170" s="25">
        <f t="shared" si="166"/>
        <v>22096.003820033955</v>
      </c>
      <c r="AF1170" s="25">
        <f t="shared" si="167"/>
        <v>23331.344946172245</v>
      </c>
      <c r="AG1170" s="25">
        <f t="shared" si="168"/>
        <v>23299.981309808609</v>
      </c>
      <c r="AH1170" s="25">
        <f t="shared" si="169"/>
        <v>23297.594946172245</v>
      </c>
      <c r="AI1170" s="25">
        <f t="shared" si="170"/>
        <v>22428.154357668362</v>
      </c>
    </row>
    <row r="1171" spans="1:35" ht="15.75" customHeight="1">
      <c r="A1171" s="12" t="s">
        <v>810</v>
      </c>
      <c r="B1171" s="12" t="s">
        <v>890</v>
      </c>
      <c r="C1171" s="12" t="s">
        <v>143</v>
      </c>
      <c r="D1171" s="12" t="s">
        <v>33</v>
      </c>
      <c r="E1171" s="12" t="s">
        <v>23</v>
      </c>
      <c r="F1171" s="13">
        <v>43.066666666666663</v>
      </c>
      <c r="G1171" s="14">
        <v>2930.2616666666663</v>
      </c>
      <c r="H1171" s="24" t="str">
        <f t="shared" si="172"/>
        <v>SPSP</v>
      </c>
      <c r="I1171" s="24" t="str">
        <f t="shared" si="171"/>
        <v>SPMG</v>
      </c>
      <c r="J1171" s="24" t="str">
        <f t="shared" si="171"/>
        <v>SPES</v>
      </c>
      <c r="K1171" s="24" t="str">
        <f t="shared" si="171"/>
        <v>SPSC</v>
      </c>
      <c r="L1171" s="24" t="str">
        <f t="shared" si="171"/>
        <v>SPRJ</v>
      </c>
      <c r="M1171" s="24" t="str">
        <f t="shared" si="171"/>
        <v>SPPR</v>
      </c>
      <c r="N1171" s="24" t="str">
        <f t="shared" si="171"/>
        <v>SPAM</v>
      </c>
      <c r="O1171" s="24">
        <f>VLOOKUP(H1171, KM!$A:$E, 5, 0)</f>
        <v>0</v>
      </c>
      <c r="P1171" s="24">
        <f>VLOOKUP(I1171, KM!$A:$E, 5, 0)</f>
        <v>586</v>
      </c>
      <c r="Q1171" s="24">
        <f>VLOOKUP(J1171, KM!$A:$E, 5, 0)</f>
        <v>882</v>
      </c>
      <c r="R1171" s="24">
        <f>VLOOKUP(K1171, KM!$A:$E, 5, 0)</f>
        <v>705</v>
      </c>
      <c r="S1171" s="24">
        <f>VLOOKUP(L1171, KM!$A:$E, 5, 0)</f>
        <v>429</v>
      </c>
      <c r="T1171" s="24">
        <f>VLOOKUP(M1171, KM!$A:$E, 5, 0)</f>
        <v>408</v>
      </c>
      <c r="U1171" s="24">
        <f>VLOOKUP(N1171, KM!$A:$E, 5, 0)</f>
        <v>3971</v>
      </c>
      <c r="V1171" s="24">
        <f>VLOOKUP(H1171, IMPOSTO!$A:$D, 4, 0)</f>
        <v>0.18</v>
      </c>
      <c r="W1171" s="24">
        <f>VLOOKUP(I1171, IMPOSTO!$A:$D, 4, 0)</f>
        <v>0.12</v>
      </c>
      <c r="X1171" s="24">
        <f>VLOOKUP(J1171, IMPOSTO!$A:$D, 4, 0)</f>
        <v>7.0000000000000007E-2</v>
      </c>
      <c r="Y1171" s="24">
        <f>VLOOKUP(K1171, IMPOSTO!$A:$D, 4, 0)</f>
        <v>0.12</v>
      </c>
      <c r="Z1171" s="24">
        <f>VLOOKUP(L1171, IMPOSTO!$A:$D, 4, 0)</f>
        <v>0.12</v>
      </c>
      <c r="AA1171" s="24">
        <f>VLOOKUP(M1171, IMPOSTO!$A:$D, 4, 0)</f>
        <v>0.12</v>
      </c>
      <c r="AB1171" s="24">
        <f>VLOOKUP(N1171, IMPOSTO!$A:$D, 4, 0)</f>
        <v>7.0000000000000007E-2</v>
      </c>
      <c r="AC1171" s="25">
        <f t="shared" ref="AC1171:AC1234" si="173">($G1171 + O1171 * $AE$5) / (1 - V1171)</f>
        <v>3573.4898373983733</v>
      </c>
      <c r="AD1171" s="25">
        <f t="shared" ref="AD1171:AD1234" si="174">($G1171 + P1171 * $AE$5) / (1 - W1171)</f>
        <v>3396.4337121212116</v>
      </c>
      <c r="AE1171" s="25">
        <f t="shared" ref="AE1171:AE1234" si="175">($G1171 + Q1171 * $AE$5) / (1 - X1171)</f>
        <v>3245.6577060931895</v>
      </c>
      <c r="AF1171" s="25">
        <f t="shared" ref="AF1171:AF1234" si="176">($G1171 + R1171 * $AE$5) / (1 - Y1171)</f>
        <v>3409.956439393939</v>
      </c>
      <c r="AG1171" s="25">
        <f t="shared" ref="AG1171:AG1234" si="177">($G1171 + S1171 * $AE$5) / (1 - Z1171)</f>
        <v>3378.5928030303025</v>
      </c>
      <c r="AH1171" s="25">
        <f t="shared" ref="AH1171:AH1234" si="178">($G1171 + T1171 * $AE$5) / (1 - AA1171)</f>
        <v>3376.206439393939</v>
      </c>
      <c r="AI1171" s="25">
        <f t="shared" ref="AI1171:AI1234" si="179">($G1171 + U1171 * $AE$5) / (1 - AB1171)</f>
        <v>3577.8082437275984</v>
      </c>
    </row>
    <row r="1172" spans="1:35" ht="15.75" customHeight="1">
      <c r="A1172" s="12" t="s">
        <v>891</v>
      </c>
      <c r="B1172" s="12" t="s">
        <v>892</v>
      </c>
      <c r="C1172" s="12" t="s">
        <v>166</v>
      </c>
      <c r="D1172" s="12" t="s">
        <v>50</v>
      </c>
      <c r="E1172" s="12" t="s">
        <v>23</v>
      </c>
      <c r="F1172" s="13">
        <v>255</v>
      </c>
      <c r="G1172" s="14">
        <v>151286.39999999999</v>
      </c>
      <c r="H1172" s="24" t="str">
        <f t="shared" si="172"/>
        <v>SPSP</v>
      </c>
      <c r="I1172" s="24" t="str">
        <f t="shared" si="171"/>
        <v>SPMG</v>
      </c>
      <c r="J1172" s="24" t="str">
        <f t="shared" si="171"/>
        <v>SPES</v>
      </c>
      <c r="K1172" s="24" t="str">
        <f t="shared" si="171"/>
        <v>SPSC</v>
      </c>
      <c r="L1172" s="24" t="str">
        <f t="shared" si="171"/>
        <v>SPRJ</v>
      </c>
      <c r="M1172" s="24" t="str">
        <f t="shared" si="171"/>
        <v>SPPR</v>
      </c>
      <c r="N1172" s="24" t="str">
        <f t="shared" si="171"/>
        <v>SPAM</v>
      </c>
      <c r="O1172" s="24">
        <f>VLOOKUP(H1172, KM!$A:$E, 5, 0)</f>
        <v>0</v>
      </c>
      <c r="P1172" s="24">
        <f>VLOOKUP(I1172, KM!$A:$E, 5, 0)</f>
        <v>586</v>
      </c>
      <c r="Q1172" s="24">
        <f>VLOOKUP(J1172, KM!$A:$E, 5, 0)</f>
        <v>882</v>
      </c>
      <c r="R1172" s="24">
        <f>VLOOKUP(K1172, KM!$A:$E, 5, 0)</f>
        <v>705</v>
      </c>
      <c r="S1172" s="24">
        <f>VLOOKUP(L1172, KM!$A:$E, 5, 0)</f>
        <v>429</v>
      </c>
      <c r="T1172" s="24">
        <f>VLOOKUP(M1172, KM!$A:$E, 5, 0)</f>
        <v>408</v>
      </c>
      <c r="U1172" s="24">
        <f>VLOOKUP(N1172, KM!$A:$E, 5, 0)</f>
        <v>3971</v>
      </c>
      <c r="V1172" s="24">
        <f>VLOOKUP(H1172, IMPOSTO!$A:$D, 4, 0)</f>
        <v>0.18</v>
      </c>
      <c r="W1172" s="24">
        <f>VLOOKUP(I1172, IMPOSTO!$A:$D, 4, 0)</f>
        <v>0.12</v>
      </c>
      <c r="X1172" s="24">
        <f>VLOOKUP(J1172, IMPOSTO!$A:$D, 4, 0)</f>
        <v>7.0000000000000007E-2</v>
      </c>
      <c r="Y1172" s="24">
        <f>VLOOKUP(K1172, IMPOSTO!$A:$D, 4, 0)</f>
        <v>0.12</v>
      </c>
      <c r="Z1172" s="24">
        <f>VLOOKUP(L1172, IMPOSTO!$A:$D, 4, 0)</f>
        <v>0.12</v>
      </c>
      <c r="AA1172" s="24">
        <f>VLOOKUP(M1172, IMPOSTO!$A:$D, 4, 0)</f>
        <v>0.12</v>
      </c>
      <c r="AB1172" s="24">
        <f>VLOOKUP(N1172, IMPOSTO!$A:$D, 4, 0)</f>
        <v>7.0000000000000007E-2</v>
      </c>
      <c r="AC1172" s="25">
        <f t="shared" si="173"/>
        <v>184495.60975609755</v>
      </c>
      <c r="AD1172" s="25">
        <f t="shared" si="174"/>
        <v>171982.95454545456</v>
      </c>
      <c r="AE1172" s="25">
        <f t="shared" si="175"/>
        <v>162768.38709677421</v>
      </c>
      <c r="AF1172" s="25">
        <f t="shared" si="176"/>
        <v>171996.47727272726</v>
      </c>
      <c r="AG1172" s="25">
        <f t="shared" si="177"/>
        <v>171965.11363636362</v>
      </c>
      <c r="AH1172" s="25">
        <f t="shared" si="178"/>
        <v>171962.72727272726</v>
      </c>
      <c r="AI1172" s="25">
        <f t="shared" si="179"/>
        <v>163100.53763440863</v>
      </c>
    </row>
    <row r="1173" spans="1:35" ht="15.75" customHeight="1">
      <c r="A1173" s="12" t="s">
        <v>812</v>
      </c>
      <c r="B1173" s="12" t="s">
        <v>813</v>
      </c>
      <c r="C1173" s="12" t="s">
        <v>232</v>
      </c>
      <c r="D1173" s="12" t="s">
        <v>33</v>
      </c>
      <c r="E1173" s="12" t="s">
        <v>23</v>
      </c>
      <c r="F1173" s="13">
        <v>58.529411764705884</v>
      </c>
      <c r="G1173" s="14">
        <v>1194.0546274509802</v>
      </c>
      <c r="H1173" s="24" t="str">
        <f t="shared" si="172"/>
        <v>SPSP</v>
      </c>
      <c r="I1173" s="24" t="str">
        <f t="shared" si="171"/>
        <v>SPMG</v>
      </c>
      <c r="J1173" s="24" t="str">
        <f t="shared" ref="I1173:N1236" si="180">$E1173 &amp; J$17</f>
        <v>SPES</v>
      </c>
      <c r="K1173" s="24" t="str">
        <f t="shared" si="180"/>
        <v>SPSC</v>
      </c>
      <c r="L1173" s="24" t="str">
        <f t="shared" si="180"/>
        <v>SPRJ</v>
      </c>
      <c r="M1173" s="24" t="str">
        <f t="shared" si="180"/>
        <v>SPPR</v>
      </c>
      <c r="N1173" s="24" t="str">
        <f t="shared" si="180"/>
        <v>SPAM</v>
      </c>
      <c r="O1173" s="24">
        <f>VLOOKUP(H1173, KM!$A:$E, 5, 0)</f>
        <v>0</v>
      </c>
      <c r="P1173" s="24">
        <f>VLOOKUP(I1173, KM!$A:$E, 5, 0)</f>
        <v>586</v>
      </c>
      <c r="Q1173" s="24">
        <f>VLOOKUP(J1173, KM!$A:$E, 5, 0)</f>
        <v>882</v>
      </c>
      <c r="R1173" s="24">
        <f>VLOOKUP(K1173, KM!$A:$E, 5, 0)</f>
        <v>705</v>
      </c>
      <c r="S1173" s="24">
        <f>VLOOKUP(L1173, KM!$A:$E, 5, 0)</f>
        <v>429</v>
      </c>
      <c r="T1173" s="24">
        <f>VLOOKUP(M1173, KM!$A:$E, 5, 0)</f>
        <v>408</v>
      </c>
      <c r="U1173" s="24">
        <f>VLOOKUP(N1173, KM!$A:$E, 5, 0)</f>
        <v>3971</v>
      </c>
      <c r="V1173" s="24">
        <f>VLOOKUP(H1173, IMPOSTO!$A:$D, 4, 0)</f>
        <v>0.18</v>
      </c>
      <c r="W1173" s="24">
        <f>VLOOKUP(I1173, IMPOSTO!$A:$D, 4, 0)</f>
        <v>0.12</v>
      </c>
      <c r="X1173" s="24">
        <f>VLOOKUP(J1173, IMPOSTO!$A:$D, 4, 0)</f>
        <v>7.0000000000000007E-2</v>
      </c>
      <c r="Y1173" s="24">
        <f>VLOOKUP(K1173, IMPOSTO!$A:$D, 4, 0)</f>
        <v>0.12</v>
      </c>
      <c r="Z1173" s="24">
        <f>VLOOKUP(L1173, IMPOSTO!$A:$D, 4, 0)</f>
        <v>0.12</v>
      </c>
      <c r="AA1173" s="24">
        <f>VLOOKUP(M1173, IMPOSTO!$A:$D, 4, 0)</f>
        <v>0.12</v>
      </c>
      <c r="AB1173" s="24">
        <f>VLOOKUP(N1173, IMPOSTO!$A:$D, 4, 0)</f>
        <v>7.0000000000000007E-2</v>
      </c>
      <c r="AC1173" s="25">
        <f t="shared" si="173"/>
        <v>1456.1641798182684</v>
      </c>
      <c r="AD1173" s="25">
        <f t="shared" si="174"/>
        <v>1423.4711675579319</v>
      </c>
      <c r="AE1173" s="25">
        <f t="shared" si="175"/>
        <v>1378.7684166139572</v>
      </c>
      <c r="AF1173" s="25">
        <f t="shared" si="176"/>
        <v>1436.9938948306594</v>
      </c>
      <c r="AG1173" s="25">
        <f t="shared" si="177"/>
        <v>1405.6302584670232</v>
      </c>
      <c r="AH1173" s="25">
        <f t="shared" si="178"/>
        <v>1403.2438948306592</v>
      </c>
      <c r="AI1173" s="25">
        <f t="shared" si="179"/>
        <v>1710.9189542483659</v>
      </c>
    </row>
    <row r="1174" spans="1:35" ht="15.75" customHeight="1">
      <c r="A1174" s="12" t="s">
        <v>893</v>
      </c>
      <c r="B1174" s="12" t="s">
        <v>894</v>
      </c>
      <c r="C1174" s="12" t="s">
        <v>192</v>
      </c>
      <c r="D1174" s="12" t="s">
        <v>50</v>
      </c>
      <c r="E1174" s="12" t="s">
        <v>23</v>
      </c>
      <c r="F1174" s="13">
        <v>4</v>
      </c>
      <c r="G1174" s="14">
        <v>286.89600000000007</v>
      </c>
      <c r="H1174" s="24" t="str">
        <f t="shared" si="172"/>
        <v>SPSP</v>
      </c>
      <c r="I1174" s="24" t="str">
        <f t="shared" si="180"/>
        <v>SPMG</v>
      </c>
      <c r="J1174" s="24" t="str">
        <f t="shared" si="180"/>
        <v>SPES</v>
      </c>
      <c r="K1174" s="24" t="str">
        <f t="shared" si="180"/>
        <v>SPSC</v>
      </c>
      <c r="L1174" s="24" t="str">
        <f t="shared" si="180"/>
        <v>SPRJ</v>
      </c>
      <c r="M1174" s="24" t="str">
        <f t="shared" si="180"/>
        <v>SPPR</v>
      </c>
      <c r="N1174" s="24" t="str">
        <f t="shared" si="180"/>
        <v>SPAM</v>
      </c>
      <c r="O1174" s="24">
        <f>VLOOKUP(H1174, KM!$A:$E, 5, 0)</f>
        <v>0</v>
      </c>
      <c r="P1174" s="24">
        <f>VLOOKUP(I1174, KM!$A:$E, 5, 0)</f>
        <v>586</v>
      </c>
      <c r="Q1174" s="24">
        <f>VLOOKUP(J1174, KM!$A:$E, 5, 0)</f>
        <v>882</v>
      </c>
      <c r="R1174" s="24">
        <f>VLOOKUP(K1174, KM!$A:$E, 5, 0)</f>
        <v>705</v>
      </c>
      <c r="S1174" s="24">
        <f>VLOOKUP(L1174, KM!$A:$E, 5, 0)</f>
        <v>429</v>
      </c>
      <c r="T1174" s="24">
        <f>VLOOKUP(M1174, KM!$A:$E, 5, 0)</f>
        <v>408</v>
      </c>
      <c r="U1174" s="24">
        <f>VLOOKUP(N1174, KM!$A:$E, 5, 0)</f>
        <v>3971</v>
      </c>
      <c r="V1174" s="24">
        <f>VLOOKUP(H1174, IMPOSTO!$A:$D, 4, 0)</f>
        <v>0.18</v>
      </c>
      <c r="W1174" s="24">
        <f>VLOOKUP(I1174, IMPOSTO!$A:$D, 4, 0)</f>
        <v>0.12</v>
      </c>
      <c r="X1174" s="24">
        <f>VLOOKUP(J1174, IMPOSTO!$A:$D, 4, 0)</f>
        <v>7.0000000000000007E-2</v>
      </c>
      <c r="Y1174" s="24">
        <f>VLOOKUP(K1174, IMPOSTO!$A:$D, 4, 0)</f>
        <v>0.12</v>
      </c>
      <c r="Z1174" s="24">
        <f>VLOOKUP(L1174, IMPOSTO!$A:$D, 4, 0)</f>
        <v>0.12</v>
      </c>
      <c r="AA1174" s="24">
        <f>VLOOKUP(M1174, IMPOSTO!$A:$D, 4, 0)</f>
        <v>0.12</v>
      </c>
      <c r="AB1174" s="24">
        <f>VLOOKUP(N1174, IMPOSTO!$A:$D, 4, 0)</f>
        <v>7.0000000000000007E-2</v>
      </c>
      <c r="AC1174" s="25">
        <f t="shared" si="173"/>
        <v>349.87317073170738</v>
      </c>
      <c r="AD1174" s="25">
        <f t="shared" si="174"/>
        <v>392.60909090909104</v>
      </c>
      <c r="AE1174" s="25">
        <f t="shared" si="175"/>
        <v>403.32903225806461</v>
      </c>
      <c r="AF1174" s="25">
        <f t="shared" si="176"/>
        <v>406.13181818181829</v>
      </c>
      <c r="AG1174" s="25">
        <f t="shared" si="177"/>
        <v>374.76818181818186</v>
      </c>
      <c r="AH1174" s="25">
        <f t="shared" si="178"/>
        <v>372.38181818181829</v>
      </c>
      <c r="AI1174" s="25">
        <f t="shared" si="179"/>
        <v>735.47956989247325</v>
      </c>
    </row>
    <row r="1175" spans="1:35" ht="15.75" customHeight="1">
      <c r="A1175" s="12" t="s">
        <v>895</v>
      </c>
      <c r="B1175" s="12" t="s">
        <v>896</v>
      </c>
      <c r="C1175" s="12" t="s">
        <v>192</v>
      </c>
      <c r="D1175" s="12" t="s">
        <v>50</v>
      </c>
      <c r="E1175" s="12" t="s">
        <v>23</v>
      </c>
      <c r="F1175" s="13">
        <v>48</v>
      </c>
      <c r="G1175" s="14">
        <v>1031.1300000000001</v>
      </c>
      <c r="H1175" s="24" t="str">
        <f t="shared" si="172"/>
        <v>SPSP</v>
      </c>
      <c r="I1175" s="24" t="str">
        <f t="shared" si="180"/>
        <v>SPMG</v>
      </c>
      <c r="J1175" s="24" t="str">
        <f t="shared" si="180"/>
        <v>SPES</v>
      </c>
      <c r="K1175" s="24" t="str">
        <f t="shared" si="180"/>
        <v>SPSC</v>
      </c>
      <c r="L1175" s="24" t="str">
        <f t="shared" si="180"/>
        <v>SPRJ</v>
      </c>
      <c r="M1175" s="24" t="str">
        <f t="shared" si="180"/>
        <v>SPPR</v>
      </c>
      <c r="N1175" s="24" t="str">
        <f t="shared" si="180"/>
        <v>SPAM</v>
      </c>
      <c r="O1175" s="24">
        <f>VLOOKUP(H1175, KM!$A:$E, 5, 0)</f>
        <v>0</v>
      </c>
      <c r="P1175" s="24">
        <f>VLOOKUP(I1175, KM!$A:$E, 5, 0)</f>
        <v>586</v>
      </c>
      <c r="Q1175" s="24">
        <f>VLOOKUP(J1175, KM!$A:$E, 5, 0)</f>
        <v>882</v>
      </c>
      <c r="R1175" s="24">
        <f>VLOOKUP(K1175, KM!$A:$E, 5, 0)</f>
        <v>705</v>
      </c>
      <c r="S1175" s="24">
        <f>VLOOKUP(L1175, KM!$A:$E, 5, 0)</f>
        <v>429</v>
      </c>
      <c r="T1175" s="24">
        <f>VLOOKUP(M1175, KM!$A:$E, 5, 0)</f>
        <v>408</v>
      </c>
      <c r="U1175" s="24">
        <f>VLOOKUP(N1175, KM!$A:$E, 5, 0)</f>
        <v>3971</v>
      </c>
      <c r="V1175" s="24">
        <f>VLOOKUP(H1175, IMPOSTO!$A:$D, 4, 0)</f>
        <v>0.18</v>
      </c>
      <c r="W1175" s="24">
        <f>VLOOKUP(I1175, IMPOSTO!$A:$D, 4, 0)</f>
        <v>0.12</v>
      </c>
      <c r="X1175" s="24">
        <f>VLOOKUP(J1175, IMPOSTO!$A:$D, 4, 0)</f>
        <v>7.0000000000000007E-2</v>
      </c>
      <c r="Y1175" s="24">
        <f>VLOOKUP(K1175, IMPOSTO!$A:$D, 4, 0)</f>
        <v>0.12</v>
      </c>
      <c r="Z1175" s="24">
        <f>VLOOKUP(L1175, IMPOSTO!$A:$D, 4, 0)</f>
        <v>0.12</v>
      </c>
      <c r="AA1175" s="24">
        <f>VLOOKUP(M1175, IMPOSTO!$A:$D, 4, 0)</f>
        <v>0.12</v>
      </c>
      <c r="AB1175" s="24">
        <f>VLOOKUP(N1175, IMPOSTO!$A:$D, 4, 0)</f>
        <v>7.0000000000000007E-2</v>
      </c>
      <c r="AC1175" s="25">
        <f t="shared" si="173"/>
        <v>1257.4756097560976</v>
      </c>
      <c r="AD1175" s="25">
        <f t="shared" si="174"/>
        <v>1238.3295454545455</v>
      </c>
      <c r="AE1175" s="25">
        <f t="shared" si="175"/>
        <v>1203.5806451612905</v>
      </c>
      <c r="AF1175" s="25">
        <f t="shared" si="176"/>
        <v>1251.8522727272727</v>
      </c>
      <c r="AG1175" s="25">
        <f t="shared" si="177"/>
        <v>1220.4886363636365</v>
      </c>
      <c r="AH1175" s="25">
        <f t="shared" si="178"/>
        <v>1218.1022727272727</v>
      </c>
      <c r="AI1175" s="25">
        <f t="shared" si="179"/>
        <v>1535.7311827956989</v>
      </c>
    </row>
    <row r="1176" spans="1:35" ht="15.75" customHeight="1">
      <c r="A1176" s="12" t="s">
        <v>245</v>
      </c>
      <c r="B1176" s="12" t="s">
        <v>246</v>
      </c>
      <c r="C1176" s="12" t="s">
        <v>60</v>
      </c>
      <c r="D1176" s="12" t="s">
        <v>50</v>
      </c>
      <c r="E1176" s="12" t="s">
        <v>23</v>
      </c>
      <c r="F1176" s="13">
        <v>939.59279999999978</v>
      </c>
      <c r="G1176" s="14">
        <v>21832.522589273864</v>
      </c>
      <c r="H1176" s="24" t="str">
        <f t="shared" si="172"/>
        <v>SPSP</v>
      </c>
      <c r="I1176" s="24" t="str">
        <f t="shared" si="180"/>
        <v>SPMG</v>
      </c>
      <c r="J1176" s="24" t="str">
        <f t="shared" si="180"/>
        <v>SPES</v>
      </c>
      <c r="K1176" s="24" t="str">
        <f t="shared" si="180"/>
        <v>SPSC</v>
      </c>
      <c r="L1176" s="24" t="str">
        <f t="shared" si="180"/>
        <v>SPRJ</v>
      </c>
      <c r="M1176" s="24" t="str">
        <f t="shared" si="180"/>
        <v>SPPR</v>
      </c>
      <c r="N1176" s="24" t="str">
        <f t="shared" si="180"/>
        <v>SPAM</v>
      </c>
      <c r="O1176" s="24">
        <f>VLOOKUP(H1176, KM!$A:$E, 5, 0)</f>
        <v>0</v>
      </c>
      <c r="P1176" s="24">
        <f>VLOOKUP(I1176, KM!$A:$E, 5, 0)</f>
        <v>586</v>
      </c>
      <c r="Q1176" s="24">
        <f>VLOOKUP(J1176, KM!$A:$E, 5, 0)</f>
        <v>882</v>
      </c>
      <c r="R1176" s="24">
        <f>VLOOKUP(K1176, KM!$A:$E, 5, 0)</f>
        <v>705</v>
      </c>
      <c r="S1176" s="24">
        <f>VLOOKUP(L1176, KM!$A:$E, 5, 0)</f>
        <v>429</v>
      </c>
      <c r="T1176" s="24">
        <f>VLOOKUP(M1176, KM!$A:$E, 5, 0)</f>
        <v>408</v>
      </c>
      <c r="U1176" s="24">
        <f>VLOOKUP(N1176, KM!$A:$E, 5, 0)</f>
        <v>3971</v>
      </c>
      <c r="V1176" s="24">
        <f>VLOOKUP(H1176, IMPOSTO!$A:$D, 4, 0)</f>
        <v>0.18</v>
      </c>
      <c r="W1176" s="24">
        <f>VLOOKUP(I1176, IMPOSTO!$A:$D, 4, 0)</f>
        <v>0.12</v>
      </c>
      <c r="X1176" s="24">
        <f>VLOOKUP(J1176, IMPOSTO!$A:$D, 4, 0)</f>
        <v>7.0000000000000007E-2</v>
      </c>
      <c r="Y1176" s="24">
        <f>VLOOKUP(K1176, IMPOSTO!$A:$D, 4, 0)</f>
        <v>0.12</v>
      </c>
      <c r="Z1176" s="24">
        <f>VLOOKUP(L1176, IMPOSTO!$A:$D, 4, 0)</f>
        <v>0.12</v>
      </c>
      <c r="AA1176" s="24">
        <f>VLOOKUP(M1176, IMPOSTO!$A:$D, 4, 0)</f>
        <v>0.12</v>
      </c>
      <c r="AB1176" s="24">
        <f>VLOOKUP(N1176, IMPOSTO!$A:$D, 4, 0)</f>
        <v>7.0000000000000007E-2</v>
      </c>
      <c r="AC1176" s="25">
        <f t="shared" si="173"/>
        <v>26625.027547894955</v>
      </c>
      <c r="AD1176" s="25">
        <f t="shared" si="174"/>
        <v>24876.275669629387</v>
      </c>
      <c r="AE1176" s="25">
        <f t="shared" si="175"/>
        <v>23570.669450832112</v>
      </c>
      <c r="AF1176" s="25">
        <f t="shared" si="176"/>
        <v>24889.798396902119</v>
      </c>
      <c r="AG1176" s="25">
        <f t="shared" si="177"/>
        <v>24858.434760538483</v>
      </c>
      <c r="AH1176" s="25">
        <f t="shared" si="178"/>
        <v>24856.048396902115</v>
      </c>
      <c r="AI1176" s="25">
        <f t="shared" si="179"/>
        <v>23902.819988466519</v>
      </c>
    </row>
    <row r="1177" spans="1:35" ht="15.75" customHeight="1">
      <c r="A1177" s="12" t="s">
        <v>897</v>
      </c>
      <c r="B1177" s="12" t="s">
        <v>898</v>
      </c>
      <c r="C1177" s="12" t="s">
        <v>259</v>
      </c>
      <c r="D1177" s="12" t="s">
        <v>50</v>
      </c>
      <c r="E1177" s="12" t="s">
        <v>23</v>
      </c>
      <c r="F1177" s="13">
        <v>1397</v>
      </c>
      <c r="G1177" s="14">
        <v>62820.296000000002</v>
      </c>
      <c r="H1177" s="24" t="str">
        <f t="shared" si="172"/>
        <v>SPSP</v>
      </c>
      <c r="I1177" s="24" t="str">
        <f t="shared" si="180"/>
        <v>SPMG</v>
      </c>
      <c r="J1177" s="24" t="str">
        <f t="shared" si="180"/>
        <v>SPES</v>
      </c>
      <c r="K1177" s="24" t="str">
        <f t="shared" si="180"/>
        <v>SPSC</v>
      </c>
      <c r="L1177" s="24" t="str">
        <f t="shared" si="180"/>
        <v>SPRJ</v>
      </c>
      <c r="M1177" s="24" t="str">
        <f t="shared" si="180"/>
        <v>SPPR</v>
      </c>
      <c r="N1177" s="24" t="str">
        <f t="shared" si="180"/>
        <v>SPAM</v>
      </c>
      <c r="O1177" s="24">
        <f>VLOOKUP(H1177, KM!$A:$E, 5, 0)</f>
        <v>0</v>
      </c>
      <c r="P1177" s="24">
        <f>VLOOKUP(I1177, KM!$A:$E, 5, 0)</f>
        <v>586</v>
      </c>
      <c r="Q1177" s="24">
        <f>VLOOKUP(J1177, KM!$A:$E, 5, 0)</f>
        <v>882</v>
      </c>
      <c r="R1177" s="24">
        <f>VLOOKUP(K1177, KM!$A:$E, 5, 0)</f>
        <v>705</v>
      </c>
      <c r="S1177" s="24">
        <f>VLOOKUP(L1177, KM!$A:$E, 5, 0)</f>
        <v>429</v>
      </c>
      <c r="T1177" s="24">
        <f>VLOOKUP(M1177, KM!$A:$E, 5, 0)</f>
        <v>408</v>
      </c>
      <c r="U1177" s="24">
        <f>VLOOKUP(N1177, KM!$A:$E, 5, 0)</f>
        <v>3971</v>
      </c>
      <c r="V1177" s="24">
        <f>VLOOKUP(H1177, IMPOSTO!$A:$D, 4, 0)</f>
        <v>0.18</v>
      </c>
      <c r="W1177" s="24">
        <f>VLOOKUP(I1177, IMPOSTO!$A:$D, 4, 0)</f>
        <v>0.12</v>
      </c>
      <c r="X1177" s="24">
        <f>VLOOKUP(J1177, IMPOSTO!$A:$D, 4, 0)</f>
        <v>7.0000000000000007E-2</v>
      </c>
      <c r="Y1177" s="24">
        <f>VLOOKUP(K1177, IMPOSTO!$A:$D, 4, 0)</f>
        <v>0.12</v>
      </c>
      <c r="Z1177" s="24">
        <f>VLOOKUP(L1177, IMPOSTO!$A:$D, 4, 0)</f>
        <v>0.12</v>
      </c>
      <c r="AA1177" s="24">
        <f>VLOOKUP(M1177, IMPOSTO!$A:$D, 4, 0)</f>
        <v>0.12</v>
      </c>
      <c r="AB1177" s="24">
        <f>VLOOKUP(N1177, IMPOSTO!$A:$D, 4, 0)</f>
        <v>7.0000000000000007E-2</v>
      </c>
      <c r="AC1177" s="25">
        <f t="shared" si="173"/>
        <v>76610.117073170724</v>
      </c>
      <c r="AD1177" s="25">
        <f t="shared" si="174"/>
        <v>71453.290909090909</v>
      </c>
      <c r="AE1177" s="25">
        <f t="shared" si="175"/>
        <v>67643.544086021502</v>
      </c>
      <c r="AF1177" s="25">
        <f t="shared" si="176"/>
        <v>71466.813636363644</v>
      </c>
      <c r="AG1177" s="25">
        <f t="shared" si="177"/>
        <v>71435.45</v>
      </c>
      <c r="AH1177" s="25">
        <f t="shared" si="178"/>
        <v>71433.063636363644</v>
      </c>
      <c r="AI1177" s="25">
        <f t="shared" si="179"/>
        <v>67975.694623655916</v>
      </c>
    </row>
    <row r="1178" spans="1:35" ht="15.75" customHeight="1">
      <c r="A1178" s="12" t="s">
        <v>899</v>
      </c>
      <c r="B1178" s="12" t="s">
        <v>900</v>
      </c>
      <c r="C1178" s="12" t="s">
        <v>192</v>
      </c>
      <c r="D1178" s="12" t="s">
        <v>33</v>
      </c>
      <c r="E1178" s="12" t="s">
        <v>23</v>
      </c>
      <c r="F1178" s="13">
        <v>431.98200000000003</v>
      </c>
      <c r="G1178" s="14">
        <v>1493.6361409459457</v>
      </c>
      <c r="H1178" s="24" t="str">
        <f t="shared" si="172"/>
        <v>SPSP</v>
      </c>
      <c r="I1178" s="24" t="str">
        <f t="shared" si="180"/>
        <v>SPMG</v>
      </c>
      <c r="J1178" s="24" t="str">
        <f t="shared" si="180"/>
        <v>SPES</v>
      </c>
      <c r="K1178" s="24" t="str">
        <f t="shared" si="180"/>
        <v>SPSC</v>
      </c>
      <c r="L1178" s="24" t="str">
        <f t="shared" si="180"/>
        <v>SPRJ</v>
      </c>
      <c r="M1178" s="24" t="str">
        <f t="shared" si="180"/>
        <v>SPPR</v>
      </c>
      <c r="N1178" s="24" t="str">
        <f t="shared" si="180"/>
        <v>SPAM</v>
      </c>
      <c r="O1178" s="24">
        <f>VLOOKUP(H1178, KM!$A:$E, 5, 0)</f>
        <v>0</v>
      </c>
      <c r="P1178" s="24">
        <f>VLOOKUP(I1178, KM!$A:$E, 5, 0)</f>
        <v>586</v>
      </c>
      <c r="Q1178" s="24">
        <f>VLOOKUP(J1178, KM!$A:$E, 5, 0)</f>
        <v>882</v>
      </c>
      <c r="R1178" s="24">
        <f>VLOOKUP(K1178, KM!$A:$E, 5, 0)</f>
        <v>705</v>
      </c>
      <c r="S1178" s="24">
        <f>VLOOKUP(L1178, KM!$A:$E, 5, 0)</f>
        <v>429</v>
      </c>
      <c r="T1178" s="24">
        <f>VLOOKUP(M1178, KM!$A:$E, 5, 0)</f>
        <v>408</v>
      </c>
      <c r="U1178" s="24">
        <f>VLOOKUP(N1178, KM!$A:$E, 5, 0)</f>
        <v>3971</v>
      </c>
      <c r="V1178" s="24">
        <f>VLOOKUP(H1178, IMPOSTO!$A:$D, 4, 0)</f>
        <v>0.18</v>
      </c>
      <c r="W1178" s="24">
        <f>VLOOKUP(I1178, IMPOSTO!$A:$D, 4, 0)</f>
        <v>0.12</v>
      </c>
      <c r="X1178" s="24">
        <f>VLOOKUP(J1178, IMPOSTO!$A:$D, 4, 0)</f>
        <v>7.0000000000000007E-2</v>
      </c>
      <c r="Y1178" s="24">
        <f>VLOOKUP(K1178, IMPOSTO!$A:$D, 4, 0)</f>
        <v>0.12</v>
      </c>
      <c r="Z1178" s="24">
        <f>VLOOKUP(L1178, IMPOSTO!$A:$D, 4, 0)</f>
        <v>0.12</v>
      </c>
      <c r="AA1178" s="24">
        <f>VLOOKUP(M1178, IMPOSTO!$A:$D, 4, 0)</f>
        <v>0.12</v>
      </c>
      <c r="AB1178" s="24">
        <f>VLOOKUP(N1178, IMPOSTO!$A:$D, 4, 0)</f>
        <v>7.0000000000000007E-2</v>
      </c>
      <c r="AC1178" s="25">
        <f t="shared" si="173"/>
        <v>1821.5074889584703</v>
      </c>
      <c r="AD1178" s="25">
        <f t="shared" si="174"/>
        <v>1763.9047056203929</v>
      </c>
      <c r="AE1178" s="25">
        <f t="shared" si="175"/>
        <v>1700.8990762859632</v>
      </c>
      <c r="AF1178" s="25">
        <f t="shared" si="176"/>
        <v>1777.4274328931201</v>
      </c>
      <c r="AG1178" s="25">
        <f t="shared" si="177"/>
        <v>1746.0637965294839</v>
      </c>
      <c r="AH1178" s="25">
        <f t="shared" si="178"/>
        <v>1743.6774328931201</v>
      </c>
      <c r="AI1178" s="25">
        <f t="shared" si="179"/>
        <v>2033.0496139203719</v>
      </c>
    </row>
    <row r="1179" spans="1:35" ht="15.75" customHeight="1">
      <c r="A1179" s="12" t="s">
        <v>274</v>
      </c>
      <c r="B1179" s="12" t="s">
        <v>275</v>
      </c>
      <c r="C1179" s="12" t="s">
        <v>192</v>
      </c>
      <c r="D1179" s="12" t="s">
        <v>50</v>
      </c>
      <c r="E1179" s="12" t="s">
        <v>23</v>
      </c>
      <c r="F1179" s="13">
        <v>68.514814814814798</v>
      </c>
      <c r="G1179" s="14">
        <v>4088.9202986666669</v>
      </c>
      <c r="H1179" s="24" t="str">
        <f t="shared" si="172"/>
        <v>SPSP</v>
      </c>
      <c r="I1179" s="24" t="str">
        <f t="shared" si="180"/>
        <v>SPMG</v>
      </c>
      <c r="J1179" s="24" t="str">
        <f t="shared" si="180"/>
        <v>SPES</v>
      </c>
      <c r="K1179" s="24" t="str">
        <f t="shared" si="180"/>
        <v>SPSC</v>
      </c>
      <c r="L1179" s="24" t="str">
        <f t="shared" si="180"/>
        <v>SPRJ</v>
      </c>
      <c r="M1179" s="24" t="str">
        <f t="shared" si="180"/>
        <v>SPPR</v>
      </c>
      <c r="N1179" s="24" t="str">
        <f t="shared" si="180"/>
        <v>SPAM</v>
      </c>
      <c r="O1179" s="24">
        <f>VLOOKUP(H1179, KM!$A:$E, 5, 0)</f>
        <v>0</v>
      </c>
      <c r="P1179" s="24">
        <f>VLOOKUP(I1179, KM!$A:$E, 5, 0)</f>
        <v>586</v>
      </c>
      <c r="Q1179" s="24">
        <f>VLOOKUP(J1179, KM!$A:$E, 5, 0)</f>
        <v>882</v>
      </c>
      <c r="R1179" s="24">
        <f>VLOOKUP(K1179, KM!$A:$E, 5, 0)</f>
        <v>705</v>
      </c>
      <c r="S1179" s="24">
        <f>VLOOKUP(L1179, KM!$A:$E, 5, 0)</f>
        <v>429</v>
      </c>
      <c r="T1179" s="24">
        <f>VLOOKUP(M1179, KM!$A:$E, 5, 0)</f>
        <v>408</v>
      </c>
      <c r="U1179" s="24">
        <f>VLOOKUP(N1179, KM!$A:$E, 5, 0)</f>
        <v>3971</v>
      </c>
      <c r="V1179" s="24">
        <f>VLOOKUP(H1179, IMPOSTO!$A:$D, 4, 0)</f>
        <v>0.18</v>
      </c>
      <c r="W1179" s="24">
        <f>VLOOKUP(I1179, IMPOSTO!$A:$D, 4, 0)</f>
        <v>0.12</v>
      </c>
      <c r="X1179" s="24">
        <f>VLOOKUP(J1179, IMPOSTO!$A:$D, 4, 0)</f>
        <v>7.0000000000000007E-2</v>
      </c>
      <c r="Y1179" s="24">
        <f>VLOOKUP(K1179, IMPOSTO!$A:$D, 4, 0)</f>
        <v>0.12</v>
      </c>
      <c r="Z1179" s="24">
        <f>VLOOKUP(L1179, IMPOSTO!$A:$D, 4, 0)</f>
        <v>0.12</v>
      </c>
      <c r="AA1179" s="24">
        <f>VLOOKUP(M1179, IMPOSTO!$A:$D, 4, 0)</f>
        <v>0.12</v>
      </c>
      <c r="AB1179" s="24">
        <f>VLOOKUP(N1179, IMPOSTO!$A:$D, 4, 0)</f>
        <v>7.0000000000000007E-2</v>
      </c>
      <c r="AC1179" s="25">
        <f t="shared" si="173"/>
        <v>4986.4881691056908</v>
      </c>
      <c r="AD1179" s="25">
        <f t="shared" si="174"/>
        <v>4713.0912484848495</v>
      </c>
      <c r="AE1179" s="25">
        <f t="shared" si="175"/>
        <v>4491.5272028673835</v>
      </c>
      <c r="AF1179" s="25">
        <f t="shared" si="176"/>
        <v>4726.6139757575756</v>
      </c>
      <c r="AG1179" s="25">
        <f t="shared" si="177"/>
        <v>4695.2503393939396</v>
      </c>
      <c r="AH1179" s="25">
        <f t="shared" si="178"/>
        <v>4692.8639757575766</v>
      </c>
      <c r="AI1179" s="25">
        <f t="shared" si="179"/>
        <v>4823.6777405017929</v>
      </c>
    </row>
    <row r="1180" spans="1:35" ht="15.75" customHeight="1">
      <c r="A1180" s="12" t="s">
        <v>901</v>
      </c>
      <c r="B1180" s="12" t="s">
        <v>902</v>
      </c>
      <c r="C1180" s="12" t="s">
        <v>442</v>
      </c>
      <c r="D1180" s="12" t="s">
        <v>33</v>
      </c>
      <c r="E1180" s="12" t="s">
        <v>23</v>
      </c>
      <c r="F1180" s="13">
        <v>677.00000000000023</v>
      </c>
      <c r="G1180" s="14">
        <v>12375.797725190841</v>
      </c>
      <c r="H1180" s="24" t="str">
        <f t="shared" si="172"/>
        <v>SPSP</v>
      </c>
      <c r="I1180" s="24" t="str">
        <f t="shared" si="180"/>
        <v>SPMG</v>
      </c>
      <c r="J1180" s="24" t="str">
        <f t="shared" si="180"/>
        <v>SPES</v>
      </c>
      <c r="K1180" s="24" t="str">
        <f t="shared" si="180"/>
        <v>SPSC</v>
      </c>
      <c r="L1180" s="24" t="str">
        <f t="shared" si="180"/>
        <v>SPRJ</v>
      </c>
      <c r="M1180" s="24" t="str">
        <f t="shared" si="180"/>
        <v>SPPR</v>
      </c>
      <c r="N1180" s="24" t="str">
        <f t="shared" si="180"/>
        <v>SPAM</v>
      </c>
      <c r="O1180" s="24">
        <f>VLOOKUP(H1180, KM!$A:$E, 5, 0)</f>
        <v>0</v>
      </c>
      <c r="P1180" s="24">
        <f>VLOOKUP(I1180, KM!$A:$E, 5, 0)</f>
        <v>586</v>
      </c>
      <c r="Q1180" s="24">
        <f>VLOOKUP(J1180, KM!$A:$E, 5, 0)</f>
        <v>882</v>
      </c>
      <c r="R1180" s="24">
        <f>VLOOKUP(K1180, KM!$A:$E, 5, 0)</f>
        <v>705</v>
      </c>
      <c r="S1180" s="24">
        <f>VLOOKUP(L1180, KM!$A:$E, 5, 0)</f>
        <v>429</v>
      </c>
      <c r="T1180" s="24">
        <f>VLOOKUP(M1180, KM!$A:$E, 5, 0)</f>
        <v>408</v>
      </c>
      <c r="U1180" s="24">
        <f>VLOOKUP(N1180, KM!$A:$E, 5, 0)</f>
        <v>3971</v>
      </c>
      <c r="V1180" s="24">
        <f>VLOOKUP(H1180, IMPOSTO!$A:$D, 4, 0)</f>
        <v>0.18</v>
      </c>
      <c r="W1180" s="24">
        <f>VLOOKUP(I1180, IMPOSTO!$A:$D, 4, 0)</f>
        <v>0.12</v>
      </c>
      <c r="X1180" s="24">
        <f>VLOOKUP(J1180, IMPOSTO!$A:$D, 4, 0)</f>
        <v>7.0000000000000007E-2</v>
      </c>
      <c r="Y1180" s="24">
        <f>VLOOKUP(K1180, IMPOSTO!$A:$D, 4, 0)</f>
        <v>0.12</v>
      </c>
      <c r="Z1180" s="24">
        <f>VLOOKUP(L1180, IMPOSTO!$A:$D, 4, 0)</f>
        <v>0.12</v>
      </c>
      <c r="AA1180" s="24">
        <f>VLOOKUP(M1180, IMPOSTO!$A:$D, 4, 0)</f>
        <v>0.12</v>
      </c>
      <c r="AB1180" s="24">
        <f>VLOOKUP(N1180, IMPOSTO!$A:$D, 4, 0)</f>
        <v>7.0000000000000007E-2</v>
      </c>
      <c r="AC1180" s="25">
        <f t="shared" si="173"/>
        <v>15092.436250232733</v>
      </c>
      <c r="AD1180" s="25">
        <f t="shared" si="174"/>
        <v>14129.997414989593</v>
      </c>
      <c r="AE1180" s="25">
        <f t="shared" si="175"/>
        <v>13402.148091603058</v>
      </c>
      <c r="AF1180" s="25">
        <f t="shared" si="176"/>
        <v>14143.520142262319</v>
      </c>
      <c r="AG1180" s="25">
        <f t="shared" si="177"/>
        <v>14112.156505898683</v>
      </c>
      <c r="AH1180" s="25">
        <f t="shared" si="178"/>
        <v>14109.770142262319</v>
      </c>
      <c r="AI1180" s="25">
        <f t="shared" si="179"/>
        <v>13734.298629237464</v>
      </c>
    </row>
    <row r="1181" spans="1:35" ht="15.75" customHeight="1">
      <c r="A1181" s="12" t="s">
        <v>903</v>
      </c>
      <c r="B1181" s="12" t="s">
        <v>904</v>
      </c>
      <c r="C1181" s="12" t="s">
        <v>160</v>
      </c>
      <c r="D1181" s="12" t="s">
        <v>33</v>
      </c>
      <c r="E1181" s="12" t="s">
        <v>23</v>
      </c>
      <c r="F1181" s="13">
        <v>4236.1839999999993</v>
      </c>
      <c r="G1181" s="14">
        <v>581834.02335695422</v>
      </c>
      <c r="H1181" s="24" t="str">
        <f t="shared" si="172"/>
        <v>SPSP</v>
      </c>
      <c r="I1181" s="24" t="str">
        <f t="shared" si="180"/>
        <v>SPMG</v>
      </c>
      <c r="J1181" s="24" t="str">
        <f t="shared" si="180"/>
        <v>SPES</v>
      </c>
      <c r="K1181" s="24" t="str">
        <f t="shared" si="180"/>
        <v>SPSC</v>
      </c>
      <c r="L1181" s="24" t="str">
        <f t="shared" si="180"/>
        <v>SPRJ</v>
      </c>
      <c r="M1181" s="24" t="str">
        <f t="shared" si="180"/>
        <v>SPPR</v>
      </c>
      <c r="N1181" s="24" t="str">
        <f t="shared" si="180"/>
        <v>SPAM</v>
      </c>
      <c r="O1181" s="24">
        <f>VLOOKUP(H1181, KM!$A:$E, 5, 0)</f>
        <v>0</v>
      </c>
      <c r="P1181" s="24">
        <f>VLOOKUP(I1181, KM!$A:$E, 5, 0)</f>
        <v>586</v>
      </c>
      <c r="Q1181" s="24">
        <f>VLOOKUP(J1181, KM!$A:$E, 5, 0)</f>
        <v>882</v>
      </c>
      <c r="R1181" s="24">
        <f>VLOOKUP(K1181, KM!$A:$E, 5, 0)</f>
        <v>705</v>
      </c>
      <c r="S1181" s="24">
        <f>VLOOKUP(L1181, KM!$A:$E, 5, 0)</f>
        <v>429</v>
      </c>
      <c r="T1181" s="24">
        <f>VLOOKUP(M1181, KM!$A:$E, 5, 0)</f>
        <v>408</v>
      </c>
      <c r="U1181" s="24">
        <f>VLOOKUP(N1181, KM!$A:$E, 5, 0)</f>
        <v>3971</v>
      </c>
      <c r="V1181" s="24">
        <f>VLOOKUP(H1181, IMPOSTO!$A:$D, 4, 0)</f>
        <v>0.18</v>
      </c>
      <c r="W1181" s="24">
        <f>VLOOKUP(I1181, IMPOSTO!$A:$D, 4, 0)</f>
        <v>0.12</v>
      </c>
      <c r="X1181" s="24">
        <f>VLOOKUP(J1181, IMPOSTO!$A:$D, 4, 0)</f>
        <v>7.0000000000000007E-2</v>
      </c>
      <c r="Y1181" s="24">
        <f>VLOOKUP(K1181, IMPOSTO!$A:$D, 4, 0)</f>
        <v>0.12</v>
      </c>
      <c r="Z1181" s="24">
        <f>VLOOKUP(L1181, IMPOSTO!$A:$D, 4, 0)</f>
        <v>0.12</v>
      </c>
      <c r="AA1181" s="24">
        <f>VLOOKUP(M1181, IMPOSTO!$A:$D, 4, 0)</f>
        <v>0.12</v>
      </c>
      <c r="AB1181" s="24">
        <f>VLOOKUP(N1181, IMPOSTO!$A:$D, 4, 0)</f>
        <v>7.0000000000000007E-2</v>
      </c>
      <c r="AC1181" s="25">
        <f t="shared" si="173"/>
        <v>709553.68702067586</v>
      </c>
      <c r="AD1181" s="25">
        <f t="shared" si="174"/>
        <v>661241.61745108431</v>
      </c>
      <c r="AE1181" s="25">
        <f t="shared" si="175"/>
        <v>625722.82081392931</v>
      </c>
      <c r="AF1181" s="25">
        <f t="shared" si="176"/>
        <v>661255.14017835702</v>
      </c>
      <c r="AG1181" s="25">
        <f t="shared" si="177"/>
        <v>661223.77654199349</v>
      </c>
      <c r="AH1181" s="25">
        <f t="shared" si="178"/>
        <v>661221.39017835713</v>
      </c>
      <c r="AI1181" s="25">
        <f t="shared" si="179"/>
        <v>626054.9713515637</v>
      </c>
    </row>
    <row r="1182" spans="1:35" ht="15.75" customHeight="1">
      <c r="A1182" s="12" t="s">
        <v>905</v>
      </c>
      <c r="B1182" s="12" t="s">
        <v>906</v>
      </c>
      <c r="C1182" s="12" t="s">
        <v>217</v>
      </c>
      <c r="D1182" s="12" t="s">
        <v>33</v>
      </c>
      <c r="E1182" s="12" t="s">
        <v>23</v>
      </c>
      <c r="F1182" s="13">
        <v>4235</v>
      </c>
      <c r="G1182" s="14">
        <v>488905.0105034326</v>
      </c>
      <c r="H1182" s="24" t="str">
        <f t="shared" si="172"/>
        <v>SPSP</v>
      </c>
      <c r="I1182" s="24" t="str">
        <f t="shared" si="180"/>
        <v>SPMG</v>
      </c>
      <c r="J1182" s="24" t="str">
        <f t="shared" si="180"/>
        <v>SPES</v>
      </c>
      <c r="K1182" s="24" t="str">
        <f t="shared" si="180"/>
        <v>SPSC</v>
      </c>
      <c r="L1182" s="24" t="str">
        <f t="shared" si="180"/>
        <v>SPRJ</v>
      </c>
      <c r="M1182" s="24" t="str">
        <f t="shared" si="180"/>
        <v>SPPR</v>
      </c>
      <c r="N1182" s="24" t="str">
        <f t="shared" si="180"/>
        <v>SPAM</v>
      </c>
      <c r="O1182" s="24">
        <f>VLOOKUP(H1182, KM!$A:$E, 5, 0)</f>
        <v>0</v>
      </c>
      <c r="P1182" s="24">
        <f>VLOOKUP(I1182, KM!$A:$E, 5, 0)</f>
        <v>586</v>
      </c>
      <c r="Q1182" s="24">
        <f>VLOOKUP(J1182, KM!$A:$E, 5, 0)</f>
        <v>882</v>
      </c>
      <c r="R1182" s="24">
        <f>VLOOKUP(K1182, KM!$A:$E, 5, 0)</f>
        <v>705</v>
      </c>
      <c r="S1182" s="24">
        <f>VLOOKUP(L1182, KM!$A:$E, 5, 0)</f>
        <v>429</v>
      </c>
      <c r="T1182" s="24">
        <f>VLOOKUP(M1182, KM!$A:$E, 5, 0)</f>
        <v>408</v>
      </c>
      <c r="U1182" s="24">
        <f>VLOOKUP(N1182, KM!$A:$E, 5, 0)</f>
        <v>3971</v>
      </c>
      <c r="V1182" s="24">
        <f>VLOOKUP(H1182, IMPOSTO!$A:$D, 4, 0)</f>
        <v>0.18</v>
      </c>
      <c r="W1182" s="24">
        <f>VLOOKUP(I1182, IMPOSTO!$A:$D, 4, 0)</f>
        <v>0.12</v>
      </c>
      <c r="X1182" s="24">
        <f>VLOOKUP(J1182, IMPOSTO!$A:$D, 4, 0)</f>
        <v>7.0000000000000007E-2</v>
      </c>
      <c r="Y1182" s="24">
        <f>VLOOKUP(K1182, IMPOSTO!$A:$D, 4, 0)</f>
        <v>0.12</v>
      </c>
      <c r="Z1182" s="24">
        <f>VLOOKUP(L1182, IMPOSTO!$A:$D, 4, 0)</f>
        <v>0.12</v>
      </c>
      <c r="AA1182" s="24">
        <f>VLOOKUP(M1182, IMPOSTO!$A:$D, 4, 0)</f>
        <v>0.12</v>
      </c>
      <c r="AB1182" s="24">
        <f>VLOOKUP(N1182, IMPOSTO!$A:$D, 4, 0)</f>
        <v>7.0000000000000007E-2</v>
      </c>
      <c r="AC1182" s="25">
        <f t="shared" si="173"/>
        <v>596225.62256516167</v>
      </c>
      <c r="AD1182" s="25">
        <f t="shared" si="174"/>
        <v>555640.46648117341</v>
      </c>
      <c r="AE1182" s="25">
        <f t="shared" si="175"/>
        <v>525799.15107895981</v>
      </c>
      <c r="AF1182" s="25">
        <f t="shared" si="176"/>
        <v>555653.98920844612</v>
      </c>
      <c r="AG1182" s="25">
        <f t="shared" si="177"/>
        <v>555622.62557208247</v>
      </c>
      <c r="AH1182" s="25">
        <f t="shared" si="178"/>
        <v>555620.23920844612</v>
      </c>
      <c r="AI1182" s="25">
        <f t="shared" si="179"/>
        <v>526131.3016165942</v>
      </c>
    </row>
    <row r="1183" spans="1:35" ht="15.75" customHeight="1">
      <c r="A1183" s="12" t="s">
        <v>620</v>
      </c>
      <c r="B1183" s="12" t="s">
        <v>621</v>
      </c>
      <c r="C1183" s="12" t="s">
        <v>265</v>
      </c>
      <c r="D1183" s="12" t="s">
        <v>50</v>
      </c>
      <c r="E1183" s="12" t="s">
        <v>23</v>
      </c>
      <c r="F1183" s="13">
        <v>20588.761199999997</v>
      </c>
      <c r="G1183" s="14">
        <v>622292.51391814859</v>
      </c>
      <c r="H1183" s="24" t="str">
        <f t="shared" si="172"/>
        <v>SPSP</v>
      </c>
      <c r="I1183" s="24" t="str">
        <f t="shared" si="180"/>
        <v>SPMG</v>
      </c>
      <c r="J1183" s="24" t="str">
        <f t="shared" si="180"/>
        <v>SPES</v>
      </c>
      <c r="K1183" s="24" t="str">
        <f t="shared" si="180"/>
        <v>SPSC</v>
      </c>
      <c r="L1183" s="24" t="str">
        <f t="shared" si="180"/>
        <v>SPRJ</v>
      </c>
      <c r="M1183" s="24" t="str">
        <f t="shared" si="180"/>
        <v>SPPR</v>
      </c>
      <c r="N1183" s="24" t="str">
        <f t="shared" si="180"/>
        <v>SPAM</v>
      </c>
      <c r="O1183" s="24">
        <f>VLOOKUP(H1183, KM!$A:$E, 5, 0)</f>
        <v>0</v>
      </c>
      <c r="P1183" s="24">
        <f>VLOOKUP(I1183, KM!$A:$E, 5, 0)</f>
        <v>586</v>
      </c>
      <c r="Q1183" s="24">
        <f>VLOOKUP(J1183, KM!$A:$E, 5, 0)</f>
        <v>882</v>
      </c>
      <c r="R1183" s="24">
        <f>VLOOKUP(K1183, KM!$A:$E, 5, 0)</f>
        <v>705</v>
      </c>
      <c r="S1183" s="24">
        <f>VLOOKUP(L1183, KM!$A:$E, 5, 0)</f>
        <v>429</v>
      </c>
      <c r="T1183" s="24">
        <f>VLOOKUP(M1183, KM!$A:$E, 5, 0)</f>
        <v>408</v>
      </c>
      <c r="U1183" s="24">
        <f>VLOOKUP(N1183, KM!$A:$E, 5, 0)</f>
        <v>3971</v>
      </c>
      <c r="V1183" s="24">
        <f>VLOOKUP(H1183, IMPOSTO!$A:$D, 4, 0)</f>
        <v>0.18</v>
      </c>
      <c r="W1183" s="24">
        <f>VLOOKUP(I1183, IMPOSTO!$A:$D, 4, 0)</f>
        <v>0.12</v>
      </c>
      <c r="X1183" s="24">
        <f>VLOOKUP(J1183, IMPOSTO!$A:$D, 4, 0)</f>
        <v>7.0000000000000007E-2</v>
      </c>
      <c r="Y1183" s="24">
        <f>VLOOKUP(K1183, IMPOSTO!$A:$D, 4, 0)</f>
        <v>0.12</v>
      </c>
      <c r="Z1183" s="24">
        <f>VLOOKUP(L1183, IMPOSTO!$A:$D, 4, 0)</f>
        <v>0.12</v>
      </c>
      <c r="AA1183" s="24">
        <f>VLOOKUP(M1183, IMPOSTO!$A:$D, 4, 0)</f>
        <v>0.12</v>
      </c>
      <c r="AB1183" s="24">
        <f>VLOOKUP(N1183, IMPOSTO!$A:$D, 4, 0)</f>
        <v>7.0000000000000007E-2</v>
      </c>
      <c r="AC1183" s="25">
        <f t="shared" si="173"/>
        <v>758893.3096562787</v>
      </c>
      <c r="AD1183" s="25">
        <f t="shared" si="174"/>
        <v>707217.174906987</v>
      </c>
      <c r="AE1183" s="25">
        <f t="shared" si="175"/>
        <v>669226.5741055361</v>
      </c>
      <c r="AF1183" s="25">
        <f t="shared" si="176"/>
        <v>707230.6976342597</v>
      </c>
      <c r="AG1183" s="25">
        <f t="shared" si="177"/>
        <v>707199.33399789617</v>
      </c>
      <c r="AH1183" s="25">
        <f t="shared" si="178"/>
        <v>707196.94763425982</v>
      </c>
      <c r="AI1183" s="25">
        <f t="shared" si="179"/>
        <v>669558.7246431706</v>
      </c>
    </row>
    <row r="1184" spans="1:35" ht="15.75" customHeight="1">
      <c r="A1184" s="12" t="s">
        <v>866</v>
      </c>
      <c r="B1184" s="12" t="s">
        <v>867</v>
      </c>
      <c r="C1184" s="12" t="s">
        <v>205</v>
      </c>
      <c r="D1184" s="12" t="s">
        <v>33</v>
      </c>
      <c r="E1184" s="12" t="s">
        <v>23</v>
      </c>
      <c r="F1184" s="13">
        <v>12709.389165338269</v>
      </c>
      <c r="G1184" s="14">
        <v>849834.60535492608</v>
      </c>
      <c r="H1184" s="24" t="str">
        <f t="shared" si="172"/>
        <v>SPSP</v>
      </c>
      <c r="I1184" s="24" t="str">
        <f t="shared" si="180"/>
        <v>SPMG</v>
      </c>
      <c r="J1184" s="24" t="str">
        <f t="shared" si="180"/>
        <v>SPES</v>
      </c>
      <c r="K1184" s="24" t="str">
        <f t="shared" si="180"/>
        <v>SPSC</v>
      </c>
      <c r="L1184" s="24" t="str">
        <f t="shared" si="180"/>
        <v>SPRJ</v>
      </c>
      <c r="M1184" s="24" t="str">
        <f t="shared" si="180"/>
        <v>SPPR</v>
      </c>
      <c r="N1184" s="24" t="str">
        <f t="shared" si="180"/>
        <v>SPAM</v>
      </c>
      <c r="O1184" s="24">
        <f>VLOOKUP(H1184, KM!$A:$E, 5, 0)</f>
        <v>0</v>
      </c>
      <c r="P1184" s="24">
        <f>VLOOKUP(I1184, KM!$A:$E, 5, 0)</f>
        <v>586</v>
      </c>
      <c r="Q1184" s="24">
        <f>VLOOKUP(J1184, KM!$A:$E, 5, 0)</f>
        <v>882</v>
      </c>
      <c r="R1184" s="24">
        <f>VLOOKUP(K1184, KM!$A:$E, 5, 0)</f>
        <v>705</v>
      </c>
      <c r="S1184" s="24">
        <f>VLOOKUP(L1184, KM!$A:$E, 5, 0)</f>
        <v>429</v>
      </c>
      <c r="T1184" s="24">
        <f>VLOOKUP(M1184, KM!$A:$E, 5, 0)</f>
        <v>408</v>
      </c>
      <c r="U1184" s="24">
        <f>VLOOKUP(N1184, KM!$A:$E, 5, 0)</f>
        <v>3971</v>
      </c>
      <c r="V1184" s="24">
        <f>VLOOKUP(H1184, IMPOSTO!$A:$D, 4, 0)</f>
        <v>0.18</v>
      </c>
      <c r="W1184" s="24">
        <f>VLOOKUP(I1184, IMPOSTO!$A:$D, 4, 0)</f>
        <v>0.12</v>
      </c>
      <c r="X1184" s="24">
        <f>VLOOKUP(J1184, IMPOSTO!$A:$D, 4, 0)</f>
        <v>7.0000000000000007E-2</v>
      </c>
      <c r="Y1184" s="24">
        <f>VLOOKUP(K1184, IMPOSTO!$A:$D, 4, 0)</f>
        <v>0.12</v>
      </c>
      <c r="Z1184" s="24">
        <f>VLOOKUP(L1184, IMPOSTO!$A:$D, 4, 0)</f>
        <v>0.12</v>
      </c>
      <c r="AA1184" s="24">
        <f>VLOOKUP(M1184, IMPOSTO!$A:$D, 4, 0)</f>
        <v>0.12</v>
      </c>
      <c r="AB1184" s="24">
        <f>VLOOKUP(N1184, IMPOSTO!$A:$D, 4, 0)</f>
        <v>7.0000000000000007E-2</v>
      </c>
      <c r="AC1184" s="25">
        <f t="shared" si="173"/>
        <v>1036383.665066983</v>
      </c>
      <c r="AD1184" s="25">
        <f t="shared" si="174"/>
        <v>965787.73335787049</v>
      </c>
      <c r="AE1184" s="25">
        <f t="shared" si="175"/>
        <v>913895.48962895281</v>
      </c>
      <c r="AF1184" s="25">
        <f t="shared" si="176"/>
        <v>965801.25608514331</v>
      </c>
      <c r="AG1184" s="25">
        <f t="shared" si="177"/>
        <v>965769.89244877966</v>
      </c>
      <c r="AH1184" s="25">
        <f t="shared" si="178"/>
        <v>965767.50608514331</v>
      </c>
      <c r="AI1184" s="25">
        <f t="shared" si="179"/>
        <v>914227.6401665872</v>
      </c>
    </row>
    <row r="1185" spans="1:35" ht="15.75" customHeight="1">
      <c r="A1185" s="12" t="s">
        <v>907</v>
      </c>
      <c r="B1185" s="12" t="s">
        <v>908</v>
      </c>
      <c r="C1185" s="12" t="s">
        <v>160</v>
      </c>
      <c r="D1185" s="12" t="s">
        <v>33</v>
      </c>
      <c r="E1185" s="12" t="s">
        <v>23</v>
      </c>
      <c r="F1185" s="13">
        <v>9.5492399999999993</v>
      </c>
      <c r="G1185" s="14">
        <v>72.602075949999985</v>
      </c>
      <c r="H1185" s="24" t="str">
        <f t="shared" si="172"/>
        <v>SPSP</v>
      </c>
      <c r="I1185" s="24" t="str">
        <f t="shared" si="180"/>
        <v>SPMG</v>
      </c>
      <c r="J1185" s="24" t="str">
        <f t="shared" si="180"/>
        <v>SPES</v>
      </c>
      <c r="K1185" s="24" t="str">
        <f t="shared" si="180"/>
        <v>SPSC</v>
      </c>
      <c r="L1185" s="24" t="str">
        <f t="shared" si="180"/>
        <v>SPRJ</v>
      </c>
      <c r="M1185" s="24" t="str">
        <f t="shared" si="180"/>
        <v>SPPR</v>
      </c>
      <c r="N1185" s="24" t="str">
        <f t="shared" si="180"/>
        <v>SPAM</v>
      </c>
      <c r="O1185" s="24">
        <f>VLOOKUP(H1185, KM!$A:$E, 5, 0)</f>
        <v>0</v>
      </c>
      <c r="P1185" s="24">
        <f>VLOOKUP(I1185, KM!$A:$E, 5, 0)</f>
        <v>586</v>
      </c>
      <c r="Q1185" s="24">
        <f>VLOOKUP(J1185, KM!$A:$E, 5, 0)</f>
        <v>882</v>
      </c>
      <c r="R1185" s="24">
        <f>VLOOKUP(K1185, KM!$A:$E, 5, 0)</f>
        <v>705</v>
      </c>
      <c r="S1185" s="24">
        <f>VLOOKUP(L1185, KM!$A:$E, 5, 0)</f>
        <v>429</v>
      </c>
      <c r="T1185" s="24">
        <f>VLOOKUP(M1185, KM!$A:$E, 5, 0)</f>
        <v>408</v>
      </c>
      <c r="U1185" s="24">
        <f>VLOOKUP(N1185, KM!$A:$E, 5, 0)</f>
        <v>3971</v>
      </c>
      <c r="V1185" s="24">
        <f>VLOOKUP(H1185, IMPOSTO!$A:$D, 4, 0)</f>
        <v>0.18</v>
      </c>
      <c r="W1185" s="24">
        <f>VLOOKUP(I1185, IMPOSTO!$A:$D, 4, 0)</f>
        <v>0.12</v>
      </c>
      <c r="X1185" s="24">
        <f>VLOOKUP(J1185, IMPOSTO!$A:$D, 4, 0)</f>
        <v>7.0000000000000007E-2</v>
      </c>
      <c r="Y1185" s="24">
        <f>VLOOKUP(K1185, IMPOSTO!$A:$D, 4, 0)</f>
        <v>0.12</v>
      </c>
      <c r="Z1185" s="24">
        <f>VLOOKUP(L1185, IMPOSTO!$A:$D, 4, 0)</f>
        <v>0.12</v>
      </c>
      <c r="AA1185" s="24">
        <f>VLOOKUP(M1185, IMPOSTO!$A:$D, 4, 0)</f>
        <v>0.12</v>
      </c>
      <c r="AB1185" s="24">
        <f>VLOOKUP(N1185, IMPOSTO!$A:$D, 4, 0)</f>
        <v>7.0000000000000007E-2</v>
      </c>
      <c r="AC1185" s="25">
        <f t="shared" si="173"/>
        <v>88.539117012195092</v>
      </c>
      <c r="AD1185" s="25">
        <f t="shared" si="174"/>
        <v>149.09326812499998</v>
      </c>
      <c r="AE1185" s="25">
        <f t="shared" si="175"/>
        <v>172.90545801075268</v>
      </c>
      <c r="AF1185" s="25">
        <f t="shared" si="176"/>
        <v>162.61599539772723</v>
      </c>
      <c r="AG1185" s="25">
        <f t="shared" si="177"/>
        <v>131.25235903409089</v>
      </c>
      <c r="AH1185" s="25">
        <f t="shared" si="178"/>
        <v>128.86599539772726</v>
      </c>
      <c r="AI1185" s="25">
        <f t="shared" si="179"/>
        <v>505.05599564516132</v>
      </c>
    </row>
    <row r="1186" spans="1:35" ht="15.75" customHeight="1">
      <c r="A1186" s="12" t="s">
        <v>909</v>
      </c>
      <c r="B1186" s="12" t="s">
        <v>910</v>
      </c>
      <c r="C1186" s="12" t="s">
        <v>160</v>
      </c>
      <c r="D1186" s="12" t="s">
        <v>33</v>
      </c>
      <c r="E1186" s="12" t="s">
        <v>23</v>
      </c>
      <c r="F1186" s="13">
        <v>216.0016</v>
      </c>
      <c r="G1186" s="14">
        <v>4100.1336143783774</v>
      </c>
      <c r="H1186" s="24" t="str">
        <f t="shared" si="172"/>
        <v>SPSP</v>
      </c>
      <c r="I1186" s="24" t="str">
        <f t="shared" si="180"/>
        <v>SPMG</v>
      </c>
      <c r="J1186" s="24" t="str">
        <f t="shared" si="180"/>
        <v>SPES</v>
      </c>
      <c r="K1186" s="24" t="str">
        <f t="shared" si="180"/>
        <v>SPSC</v>
      </c>
      <c r="L1186" s="24" t="str">
        <f t="shared" si="180"/>
        <v>SPRJ</v>
      </c>
      <c r="M1186" s="24" t="str">
        <f t="shared" si="180"/>
        <v>SPPR</v>
      </c>
      <c r="N1186" s="24" t="str">
        <f t="shared" si="180"/>
        <v>SPAM</v>
      </c>
      <c r="O1186" s="24">
        <f>VLOOKUP(H1186, KM!$A:$E, 5, 0)</f>
        <v>0</v>
      </c>
      <c r="P1186" s="24">
        <f>VLOOKUP(I1186, KM!$A:$E, 5, 0)</f>
        <v>586</v>
      </c>
      <c r="Q1186" s="24">
        <f>VLOOKUP(J1186, KM!$A:$E, 5, 0)</f>
        <v>882</v>
      </c>
      <c r="R1186" s="24">
        <f>VLOOKUP(K1186, KM!$A:$E, 5, 0)</f>
        <v>705</v>
      </c>
      <c r="S1186" s="24">
        <f>VLOOKUP(L1186, KM!$A:$E, 5, 0)</f>
        <v>429</v>
      </c>
      <c r="T1186" s="24">
        <f>VLOOKUP(M1186, KM!$A:$E, 5, 0)</f>
        <v>408</v>
      </c>
      <c r="U1186" s="24">
        <f>VLOOKUP(N1186, KM!$A:$E, 5, 0)</f>
        <v>3971</v>
      </c>
      <c r="V1186" s="24">
        <f>VLOOKUP(H1186, IMPOSTO!$A:$D, 4, 0)</f>
        <v>0.18</v>
      </c>
      <c r="W1186" s="24">
        <f>VLOOKUP(I1186, IMPOSTO!$A:$D, 4, 0)</f>
        <v>0.12</v>
      </c>
      <c r="X1186" s="24">
        <f>VLOOKUP(J1186, IMPOSTO!$A:$D, 4, 0)</f>
        <v>7.0000000000000007E-2</v>
      </c>
      <c r="Y1186" s="24">
        <f>VLOOKUP(K1186, IMPOSTO!$A:$D, 4, 0)</f>
        <v>0.12</v>
      </c>
      <c r="Z1186" s="24">
        <f>VLOOKUP(L1186, IMPOSTO!$A:$D, 4, 0)</f>
        <v>0.12</v>
      </c>
      <c r="AA1186" s="24">
        <f>VLOOKUP(M1186, IMPOSTO!$A:$D, 4, 0)</f>
        <v>0.12</v>
      </c>
      <c r="AB1186" s="24">
        <f>VLOOKUP(N1186, IMPOSTO!$A:$D, 4, 0)</f>
        <v>7.0000000000000007E-2</v>
      </c>
      <c r="AC1186" s="25">
        <f t="shared" si="173"/>
        <v>5000.1629443638749</v>
      </c>
      <c r="AD1186" s="25">
        <f t="shared" si="174"/>
        <v>4725.8336527027022</v>
      </c>
      <c r="AE1186" s="25">
        <f t="shared" si="175"/>
        <v>4503.5845315896531</v>
      </c>
      <c r="AF1186" s="25">
        <f t="shared" si="176"/>
        <v>4739.3563799754293</v>
      </c>
      <c r="AG1186" s="25">
        <f t="shared" si="177"/>
        <v>4707.9927436117923</v>
      </c>
      <c r="AH1186" s="25">
        <f t="shared" si="178"/>
        <v>4705.6063799754293</v>
      </c>
      <c r="AI1186" s="25">
        <f t="shared" si="179"/>
        <v>4835.7350692240625</v>
      </c>
    </row>
    <row r="1187" spans="1:35" ht="15.75" customHeight="1">
      <c r="A1187" s="12" t="s">
        <v>911</v>
      </c>
      <c r="B1187" s="12" t="s">
        <v>912</v>
      </c>
      <c r="C1187" s="12" t="s">
        <v>876</v>
      </c>
      <c r="D1187" s="12" t="s">
        <v>33</v>
      </c>
      <c r="E1187" s="12" t="s">
        <v>23</v>
      </c>
      <c r="F1187" s="13">
        <v>1782.0424000000007</v>
      </c>
      <c r="G1187" s="14">
        <v>43817.552947230506</v>
      </c>
      <c r="H1187" s="24" t="str">
        <f t="shared" si="172"/>
        <v>SPSP</v>
      </c>
      <c r="I1187" s="24" t="str">
        <f t="shared" si="180"/>
        <v>SPMG</v>
      </c>
      <c r="J1187" s="24" t="str">
        <f t="shared" si="180"/>
        <v>SPES</v>
      </c>
      <c r="K1187" s="24" t="str">
        <f t="shared" si="180"/>
        <v>SPSC</v>
      </c>
      <c r="L1187" s="24" t="str">
        <f t="shared" si="180"/>
        <v>SPRJ</v>
      </c>
      <c r="M1187" s="24" t="str">
        <f t="shared" si="180"/>
        <v>SPPR</v>
      </c>
      <c r="N1187" s="24" t="str">
        <f t="shared" si="180"/>
        <v>SPAM</v>
      </c>
      <c r="O1187" s="24">
        <f>VLOOKUP(H1187, KM!$A:$E, 5, 0)</f>
        <v>0</v>
      </c>
      <c r="P1187" s="24">
        <f>VLOOKUP(I1187, KM!$A:$E, 5, 0)</f>
        <v>586</v>
      </c>
      <c r="Q1187" s="24">
        <f>VLOOKUP(J1187, KM!$A:$E, 5, 0)</f>
        <v>882</v>
      </c>
      <c r="R1187" s="24">
        <f>VLOOKUP(K1187, KM!$A:$E, 5, 0)</f>
        <v>705</v>
      </c>
      <c r="S1187" s="24">
        <f>VLOOKUP(L1187, KM!$A:$E, 5, 0)</f>
        <v>429</v>
      </c>
      <c r="T1187" s="24">
        <f>VLOOKUP(M1187, KM!$A:$E, 5, 0)</f>
        <v>408</v>
      </c>
      <c r="U1187" s="24">
        <f>VLOOKUP(N1187, KM!$A:$E, 5, 0)</f>
        <v>3971</v>
      </c>
      <c r="V1187" s="24">
        <f>VLOOKUP(H1187, IMPOSTO!$A:$D, 4, 0)</f>
        <v>0.18</v>
      </c>
      <c r="W1187" s="24">
        <f>VLOOKUP(I1187, IMPOSTO!$A:$D, 4, 0)</f>
        <v>0.12</v>
      </c>
      <c r="X1187" s="24">
        <f>VLOOKUP(J1187, IMPOSTO!$A:$D, 4, 0)</f>
        <v>7.0000000000000007E-2</v>
      </c>
      <c r="Y1187" s="24">
        <f>VLOOKUP(K1187, IMPOSTO!$A:$D, 4, 0)</f>
        <v>0.12</v>
      </c>
      <c r="Z1187" s="24">
        <f>VLOOKUP(L1187, IMPOSTO!$A:$D, 4, 0)</f>
        <v>0.12</v>
      </c>
      <c r="AA1187" s="24">
        <f>VLOOKUP(M1187, IMPOSTO!$A:$D, 4, 0)</f>
        <v>0.12</v>
      </c>
      <c r="AB1187" s="24">
        <f>VLOOKUP(N1187, IMPOSTO!$A:$D, 4, 0)</f>
        <v>7.0000000000000007E-2</v>
      </c>
      <c r="AC1187" s="25">
        <f t="shared" si="173"/>
        <v>53436.040179549396</v>
      </c>
      <c r="AD1187" s="25">
        <f t="shared" si="174"/>
        <v>49859.264712761935</v>
      </c>
      <c r="AE1187" s="25">
        <f t="shared" si="175"/>
        <v>47210.4870400328</v>
      </c>
      <c r="AF1187" s="25">
        <f t="shared" si="176"/>
        <v>49872.787440034663</v>
      </c>
      <c r="AG1187" s="25">
        <f t="shared" si="177"/>
        <v>49841.42380367103</v>
      </c>
      <c r="AH1187" s="25">
        <f t="shared" si="178"/>
        <v>49839.03744003467</v>
      </c>
      <c r="AI1187" s="25">
        <f t="shared" si="179"/>
        <v>47542.637577667214</v>
      </c>
    </row>
    <row r="1188" spans="1:35" ht="15.75" customHeight="1">
      <c r="A1188" s="12" t="s">
        <v>913</v>
      </c>
      <c r="B1188" s="12" t="s">
        <v>914</v>
      </c>
      <c r="C1188" s="12" t="s">
        <v>259</v>
      </c>
      <c r="D1188" s="12" t="s">
        <v>50</v>
      </c>
      <c r="E1188" s="12" t="s">
        <v>23</v>
      </c>
      <c r="F1188" s="13">
        <v>931.97370000000001</v>
      </c>
      <c r="G1188" s="14">
        <v>62871.684987999994</v>
      </c>
      <c r="H1188" s="24" t="str">
        <f t="shared" si="172"/>
        <v>SPSP</v>
      </c>
      <c r="I1188" s="24" t="str">
        <f t="shared" si="180"/>
        <v>SPMG</v>
      </c>
      <c r="J1188" s="24" t="str">
        <f t="shared" si="180"/>
        <v>SPES</v>
      </c>
      <c r="K1188" s="24" t="str">
        <f t="shared" si="180"/>
        <v>SPSC</v>
      </c>
      <c r="L1188" s="24" t="str">
        <f t="shared" si="180"/>
        <v>SPRJ</v>
      </c>
      <c r="M1188" s="24" t="str">
        <f t="shared" si="180"/>
        <v>SPPR</v>
      </c>
      <c r="N1188" s="24" t="str">
        <f t="shared" si="180"/>
        <v>SPAM</v>
      </c>
      <c r="O1188" s="24">
        <f>VLOOKUP(H1188, KM!$A:$E, 5, 0)</f>
        <v>0</v>
      </c>
      <c r="P1188" s="24">
        <f>VLOOKUP(I1188, KM!$A:$E, 5, 0)</f>
        <v>586</v>
      </c>
      <c r="Q1188" s="24">
        <f>VLOOKUP(J1188, KM!$A:$E, 5, 0)</f>
        <v>882</v>
      </c>
      <c r="R1188" s="24">
        <f>VLOOKUP(K1188, KM!$A:$E, 5, 0)</f>
        <v>705</v>
      </c>
      <c r="S1188" s="24">
        <f>VLOOKUP(L1188, KM!$A:$E, 5, 0)</f>
        <v>429</v>
      </c>
      <c r="T1188" s="24">
        <f>VLOOKUP(M1188, KM!$A:$E, 5, 0)</f>
        <v>408</v>
      </c>
      <c r="U1188" s="24">
        <f>VLOOKUP(N1188, KM!$A:$E, 5, 0)</f>
        <v>3971</v>
      </c>
      <c r="V1188" s="24">
        <f>VLOOKUP(H1188, IMPOSTO!$A:$D, 4, 0)</f>
        <v>0.18</v>
      </c>
      <c r="W1188" s="24">
        <f>VLOOKUP(I1188, IMPOSTO!$A:$D, 4, 0)</f>
        <v>0.12</v>
      </c>
      <c r="X1188" s="24">
        <f>VLOOKUP(J1188, IMPOSTO!$A:$D, 4, 0)</f>
        <v>7.0000000000000007E-2</v>
      </c>
      <c r="Y1188" s="24">
        <f>VLOOKUP(K1188, IMPOSTO!$A:$D, 4, 0)</f>
        <v>0.12</v>
      </c>
      <c r="Z1188" s="24">
        <f>VLOOKUP(L1188, IMPOSTO!$A:$D, 4, 0)</f>
        <v>0.12</v>
      </c>
      <c r="AA1188" s="24">
        <f>VLOOKUP(M1188, IMPOSTO!$A:$D, 4, 0)</f>
        <v>0.12</v>
      </c>
      <c r="AB1188" s="24">
        <f>VLOOKUP(N1188, IMPOSTO!$A:$D, 4, 0)</f>
        <v>7.0000000000000007E-2</v>
      </c>
      <c r="AC1188" s="25">
        <f t="shared" si="173"/>
        <v>76672.786570731696</v>
      </c>
      <c r="AD1188" s="25">
        <f t="shared" si="174"/>
        <v>71511.687486363633</v>
      </c>
      <c r="AE1188" s="25">
        <f t="shared" si="175"/>
        <v>67698.801062365586</v>
      </c>
      <c r="AF1188" s="25">
        <f t="shared" si="176"/>
        <v>71525.210213636354</v>
      </c>
      <c r="AG1188" s="25">
        <f t="shared" si="177"/>
        <v>71493.846577272721</v>
      </c>
      <c r="AH1188" s="25">
        <f t="shared" si="178"/>
        <v>71491.460213636354</v>
      </c>
      <c r="AI1188" s="25">
        <f t="shared" si="179"/>
        <v>68030.9516</v>
      </c>
    </row>
    <row r="1189" spans="1:35" ht="15.75" customHeight="1">
      <c r="A1189" s="12" t="s">
        <v>408</v>
      </c>
      <c r="B1189" s="12" t="s">
        <v>409</v>
      </c>
      <c r="C1189" s="12" t="s">
        <v>143</v>
      </c>
      <c r="D1189" s="12" t="s">
        <v>33</v>
      </c>
      <c r="E1189" s="12" t="s">
        <v>23</v>
      </c>
      <c r="F1189" s="13">
        <v>4.6165525192143448</v>
      </c>
      <c r="G1189" s="14">
        <v>179.8520603864219</v>
      </c>
      <c r="H1189" s="24" t="str">
        <f t="shared" si="172"/>
        <v>SPSP</v>
      </c>
      <c r="I1189" s="24" t="str">
        <f t="shared" si="180"/>
        <v>SPMG</v>
      </c>
      <c r="J1189" s="24" t="str">
        <f t="shared" si="180"/>
        <v>SPES</v>
      </c>
      <c r="K1189" s="24" t="str">
        <f t="shared" si="180"/>
        <v>SPSC</v>
      </c>
      <c r="L1189" s="24" t="str">
        <f t="shared" si="180"/>
        <v>SPRJ</v>
      </c>
      <c r="M1189" s="24" t="str">
        <f t="shared" si="180"/>
        <v>SPPR</v>
      </c>
      <c r="N1189" s="24" t="str">
        <f t="shared" si="180"/>
        <v>SPAM</v>
      </c>
      <c r="O1189" s="24">
        <f>VLOOKUP(H1189, KM!$A:$E, 5, 0)</f>
        <v>0</v>
      </c>
      <c r="P1189" s="24">
        <f>VLOOKUP(I1189, KM!$A:$E, 5, 0)</f>
        <v>586</v>
      </c>
      <c r="Q1189" s="24">
        <f>VLOOKUP(J1189, KM!$A:$E, 5, 0)</f>
        <v>882</v>
      </c>
      <c r="R1189" s="24">
        <f>VLOOKUP(K1189, KM!$A:$E, 5, 0)</f>
        <v>705</v>
      </c>
      <c r="S1189" s="24">
        <f>VLOOKUP(L1189, KM!$A:$E, 5, 0)</f>
        <v>429</v>
      </c>
      <c r="T1189" s="24">
        <f>VLOOKUP(M1189, KM!$A:$E, 5, 0)</f>
        <v>408</v>
      </c>
      <c r="U1189" s="24">
        <f>VLOOKUP(N1189, KM!$A:$E, 5, 0)</f>
        <v>3971</v>
      </c>
      <c r="V1189" s="24">
        <f>VLOOKUP(H1189, IMPOSTO!$A:$D, 4, 0)</f>
        <v>0.18</v>
      </c>
      <c r="W1189" s="24">
        <f>VLOOKUP(I1189, IMPOSTO!$A:$D, 4, 0)</f>
        <v>0.12</v>
      </c>
      <c r="X1189" s="24">
        <f>VLOOKUP(J1189, IMPOSTO!$A:$D, 4, 0)</f>
        <v>7.0000000000000007E-2</v>
      </c>
      <c r="Y1189" s="24">
        <f>VLOOKUP(K1189, IMPOSTO!$A:$D, 4, 0)</f>
        <v>0.12</v>
      </c>
      <c r="Z1189" s="24">
        <f>VLOOKUP(L1189, IMPOSTO!$A:$D, 4, 0)</f>
        <v>0.12</v>
      </c>
      <c r="AA1189" s="24">
        <f>VLOOKUP(M1189, IMPOSTO!$A:$D, 4, 0)</f>
        <v>0.12</v>
      </c>
      <c r="AB1189" s="24">
        <f>VLOOKUP(N1189, IMPOSTO!$A:$D, 4, 0)</f>
        <v>7.0000000000000007E-2</v>
      </c>
      <c r="AC1189" s="25">
        <f t="shared" si="173"/>
        <v>219.33178095905109</v>
      </c>
      <c r="AD1189" s="25">
        <f t="shared" si="174"/>
        <v>270.96825043911576</v>
      </c>
      <c r="AE1189" s="25">
        <f t="shared" si="175"/>
        <v>288.22802192088375</v>
      </c>
      <c r="AF1189" s="25">
        <f t="shared" si="176"/>
        <v>284.49097771184307</v>
      </c>
      <c r="AG1189" s="25">
        <f t="shared" si="177"/>
        <v>253.1273413482067</v>
      </c>
      <c r="AH1189" s="25">
        <f t="shared" si="178"/>
        <v>250.74097771184307</v>
      </c>
      <c r="AI1189" s="25">
        <f t="shared" si="179"/>
        <v>620.37855955529233</v>
      </c>
    </row>
    <row r="1190" spans="1:35" ht="15.75" customHeight="1">
      <c r="A1190" s="12" t="s">
        <v>423</v>
      </c>
      <c r="B1190" s="12" t="s">
        <v>915</v>
      </c>
      <c r="C1190" s="12" t="s">
        <v>192</v>
      </c>
      <c r="D1190" s="12" t="s">
        <v>50</v>
      </c>
      <c r="E1190" s="12" t="s">
        <v>23</v>
      </c>
      <c r="F1190" s="13">
        <v>1.710509210526316</v>
      </c>
      <c r="G1190" s="14">
        <v>34.483865684210535</v>
      </c>
      <c r="H1190" s="24" t="str">
        <f t="shared" si="172"/>
        <v>SPSP</v>
      </c>
      <c r="I1190" s="24" t="str">
        <f t="shared" si="180"/>
        <v>SPMG</v>
      </c>
      <c r="J1190" s="24" t="str">
        <f t="shared" si="180"/>
        <v>SPES</v>
      </c>
      <c r="K1190" s="24" t="str">
        <f t="shared" si="180"/>
        <v>SPSC</v>
      </c>
      <c r="L1190" s="24" t="str">
        <f t="shared" si="180"/>
        <v>SPRJ</v>
      </c>
      <c r="M1190" s="24" t="str">
        <f t="shared" si="180"/>
        <v>SPPR</v>
      </c>
      <c r="N1190" s="24" t="str">
        <f t="shared" si="180"/>
        <v>SPAM</v>
      </c>
      <c r="O1190" s="24">
        <f>VLOOKUP(H1190, KM!$A:$E, 5, 0)</f>
        <v>0</v>
      </c>
      <c r="P1190" s="24">
        <f>VLOOKUP(I1190, KM!$A:$E, 5, 0)</f>
        <v>586</v>
      </c>
      <c r="Q1190" s="24">
        <f>VLOOKUP(J1190, KM!$A:$E, 5, 0)</f>
        <v>882</v>
      </c>
      <c r="R1190" s="24">
        <f>VLOOKUP(K1190, KM!$A:$E, 5, 0)</f>
        <v>705</v>
      </c>
      <c r="S1190" s="24">
        <f>VLOOKUP(L1190, KM!$A:$E, 5, 0)</f>
        <v>429</v>
      </c>
      <c r="T1190" s="24">
        <f>VLOOKUP(M1190, KM!$A:$E, 5, 0)</f>
        <v>408</v>
      </c>
      <c r="U1190" s="24">
        <f>VLOOKUP(N1190, KM!$A:$E, 5, 0)</f>
        <v>3971</v>
      </c>
      <c r="V1190" s="24">
        <f>VLOOKUP(H1190, IMPOSTO!$A:$D, 4, 0)</f>
        <v>0.18</v>
      </c>
      <c r="W1190" s="24">
        <f>VLOOKUP(I1190, IMPOSTO!$A:$D, 4, 0)</f>
        <v>0.12</v>
      </c>
      <c r="X1190" s="24">
        <f>VLOOKUP(J1190, IMPOSTO!$A:$D, 4, 0)</f>
        <v>7.0000000000000007E-2</v>
      </c>
      <c r="Y1190" s="24">
        <f>VLOOKUP(K1190, IMPOSTO!$A:$D, 4, 0)</f>
        <v>0.12</v>
      </c>
      <c r="Z1190" s="24">
        <f>VLOOKUP(L1190, IMPOSTO!$A:$D, 4, 0)</f>
        <v>0.12</v>
      </c>
      <c r="AA1190" s="24">
        <f>VLOOKUP(M1190, IMPOSTO!$A:$D, 4, 0)</f>
        <v>0.12</v>
      </c>
      <c r="AB1190" s="24">
        <f>VLOOKUP(N1190, IMPOSTO!$A:$D, 4, 0)</f>
        <v>7.0000000000000007E-2</v>
      </c>
      <c r="AC1190" s="25">
        <f t="shared" si="173"/>
        <v>42.053494736842111</v>
      </c>
      <c r="AD1190" s="25">
        <f t="shared" si="174"/>
        <v>105.77712009569379</v>
      </c>
      <c r="AE1190" s="25">
        <f t="shared" si="175"/>
        <v>131.9181351443124</v>
      </c>
      <c r="AF1190" s="25">
        <f t="shared" si="176"/>
        <v>119.29984736842107</v>
      </c>
      <c r="AG1190" s="25">
        <f t="shared" si="177"/>
        <v>87.93621100478471</v>
      </c>
      <c r="AH1190" s="25">
        <f t="shared" si="178"/>
        <v>85.549847368421069</v>
      </c>
      <c r="AI1190" s="25">
        <f t="shared" si="179"/>
        <v>464.06867277872107</v>
      </c>
    </row>
    <row r="1191" spans="1:35" ht="15.75" customHeight="1">
      <c r="A1191" s="12" t="s">
        <v>868</v>
      </c>
      <c r="B1191" s="12" t="s">
        <v>869</v>
      </c>
      <c r="C1191" s="12" t="s">
        <v>299</v>
      </c>
      <c r="D1191" s="12" t="s">
        <v>33</v>
      </c>
      <c r="E1191" s="12" t="s">
        <v>23</v>
      </c>
      <c r="F1191" s="13">
        <v>7395.3382000000011</v>
      </c>
      <c r="G1191" s="14">
        <v>48120.466021684682</v>
      </c>
      <c r="H1191" s="24" t="str">
        <f t="shared" si="172"/>
        <v>SPSP</v>
      </c>
      <c r="I1191" s="24" t="str">
        <f t="shared" si="180"/>
        <v>SPMG</v>
      </c>
      <c r="J1191" s="24" t="str">
        <f t="shared" si="180"/>
        <v>SPES</v>
      </c>
      <c r="K1191" s="24" t="str">
        <f t="shared" si="180"/>
        <v>SPSC</v>
      </c>
      <c r="L1191" s="24" t="str">
        <f t="shared" si="180"/>
        <v>SPRJ</v>
      </c>
      <c r="M1191" s="24" t="str">
        <f t="shared" si="180"/>
        <v>SPPR</v>
      </c>
      <c r="N1191" s="24" t="str">
        <f t="shared" si="180"/>
        <v>SPAM</v>
      </c>
      <c r="O1191" s="24">
        <f>VLOOKUP(H1191, KM!$A:$E, 5, 0)</f>
        <v>0</v>
      </c>
      <c r="P1191" s="24">
        <f>VLOOKUP(I1191, KM!$A:$E, 5, 0)</f>
        <v>586</v>
      </c>
      <c r="Q1191" s="24">
        <f>VLOOKUP(J1191, KM!$A:$E, 5, 0)</f>
        <v>882</v>
      </c>
      <c r="R1191" s="24">
        <f>VLOOKUP(K1191, KM!$A:$E, 5, 0)</f>
        <v>705</v>
      </c>
      <c r="S1191" s="24">
        <f>VLOOKUP(L1191, KM!$A:$E, 5, 0)</f>
        <v>429</v>
      </c>
      <c r="T1191" s="24">
        <f>VLOOKUP(M1191, KM!$A:$E, 5, 0)</f>
        <v>408</v>
      </c>
      <c r="U1191" s="24">
        <f>VLOOKUP(N1191, KM!$A:$E, 5, 0)</f>
        <v>3971</v>
      </c>
      <c r="V1191" s="24">
        <f>VLOOKUP(H1191, IMPOSTO!$A:$D, 4, 0)</f>
        <v>0.18</v>
      </c>
      <c r="W1191" s="24">
        <f>VLOOKUP(I1191, IMPOSTO!$A:$D, 4, 0)</f>
        <v>0.12</v>
      </c>
      <c r="X1191" s="24">
        <f>VLOOKUP(J1191, IMPOSTO!$A:$D, 4, 0)</f>
        <v>7.0000000000000007E-2</v>
      </c>
      <c r="Y1191" s="24">
        <f>VLOOKUP(K1191, IMPOSTO!$A:$D, 4, 0)</f>
        <v>0.12</v>
      </c>
      <c r="Z1191" s="24">
        <f>VLOOKUP(L1191, IMPOSTO!$A:$D, 4, 0)</f>
        <v>0.12</v>
      </c>
      <c r="AA1191" s="24">
        <f>VLOOKUP(M1191, IMPOSTO!$A:$D, 4, 0)</f>
        <v>0.12</v>
      </c>
      <c r="AB1191" s="24">
        <f>VLOOKUP(N1191, IMPOSTO!$A:$D, 4, 0)</f>
        <v>7.0000000000000007E-2</v>
      </c>
      <c r="AC1191" s="25">
        <f t="shared" si="173"/>
        <v>58683.495148395952</v>
      </c>
      <c r="AD1191" s="25">
        <f t="shared" si="174"/>
        <v>54748.938661005319</v>
      </c>
      <c r="AE1191" s="25">
        <f t="shared" si="175"/>
        <v>51837.275292134065</v>
      </c>
      <c r="AF1191" s="25">
        <f t="shared" si="176"/>
        <v>54762.461388278047</v>
      </c>
      <c r="AG1191" s="25">
        <f t="shared" si="177"/>
        <v>54731.097751914414</v>
      </c>
      <c r="AH1191" s="25">
        <f t="shared" si="178"/>
        <v>54728.711388278054</v>
      </c>
      <c r="AI1191" s="25">
        <f t="shared" si="179"/>
        <v>52169.425829768479</v>
      </c>
    </row>
    <row r="1192" spans="1:35" ht="15.75" customHeight="1">
      <c r="A1192" s="12" t="s">
        <v>916</v>
      </c>
      <c r="B1192" s="12" t="s">
        <v>917</v>
      </c>
      <c r="C1192" s="12" t="s">
        <v>259</v>
      </c>
      <c r="D1192" s="12" t="s">
        <v>33</v>
      </c>
      <c r="E1192" s="12" t="s">
        <v>23</v>
      </c>
      <c r="F1192" s="13">
        <v>1676.9999999999998</v>
      </c>
      <c r="G1192" s="14">
        <v>29875.941333333336</v>
      </c>
      <c r="H1192" s="24" t="str">
        <f t="shared" si="172"/>
        <v>SPSP</v>
      </c>
      <c r="I1192" s="24" t="str">
        <f t="shared" si="180"/>
        <v>SPMG</v>
      </c>
      <c r="J1192" s="24" t="str">
        <f t="shared" si="180"/>
        <v>SPES</v>
      </c>
      <c r="K1192" s="24" t="str">
        <f t="shared" si="180"/>
        <v>SPSC</v>
      </c>
      <c r="L1192" s="24" t="str">
        <f t="shared" si="180"/>
        <v>SPRJ</v>
      </c>
      <c r="M1192" s="24" t="str">
        <f t="shared" si="180"/>
        <v>SPPR</v>
      </c>
      <c r="N1192" s="24" t="str">
        <f t="shared" si="180"/>
        <v>SPAM</v>
      </c>
      <c r="O1192" s="24">
        <f>VLOOKUP(H1192, KM!$A:$E, 5, 0)</f>
        <v>0</v>
      </c>
      <c r="P1192" s="24">
        <f>VLOOKUP(I1192, KM!$A:$E, 5, 0)</f>
        <v>586</v>
      </c>
      <c r="Q1192" s="24">
        <f>VLOOKUP(J1192, KM!$A:$E, 5, 0)</f>
        <v>882</v>
      </c>
      <c r="R1192" s="24">
        <f>VLOOKUP(K1192, KM!$A:$E, 5, 0)</f>
        <v>705</v>
      </c>
      <c r="S1192" s="24">
        <f>VLOOKUP(L1192, KM!$A:$E, 5, 0)</f>
        <v>429</v>
      </c>
      <c r="T1192" s="24">
        <f>VLOOKUP(M1192, KM!$A:$E, 5, 0)</f>
        <v>408</v>
      </c>
      <c r="U1192" s="24">
        <f>VLOOKUP(N1192, KM!$A:$E, 5, 0)</f>
        <v>3971</v>
      </c>
      <c r="V1192" s="24">
        <f>VLOOKUP(H1192, IMPOSTO!$A:$D, 4, 0)</f>
        <v>0.18</v>
      </c>
      <c r="W1192" s="24">
        <f>VLOOKUP(I1192, IMPOSTO!$A:$D, 4, 0)</f>
        <v>0.12</v>
      </c>
      <c r="X1192" s="24">
        <f>VLOOKUP(J1192, IMPOSTO!$A:$D, 4, 0)</f>
        <v>7.0000000000000007E-2</v>
      </c>
      <c r="Y1192" s="24">
        <f>VLOOKUP(K1192, IMPOSTO!$A:$D, 4, 0)</f>
        <v>0.12</v>
      </c>
      <c r="Z1192" s="24">
        <f>VLOOKUP(L1192, IMPOSTO!$A:$D, 4, 0)</f>
        <v>0.12</v>
      </c>
      <c r="AA1192" s="24">
        <f>VLOOKUP(M1192, IMPOSTO!$A:$D, 4, 0)</f>
        <v>0.12</v>
      </c>
      <c r="AB1192" s="24">
        <f>VLOOKUP(N1192, IMPOSTO!$A:$D, 4, 0)</f>
        <v>7.0000000000000007E-2</v>
      </c>
      <c r="AC1192" s="25">
        <f t="shared" si="173"/>
        <v>36434.074796747969</v>
      </c>
      <c r="AD1192" s="25">
        <f t="shared" si="174"/>
        <v>34016.524242424246</v>
      </c>
      <c r="AE1192" s="25">
        <f t="shared" si="175"/>
        <v>32219.506810035848</v>
      </c>
      <c r="AF1192" s="25">
        <f t="shared" si="176"/>
        <v>34030.046969696974</v>
      </c>
      <c r="AG1192" s="25">
        <f t="shared" si="177"/>
        <v>33998.683333333334</v>
      </c>
      <c r="AH1192" s="25">
        <f t="shared" si="178"/>
        <v>33996.296969696974</v>
      </c>
      <c r="AI1192" s="25">
        <f t="shared" si="179"/>
        <v>32551.657347670254</v>
      </c>
    </row>
    <row r="1193" spans="1:35" ht="15.75" customHeight="1">
      <c r="A1193" s="12" t="s">
        <v>918</v>
      </c>
      <c r="B1193" s="12" t="s">
        <v>919</v>
      </c>
      <c r="C1193" s="12" t="s">
        <v>89</v>
      </c>
      <c r="D1193" s="12" t="s">
        <v>33</v>
      </c>
      <c r="E1193" s="12" t="s">
        <v>23</v>
      </c>
      <c r="F1193" s="13">
        <v>2498.0601303010035</v>
      </c>
      <c r="G1193" s="14">
        <v>145023.80631576118</v>
      </c>
      <c r="H1193" s="24" t="str">
        <f t="shared" si="172"/>
        <v>SPSP</v>
      </c>
      <c r="I1193" s="24" t="str">
        <f t="shared" si="180"/>
        <v>SPMG</v>
      </c>
      <c r="J1193" s="24" t="str">
        <f t="shared" si="180"/>
        <v>SPES</v>
      </c>
      <c r="K1193" s="24" t="str">
        <f t="shared" si="180"/>
        <v>SPSC</v>
      </c>
      <c r="L1193" s="24" t="str">
        <f t="shared" si="180"/>
        <v>SPRJ</v>
      </c>
      <c r="M1193" s="24" t="str">
        <f t="shared" si="180"/>
        <v>SPPR</v>
      </c>
      <c r="N1193" s="24" t="str">
        <f t="shared" si="180"/>
        <v>SPAM</v>
      </c>
      <c r="O1193" s="24">
        <f>VLOOKUP(H1193, KM!$A:$E, 5, 0)</f>
        <v>0</v>
      </c>
      <c r="P1193" s="24">
        <f>VLOOKUP(I1193, KM!$A:$E, 5, 0)</f>
        <v>586</v>
      </c>
      <c r="Q1193" s="24">
        <f>VLOOKUP(J1193, KM!$A:$E, 5, 0)</f>
        <v>882</v>
      </c>
      <c r="R1193" s="24">
        <f>VLOOKUP(K1193, KM!$A:$E, 5, 0)</f>
        <v>705</v>
      </c>
      <c r="S1193" s="24">
        <f>VLOOKUP(L1193, KM!$A:$E, 5, 0)</f>
        <v>429</v>
      </c>
      <c r="T1193" s="24">
        <f>VLOOKUP(M1193, KM!$A:$E, 5, 0)</f>
        <v>408</v>
      </c>
      <c r="U1193" s="24">
        <f>VLOOKUP(N1193, KM!$A:$E, 5, 0)</f>
        <v>3971</v>
      </c>
      <c r="V1193" s="24">
        <f>VLOOKUP(H1193, IMPOSTO!$A:$D, 4, 0)</f>
        <v>0.18</v>
      </c>
      <c r="W1193" s="24">
        <f>VLOOKUP(I1193, IMPOSTO!$A:$D, 4, 0)</f>
        <v>0.12</v>
      </c>
      <c r="X1193" s="24">
        <f>VLOOKUP(J1193, IMPOSTO!$A:$D, 4, 0)</f>
        <v>7.0000000000000007E-2</v>
      </c>
      <c r="Y1193" s="24">
        <f>VLOOKUP(K1193, IMPOSTO!$A:$D, 4, 0)</f>
        <v>0.12</v>
      </c>
      <c r="Z1193" s="24">
        <f>VLOOKUP(L1193, IMPOSTO!$A:$D, 4, 0)</f>
        <v>0.12</v>
      </c>
      <c r="AA1193" s="24">
        <f>VLOOKUP(M1193, IMPOSTO!$A:$D, 4, 0)</f>
        <v>0.12</v>
      </c>
      <c r="AB1193" s="24">
        <f>VLOOKUP(N1193, IMPOSTO!$A:$D, 4, 0)</f>
        <v>7.0000000000000007E-2</v>
      </c>
      <c r="AC1193" s="25">
        <f t="shared" si="173"/>
        <v>176858.3003850746</v>
      </c>
      <c r="AD1193" s="25">
        <f t="shared" si="174"/>
        <v>164866.37081336498</v>
      </c>
      <c r="AE1193" s="25">
        <f t="shared" si="175"/>
        <v>156034.41539329162</v>
      </c>
      <c r="AF1193" s="25">
        <f t="shared" si="176"/>
        <v>164879.89354063771</v>
      </c>
      <c r="AG1193" s="25">
        <f t="shared" si="177"/>
        <v>164848.52990427407</v>
      </c>
      <c r="AH1193" s="25">
        <f t="shared" si="178"/>
        <v>164846.14354063768</v>
      </c>
      <c r="AI1193" s="25">
        <f t="shared" si="179"/>
        <v>156366.56593092601</v>
      </c>
    </row>
    <row r="1194" spans="1:35" ht="15.75" customHeight="1">
      <c r="A1194" s="12" t="s">
        <v>920</v>
      </c>
      <c r="B1194" s="12" t="s">
        <v>921</v>
      </c>
      <c r="C1194" s="12" t="s">
        <v>217</v>
      </c>
      <c r="D1194" s="12" t="s">
        <v>50</v>
      </c>
      <c r="E1194" s="12" t="s">
        <v>23</v>
      </c>
      <c r="F1194" s="13">
        <v>97.004999999999995</v>
      </c>
      <c r="G1194" s="14">
        <v>1638.0861253846156</v>
      </c>
      <c r="H1194" s="24" t="str">
        <f t="shared" si="172"/>
        <v>SPSP</v>
      </c>
      <c r="I1194" s="24" t="str">
        <f t="shared" si="180"/>
        <v>SPMG</v>
      </c>
      <c r="J1194" s="24" t="str">
        <f t="shared" si="180"/>
        <v>SPES</v>
      </c>
      <c r="K1194" s="24" t="str">
        <f t="shared" si="180"/>
        <v>SPSC</v>
      </c>
      <c r="L1194" s="24" t="str">
        <f t="shared" si="180"/>
        <v>SPRJ</v>
      </c>
      <c r="M1194" s="24" t="str">
        <f t="shared" si="180"/>
        <v>SPPR</v>
      </c>
      <c r="N1194" s="24" t="str">
        <f t="shared" si="180"/>
        <v>SPAM</v>
      </c>
      <c r="O1194" s="24">
        <f>VLOOKUP(H1194, KM!$A:$E, 5, 0)</f>
        <v>0</v>
      </c>
      <c r="P1194" s="24">
        <f>VLOOKUP(I1194, KM!$A:$E, 5, 0)</f>
        <v>586</v>
      </c>
      <c r="Q1194" s="24">
        <f>VLOOKUP(J1194, KM!$A:$E, 5, 0)</f>
        <v>882</v>
      </c>
      <c r="R1194" s="24">
        <f>VLOOKUP(K1194, KM!$A:$E, 5, 0)</f>
        <v>705</v>
      </c>
      <c r="S1194" s="24">
        <f>VLOOKUP(L1194, KM!$A:$E, 5, 0)</f>
        <v>429</v>
      </c>
      <c r="T1194" s="24">
        <f>VLOOKUP(M1194, KM!$A:$E, 5, 0)</f>
        <v>408</v>
      </c>
      <c r="U1194" s="24">
        <f>VLOOKUP(N1194, KM!$A:$E, 5, 0)</f>
        <v>3971</v>
      </c>
      <c r="V1194" s="24">
        <f>VLOOKUP(H1194, IMPOSTO!$A:$D, 4, 0)</f>
        <v>0.18</v>
      </c>
      <c r="W1194" s="24">
        <f>VLOOKUP(I1194, IMPOSTO!$A:$D, 4, 0)</f>
        <v>0.12</v>
      </c>
      <c r="X1194" s="24">
        <f>VLOOKUP(J1194, IMPOSTO!$A:$D, 4, 0)</f>
        <v>7.0000000000000007E-2</v>
      </c>
      <c r="Y1194" s="24">
        <f>VLOOKUP(K1194, IMPOSTO!$A:$D, 4, 0)</f>
        <v>0.12</v>
      </c>
      <c r="Z1194" s="24">
        <f>VLOOKUP(L1194, IMPOSTO!$A:$D, 4, 0)</f>
        <v>0.12</v>
      </c>
      <c r="AA1194" s="24">
        <f>VLOOKUP(M1194, IMPOSTO!$A:$D, 4, 0)</f>
        <v>0.12</v>
      </c>
      <c r="AB1194" s="24">
        <f>VLOOKUP(N1194, IMPOSTO!$A:$D, 4, 0)</f>
        <v>7.0000000000000007E-2</v>
      </c>
      <c r="AC1194" s="25">
        <f t="shared" si="173"/>
        <v>1997.6660065666042</v>
      </c>
      <c r="AD1194" s="25">
        <f t="shared" si="174"/>
        <v>1928.0524152097903</v>
      </c>
      <c r="AE1194" s="25">
        <f t="shared" si="175"/>
        <v>1856.2216401985115</v>
      </c>
      <c r="AF1194" s="25">
        <f t="shared" si="176"/>
        <v>1941.5751424825178</v>
      </c>
      <c r="AG1194" s="25">
        <f t="shared" si="177"/>
        <v>1910.2115061188815</v>
      </c>
      <c r="AH1194" s="25">
        <f t="shared" si="178"/>
        <v>1907.8251424825175</v>
      </c>
      <c r="AI1194" s="25">
        <f t="shared" si="179"/>
        <v>2188.37217783292</v>
      </c>
    </row>
    <row r="1195" spans="1:35" ht="15.75" customHeight="1">
      <c r="A1195" s="12" t="s">
        <v>922</v>
      </c>
      <c r="B1195" s="12" t="s">
        <v>923</v>
      </c>
      <c r="C1195" s="12" t="s">
        <v>60</v>
      </c>
      <c r="D1195" s="12" t="s">
        <v>50</v>
      </c>
      <c r="E1195" s="12" t="s">
        <v>23</v>
      </c>
      <c r="F1195" s="13">
        <v>3316.0092</v>
      </c>
      <c r="G1195" s="14">
        <v>77611.692727379996</v>
      </c>
      <c r="H1195" s="24" t="str">
        <f t="shared" si="172"/>
        <v>SPSP</v>
      </c>
      <c r="I1195" s="24" t="str">
        <f t="shared" si="180"/>
        <v>SPMG</v>
      </c>
      <c r="J1195" s="24" t="str">
        <f t="shared" si="180"/>
        <v>SPES</v>
      </c>
      <c r="K1195" s="24" t="str">
        <f t="shared" si="180"/>
        <v>SPSC</v>
      </c>
      <c r="L1195" s="24" t="str">
        <f t="shared" si="180"/>
        <v>SPRJ</v>
      </c>
      <c r="M1195" s="24" t="str">
        <f t="shared" si="180"/>
        <v>SPPR</v>
      </c>
      <c r="N1195" s="24" t="str">
        <f t="shared" si="180"/>
        <v>SPAM</v>
      </c>
      <c r="O1195" s="24">
        <f>VLOOKUP(H1195, KM!$A:$E, 5, 0)</f>
        <v>0</v>
      </c>
      <c r="P1195" s="24">
        <f>VLOOKUP(I1195, KM!$A:$E, 5, 0)</f>
        <v>586</v>
      </c>
      <c r="Q1195" s="24">
        <f>VLOOKUP(J1195, KM!$A:$E, 5, 0)</f>
        <v>882</v>
      </c>
      <c r="R1195" s="24">
        <f>VLOOKUP(K1195, KM!$A:$E, 5, 0)</f>
        <v>705</v>
      </c>
      <c r="S1195" s="24">
        <f>VLOOKUP(L1195, KM!$A:$E, 5, 0)</f>
        <v>429</v>
      </c>
      <c r="T1195" s="24">
        <f>VLOOKUP(M1195, KM!$A:$E, 5, 0)</f>
        <v>408</v>
      </c>
      <c r="U1195" s="24">
        <f>VLOOKUP(N1195, KM!$A:$E, 5, 0)</f>
        <v>3971</v>
      </c>
      <c r="V1195" s="24">
        <f>VLOOKUP(H1195, IMPOSTO!$A:$D, 4, 0)</f>
        <v>0.18</v>
      </c>
      <c r="W1195" s="24">
        <f>VLOOKUP(I1195, IMPOSTO!$A:$D, 4, 0)</f>
        <v>0.12</v>
      </c>
      <c r="X1195" s="24">
        <f>VLOOKUP(J1195, IMPOSTO!$A:$D, 4, 0)</f>
        <v>7.0000000000000007E-2</v>
      </c>
      <c r="Y1195" s="24">
        <f>VLOOKUP(K1195, IMPOSTO!$A:$D, 4, 0)</f>
        <v>0.12</v>
      </c>
      <c r="Z1195" s="24">
        <f>VLOOKUP(L1195, IMPOSTO!$A:$D, 4, 0)</f>
        <v>0.12</v>
      </c>
      <c r="AA1195" s="24">
        <f>VLOOKUP(M1195, IMPOSTO!$A:$D, 4, 0)</f>
        <v>0.12</v>
      </c>
      <c r="AB1195" s="24">
        <f>VLOOKUP(N1195, IMPOSTO!$A:$D, 4, 0)</f>
        <v>7.0000000000000007E-2</v>
      </c>
      <c r="AC1195" s="25">
        <f t="shared" si="173"/>
        <v>94648.405765097545</v>
      </c>
      <c r="AD1195" s="25">
        <f t="shared" si="174"/>
        <v>88261.696281113633</v>
      </c>
      <c r="AE1195" s="25">
        <f t="shared" si="175"/>
        <v>83548.271749870968</v>
      </c>
      <c r="AF1195" s="25">
        <f t="shared" si="176"/>
        <v>88275.219008386353</v>
      </c>
      <c r="AG1195" s="25">
        <f t="shared" si="177"/>
        <v>88243.855372022721</v>
      </c>
      <c r="AH1195" s="25">
        <f t="shared" si="178"/>
        <v>88241.469008386368</v>
      </c>
      <c r="AI1195" s="25">
        <f t="shared" si="179"/>
        <v>83880.422287505382</v>
      </c>
    </row>
    <row r="1196" spans="1:35" ht="15.75" customHeight="1">
      <c r="A1196" s="12" t="s">
        <v>924</v>
      </c>
      <c r="B1196" s="12" t="s">
        <v>925</v>
      </c>
      <c r="C1196" s="12" t="s">
        <v>296</v>
      </c>
      <c r="D1196" s="12" t="s">
        <v>33</v>
      </c>
      <c r="E1196" s="12" t="s">
        <v>23</v>
      </c>
      <c r="F1196" s="13">
        <v>918.99999999999989</v>
      </c>
      <c r="G1196" s="14">
        <v>296027.08754146338</v>
      </c>
      <c r="H1196" s="24" t="str">
        <f t="shared" si="172"/>
        <v>SPSP</v>
      </c>
      <c r="I1196" s="24" t="str">
        <f t="shared" si="180"/>
        <v>SPMG</v>
      </c>
      <c r="J1196" s="24" t="str">
        <f t="shared" si="180"/>
        <v>SPES</v>
      </c>
      <c r="K1196" s="24" t="str">
        <f t="shared" si="180"/>
        <v>SPSC</v>
      </c>
      <c r="L1196" s="24" t="str">
        <f t="shared" si="180"/>
        <v>SPRJ</v>
      </c>
      <c r="M1196" s="24" t="str">
        <f t="shared" si="180"/>
        <v>SPPR</v>
      </c>
      <c r="N1196" s="24" t="str">
        <f t="shared" si="180"/>
        <v>SPAM</v>
      </c>
      <c r="O1196" s="24">
        <f>VLOOKUP(H1196, KM!$A:$E, 5, 0)</f>
        <v>0</v>
      </c>
      <c r="P1196" s="24">
        <f>VLOOKUP(I1196, KM!$A:$E, 5, 0)</f>
        <v>586</v>
      </c>
      <c r="Q1196" s="24">
        <f>VLOOKUP(J1196, KM!$A:$E, 5, 0)</f>
        <v>882</v>
      </c>
      <c r="R1196" s="24">
        <f>VLOOKUP(K1196, KM!$A:$E, 5, 0)</f>
        <v>705</v>
      </c>
      <c r="S1196" s="24">
        <f>VLOOKUP(L1196, KM!$A:$E, 5, 0)</f>
        <v>429</v>
      </c>
      <c r="T1196" s="24">
        <f>VLOOKUP(M1196, KM!$A:$E, 5, 0)</f>
        <v>408</v>
      </c>
      <c r="U1196" s="24">
        <f>VLOOKUP(N1196, KM!$A:$E, 5, 0)</f>
        <v>3971</v>
      </c>
      <c r="V1196" s="24">
        <f>VLOOKUP(H1196, IMPOSTO!$A:$D, 4, 0)</f>
        <v>0.18</v>
      </c>
      <c r="W1196" s="24">
        <f>VLOOKUP(I1196, IMPOSTO!$A:$D, 4, 0)</f>
        <v>0.12</v>
      </c>
      <c r="X1196" s="24">
        <f>VLOOKUP(J1196, IMPOSTO!$A:$D, 4, 0)</f>
        <v>7.0000000000000007E-2</v>
      </c>
      <c r="Y1196" s="24">
        <f>VLOOKUP(K1196, IMPOSTO!$A:$D, 4, 0)</f>
        <v>0.12</v>
      </c>
      <c r="Z1196" s="24">
        <f>VLOOKUP(L1196, IMPOSTO!$A:$D, 4, 0)</f>
        <v>0.12</v>
      </c>
      <c r="AA1196" s="24">
        <f>VLOOKUP(M1196, IMPOSTO!$A:$D, 4, 0)</f>
        <v>0.12</v>
      </c>
      <c r="AB1196" s="24">
        <f>VLOOKUP(N1196, IMPOSTO!$A:$D, 4, 0)</f>
        <v>7.0000000000000007E-2</v>
      </c>
      <c r="AC1196" s="25">
        <f t="shared" si="173"/>
        <v>361008.643343248</v>
      </c>
      <c r="AD1196" s="25">
        <f t="shared" si="174"/>
        <v>336461.00856984471</v>
      </c>
      <c r="AE1196" s="25">
        <f t="shared" si="175"/>
        <v>318403.53499082086</v>
      </c>
      <c r="AF1196" s="25">
        <f t="shared" si="176"/>
        <v>336474.53129711747</v>
      </c>
      <c r="AG1196" s="25">
        <f t="shared" si="177"/>
        <v>336443.16766075388</v>
      </c>
      <c r="AH1196" s="25">
        <f t="shared" si="178"/>
        <v>336440.78129711747</v>
      </c>
      <c r="AI1196" s="25">
        <f t="shared" si="179"/>
        <v>318735.68552845524</v>
      </c>
    </row>
    <row r="1197" spans="1:35" ht="15.75" customHeight="1">
      <c r="A1197" s="12" t="s">
        <v>926</v>
      </c>
      <c r="B1197" s="12" t="s">
        <v>927</v>
      </c>
      <c r="C1197" s="12" t="s">
        <v>296</v>
      </c>
      <c r="D1197" s="12" t="s">
        <v>33</v>
      </c>
      <c r="E1197" s="12" t="s">
        <v>23</v>
      </c>
      <c r="F1197" s="13">
        <v>519</v>
      </c>
      <c r="G1197" s="14">
        <v>250921.28171900823</v>
      </c>
      <c r="H1197" s="24" t="str">
        <f t="shared" si="172"/>
        <v>SPSP</v>
      </c>
      <c r="I1197" s="24" t="str">
        <f t="shared" si="180"/>
        <v>SPMG</v>
      </c>
      <c r="J1197" s="24" t="str">
        <f t="shared" si="180"/>
        <v>SPES</v>
      </c>
      <c r="K1197" s="24" t="str">
        <f t="shared" si="180"/>
        <v>SPSC</v>
      </c>
      <c r="L1197" s="24" t="str">
        <f t="shared" si="180"/>
        <v>SPRJ</v>
      </c>
      <c r="M1197" s="24" t="str">
        <f t="shared" si="180"/>
        <v>SPPR</v>
      </c>
      <c r="N1197" s="24" t="str">
        <f t="shared" si="180"/>
        <v>SPAM</v>
      </c>
      <c r="O1197" s="24">
        <f>VLOOKUP(H1197, KM!$A:$E, 5, 0)</f>
        <v>0</v>
      </c>
      <c r="P1197" s="24">
        <f>VLOOKUP(I1197, KM!$A:$E, 5, 0)</f>
        <v>586</v>
      </c>
      <c r="Q1197" s="24">
        <f>VLOOKUP(J1197, KM!$A:$E, 5, 0)</f>
        <v>882</v>
      </c>
      <c r="R1197" s="24">
        <f>VLOOKUP(K1197, KM!$A:$E, 5, 0)</f>
        <v>705</v>
      </c>
      <c r="S1197" s="24">
        <f>VLOOKUP(L1197, KM!$A:$E, 5, 0)</f>
        <v>429</v>
      </c>
      <c r="T1197" s="24">
        <f>VLOOKUP(M1197, KM!$A:$E, 5, 0)</f>
        <v>408</v>
      </c>
      <c r="U1197" s="24">
        <f>VLOOKUP(N1197, KM!$A:$E, 5, 0)</f>
        <v>3971</v>
      </c>
      <c r="V1197" s="24">
        <f>VLOOKUP(H1197, IMPOSTO!$A:$D, 4, 0)</f>
        <v>0.18</v>
      </c>
      <c r="W1197" s="24">
        <f>VLOOKUP(I1197, IMPOSTO!$A:$D, 4, 0)</f>
        <v>0.12</v>
      </c>
      <c r="X1197" s="24">
        <f>VLOOKUP(J1197, IMPOSTO!$A:$D, 4, 0)</f>
        <v>7.0000000000000007E-2</v>
      </c>
      <c r="Y1197" s="24">
        <f>VLOOKUP(K1197, IMPOSTO!$A:$D, 4, 0)</f>
        <v>0.12</v>
      </c>
      <c r="Z1197" s="24">
        <f>VLOOKUP(L1197, IMPOSTO!$A:$D, 4, 0)</f>
        <v>0.12</v>
      </c>
      <c r="AA1197" s="24">
        <f>VLOOKUP(M1197, IMPOSTO!$A:$D, 4, 0)</f>
        <v>0.12</v>
      </c>
      <c r="AB1197" s="24">
        <f>VLOOKUP(N1197, IMPOSTO!$A:$D, 4, 0)</f>
        <v>7.0000000000000007E-2</v>
      </c>
      <c r="AC1197" s="25">
        <f t="shared" si="173"/>
        <v>306001.56307196122</v>
      </c>
      <c r="AD1197" s="25">
        <f t="shared" si="174"/>
        <v>285204.41104432754</v>
      </c>
      <c r="AE1197" s="25">
        <f t="shared" si="175"/>
        <v>269902.66851506266</v>
      </c>
      <c r="AF1197" s="25">
        <f t="shared" si="176"/>
        <v>285217.93377160025</v>
      </c>
      <c r="AG1197" s="25">
        <f t="shared" si="177"/>
        <v>285186.5701352366</v>
      </c>
      <c r="AH1197" s="25">
        <f t="shared" si="178"/>
        <v>285184.18377160025</v>
      </c>
      <c r="AI1197" s="25">
        <f t="shared" si="179"/>
        <v>270234.81905269704</v>
      </c>
    </row>
    <row r="1198" spans="1:35" ht="15.75" customHeight="1">
      <c r="A1198" s="12" t="s">
        <v>928</v>
      </c>
      <c r="B1198" s="12" t="s">
        <v>929</v>
      </c>
      <c r="C1198" s="12" t="s">
        <v>122</v>
      </c>
      <c r="D1198" s="12" t="s">
        <v>33</v>
      </c>
      <c r="E1198" s="12" t="s">
        <v>23</v>
      </c>
      <c r="F1198" s="13">
        <v>3</v>
      </c>
      <c r="G1198" s="14">
        <v>221.37750000000003</v>
      </c>
      <c r="H1198" s="24" t="str">
        <f t="shared" si="172"/>
        <v>SPSP</v>
      </c>
      <c r="I1198" s="24" t="str">
        <f t="shared" si="180"/>
        <v>SPMG</v>
      </c>
      <c r="J1198" s="24" t="str">
        <f t="shared" si="180"/>
        <v>SPES</v>
      </c>
      <c r="K1198" s="24" t="str">
        <f t="shared" si="180"/>
        <v>SPSC</v>
      </c>
      <c r="L1198" s="24" t="str">
        <f t="shared" si="180"/>
        <v>SPRJ</v>
      </c>
      <c r="M1198" s="24" t="str">
        <f t="shared" si="180"/>
        <v>SPPR</v>
      </c>
      <c r="N1198" s="24" t="str">
        <f t="shared" si="180"/>
        <v>SPAM</v>
      </c>
      <c r="O1198" s="24">
        <f>VLOOKUP(H1198, KM!$A:$E, 5, 0)</f>
        <v>0</v>
      </c>
      <c r="P1198" s="24">
        <f>VLOOKUP(I1198, KM!$A:$E, 5, 0)</f>
        <v>586</v>
      </c>
      <c r="Q1198" s="24">
        <f>VLOOKUP(J1198, KM!$A:$E, 5, 0)</f>
        <v>882</v>
      </c>
      <c r="R1198" s="24">
        <f>VLOOKUP(K1198, KM!$A:$E, 5, 0)</f>
        <v>705</v>
      </c>
      <c r="S1198" s="24">
        <f>VLOOKUP(L1198, KM!$A:$E, 5, 0)</f>
        <v>429</v>
      </c>
      <c r="T1198" s="24">
        <f>VLOOKUP(M1198, KM!$A:$E, 5, 0)</f>
        <v>408</v>
      </c>
      <c r="U1198" s="24">
        <f>VLOOKUP(N1198, KM!$A:$E, 5, 0)</f>
        <v>3971</v>
      </c>
      <c r="V1198" s="24">
        <f>VLOOKUP(H1198, IMPOSTO!$A:$D, 4, 0)</f>
        <v>0.18</v>
      </c>
      <c r="W1198" s="24">
        <f>VLOOKUP(I1198, IMPOSTO!$A:$D, 4, 0)</f>
        <v>0.12</v>
      </c>
      <c r="X1198" s="24">
        <f>VLOOKUP(J1198, IMPOSTO!$A:$D, 4, 0)</f>
        <v>7.0000000000000007E-2</v>
      </c>
      <c r="Y1198" s="24">
        <f>VLOOKUP(K1198, IMPOSTO!$A:$D, 4, 0)</f>
        <v>0.12</v>
      </c>
      <c r="Z1198" s="24">
        <f>VLOOKUP(L1198, IMPOSTO!$A:$D, 4, 0)</f>
        <v>0.12</v>
      </c>
      <c r="AA1198" s="24">
        <f>VLOOKUP(M1198, IMPOSTO!$A:$D, 4, 0)</f>
        <v>0.12</v>
      </c>
      <c r="AB1198" s="24">
        <f>VLOOKUP(N1198, IMPOSTO!$A:$D, 4, 0)</f>
        <v>7.0000000000000007E-2</v>
      </c>
      <c r="AC1198" s="25">
        <f t="shared" si="173"/>
        <v>269.97256097560978</v>
      </c>
      <c r="AD1198" s="25">
        <f t="shared" si="174"/>
        <v>318.15625</v>
      </c>
      <c r="AE1198" s="25">
        <f t="shared" si="175"/>
        <v>332.87903225806457</v>
      </c>
      <c r="AF1198" s="25">
        <f t="shared" si="176"/>
        <v>331.67897727272731</v>
      </c>
      <c r="AG1198" s="25">
        <f t="shared" si="177"/>
        <v>300.31534090909093</v>
      </c>
      <c r="AH1198" s="25">
        <f t="shared" si="178"/>
        <v>297.92897727272731</v>
      </c>
      <c r="AI1198" s="25">
        <f t="shared" si="179"/>
        <v>665.02956989247321</v>
      </c>
    </row>
    <row r="1199" spans="1:35" ht="15.75" customHeight="1">
      <c r="A1199" s="12" t="s">
        <v>930</v>
      </c>
      <c r="B1199" s="12" t="s">
        <v>931</v>
      </c>
      <c r="C1199" s="12" t="s">
        <v>81</v>
      </c>
      <c r="D1199" s="12" t="s">
        <v>50</v>
      </c>
      <c r="E1199" s="12" t="s">
        <v>23</v>
      </c>
      <c r="F1199" s="13">
        <v>26.025641025641026</v>
      </c>
      <c r="G1199" s="14">
        <v>2295.1194871794874</v>
      </c>
      <c r="H1199" s="24" t="str">
        <f t="shared" si="172"/>
        <v>SPSP</v>
      </c>
      <c r="I1199" s="24" t="str">
        <f t="shared" si="180"/>
        <v>SPMG</v>
      </c>
      <c r="J1199" s="24" t="str">
        <f t="shared" si="180"/>
        <v>SPES</v>
      </c>
      <c r="K1199" s="24" t="str">
        <f t="shared" si="180"/>
        <v>SPSC</v>
      </c>
      <c r="L1199" s="24" t="str">
        <f t="shared" si="180"/>
        <v>SPRJ</v>
      </c>
      <c r="M1199" s="24" t="str">
        <f t="shared" si="180"/>
        <v>SPPR</v>
      </c>
      <c r="N1199" s="24" t="str">
        <f t="shared" si="180"/>
        <v>SPAM</v>
      </c>
      <c r="O1199" s="24">
        <f>VLOOKUP(H1199, KM!$A:$E, 5, 0)</f>
        <v>0</v>
      </c>
      <c r="P1199" s="24">
        <f>VLOOKUP(I1199, KM!$A:$E, 5, 0)</f>
        <v>586</v>
      </c>
      <c r="Q1199" s="24">
        <f>VLOOKUP(J1199, KM!$A:$E, 5, 0)</f>
        <v>882</v>
      </c>
      <c r="R1199" s="24">
        <f>VLOOKUP(K1199, KM!$A:$E, 5, 0)</f>
        <v>705</v>
      </c>
      <c r="S1199" s="24">
        <f>VLOOKUP(L1199, KM!$A:$E, 5, 0)</f>
        <v>429</v>
      </c>
      <c r="T1199" s="24">
        <f>VLOOKUP(M1199, KM!$A:$E, 5, 0)</f>
        <v>408</v>
      </c>
      <c r="U1199" s="24">
        <f>VLOOKUP(N1199, KM!$A:$E, 5, 0)</f>
        <v>3971</v>
      </c>
      <c r="V1199" s="24">
        <f>VLOOKUP(H1199, IMPOSTO!$A:$D, 4, 0)</f>
        <v>0.18</v>
      </c>
      <c r="W1199" s="24">
        <f>VLOOKUP(I1199, IMPOSTO!$A:$D, 4, 0)</f>
        <v>0.12</v>
      </c>
      <c r="X1199" s="24">
        <f>VLOOKUP(J1199, IMPOSTO!$A:$D, 4, 0)</f>
        <v>7.0000000000000007E-2</v>
      </c>
      <c r="Y1199" s="24">
        <f>VLOOKUP(K1199, IMPOSTO!$A:$D, 4, 0)</f>
        <v>0.12</v>
      </c>
      <c r="Z1199" s="24">
        <f>VLOOKUP(L1199, IMPOSTO!$A:$D, 4, 0)</f>
        <v>0.12</v>
      </c>
      <c r="AA1199" s="24">
        <f>VLOOKUP(M1199, IMPOSTO!$A:$D, 4, 0)</f>
        <v>0.12</v>
      </c>
      <c r="AB1199" s="24">
        <f>VLOOKUP(N1199, IMPOSTO!$A:$D, 4, 0)</f>
        <v>7.0000000000000007E-2</v>
      </c>
      <c r="AC1199" s="25">
        <f t="shared" si="173"/>
        <v>2798.9262038774232</v>
      </c>
      <c r="AD1199" s="25">
        <f t="shared" si="174"/>
        <v>2674.6812354312356</v>
      </c>
      <c r="AE1199" s="25">
        <f t="shared" si="175"/>
        <v>2562.7091259994486</v>
      </c>
      <c r="AF1199" s="25">
        <f t="shared" si="176"/>
        <v>2688.203962703963</v>
      </c>
      <c r="AG1199" s="25">
        <f t="shared" si="177"/>
        <v>2656.8403263403266</v>
      </c>
      <c r="AH1199" s="25">
        <f t="shared" si="178"/>
        <v>2654.453962703963</v>
      </c>
      <c r="AI1199" s="25">
        <f t="shared" si="179"/>
        <v>2894.8596636338575</v>
      </c>
    </row>
    <row r="1200" spans="1:35" ht="15.75" customHeight="1">
      <c r="A1200" s="12" t="s">
        <v>841</v>
      </c>
      <c r="B1200" s="12" t="s">
        <v>842</v>
      </c>
      <c r="C1200" s="12" t="s">
        <v>192</v>
      </c>
      <c r="D1200" s="12" t="s">
        <v>50</v>
      </c>
      <c r="E1200" s="12" t="s">
        <v>23</v>
      </c>
      <c r="F1200" s="13">
        <v>16.783435294117648</v>
      </c>
      <c r="G1200" s="14">
        <v>315.60550760784309</v>
      </c>
      <c r="H1200" s="24" t="str">
        <f t="shared" si="172"/>
        <v>SPSP</v>
      </c>
      <c r="I1200" s="24" t="str">
        <f t="shared" si="180"/>
        <v>SPMG</v>
      </c>
      <c r="J1200" s="24" t="str">
        <f t="shared" si="180"/>
        <v>SPES</v>
      </c>
      <c r="K1200" s="24" t="str">
        <f t="shared" si="180"/>
        <v>SPSC</v>
      </c>
      <c r="L1200" s="24" t="str">
        <f t="shared" si="180"/>
        <v>SPRJ</v>
      </c>
      <c r="M1200" s="24" t="str">
        <f t="shared" si="180"/>
        <v>SPPR</v>
      </c>
      <c r="N1200" s="24" t="str">
        <f t="shared" si="180"/>
        <v>SPAM</v>
      </c>
      <c r="O1200" s="24">
        <f>VLOOKUP(H1200, KM!$A:$E, 5, 0)</f>
        <v>0</v>
      </c>
      <c r="P1200" s="24">
        <f>VLOOKUP(I1200, KM!$A:$E, 5, 0)</f>
        <v>586</v>
      </c>
      <c r="Q1200" s="24">
        <f>VLOOKUP(J1200, KM!$A:$E, 5, 0)</f>
        <v>882</v>
      </c>
      <c r="R1200" s="24">
        <f>VLOOKUP(K1200, KM!$A:$E, 5, 0)</f>
        <v>705</v>
      </c>
      <c r="S1200" s="24">
        <f>VLOOKUP(L1200, KM!$A:$E, 5, 0)</f>
        <v>429</v>
      </c>
      <c r="T1200" s="24">
        <f>VLOOKUP(M1200, KM!$A:$E, 5, 0)</f>
        <v>408</v>
      </c>
      <c r="U1200" s="24">
        <f>VLOOKUP(N1200, KM!$A:$E, 5, 0)</f>
        <v>3971</v>
      </c>
      <c r="V1200" s="24">
        <f>VLOOKUP(H1200, IMPOSTO!$A:$D, 4, 0)</f>
        <v>0.18</v>
      </c>
      <c r="W1200" s="24">
        <f>VLOOKUP(I1200, IMPOSTO!$A:$D, 4, 0)</f>
        <v>0.12</v>
      </c>
      <c r="X1200" s="24">
        <f>VLOOKUP(J1200, IMPOSTO!$A:$D, 4, 0)</f>
        <v>7.0000000000000007E-2</v>
      </c>
      <c r="Y1200" s="24">
        <f>VLOOKUP(K1200, IMPOSTO!$A:$D, 4, 0)</f>
        <v>0.12</v>
      </c>
      <c r="Z1200" s="24">
        <f>VLOOKUP(L1200, IMPOSTO!$A:$D, 4, 0)</f>
        <v>0.12</v>
      </c>
      <c r="AA1200" s="24">
        <f>VLOOKUP(M1200, IMPOSTO!$A:$D, 4, 0)</f>
        <v>0.12</v>
      </c>
      <c r="AB1200" s="24">
        <f>VLOOKUP(N1200, IMPOSTO!$A:$D, 4, 0)</f>
        <v>7.0000000000000007E-2</v>
      </c>
      <c r="AC1200" s="25">
        <f t="shared" si="173"/>
        <v>384.8847653754184</v>
      </c>
      <c r="AD1200" s="25">
        <f t="shared" si="174"/>
        <v>425.23353137254901</v>
      </c>
      <c r="AE1200" s="25">
        <f t="shared" si="175"/>
        <v>434.19947054606786</v>
      </c>
      <c r="AF1200" s="25">
        <f t="shared" si="176"/>
        <v>438.75625864527626</v>
      </c>
      <c r="AG1200" s="25">
        <f t="shared" si="177"/>
        <v>407.39262228163994</v>
      </c>
      <c r="AH1200" s="25">
        <f t="shared" si="178"/>
        <v>405.00625864527626</v>
      </c>
      <c r="AI1200" s="25">
        <f t="shared" si="179"/>
        <v>766.35000818047661</v>
      </c>
    </row>
    <row r="1201" spans="1:35" ht="15.75" customHeight="1">
      <c r="A1201" s="12" t="s">
        <v>932</v>
      </c>
      <c r="B1201" s="12" t="s">
        <v>933</v>
      </c>
      <c r="C1201" s="12" t="s">
        <v>259</v>
      </c>
      <c r="D1201" s="12" t="s">
        <v>50</v>
      </c>
      <c r="E1201" s="12" t="s">
        <v>23</v>
      </c>
      <c r="F1201" s="13">
        <v>0.24565243902439027</v>
      </c>
      <c r="G1201" s="14">
        <v>20.918728707317072</v>
      </c>
      <c r="H1201" s="24" t="str">
        <f t="shared" si="172"/>
        <v>SPSP</v>
      </c>
      <c r="I1201" s="24" t="str">
        <f t="shared" si="180"/>
        <v>SPMG</v>
      </c>
      <c r="J1201" s="24" t="str">
        <f t="shared" si="180"/>
        <v>SPES</v>
      </c>
      <c r="K1201" s="24" t="str">
        <f t="shared" si="180"/>
        <v>SPSC</v>
      </c>
      <c r="L1201" s="24" t="str">
        <f t="shared" si="180"/>
        <v>SPRJ</v>
      </c>
      <c r="M1201" s="24" t="str">
        <f t="shared" si="180"/>
        <v>SPPR</v>
      </c>
      <c r="N1201" s="24" t="str">
        <f t="shared" si="180"/>
        <v>SPAM</v>
      </c>
      <c r="O1201" s="24">
        <f>VLOOKUP(H1201, KM!$A:$E, 5, 0)</f>
        <v>0</v>
      </c>
      <c r="P1201" s="24">
        <f>VLOOKUP(I1201, KM!$A:$E, 5, 0)</f>
        <v>586</v>
      </c>
      <c r="Q1201" s="24">
        <f>VLOOKUP(J1201, KM!$A:$E, 5, 0)</f>
        <v>882</v>
      </c>
      <c r="R1201" s="24">
        <f>VLOOKUP(K1201, KM!$A:$E, 5, 0)</f>
        <v>705</v>
      </c>
      <c r="S1201" s="24">
        <f>VLOOKUP(L1201, KM!$A:$E, 5, 0)</f>
        <v>429</v>
      </c>
      <c r="T1201" s="24">
        <f>VLOOKUP(M1201, KM!$A:$E, 5, 0)</f>
        <v>408</v>
      </c>
      <c r="U1201" s="24">
        <f>VLOOKUP(N1201, KM!$A:$E, 5, 0)</f>
        <v>3971</v>
      </c>
      <c r="V1201" s="24">
        <f>VLOOKUP(H1201, IMPOSTO!$A:$D, 4, 0)</f>
        <v>0.18</v>
      </c>
      <c r="W1201" s="24">
        <f>VLOOKUP(I1201, IMPOSTO!$A:$D, 4, 0)</f>
        <v>0.12</v>
      </c>
      <c r="X1201" s="24">
        <f>VLOOKUP(J1201, IMPOSTO!$A:$D, 4, 0)</f>
        <v>7.0000000000000007E-2</v>
      </c>
      <c r="Y1201" s="24">
        <f>VLOOKUP(K1201, IMPOSTO!$A:$D, 4, 0)</f>
        <v>0.12</v>
      </c>
      <c r="Z1201" s="24">
        <f>VLOOKUP(L1201, IMPOSTO!$A:$D, 4, 0)</f>
        <v>0.12</v>
      </c>
      <c r="AA1201" s="24">
        <f>VLOOKUP(M1201, IMPOSTO!$A:$D, 4, 0)</f>
        <v>0.12</v>
      </c>
      <c r="AB1201" s="24">
        <f>VLOOKUP(N1201, IMPOSTO!$A:$D, 4, 0)</f>
        <v>7.0000000000000007E-2</v>
      </c>
      <c r="AC1201" s="25">
        <f t="shared" si="173"/>
        <v>25.510644765020817</v>
      </c>
      <c r="AD1201" s="25">
        <f t="shared" si="174"/>
        <v>90.362191712860323</v>
      </c>
      <c r="AE1201" s="25">
        <f t="shared" si="175"/>
        <v>117.33196635195385</v>
      </c>
      <c r="AF1201" s="25">
        <f t="shared" si="176"/>
        <v>103.88491898558757</v>
      </c>
      <c r="AG1201" s="25">
        <f t="shared" si="177"/>
        <v>72.521282621951229</v>
      </c>
      <c r="AH1201" s="25">
        <f t="shared" si="178"/>
        <v>70.134918985587589</v>
      </c>
      <c r="AI1201" s="25">
        <f t="shared" si="179"/>
        <v>449.48250398636253</v>
      </c>
    </row>
    <row r="1202" spans="1:35" ht="15.75" customHeight="1">
      <c r="A1202" s="12" t="s">
        <v>294</v>
      </c>
      <c r="B1202" s="12" t="s">
        <v>295</v>
      </c>
      <c r="C1202" s="12" t="s">
        <v>296</v>
      </c>
      <c r="D1202" s="12" t="s">
        <v>33</v>
      </c>
      <c r="E1202" s="12" t="s">
        <v>23</v>
      </c>
      <c r="F1202" s="13">
        <v>136.4585803261358</v>
      </c>
      <c r="G1202" s="14">
        <v>1382.1165781596135</v>
      </c>
      <c r="H1202" s="24" t="str">
        <f t="shared" si="172"/>
        <v>SPSP</v>
      </c>
      <c r="I1202" s="24" t="str">
        <f t="shared" si="180"/>
        <v>SPMG</v>
      </c>
      <c r="J1202" s="24" t="str">
        <f t="shared" si="180"/>
        <v>SPES</v>
      </c>
      <c r="K1202" s="24" t="str">
        <f t="shared" si="180"/>
        <v>SPSC</v>
      </c>
      <c r="L1202" s="24" t="str">
        <f t="shared" si="180"/>
        <v>SPRJ</v>
      </c>
      <c r="M1202" s="24" t="str">
        <f t="shared" si="180"/>
        <v>SPPR</v>
      </c>
      <c r="N1202" s="24" t="str">
        <f t="shared" si="180"/>
        <v>SPAM</v>
      </c>
      <c r="O1202" s="24">
        <f>VLOOKUP(H1202, KM!$A:$E, 5, 0)</f>
        <v>0</v>
      </c>
      <c r="P1202" s="24">
        <f>VLOOKUP(I1202, KM!$A:$E, 5, 0)</f>
        <v>586</v>
      </c>
      <c r="Q1202" s="24">
        <f>VLOOKUP(J1202, KM!$A:$E, 5, 0)</f>
        <v>882</v>
      </c>
      <c r="R1202" s="24">
        <f>VLOOKUP(K1202, KM!$A:$E, 5, 0)</f>
        <v>705</v>
      </c>
      <c r="S1202" s="24">
        <f>VLOOKUP(L1202, KM!$A:$E, 5, 0)</f>
        <v>429</v>
      </c>
      <c r="T1202" s="24">
        <f>VLOOKUP(M1202, KM!$A:$E, 5, 0)</f>
        <v>408</v>
      </c>
      <c r="U1202" s="24">
        <f>VLOOKUP(N1202, KM!$A:$E, 5, 0)</f>
        <v>3971</v>
      </c>
      <c r="V1202" s="24">
        <f>VLOOKUP(H1202, IMPOSTO!$A:$D, 4, 0)</f>
        <v>0.18</v>
      </c>
      <c r="W1202" s="24">
        <f>VLOOKUP(I1202, IMPOSTO!$A:$D, 4, 0)</f>
        <v>0.12</v>
      </c>
      <c r="X1202" s="24">
        <f>VLOOKUP(J1202, IMPOSTO!$A:$D, 4, 0)</f>
        <v>7.0000000000000007E-2</v>
      </c>
      <c r="Y1202" s="24">
        <f>VLOOKUP(K1202, IMPOSTO!$A:$D, 4, 0)</f>
        <v>0.12</v>
      </c>
      <c r="Z1202" s="24">
        <f>VLOOKUP(L1202, IMPOSTO!$A:$D, 4, 0)</f>
        <v>0.12</v>
      </c>
      <c r="AA1202" s="24">
        <f>VLOOKUP(M1202, IMPOSTO!$A:$D, 4, 0)</f>
        <v>0.12</v>
      </c>
      <c r="AB1202" s="24">
        <f>VLOOKUP(N1202, IMPOSTO!$A:$D, 4, 0)</f>
        <v>7.0000000000000007E-2</v>
      </c>
      <c r="AC1202" s="25">
        <f t="shared" si="173"/>
        <v>1685.50802214587</v>
      </c>
      <c r="AD1202" s="25">
        <f t="shared" si="174"/>
        <v>1637.1779297268333</v>
      </c>
      <c r="AE1202" s="25">
        <f t="shared" si="175"/>
        <v>1580.985567913563</v>
      </c>
      <c r="AF1202" s="25">
        <f t="shared" si="176"/>
        <v>1650.7006569995608</v>
      </c>
      <c r="AG1202" s="25">
        <f t="shared" si="177"/>
        <v>1619.3370206359245</v>
      </c>
      <c r="AH1202" s="25">
        <f t="shared" si="178"/>
        <v>1616.9506569995608</v>
      </c>
      <c r="AI1202" s="25">
        <f t="shared" si="179"/>
        <v>1913.1361055479717</v>
      </c>
    </row>
    <row r="1203" spans="1:35" ht="15.75" customHeight="1">
      <c r="A1203" s="12" t="s">
        <v>90</v>
      </c>
      <c r="B1203" s="12" t="s">
        <v>91</v>
      </c>
      <c r="C1203" s="12" t="s">
        <v>63</v>
      </c>
      <c r="D1203" s="12" t="s">
        <v>33</v>
      </c>
      <c r="E1203" s="12" t="s">
        <v>23</v>
      </c>
      <c r="F1203" s="13">
        <v>4.9468270647639784E-2</v>
      </c>
      <c r="G1203" s="14">
        <v>1.0586640077470111</v>
      </c>
      <c r="H1203" s="24" t="str">
        <f t="shared" si="172"/>
        <v>SPSP</v>
      </c>
      <c r="I1203" s="24" t="str">
        <f t="shared" si="180"/>
        <v>SPMG</v>
      </c>
      <c r="J1203" s="24" t="str">
        <f t="shared" si="180"/>
        <v>SPES</v>
      </c>
      <c r="K1203" s="24" t="str">
        <f t="shared" si="180"/>
        <v>SPSC</v>
      </c>
      <c r="L1203" s="24" t="str">
        <f t="shared" si="180"/>
        <v>SPRJ</v>
      </c>
      <c r="M1203" s="24" t="str">
        <f t="shared" si="180"/>
        <v>SPPR</v>
      </c>
      <c r="N1203" s="24" t="str">
        <f t="shared" si="180"/>
        <v>SPAM</v>
      </c>
      <c r="O1203" s="24">
        <f>VLOOKUP(H1203, KM!$A:$E, 5, 0)</f>
        <v>0</v>
      </c>
      <c r="P1203" s="24">
        <f>VLOOKUP(I1203, KM!$A:$E, 5, 0)</f>
        <v>586</v>
      </c>
      <c r="Q1203" s="24">
        <f>VLOOKUP(J1203, KM!$A:$E, 5, 0)</f>
        <v>882</v>
      </c>
      <c r="R1203" s="24">
        <f>VLOOKUP(K1203, KM!$A:$E, 5, 0)</f>
        <v>705</v>
      </c>
      <c r="S1203" s="24">
        <f>VLOOKUP(L1203, KM!$A:$E, 5, 0)</f>
        <v>429</v>
      </c>
      <c r="T1203" s="24">
        <f>VLOOKUP(M1203, KM!$A:$E, 5, 0)</f>
        <v>408</v>
      </c>
      <c r="U1203" s="24">
        <f>VLOOKUP(N1203, KM!$A:$E, 5, 0)</f>
        <v>3971</v>
      </c>
      <c r="V1203" s="24">
        <f>VLOOKUP(H1203, IMPOSTO!$A:$D, 4, 0)</f>
        <v>0.18</v>
      </c>
      <c r="W1203" s="24">
        <f>VLOOKUP(I1203, IMPOSTO!$A:$D, 4, 0)</f>
        <v>0.12</v>
      </c>
      <c r="X1203" s="24">
        <f>VLOOKUP(J1203, IMPOSTO!$A:$D, 4, 0)</f>
        <v>7.0000000000000007E-2</v>
      </c>
      <c r="Y1203" s="24">
        <f>VLOOKUP(K1203, IMPOSTO!$A:$D, 4, 0)</f>
        <v>0.12</v>
      </c>
      <c r="Z1203" s="24">
        <f>VLOOKUP(L1203, IMPOSTO!$A:$D, 4, 0)</f>
        <v>0.12</v>
      </c>
      <c r="AA1203" s="24">
        <f>VLOOKUP(M1203, IMPOSTO!$A:$D, 4, 0)</f>
        <v>0.12</v>
      </c>
      <c r="AB1203" s="24">
        <f>VLOOKUP(N1203, IMPOSTO!$A:$D, 4, 0)</f>
        <v>7.0000000000000007E-2</v>
      </c>
      <c r="AC1203" s="25">
        <f t="shared" si="173"/>
        <v>1.2910536679841598</v>
      </c>
      <c r="AD1203" s="25">
        <f t="shared" si="174"/>
        <v>67.793936372439788</v>
      </c>
      <c r="AE1203" s="25">
        <f t="shared" si="175"/>
        <v>95.977058072846262</v>
      </c>
      <c r="AF1203" s="25">
        <f t="shared" si="176"/>
        <v>81.316663645167054</v>
      </c>
      <c r="AG1203" s="25">
        <f t="shared" si="177"/>
        <v>49.953027281530701</v>
      </c>
      <c r="AH1203" s="25">
        <f t="shared" si="178"/>
        <v>47.566663645167061</v>
      </c>
      <c r="AI1203" s="25">
        <f t="shared" si="179"/>
        <v>428.1275957072549</v>
      </c>
    </row>
    <row r="1204" spans="1:35" ht="15.75" customHeight="1">
      <c r="A1204" s="12" t="s">
        <v>934</v>
      </c>
      <c r="B1204" s="12" t="s">
        <v>935</v>
      </c>
      <c r="C1204" s="12" t="s">
        <v>936</v>
      </c>
      <c r="D1204" s="12" t="s">
        <v>50</v>
      </c>
      <c r="E1204" s="12" t="s">
        <v>23</v>
      </c>
      <c r="F1204" s="13">
        <v>1.984E-2</v>
      </c>
      <c r="G1204" s="14">
        <v>0.687168</v>
      </c>
      <c r="H1204" s="24" t="str">
        <f t="shared" si="172"/>
        <v>SPSP</v>
      </c>
      <c r="I1204" s="24" t="str">
        <f t="shared" si="180"/>
        <v>SPMG</v>
      </c>
      <c r="J1204" s="24" t="str">
        <f t="shared" si="180"/>
        <v>SPES</v>
      </c>
      <c r="K1204" s="24" t="str">
        <f t="shared" si="180"/>
        <v>SPSC</v>
      </c>
      <c r="L1204" s="24" t="str">
        <f t="shared" si="180"/>
        <v>SPRJ</v>
      </c>
      <c r="M1204" s="24" t="str">
        <f t="shared" si="180"/>
        <v>SPPR</v>
      </c>
      <c r="N1204" s="24" t="str">
        <f t="shared" si="180"/>
        <v>SPAM</v>
      </c>
      <c r="O1204" s="24">
        <f>VLOOKUP(H1204, KM!$A:$E, 5, 0)</f>
        <v>0</v>
      </c>
      <c r="P1204" s="24">
        <f>VLOOKUP(I1204, KM!$A:$E, 5, 0)</f>
        <v>586</v>
      </c>
      <c r="Q1204" s="24">
        <f>VLOOKUP(J1204, KM!$A:$E, 5, 0)</f>
        <v>882</v>
      </c>
      <c r="R1204" s="24">
        <f>VLOOKUP(K1204, KM!$A:$E, 5, 0)</f>
        <v>705</v>
      </c>
      <c r="S1204" s="24">
        <f>VLOOKUP(L1204, KM!$A:$E, 5, 0)</f>
        <v>429</v>
      </c>
      <c r="T1204" s="24">
        <f>VLOOKUP(M1204, KM!$A:$E, 5, 0)</f>
        <v>408</v>
      </c>
      <c r="U1204" s="24">
        <f>VLOOKUP(N1204, KM!$A:$E, 5, 0)</f>
        <v>3971</v>
      </c>
      <c r="V1204" s="24">
        <f>VLOOKUP(H1204, IMPOSTO!$A:$D, 4, 0)</f>
        <v>0.18</v>
      </c>
      <c r="W1204" s="24">
        <f>VLOOKUP(I1204, IMPOSTO!$A:$D, 4, 0)</f>
        <v>0.12</v>
      </c>
      <c r="X1204" s="24">
        <f>VLOOKUP(J1204, IMPOSTO!$A:$D, 4, 0)</f>
        <v>7.0000000000000007E-2</v>
      </c>
      <c r="Y1204" s="24">
        <f>VLOOKUP(K1204, IMPOSTO!$A:$D, 4, 0)</f>
        <v>0.12</v>
      </c>
      <c r="Z1204" s="24">
        <f>VLOOKUP(L1204, IMPOSTO!$A:$D, 4, 0)</f>
        <v>0.12</v>
      </c>
      <c r="AA1204" s="24">
        <f>VLOOKUP(M1204, IMPOSTO!$A:$D, 4, 0)</f>
        <v>0.12</v>
      </c>
      <c r="AB1204" s="24">
        <f>VLOOKUP(N1204, IMPOSTO!$A:$D, 4, 0)</f>
        <v>7.0000000000000007E-2</v>
      </c>
      <c r="AC1204" s="25">
        <f t="shared" si="173"/>
        <v>0.8380097560975609</v>
      </c>
      <c r="AD1204" s="25">
        <f t="shared" si="174"/>
        <v>67.371781818181816</v>
      </c>
      <c r="AE1204" s="25">
        <f t="shared" si="175"/>
        <v>95.577600000000004</v>
      </c>
      <c r="AF1204" s="25">
        <f t="shared" si="176"/>
        <v>80.894509090909096</v>
      </c>
      <c r="AG1204" s="25">
        <f t="shared" si="177"/>
        <v>49.530872727272737</v>
      </c>
      <c r="AH1204" s="25">
        <f t="shared" si="178"/>
        <v>47.144509090909096</v>
      </c>
      <c r="AI1204" s="25">
        <f t="shared" si="179"/>
        <v>427.72813763440865</v>
      </c>
    </row>
    <row r="1205" spans="1:35" ht="15.75" customHeight="1">
      <c r="A1205" s="12" t="s">
        <v>263</v>
      </c>
      <c r="B1205" s="12" t="s">
        <v>264</v>
      </c>
      <c r="C1205" s="12" t="s">
        <v>265</v>
      </c>
      <c r="D1205" s="12" t="s">
        <v>50</v>
      </c>
      <c r="E1205" s="12" t="s">
        <v>23</v>
      </c>
      <c r="F1205" s="13">
        <v>1.0349966760458476</v>
      </c>
      <c r="G1205" s="14">
        <v>7.000584955623486</v>
      </c>
      <c r="H1205" s="24" t="str">
        <f t="shared" si="172"/>
        <v>SPSP</v>
      </c>
      <c r="I1205" s="24" t="str">
        <f t="shared" si="180"/>
        <v>SPMG</v>
      </c>
      <c r="J1205" s="24" t="str">
        <f t="shared" si="180"/>
        <v>SPES</v>
      </c>
      <c r="K1205" s="24" t="str">
        <f t="shared" si="180"/>
        <v>SPSC</v>
      </c>
      <c r="L1205" s="24" t="str">
        <f t="shared" si="180"/>
        <v>SPRJ</v>
      </c>
      <c r="M1205" s="24" t="str">
        <f t="shared" si="180"/>
        <v>SPPR</v>
      </c>
      <c r="N1205" s="24" t="str">
        <f t="shared" si="180"/>
        <v>SPAM</v>
      </c>
      <c r="O1205" s="24">
        <f>VLOOKUP(H1205, KM!$A:$E, 5, 0)</f>
        <v>0</v>
      </c>
      <c r="P1205" s="24">
        <f>VLOOKUP(I1205, KM!$A:$E, 5, 0)</f>
        <v>586</v>
      </c>
      <c r="Q1205" s="24">
        <f>VLOOKUP(J1205, KM!$A:$E, 5, 0)</f>
        <v>882</v>
      </c>
      <c r="R1205" s="24">
        <f>VLOOKUP(K1205, KM!$A:$E, 5, 0)</f>
        <v>705</v>
      </c>
      <c r="S1205" s="24">
        <f>VLOOKUP(L1205, KM!$A:$E, 5, 0)</f>
        <v>429</v>
      </c>
      <c r="T1205" s="24">
        <f>VLOOKUP(M1205, KM!$A:$E, 5, 0)</f>
        <v>408</v>
      </c>
      <c r="U1205" s="24">
        <f>VLOOKUP(N1205, KM!$A:$E, 5, 0)</f>
        <v>3971</v>
      </c>
      <c r="V1205" s="24">
        <f>VLOOKUP(H1205, IMPOSTO!$A:$D, 4, 0)</f>
        <v>0.18</v>
      </c>
      <c r="W1205" s="24">
        <f>VLOOKUP(I1205, IMPOSTO!$A:$D, 4, 0)</f>
        <v>0.12</v>
      </c>
      <c r="X1205" s="24">
        <f>VLOOKUP(J1205, IMPOSTO!$A:$D, 4, 0)</f>
        <v>7.0000000000000007E-2</v>
      </c>
      <c r="Y1205" s="24">
        <f>VLOOKUP(K1205, IMPOSTO!$A:$D, 4, 0)</f>
        <v>0.12</v>
      </c>
      <c r="Z1205" s="24">
        <f>VLOOKUP(L1205, IMPOSTO!$A:$D, 4, 0)</f>
        <v>0.12</v>
      </c>
      <c r="AA1205" s="24">
        <f>VLOOKUP(M1205, IMPOSTO!$A:$D, 4, 0)</f>
        <v>0.12</v>
      </c>
      <c r="AB1205" s="24">
        <f>VLOOKUP(N1205, IMPOSTO!$A:$D, 4, 0)</f>
        <v>7.0000000000000007E-2</v>
      </c>
      <c r="AC1205" s="25">
        <f t="shared" si="173"/>
        <v>8.5372987263701035</v>
      </c>
      <c r="AD1205" s="25">
        <f t="shared" si="174"/>
        <v>74.546119267753966</v>
      </c>
      <c r="AE1205" s="25">
        <f t="shared" si="175"/>
        <v>102.36622038239085</v>
      </c>
      <c r="AF1205" s="25">
        <f t="shared" si="176"/>
        <v>88.068846540481232</v>
      </c>
      <c r="AG1205" s="25">
        <f t="shared" si="177"/>
        <v>56.705210176844879</v>
      </c>
      <c r="AH1205" s="25">
        <f t="shared" si="178"/>
        <v>54.318846540481239</v>
      </c>
      <c r="AI1205" s="25">
        <f t="shared" si="179"/>
        <v>434.51675801679949</v>
      </c>
    </row>
    <row r="1206" spans="1:35" ht="15.75" customHeight="1">
      <c r="A1206" s="12" t="s">
        <v>937</v>
      </c>
      <c r="B1206" s="12" t="s">
        <v>938</v>
      </c>
      <c r="C1206" s="12" t="s">
        <v>169</v>
      </c>
      <c r="D1206" s="12" t="s">
        <v>33</v>
      </c>
      <c r="E1206" s="12" t="s">
        <v>23</v>
      </c>
      <c r="F1206" s="13">
        <v>355</v>
      </c>
      <c r="G1206" s="14">
        <v>387.37600000000003</v>
      </c>
      <c r="H1206" s="24" t="str">
        <f t="shared" si="172"/>
        <v>SPSP</v>
      </c>
      <c r="I1206" s="24" t="str">
        <f t="shared" si="180"/>
        <v>SPMG</v>
      </c>
      <c r="J1206" s="24" t="str">
        <f t="shared" si="180"/>
        <v>SPES</v>
      </c>
      <c r="K1206" s="24" t="str">
        <f t="shared" si="180"/>
        <v>SPSC</v>
      </c>
      <c r="L1206" s="24" t="str">
        <f t="shared" si="180"/>
        <v>SPRJ</v>
      </c>
      <c r="M1206" s="24" t="str">
        <f t="shared" si="180"/>
        <v>SPPR</v>
      </c>
      <c r="N1206" s="24" t="str">
        <f t="shared" si="180"/>
        <v>SPAM</v>
      </c>
      <c r="O1206" s="24">
        <f>VLOOKUP(H1206, KM!$A:$E, 5, 0)</f>
        <v>0</v>
      </c>
      <c r="P1206" s="24">
        <f>VLOOKUP(I1206, KM!$A:$E, 5, 0)</f>
        <v>586</v>
      </c>
      <c r="Q1206" s="24">
        <f>VLOOKUP(J1206, KM!$A:$E, 5, 0)</f>
        <v>882</v>
      </c>
      <c r="R1206" s="24">
        <f>VLOOKUP(K1206, KM!$A:$E, 5, 0)</f>
        <v>705</v>
      </c>
      <c r="S1206" s="24">
        <f>VLOOKUP(L1206, KM!$A:$E, 5, 0)</f>
        <v>429</v>
      </c>
      <c r="T1206" s="24">
        <f>VLOOKUP(M1206, KM!$A:$E, 5, 0)</f>
        <v>408</v>
      </c>
      <c r="U1206" s="24">
        <f>VLOOKUP(N1206, KM!$A:$E, 5, 0)</f>
        <v>3971</v>
      </c>
      <c r="V1206" s="24">
        <f>VLOOKUP(H1206, IMPOSTO!$A:$D, 4, 0)</f>
        <v>0.18</v>
      </c>
      <c r="W1206" s="24">
        <f>VLOOKUP(I1206, IMPOSTO!$A:$D, 4, 0)</f>
        <v>0.12</v>
      </c>
      <c r="X1206" s="24">
        <f>VLOOKUP(J1206, IMPOSTO!$A:$D, 4, 0)</f>
        <v>7.0000000000000007E-2</v>
      </c>
      <c r="Y1206" s="24">
        <f>VLOOKUP(K1206, IMPOSTO!$A:$D, 4, 0)</f>
        <v>0.12</v>
      </c>
      <c r="Z1206" s="24">
        <f>VLOOKUP(L1206, IMPOSTO!$A:$D, 4, 0)</f>
        <v>0.12</v>
      </c>
      <c r="AA1206" s="24">
        <f>VLOOKUP(M1206, IMPOSTO!$A:$D, 4, 0)</f>
        <v>0.12</v>
      </c>
      <c r="AB1206" s="24">
        <f>VLOOKUP(N1206, IMPOSTO!$A:$D, 4, 0)</f>
        <v>7.0000000000000007E-2</v>
      </c>
      <c r="AC1206" s="25">
        <f t="shared" si="173"/>
        <v>472.409756097561</v>
      </c>
      <c r="AD1206" s="25">
        <f t="shared" si="174"/>
        <v>506.79090909090917</v>
      </c>
      <c r="AE1206" s="25">
        <f t="shared" si="175"/>
        <v>511.37204301075275</v>
      </c>
      <c r="AF1206" s="25">
        <f t="shared" si="176"/>
        <v>520.31363636363642</v>
      </c>
      <c r="AG1206" s="25">
        <f t="shared" si="177"/>
        <v>488.9500000000001</v>
      </c>
      <c r="AH1206" s="25">
        <f t="shared" si="178"/>
        <v>486.56363636363642</v>
      </c>
      <c r="AI1206" s="25">
        <f t="shared" si="179"/>
        <v>843.5225806451615</v>
      </c>
    </row>
    <row r="1207" spans="1:35" ht="15.75" customHeight="1">
      <c r="A1207" s="12" t="s">
        <v>939</v>
      </c>
      <c r="B1207" s="12" t="s">
        <v>940</v>
      </c>
      <c r="C1207" s="12" t="s">
        <v>936</v>
      </c>
      <c r="D1207" s="12" t="s">
        <v>50</v>
      </c>
      <c r="E1207" s="12" t="s">
        <v>23</v>
      </c>
      <c r="F1207" s="13">
        <v>576.99648703589548</v>
      </c>
      <c r="G1207" s="14">
        <v>15720.210412100419</v>
      </c>
      <c r="H1207" s="24" t="str">
        <f t="shared" si="172"/>
        <v>SPSP</v>
      </c>
      <c r="I1207" s="24" t="str">
        <f t="shared" si="180"/>
        <v>SPMG</v>
      </c>
      <c r="J1207" s="24" t="str">
        <f t="shared" si="180"/>
        <v>SPES</v>
      </c>
      <c r="K1207" s="24" t="str">
        <f t="shared" si="180"/>
        <v>SPSC</v>
      </c>
      <c r="L1207" s="24" t="str">
        <f t="shared" si="180"/>
        <v>SPRJ</v>
      </c>
      <c r="M1207" s="24" t="str">
        <f t="shared" si="180"/>
        <v>SPPR</v>
      </c>
      <c r="N1207" s="24" t="str">
        <f t="shared" si="180"/>
        <v>SPAM</v>
      </c>
      <c r="O1207" s="24">
        <f>VLOOKUP(H1207, KM!$A:$E, 5, 0)</f>
        <v>0</v>
      </c>
      <c r="P1207" s="24">
        <f>VLOOKUP(I1207, KM!$A:$E, 5, 0)</f>
        <v>586</v>
      </c>
      <c r="Q1207" s="24">
        <f>VLOOKUP(J1207, KM!$A:$E, 5, 0)</f>
        <v>882</v>
      </c>
      <c r="R1207" s="24">
        <f>VLOOKUP(K1207, KM!$A:$E, 5, 0)</f>
        <v>705</v>
      </c>
      <c r="S1207" s="24">
        <f>VLOOKUP(L1207, KM!$A:$E, 5, 0)</f>
        <v>429</v>
      </c>
      <c r="T1207" s="24">
        <f>VLOOKUP(M1207, KM!$A:$E, 5, 0)</f>
        <v>408</v>
      </c>
      <c r="U1207" s="24">
        <f>VLOOKUP(N1207, KM!$A:$E, 5, 0)</f>
        <v>3971</v>
      </c>
      <c r="V1207" s="24">
        <f>VLOOKUP(H1207, IMPOSTO!$A:$D, 4, 0)</f>
        <v>0.18</v>
      </c>
      <c r="W1207" s="24">
        <f>VLOOKUP(I1207, IMPOSTO!$A:$D, 4, 0)</f>
        <v>0.12</v>
      </c>
      <c r="X1207" s="24">
        <f>VLOOKUP(J1207, IMPOSTO!$A:$D, 4, 0)</f>
        <v>7.0000000000000007E-2</v>
      </c>
      <c r="Y1207" s="24">
        <f>VLOOKUP(K1207, IMPOSTO!$A:$D, 4, 0)</f>
        <v>0.12</v>
      </c>
      <c r="Z1207" s="24">
        <f>VLOOKUP(L1207, IMPOSTO!$A:$D, 4, 0)</f>
        <v>0.12</v>
      </c>
      <c r="AA1207" s="24">
        <f>VLOOKUP(M1207, IMPOSTO!$A:$D, 4, 0)</f>
        <v>0.12</v>
      </c>
      <c r="AB1207" s="24">
        <f>VLOOKUP(N1207, IMPOSTO!$A:$D, 4, 0)</f>
        <v>7.0000000000000007E-2</v>
      </c>
      <c r="AC1207" s="25">
        <f t="shared" si="173"/>
        <v>19170.988307439533</v>
      </c>
      <c r="AD1207" s="25">
        <f t="shared" si="174"/>
        <v>17930.466377386841</v>
      </c>
      <c r="AE1207" s="25">
        <f t="shared" si="175"/>
        <v>16998.290765699378</v>
      </c>
      <c r="AF1207" s="25">
        <f t="shared" si="176"/>
        <v>17943.989104659566</v>
      </c>
      <c r="AG1207" s="25">
        <f t="shared" si="177"/>
        <v>17912.62546829593</v>
      </c>
      <c r="AH1207" s="25">
        <f t="shared" si="178"/>
        <v>17910.239104659566</v>
      </c>
      <c r="AI1207" s="25">
        <f t="shared" si="179"/>
        <v>17330.441303333784</v>
      </c>
    </row>
    <row r="1208" spans="1:35" ht="15.75" customHeight="1">
      <c r="A1208" s="12" t="s">
        <v>294</v>
      </c>
      <c r="B1208" s="12" t="s">
        <v>295</v>
      </c>
      <c r="C1208" s="12" t="s">
        <v>296</v>
      </c>
      <c r="D1208" s="12" t="s">
        <v>33</v>
      </c>
      <c r="E1208" s="12" t="s">
        <v>23</v>
      </c>
      <c r="F1208" s="13">
        <v>0</v>
      </c>
      <c r="G1208" s="14">
        <v>0</v>
      </c>
      <c r="H1208" s="24" t="str">
        <f t="shared" si="172"/>
        <v>SPSP</v>
      </c>
      <c r="I1208" s="24" t="str">
        <f t="shared" si="180"/>
        <v>SPMG</v>
      </c>
      <c r="J1208" s="24" t="str">
        <f t="shared" si="180"/>
        <v>SPES</v>
      </c>
      <c r="K1208" s="24" t="str">
        <f t="shared" si="180"/>
        <v>SPSC</v>
      </c>
      <c r="L1208" s="24" t="str">
        <f t="shared" si="180"/>
        <v>SPRJ</v>
      </c>
      <c r="M1208" s="24" t="str">
        <f t="shared" si="180"/>
        <v>SPPR</v>
      </c>
      <c r="N1208" s="24" t="str">
        <f t="shared" si="180"/>
        <v>SPAM</v>
      </c>
      <c r="O1208" s="24">
        <f>VLOOKUP(H1208, KM!$A:$E, 5, 0)</f>
        <v>0</v>
      </c>
      <c r="P1208" s="24">
        <f>VLOOKUP(I1208, KM!$A:$E, 5, 0)</f>
        <v>586</v>
      </c>
      <c r="Q1208" s="24">
        <f>VLOOKUP(J1208, KM!$A:$E, 5, 0)</f>
        <v>882</v>
      </c>
      <c r="R1208" s="24">
        <f>VLOOKUP(K1208, KM!$A:$E, 5, 0)</f>
        <v>705</v>
      </c>
      <c r="S1208" s="24">
        <f>VLOOKUP(L1208, KM!$A:$E, 5, 0)</f>
        <v>429</v>
      </c>
      <c r="T1208" s="24">
        <f>VLOOKUP(M1208, KM!$A:$E, 5, 0)</f>
        <v>408</v>
      </c>
      <c r="U1208" s="24">
        <f>VLOOKUP(N1208, KM!$A:$E, 5, 0)</f>
        <v>3971</v>
      </c>
      <c r="V1208" s="24">
        <f>VLOOKUP(H1208, IMPOSTO!$A:$D, 4, 0)</f>
        <v>0.18</v>
      </c>
      <c r="W1208" s="24">
        <f>VLOOKUP(I1208, IMPOSTO!$A:$D, 4, 0)</f>
        <v>0.12</v>
      </c>
      <c r="X1208" s="24">
        <f>VLOOKUP(J1208, IMPOSTO!$A:$D, 4, 0)</f>
        <v>7.0000000000000007E-2</v>
      </c>
      <c r="Y1208" s="24">
        <f>VLOOKUP(K1208, IMPOSTO!$A:$D, 4, 0)</f>
        <v>0.12</v>
      </c>
      <c r="Z1208" s="24">
        <f>VLOOKUP(L1208, IMPOSTO!$A:$D, 4, 0)</f>
        <v>0.12</v>
      </c>
      <c r="AA1208" s="24">
        <f>VLOOKUP(M1208, IMPOSTO!$A:$D, 4, 0)</f>
        <v>0.12</v>
      </c>
      <c r="AB1208" s="24">
        <f>VLOOKUP(N1208, IMPOSTO!$A:$D, 4, 0)</f>
        <v>7.0000000000000007E-2</v>
      </c>
      <c r="AC1208" s="25">
        <f t="shared" si="173"/>
        <v>0</v>
      </c>
      <c r="AD1208" s="25">
        <f t="shared" si="174"/>
        <v>66.590909090909093</v>
      </c>
      <c r="AE1208" s="25">
        <f t="shared" si="175"/>
        <v>94.838709677419359</v>
      </c>
      <c r="AF1208" s="25">
        <f t="shared" si="176"/>
        <v>80.11363636363636</v>
      </c>
      <c r="AG1208" s="25">
        <f t="shared" si="177"/>
        <v>48.750000000000007</v>
      </c>
      <c r="AH1208" s="25">
        <f t="shared" si="178"/>
        <v>46.363636363636367</v>
      </c>
      <c r="AI1208" s="25">
        <f t="shared" si="179"/>
        <v>426.98924731182802</v>
      </c>
    </row>
    <row r="1209" spans="1:35" ht="15.75" customHeight="1">
      <c r="A1209" s="12" t="s">
        <v>294</v>
      </c>
      <c r="B1209" s="12" t="s">
        <v>295</v>
      </c>
      <c r="C1209" s="12" t="s">
        <v>296</v>
      </c>
      <c r="D1209" s="12" t="s">
        <v>33</v>
      </c>
      <c r="E1209" s="12" t="s">
        <v>23</v>
      </c>
      <c r="F1209" s="13">
        <v>0</v>
      </c>
      <c r="G1209" s="14">
        <v>0</v>
      </c>
      <c r="H1209" s="24" t="str">
        <f t="shared" si="172"/>
        <v>SPSP</v>
      </c>
      <c r="I1209" s="24" t="str">
        <f t="shared" si="180"/>
        <v>SPMG</v>
      </c>
      <c r="J1209" s="24" t="str">
        <f t="shared" si="180"/>
        <v>SPES</v>
      </c>
      <c r="K1209" s="24" t="str">
        <f t="shared" si="180"/>
        <v>SPSC</v>
      </c>
      <c r="L1209" s="24" t="str">
        <f t="shared" si="180"/>
        <v>SPRJ</v>
      </c>
      <c r="M1209" s="24" t="str">
        <f t="shared" si="180"/>
        <v>SPPR</v>
      </c>
      <c r="N1209" s="24" t="str">
        <f t="shared" si="180"/>
        <v>SPAM</v>
      </c>
      <c r="O1209" s="24">
        <f>VLOOKUP(H1209, KM!$A:$E, 5, 0)</f>
        <v>0</v>
      </c>
      <c r="P1209" s="24">
        <f>VLOOKUP(I1209, KM!$A:$E, 5, 0)</f>
        <v>586</v>
      </c>
      <c r="Q1209" s="24">
        <f>VLOOKUP(J1209, KM!$A:$E, 5, 0)</f>
        <v>882</v>
      </c>
      <c r="R1209" s="24">
        <f>VLOOKUP(K1209, KM!$A:$E, 5, 0)</f>
        <v>705</v>
      </c>
      <c r="S1209" s="24">
        <f>VLOOKUP(L1209, KM!$A:$E, 5, 0)</f>
        <v>429</v>
      </c>
      <c r="T1209" s="24">
        <f>VLOOKUP(M1209, KM!$A:$E, 5, 0)</f>
        <v>408</v>
      </c>
      <c r="U1209" s="24">
        <f>VLOOKUP(N1209, KM!$A:$E, 5, 0)</f>
        <v>3971</v>
      </c>
      <c r="V1209" s="24">
        <f>VLOOKUP(H1209, IMPOSTO!$A:$D, 4, 0)</f>
        <v>0.18</v>
      </c>
      <c r="W1209" s="24">
        <f>VLOOKUP(I1209, IMPOSTO!$A:$D, 4, 0)</f>
        <v>0.12</v>
      </c>
      <c r="X1209" s="24">
        <f>VLOOKUP(J1209, IMPOSTO!$A:$D, 4, 0)</f>
        <v>7.0000000000000007E-2</v>
      </c>
      <c r="Y1209" s="24">
        <f>VLOOKUP(K1209, IMPOSTO!$A:$D, 4, 0)</f>
        <v>0.12</v>
      </c>
      <c r="Z1209" s="24">
        <f>VLOOKUP(L1209, IMPOSTO!$A:$D, 4, 0)</f>
        <v>0.12</v>
      </c>
      <c r="AA1209" s="24">
        <f>VLOOKUP(M1209, IMPOSTO!$A:$D, 4, 0)</f>
        <v>0.12</v>
      </c>
      <c r="AB1209" s="24">
        <f>VLOOKUP(N1209, IMPOSTO!$A:$D, 4, 0)</f>
        <v>7.0000000000000007E-2</v>
      </c>
      <c r="AC1209" s="25">
        <f t="shared" si="173"/>
        <v>0</v>
      </c>
      <c r="AD1209" s="25">
        <f t="shared" si="174"/>
        <v>66.590909090909093</v>
      </c>
      <c r="AE1209" s="25">
        <f t="shared" si="175"/>
        <v>94.838709677419359</v>
      </c>
      <c r="AF1209" s="25">
        <f t="shared" si="176"/>
        <v>80.11363636363636</v>
      </c>
      <c r="AG1209" s="25">
        <f t="shared" si="177"/>
        <v>48.750000000000007</v>
      </c>
      <c r="AH1209" s="25">
        <f t="shared" si="178"/>
        <v>46.363636363636367</v>
      </c>
      <c r="AI1209" s="25">
        <f t="shared" si="179"/>
        <v>426.98924731182802</v>
      </c>
    </row>
    <row r="1210" spans="1:35" ht="15.75" customHeight="1">
      <c r="A1210" s="12" t="s">
        <v>70</v>
      </c>
      <c r="B1210" s="12" t="s">
        <v>71</v>
      </c>
      <c r="C1210" s="12" t="s">
        <v>54</v>
      </c>
      <c r="D1210" s="12" t="s">
        <v>33</v>
      </c>
      <c r="E1210" s="12" t="s">
        <v>23</v>
      </c>
      <c r="F1210" s="13">
        <v>1.6332298522818207</v>
      </c>
      <c r="G1210" s="14">
        <v>22.067206544853846</v>
      </c>
      <c r="H1210" s="24" t="str">
        <f t="shared" si="172"/>
        <v>SPSP</v>
      </c>
      <c r="I1210" s="24" t="str">
        <f t="shared" si="180"/>
        <v>SPMG</v>
      </c>
      <c r="J1210" s="24" t="str">
        <f t="shared" si="180"/>
        <v>SPES</v>
      </c>
      <c r="K1210" s="24" t="str">
        <f t="shared" si="180"/>
        <v>SPSC</v>
      </c>
      <c r="L1210" s="24" t="str">
        <f t="shared" si="180"/>
        <v>SPRJ</v>
      </c>
      <c r="M1210" s="24" t="str">
        <f t="shared" si="180"/>
        <v>SPPR</v>
      </c>
      <c r="N1210" s="24" t="str">
        <f t="shared" si="180"/>
        <v>SPAM</v>
      </c>
      <c r="O1210" s="24">
        <f>VLOOKUP(H1210, KM!$A:$E, 5, 0)</f>
        <v>0</v>
      </c>
      <c r="P1210" s="24">
        <f>VLOOKUP(I1210, KM!$A:$E, 5, 0)</f>
        <v>586</v>
      </c>
      <c r="Q1210" s="24">
        <f>VLOOKUP(J1210, KM!$A:$E, 5, 0)</f>
        <v>882</v>
      </c>
      <c r="R1210" s="24">
        <f>VLOOKUP(K1210, KM!$A:$E, 5, 0)</f>
        <v>705</v>
      </c>
      <c r="S1210" s="24">
        <f>VLOOKUP(L1210, KM!$A:$E, 5, 0)</f>
        <v>429</v>
      </c>
      <c r="T1210" s="24">
        <f>VLOOKUP(M1210, KM!$A:$E, 5, 0)</f>
        <v>408</v>
      </c>
      <c r="U1210" s="24">
        <f>VLOOKUP(N1210, KM!$A:$E, 5, 0)</f>
        <v>3971</v>
      </c>
      <c r="V1210" s="24">
        <f>VLOOKUP(H1210, IMPOSTO!$A:$D, 4, 0)</f>
        <v>0.18</v>
      </c>
      <c r="W1210" s="24">
        <f>VLOOKUP(I1210, IMPOSTO!$A:$D, 4, 0)</f>
        <v>0.12</v>
      </c>
      <c r="X1210" s="24">
        <f>VLOOKUP(J1210, IMPOSTO!$A:$D, 4, 0)</f>
        <v>7.0000000000000007E-2</v>
      </c>
      <c r="Y1210" s="24">
        <f>VLOOKUP(K1210, IMPOSTO!$A:$D, 4, 0)</f>
        <v>0.12</v>
      </c>
      <c r="Z1210" s="24">
        <f>VLOOKUP(L1210, IMPOSTO!$A:$D, 4, 0)</f>
        <v>0.12</v>
      </c>
      <c r="AA1210" s="24">
        <f>VLOOKUP(M1210, IMPOSTO!$A:$D, 4, 0)</f>
        <v>0.12</v>
      </c>
      <c r="AB1210" s="24">
        <f>VLOOKUP(N1210, IMPOSTO!$A:$D, 4, 0)</f>
        <v>7.0000000000000007E-2</v>
      </c>
      <c r="AC1210" s="25">
        <f t="shared" si="173"/>
        <v>26.911227493724201</v>
      </c>
      <c r="AD1210" s="25">
        <f t="shared" si="174"/>
        <v>91.667280164606652</v>
      </c>
      <c r="AE1210" s="25">
        <f t="shared" si="175"/>
        <v>118.56688875790738</v>
      </c>
      <c r="AF1210" s="25">
        <f t="shared" si="176"/>
        <v>105.19000743733392</v>
      </c>
      <c r="AG1210" s="25">
        <f t="shared" si="177"/>
        <v>73.826371073697558</v>
      </c>
      <c r="AH1210" s="25">
        <f t="shared" si="178"/>
        <v>71.440007437333918</v>
      </c>
      <c r="AI1210" s="25">
        <f t="shared" si="179"/>
        <v>450.71742639231599</v>
      </c>
    </row>
    <row r="1211" spans="1:35" ht="15.75" customHeight="1">
      <c r="A1211" s="12" t="s">
        <v>934</v>
      </c>
      <c r="B1211" s="12" t="s">
        <v>935</v>
      </c>
      <c r="C1211" s="12" t="s">
        <v>936</v>
      </c>
      <c r="D1211" s="12" t="s">
        <v>50</v>
      </c>
      <c r="E1211" s="12" t="s">
        <v>23</v>
      </c>
      <c r="F1211" s="13">
        <v>1.3268</v>
      </c>
      <c r="G1211" s="14">
        <v>45.954359999999994</v>
      </c>
      <c r="H1211" s="24" t="str">
        <f t="shared" si="172"/>
        <v>SPSP</v>
      </c>
      <c r="I1211" s="24" t="str">
        <f t="shared" si="180"/>
        <v>SPMG</v>
      </c>
      <c r="J1211" s="24" t="str">
        <f t="shared" si="180"/>
        <v>SPES</v>
      </c>
      <c r="K1211" s="24" t="str">
        <f t="shared" si="180"/>
        <v>SPSC</v>
      </c>
      <c r="L1211" s="24" t="str">
        <f t="shared" si="180"/>
        <v>SPRJ</v>
      </c>
      <c r="M1211" s="24" t="str">
        <f t="shared" si="180"/>
        <v>SPPR</v>
      </c>
      <c r="N1211" s="24" t="str">
        <f t="shared" si="180"/>
        <v>SPAM</v>
      </c>
      <c r="O1211" s="24">
        <f>VLOOKUP(H1211, KM!$A:$E, 5, 0)</f>
        <v>0</v>
      </c>
      <c r="P1211" s="24">
        <f>VLOOKUP(I1211, KM!$A:$E, 5, 0)</f>
        <v>586</v>
      </c>
      <c r="Q1211" s="24">
        <f>VLOOKUP(J1211, KM!$A:$E, 5, 0)</f>
        <v>882</v>
      </c>
      <c r="R1211" s="24">
        <f>VLOOKUP(K1211, KM!$A:$E, 5, 0)</f>
        <v>705</v>
      </c>
      <c r="S1211" s="24">
        <f>VLOOKUP(L1211, KM!$A:$E, 5, 0)</f>
        <v>429</v>
      </c>
      <c r="T1211" s="24">
        <f>VLOOKUP(M1211, KM!$A:$E, 5, 0)</f>
        <v>408</v>
      </c>
      <c r="U1211" s="24">
        <f>VLOOKUP(N1211, KM!$A:$E, 5, 0)</f>
        <v>3971</v>
      </c>
      <c r="V1211" s="24">
        <f>VLOOKUP(H1211, IMPOSTO!$A:$D, 4, 0)</f>
        <v>0.18</v>
      </c>
      <c r="W1211" s="24">
        <f>VLOOKUP(I1211, IMPOSTO!$A:$D, 4, 0)</f>
        <v>0.12</v>
      </c>
      <c r="X1211" s="24">
        <f>VLOOKUP(J1211, IMPOSTO!$A:$D, 4, 0)</f>
        <v>7.0000000000000007E-2</v>
      </c>
      <c r="Y1211" s="24">
        <f>VLOOKUP(K1211, IMPOSTO!$A:$D, 4, 0)</f>
        <v>0.12</v>
      </c>
      <c r="Z1211" s="24">
        <f>VLOOKUP(L1211, IMPOSTO!$A:$D, 4, 0)</f>
        <v>0.12</v>
      </c>
      <c r="AA1211" s="24">
        <f>VLOOKUP(M1211, IMPOSTO!$A:$D, 4, 0)</f>
        <v>0.12</v>
      </c>
      <c r="AB1211" s="24">
        <f>VLOOKUP(N1211, IMPOSTO!$A:$D, 4, 0)</f>
        <v>7.0000000000000007E-2</v>
      </c>
      <c r="AC1211" s="25">
        <f t="shared" si="173"/>
        <v>56.041902439024376</v>
      </c>
      <c r="AD1211" s="25">
        <f t="shared" si="174"/>
        <v>118.81177272727273</v>
      </c>
      <c r="AE1211" s="25">
        <f t="shared" si="175"/>
        <v>144.25200000000001</v>
      </c>
      <c r="AF1211" s="25">
        <f t="shared" si="176"/>
        <v>132.33449999999999</v>
      </c>
      <c r="AG1211" s="25">
        <f t="shared" si="177"/>
        <v>100.97086363636363</v>
      </c>
      <c r="AH1211" s="25">
        <f t="shared" si="178"/>
        <v>98.584499999999991</v>
      </c>
      <c r="AI1211" s="25">
        <f t="shared" si="179"/>
        <v>476.40253763440865</v>
      </c>
    </row>
    <row r="1212" spans="1:35" ht="15.75" customHeight="1">
      <c r="A1212" s="12" t="s">
        <v>263</v>
      </c>
      <c r="B1212" s="12" t="s">
        <v>264</v>
      </c>
      <c r="C1212" s="12" t="s">
        <v>265</v>
      </c>
      <c r="D1212" s="12" t="s">
        <v>50</v>
      </c>
      <c r="E1212" s="12" t="s">
        <v>23</v>
      </c>
      <c r="F1212" s="13">
        <v>0</v>
      </c>
      <c r="G1212" s="14">
        <v>0</v>
      </c>
      <c r="H1212" s="24" t="str">
        <f t="shared" si="172"/>
        <v>SPSP</v>
      </c>
      <c r="I1212" s="24" t="str">
        <f t="shared" si="180"/>
        <v>SPMG</v>
      </c>
      <c r="J1212" s="24" t="str">
        <f t="shared" si="180"/>
        <v>SPES</v>
      </c>
      <c r="K1212" s="24" t="str">
        <f t="shared" si="180"/>
        <v>SPSC</v>
      </c>
      <c r="L1212" s="24" t="str">
        <f t="shared" si="180"/>
        <v>SPRJ</v>
      </c>
      <c r="M1212" s="24" t="str">
        <f t="shared" si="180"/>
        <v>SPPR</v>
      </c>
      <c r="N1212" s="24" t="str">
        <f t="shared" si="180"/>
        <v>SPAM</v>
      </c>
      <c r="O1212" s="24">
        <f>VLOOKUP(H1212, KM!$A:$E, 5, 0)</f>
        <v>0</v>
      </c>
      <c r="P1212" s="24">
        <f>VLOOKUP(I1212, KM!$A:$E, 5, 0)</f>
        <v>586</v>
      </c>
      <c r="Q1212" s="24">
        <f>VLOOKUP(J1212, KM!$A:$E, 5, 0)</f>
        <v>882</v>
      </c>
      <c r="R1212" s="24">
        <f>VLOOKUP(K1212, KM!$A:$E, 5, 0)</f>
        <v>705</v>
      </c>
      <c r="S1212" s="24">
        <f>VLOOKUP(L1212, KM!$A:$E, 5, 0)</f>
        <v>429</v>
      </c>
      <c r="T1212" s="24">
        <f>VLOOKUP(M1212, KM!$A:$E, 5, 0)</f>
        <v>408</v>
      </c>
      <c r="U1212" s="24">
        <f>VLOOKUP(N1212, KM!$A:$E, 5, 0)</f>
        <v>3971</v>
      </c>
      <c r="V1212" s="24">
        <f>VLOOKUP(H1212, IMPOSTO!$A:$D, 4, 0)</f>
        <v>0.18</v>
      </c>
      <c r="W1212" s="24">
        <f>VLOOKUP(I1212, IMPOSTO!$A:$D, 4, 0)</f>
        <v>0.12</v>
      </c>
      <c r="X1212" s="24">
        <f>VLOOKUP(J1212, IMPOSTO!$A:$D, 4, 0)</f>
        <v>7.0000000000000007E-2</v>
      </c>
      <c r="Y1212" s="24">
        <f>VLOOKUP(K1212, IMPOSTO!$A:$D, 4, 0)</f>
        <v>0.12</v>
      </c>
      <c r="Z1212" s="24">
        <f>VLOOKUP(L1212, IMPOSTO!$A:$D, 4, 0)</f>
        <v>0.12</v>
      </c>
      <c r="AA1212" s="24">
        <f>VLOOKUP(M1212, IMPOSTO!$A:$D, 4, 0)</f>
        <v>0.12</v>
      </c>
      <c r="AB1212" s="24">
        <f>VLOOKUP(N1212, IMPOSTO!$A:$D, 4, 0)</f>
        <v>7.0000000000000007E-2</v>
      </c>
      <c r="AC1212" s="25">
        <f t="shared" si="173"/>
        <v>0</v>
      </c>
      <c r="AD1212" s="25">
        <f t="shared" si="174"/>
        <v>66.590909090909093</v>
      </c>
      <c r="AE1212" s="25">
        <f t="shared" si="175"/>
        <v>94.838709677419359</v>
      </c>
      <c r="AF1212" s="25">
        <f t="shared" si="176"/>
        <v>80.11363636363636</v>
      </c>
      <c r="AG1212" s="25">
        <f t="shared" si="177"/>
        <v>48.750000000000007</v>
      </c>
      <c r="AH1212" s="25">
        <f t="shared" si="178"/>
        <v>46.363636363636367</v>
      </c>
      <c r="AI1212" s="25">
        <f t="shared" si="179"/>
        <v>426.98924731182802</v>
      </c>
    </row>
    <row r="1213" spans="1:35" ht="15.75" customHeight="1">
      <c r="A1213" s="12" t="s">
        <v>941</v>
      </c>
      <c r="B1213" s="12" t="s">
        <v>942</v>
      </c>
      <c r="C1213" s="12" t="s">
        <v>936</v>
      </c>
      <c r="D1213" s="12" t="s">
        <v>50</v>
      </c>
      <c r="E1213" s="12" t="s">
        <v>23</v>
      </c>
      <c r="F1213" s="13">
        <v>0</v>
      </c>
      <c r="G1213" s="14">
        <v>0</v>
      </c>
      <c r="H1213" s="24" t="str">
        <f t="shared" si="172"/>
        <v>SPSP</v>
      </c>
      <c r="I1213" s="24" t="str">
        <f t="shared" si="180"/>
        <v>SPMG</v>
      </c>
      <c r="J1213" s="24" t="str">
        <f t="shared" si="180"/>
        <v>SPES</v>
      </c>
      <c r="K1213" s="24" t="str">
        <f t="shared" si="180"/>
        <v>SPSC</v>
      </c>
      <c r="L1213" s="24" t="str">
        <f t="shared" si="180"/>
        <v>SPRJ</v>
      </c>
      <c r="M1213" s="24" t="str">
        <f t="shared" si="180"/>
        <v>SPPR</v>
      </c>
      <c r="N1213" s="24" t="str">
        <f t="shared" si="180"/>
        <v>SPAM</v>
      </c>
      <c r="O1213" s="24">
        <f>VLOOKUP(H1213, KM!$A:$E, 5, 0)</f>
        <v>0</v>
      </c>
      <c r="P1213" s="24">
        <f>VLOOKUP(I1213, KM!$A:$E, 5, 0)</f>
        <v>586</v>
      </c>
      <c r="Q1213" s="24">
        <f>VLOOKUP(J1213, KM!$A:$E, 5, 0)</f>
        <v>882</v>
      </c>
      <c r="R1213" s="24">
        <f>VLOOKUP(K1213, KM!$A:$E, 5, 0)</f>
        <v>705</v>
      </c>
      <c r="S1213" s="24">
        <f>VLOOKUP(L1213, KM!$A:$E, 5, 0)</f>
        <v>429</v>
      </c>
      <c r="T1213" s="24">
        <f>VLOOKUP(M1213, KM!$A:$E, 5, 0)</f>
        <v>408</v>
      </c>
      <c r="U1213" s="24">
        <f>VLOOKUP(N1213, KM!$A:$E, 5, 0)</f>
        <v>3971</v>
      </c>
      <c r="V1213" s="24">
        <f>VLOOKUP(H1213, IMPOSTO!$A:$D, 4, 0)</f>
        <v>0.18</v>
      </c>
      <c r="W1213" s="24">
        <f>VLOOKUP(I1213, IMPOSTO!$A:$D, 4, 0)</f>
        <v>0.12</v>
      </c>
      <c r="X1213" s="24">
        <f>VLOOKUP(J1213, IMPOSTO!$A:$D, 4, 0)</f>
        <v>7.0000000000000007E-2</v>
      </c>
      <c r="Y1213" s="24">
        <f>VLOOKUP(K1213, IMPOSTO!$A:$D, 4, 0)</f>
        <v>0.12</v>
      </c>
      <c r="Z1213" s="24">
        <f>VLOOKUP(L1213, IMPOSTO!$A:$D, 4, 0)</f>
        <v>0.12</v>
      </c>
      <c r="AA1213" s="24">
        <f>VLOOKUP(M1213, IMPOSTO!$A:$D, 4, 0)</f>
        <v>0.12</v>
      </c>
      <c r="AB1213" s="24">
        <f>VLOOKUP(N1213, IMPOSTO!$A:$D, 4, 0)</f>
        <v>7.0000000000000007E-2</v>
      </c>
      <c r="AC1213" s="25">
        <f t="shared" si="173"/>
        <v>0</v>
      </c>
      <c r="AD1213" s="25">
        <f t="shared" si="174"/>
        <v>66.590909090909093</v>
      </c>
      <c r="AE1213" s="25">
        <f t="shared" si="175"/>
        <v>94.838709677419359</v>
      </c>
      <c r="AF1213" s="25">
        <f t="shared" si="176"/>
        <v>80.11363636363636</v>
      </c>
      <c r="AG1213" s="25">
        <f t="shared" si="177"/>
        <v>48.750000000000007</v>
      </c>
      <c r="AH1213" s="25">
        <f t="shared" si="178"/>
        <v>46.363636363636367</v>
      </c>
      <c r="AI1213" s="25">
        <f t="shared" si="179"/>
        <v>426.98924731182802</v>
      </c>
    </row>
    <row r="1214" spans="1:35" ht="15.75" customHeight="1">
      <c r="A1214" s="12" t="s">
        <v>304</v>
      </c>
      <c r="B1214" s="12" t="s">
        <v>305</v>
      </c>
      <c r="C1214" s="12" t="s">
        <v>169</v>
      </c>
      <c r="D1214" s="12" t="s">
        <v>33</v>
      </c>
      <c r="E1214" s="12" t="s">
        <v>23</v>
      </c>
      <c r="F1214" s="13">
        <v>32409.915025393158</v>
      </c>
      <c r="G1214" s="14">
        <v>9953.9028846818637</v>
      </c>
      <c r="H1214" s="24" t="str">
        <f t="shared" si="172"/>
        <v>SPSP</v>
      </c>
      <c r="I1214" s="24" t="str">
        <f t="shared" si="180"/>
        <v>SPMG</v>
      </c>
      <c r="J1214" s="24" t="str">
        <f t="shared" si="180"/>
        <v>SPES</v>
      </c>
      <c r="K1214" s="24" t="str">
        <f t="shared" si="180"/>
        <v>SPSC</v>
      </c>
      <c r="L1214" s="24" t="str">
        <f t="shared" si="180"/>
        <v>SPRJ</v>
      </c>
      <c r="M1214" s="24" t="str">
        <f t="shared" si="180"/>
        <v>SPPR</v>
      </c>
      <c r="N1214" s="24" t="str">
        <f t="shared" si="180"/>
        <v>SPAM</v>
      </c>
      <c r="O1214" s="24">
        <f>VLOOKUP(H1214, KM!$A:$E, 5, 0)</f>
        <v>0</v>
      </c>
      <c r="P1214" s="24">
        <f>VLOOKUP(I1214, KM!$A:$E, 5, 0)</f>
        <v>586</v>
      </c>
      <c r="Q1214" s="24">
        <f>VLOOKUP(J1214, KM!$A:$E, 5, 0)</f>
        <v>882</v>
      </c>
      <c r="R1214" s="24">
        <f>VLOOKUP(K1214, KM!$A:$E, 5, 0)</f>
        <v>705</v>
      </c>
      <c r="S1214" s="24">
        <f>VLOOKUP(L1214, KM!$A:$E, 5, 0)</f>
        <v>429</v>
      </c>
      <c r="T1214" s="24">
        <f>VLOOKUP(M1214, KM!$A:$E, 5, 0)</f>
        <v>408</v>
      </c>
      <c r="U1214" s="24">
        <f>VLOOKUP(N1214, KM!$A:$E, 5, 0)</f>
        <v>3971</v>
      </c>
      <c r="V1214" s="24">
        <f>VLOOKUP(H1214, IMPOSTO!$A:$D, 4, 0)</f>
        <v>0.18</v>
      </c>
      <c r="W1214" s="24">
        <f>VLOOKUP(I1214, IMPOSTO!$A:$D, 4, 0)</f>
        <v>0.12</v>
      </c>
      <c r="X1214" s="24">
        <f>VLOOKUP(J1214, IMPOSTO!$A:$D, 4, 0)</f>
        <v>7.0000000000000007E-2</v>
      </c>
      <c r="Y1214" s="24">
        <f>VLOOKUP(K1214, IMPOSTO!$A:$D, 4, 0)</f>
        <v>0.12</v>
      </c>
      <c r="Z1214" s="24">
        <f>VLOOKUP(L1214, IMPOSTO!$A:$D, 4, 0)</f>
        <v>0.12</v>
      </c>
      <c r="AA1214" s="24">
        <f>VLOOKUP(M1214, IMPOSTO!$A:$D, 4, 0)</f>
        <v>0.12</v>
      </c>
      <c r="AB1214" s="24">
        <f>VLOOKUP(N1214, IMPOSTO!$A:$D, 4, 0)</f>
        <v>7.0000000000000007E-2</v>
      </c>
      <c r="AC1214" s="25">
        <f t="shared" si="173"/>
        <v>12138.9059569291</v>
      </c>
      <c r="AD1214" s="25">
        <f t="shared" si="174"/>
        <v>11377.844187138482</v>
      </c>
      <c r="AE1214" s="25">
        <f t="shared" si="175"/>
        <v>10797.960091055769</v>
      </c>
      <c r="AF1214" s="25">
        <f t="shared" si="176"/>
        <v>11391.366914411208</v>
      </c>
      <c r="AG1214" s="25">
        <f t="shared" si="177"/>
        <v>11360.003278047572</v>
      </c>
      <c r="AH1214" s="25">
        <f t="shared" si="178"/>
        <v>11357.616914411208</v>
      </c>
      <c r="AI1214" s="25">
        <f t="shared" si="179"/>
        <v>11130.110628690178</v>
      </c>
    </row>
    <row r="1215" spans="1:35" ht="15.75" customHeight="1">
      <c r="A1215" s="12" t="s">
        <v>120</v>
      </c>
      <c r="B1215" s="12" t="s">
        <v>123</v>
      </c>
      <c r="C1215" s="12" t="s">
        <v>122</v>
      </c>
      <c r="D1215" s="12" t="s">
        <v>33</v>
      </c>
      <c r="E1215" s="12" t="s">
        <v>23</v>
      </c>
      <c r="F1215" s="13">
        <v>39.760909805931774</v>
      </c>
      <c r="G1215" s="14">
        <v>362.97122855530409</v>
      </c>
      <c r="H1215" s="24" t="str">
        <f t="shared" si="172"/>
        <v>SPSP</v>
      </c>
      <c r="I1215" s="24" t="str">
        <f t="shared" si="180"/>
        <v>SPMG</v>
      </c>
      <c r="J1215" s="24" t="str">
        <f t="shared" si="180"/>
        <v>SPES</v>
      </c>
      <c r="K1215" s="24" t="str">
        <f t="shared" si="180"/>
        <v>SPSC</v>
      </c>
      <c r="L1215" s="24" t="str">
        <f t="shared" si="180"/>
        <v>SPRJ</v>
      </c>
      <c r="M1215" s="24" t="str">
        <f t="shared" ref="I1215:N1278" si="181">$E1215 &amp; M$17</f>
        <v>SPPR</v>
      </c>
      <c r="N1215" s="24" t="str">
        <f t="shared" si="181"/>
        <v>SPAM</v>
      </c>
      <c r="O1215" s="24">
        <f>VLOOKUP(H1215, KM!$A:$E, 5, 0)</f>
        <v>0</v>
      </c>
      <c r="P1215" s="24">
        <f>VLOOKUP(I1215, KM!$A:$E, 5, 0)</f>
        <v>586</v>
      </c>
      <c r="Q1215" s="24">
        <f>VLOOKUP(J1215, KM!$A:$E, 5, 0)</f>
        <v>882</v>
      </c>
      <c r="R1215" s="24">
        <f>VLOOKUP(K1215, KM!$A:$E, 5, 0)</f>
        <v>705</v>
      </c>
      <c r="S1215" s="24">
        <f>VLOOKUP(L1215, KM!$A:$E, 5, 0)</f>
        <v>429</v>
      </c>
      <c r="T1215" s="24">
        <f>VLOOKUP(M1215, KM!$A:$E, 5, 0)</f>
        <v>408</v>
      </c>
      <c r="U1215" s="24">
        <f>VLOOKUP(N1215, KM!$A:$E, 5, 0)</f>
        <v>3971</v>
      </c>
      <c r="V1215" s="24">
        <f>VLOOKUP(H1215, IMPOSTO!$A:$D, 4, 0)</f>
        <v>0.18</v>
      </c>
      <c r="W1215" s="24">
        <f>VLOOKUP(I1215, IMPOSTO!$A:$D, 4, 0)</f>
        <v>0.12</v>
      </c>
      <c r="X1215" s="24">
        <f>VLOOKUP(J1215, IMPOSTO!$A:$D, 4, 0)</f>
        <v>7.0000000000000007E-2</v>
      </c>
      <c r="Y1215" s="24">
        <f>VLOOKUP(K1215, IMPOSTO!$A:$D, 4, 0)</f>
        <v>0.12</v>
      </c>
      <c r="Z1215" s="24">
        <f>VLOOKUP(L1215, IMPOSTO!$A:$D, 4, 0)</f>
        <v>0.12</v>
      </c>
      <c r="AA1215" s="24">
        <f>VLOOKUP(M1215, IMPOSTO!$A:$D, 4, 0)</f>
        <v>0.12</v>
      </c>
      <c r="AB1215" s="24">
        <f>VLOOKUP(N1215, IMPOSTO!$A:$D, 4, 0)</f>
        <v>7.0000000000000007E-2</v>
      </c>
      <c r="AC1215" s="25">
        <f t="shared" si="173"/>
        <v>442.64783970159033</v>
      </c>
      <c r="AD1215" s="25">
        <f t="shared" si="174"/>
        <v>479.05821426739107</v>
      </c>
      <c r="AE1215" s="25">
        <f t="shared" si="175"/>
        <v>485.13035328527326</v>
      </c>
      <c r="AF1215" s="25">
        <f t="shared" si="176"/>
        <v>492.58094154011826</v>
      </c>
      <c r="AG1215" s="25">
        <f t="shared" si="177"/>
        <v>461.21730517648194</v>
      </c>
      <c r="AH1215" s="25">
        <f t="shared" si="178"/>
        <v>458.83094154011832</v>
      </c>
      <c r="AI1215" s="25">
        <f t="shared" si="179"/>
        <v>817.28089091968184</v>
      </c>
    </row>
    <row r="1216" spans="1:35" ht="15.75" customHeight="1">
      <c r="A1216" s="12" t="s">
        <v>294</v>
      </c>
      <c r="B1216" s="12" t="s">
        <v>295</v>
      </c>
      <c r="C1216" s="12" t="s">
        <v>296</v>
      </c>
      <c r="D1216" s="12" t="s">
        <v>33</v>
      </c>
      <c r="E1216" s="12" t="s">
        <v>23</v>
      </c>
      <c r="F1216" s="13">
        <v>1.850675526478907</v>
      </c>
      <c r="G1216" s="14">
        <v>18.041612218026991</v>
      </c>
      <c r="H1216" s="24" t="str">
        <f t="shared" si="172"/>
        <v>SPSP</v>
      </c>
      <c r="I1216" s="24" t="str">
        <f t="shared" si="181"/>
        <v>SPMG</v>
      </c>
      <c r="J1216" s="24" t="str">
        <f t="shared" si="181"/>
        <v>SPES</v>
      </c>
      <c r="K1216" s="24" t="str">
        <f t="shared" si="181"/>
        <v>SPSC</v>
      </c>
      <c r="L1216" s="24" t="str">
        <f t="shared" si="181"/>
        <v>SPRJ</v>
      </c>
      <c r="M1216" s="24" t="str">
        <f t="shared" si="181"/>
        <v>SPPR</v>
      </c>
      <c r="N1216" s="24" t="str">
        <f t="shared" si="181"/>
        <v>SPAM</v>
      </c>
      <c r="O1216" s="24">
        <f>VLOOKUP(H1216, KM!$A:$E, 5, 0)</f>
        <v>0</v>
      </c>
      <c r="P1216" s="24">
        <f>VLOOKUP(I1216, KM!$A:$E, 5, 0)</f>
        <v>586</v>
      </c>
      <c r="Q1216" s="24">
        <f>VLOOKUP(J1216, KM!$A:$E, 5, 0)</f>
        <v>882</v>
      </c>
      <c r="R1216" s="24">
        <f>VLOOKUP(K1216, KM!$A:$E, 5, 0)</f>
        <v>705</v>
      </c>
      <c r="S1216" s="24">
        <f>VLOOKUP(L1216, KM!$A:$E, 5, 0)</f>
        <v>429</v>
      </c>
      <c r="T1216" s="24">
        <f>VLOOKUP(M1216, KM!$A:$E, 5, 0)</f>
        <v>408</v>
      </c>
      <c r="U1216" s="24">
        <f>VLOOKUP(N1216, KM!$A:$E, 5, 0)</f>
        <v>3971</v>
      </c>
      <c r="V1216" s="24">
        <f>VLOOKUP(H1216, IMPOSTO!$A:$D, 4, 0)</f>
        <v>0.18</v>
      </c>
      <c r="W1216" s="24">
        <f>VLOOKUP(I1216, IMPOSTO!$A:$D, 4, 0)</f>
        <v>0.12</v>
      </c>
      <c r="X1216" s="24">
        <f>VLOOKUP(J1216, IMPOSTO!$A:$D, 4, 0)</f>
        <v>7.0000000000000007E-2</v>
      </c>
      <c r="Y1216" s="24">
        <f>VLOOKUP(K1216, IMPOSTO!$A:$D, 4, 0)</f>
        <v>0.12</v>
      </c>
      <c r="Z1216" s="24">
        <f>VLOOKUP(L1216, IMPOSTO!$A:$D, 4, 0)</f>
        <v>0.12</v>
      </c>
      <c r="AA1216" s="24">
        <f>VLOOKUP(M1216, IMPOSTO!$A:$D, 4, 0)</f>
        <v>0.12</v>
      </c>
      <c r="AB1216" s="24">
        <f>VLOOKUP(N1216, IMPOSTO!$A:$D, 4, 0)</f>
        <v>7.0000000000000007E-2</v>
      </c>
      <c r="AC1216" s="25">
        <f t="shared" si="173"/>
        <v>22.001966119545109</v>
      </c>
      <c r="AD1216" s="25">
        <f t="shared" si="174"/>
        <v>87.092741156848859</v>
      </c>
      <c r="AE1216" s="25">
        <f t="shared" si="175"/>
        <v>114.23829270755593</v>
      </c>
      <c r="AF1216" s="25">
        <f t="shared" si="176"/>
        <v>100.61546842957611</v>
      </c>
      <c r="AG1216" s="25">
        <f t="shared" si="177"/>
        <v>69.251832065939766</v>
      </c>
      <c r="AH1216" s="25">
        <f t="shared" si="178"/>
        <v>66.865468429576126</v>
      </c>
      <c r="AI1216" s="25">
        <f t="shared" si="179"/>
        <v>446.38883034196459</v>
      </c>
    </row>
    <row r="1217" spans="1:35" ht="15.75" customHeight="1">
      <c r="A1217" s="12" t="s">
        <v>845</v>
      </c>
      <c r="B1217" s="12" t="s">
        <v>846</v>
      </c>
      <c r="C1217" s="12" t="s">
        <v>296</v>
      </c>
      <c r="D1217" s="12" t="s">
        <v>33</v>
      </c>
      <c r="E1217" s="12" t="s">
        <v>23</v>
      </c>
      <c r="F1217" s="13">
        <v>1323.4780090042159</v>
      </c>
      <c r="G1217" s="14">
        <v>27161.042079689545</v>
      </c>
      <c r="H1217" s="24" t="str">
        <f t="shared" si="172"/>
        <v>SPSP</v>
      </c>
      <c r="I1217" s="24" t="str">
        <f t="shared" si="181"/>
        <v>SPMG</v>
      </c>
      <c r="J1217" s="24" t="str">
        <f t="shared" si="181"/>
        <v>SPES</v>
      </c>
      <c r="K1217" s="24" t="str">
        <f t="shared" si="181"/>
        <v>SPSC</v>
      </c>
      <c r="L1217" s="24" t="str">
        <f t="shared" si="181"/>
        <v>SPRJ</v>
      </c>
      <c r="M1217" s="24" t="str">
        <f t="shared" si="181"/>
        <v>SPPR</v>
      </c>
      <c r="N1217" s="24" t="str">
        <f t="shared" si="181"/>
        <v>SPAM</v>
      </c>
      <c r="O1217" s="24">
        <f>VLOOKUP(H1217, KM!$A:$E, 5, 0)</f>
        <v>0</v>
      </c>
      <c r="P1217" s="24">
        <f>VLOOKUP(I1217, KM!$A:$E, 5, 0)</f>
        <v>586</v>
      </c>
      <c r="Q1217" s="24">
        <f>VLOOKUP(J1217, KM!$A:$E, 5, 0)</f>
        <v>882</v>
      </c>
      <c r="R1217" s="24">
        <f>VLOOKUP(K1217, KM!$A:$E, 5, 0)</f>
        <v>705</v>
      </c>
      <c r="S1217" s="24">
        <f>VLOOKUP(L1217, KM!$A:$E, 5, 0)</f>
        <v>429</v>
      </c>
      <c r="T1217" s="24">
        <f>VLOOKUP(M1217, KM!$A:$E, 5, 0)</f>
        <v>408</v>
      </c>
      <c r="U1217" s="24">
        <f>VLOOKUP(N1217, KM!$A:$E, 5, 0)</f>
        <v>3971</v>
      </c>
      <c r="V1217" s="24">
        <f>VLOOKUP(H1217, IMPOSTO!$A:$D, 4, 0)</f>
        <v>0.18</v>
      </c>
      <c r="W1217" s="24">
        <f>VLOOKUP(I1217, IMPOSTO!$A:$D, 4, 0)</f>
        <v>0.12</v>
      </c>
      <c r="X1217" s="24">
        <f>VLOOKUP(J1217, IMPOSTO!$A:$D, 4, 0)</f>
        <v>7.0000000000000007E-2</v>
      </c>
      <c r="Y1217" s="24">
        <f>VLOOKUP(K1217, IMPOSTO!$A:$D, 4, 0)</f>
        <v>0.12</v>
      </c>
      <c r="Z1217" s="24">
        <f>VLOOKUP(L1217, IMPOSTO!$A:$D, 4, 0)</f>
        <v>0.12</v>
      </c>
      <c r="AA1217" s="24">
        <f>VLOOKUP(M1217, IMPOSTO!$A:$D, 4, 0)</f>
        <v>0.12</v>
      </c>
      <c r="AB1217" s="24">
        <f>VLOOKUP(N1217, IMPOSTO!$A:$D, 4, 0)</f>
        <v>7.0000000000000007E-2</v>
      </c>
      <c r="AC1217" s="25">
        <f t="shared" si="173"/>
        <v>33123.222048401884</v>
      </c>
      <c r="AD1217" s="25">
        <f t="shared" si="174"/>
        <v>30931.411454192665</v>
      </c>
      <c r="AE1217" s="25">
        <f t="shared" si="175"/>
        <v>29300.260300741447</v>
      </c>
      <c r="AF1217" s="25">
        <f t="shared" si="176"/>
        <v>30944.934181465393</v>
      </c>
      <c r="AG1217" s="25">
        <f t="shared" si="177"/>
        <v>30913.570545101757</v>
      </c>
      <c r="AH1217" s="25">
        <f t="shared" si="178"/>
        <v>30911.184181465393</v>
      </c>
      <c r="AI1217" s="25">
        <f t="shared" si="179"/>
        <v>29632.410838375854</v>
      </c>
    </row>
    <row r="1218" spans="1:35" ht="15.75" customHeight="1">
      <c r="A1218" s="12" t="s">
        <v>117</v>
      </c>
      <c r="B1218" s="12" t="s">
        <v>485</v>
      </c>
      <c r="C1218" s="12" t="s">
        <v>119</v>
      </c>
      <c r="D1218" s="12" t="s">
        <v>33</v>
      </c>
      <c r="E1218" s="12" t="s">
        <v>23</v>
      </c>
      <c r="F1218" s="13">
        <v>10360.769879841766</v>
      </c>
      <c r="G1218" s="14">
        <v>18353.351223367812</v>
      </c>
      <c r="H1218" s="24" t="str">
        <f t="shared" si="172"/>
        <v>SPSP</v>
      </c>
      <c r="I1218" s="24" t="str">
        <f t="shared" si="181"/>
        <v>SPMG</v>
      </c>
      <c r="J1218" s="24" t="str">
        <f t="shared" si="181"/>
        <v>SPES</v>
      </c>
      <c r="K1218" s="24" t="str">
        <f t="shared" si="181"/>
        <v>SPSC</v>
      </c>
      <c r="L1218" s="24" t="str">
        <f t="shared" si="181"/>
        <v>SPRJ</v>
      </c>
      <c r="M1218" s="24" t="str">
        <f t="shared" si="181"/>
        <v>SPPR</v>
      </c>
      <c r="N1218" s="24" t="str">
        <f t="shared" si="181"/>
        <v>SPAM</v>
      </c>
      <c r="O1218" s="24">
        <f>VLOOKUP(H1218, KM!$A:$E, 5, 0)</f>
        <v>0</v>
      </c>
      <c r="P1218" s="24">
        <f>VLOOKUP(I1218, KM!$A:$E, 5, 0)</f>
        <v>586</v>
      </c>
      <c r="Q1218" s="24">
        <f>VLOOKUP(J1218, KM!$A:$E, 5, 0)</f>
        <v>882</v>
      </c>
      <c r="R1218" s="24">
        <f>VLOOKUP(K1218, KM!$A:$E, 5, 0)</f>
        <v>705</v>
      </c>
      <c r="S1218" s="24">
        <f>VLOOKUP(L1218, KM!$A:$E, 5, 0)</f>
        <v>429</v>
      </c>
      <c r="T1218" s="24">
        <f>VLOOKUP(M1218, KM!$A:$E, 5, 0)</f>
        <v>408</v>
      </c>
      <c r="U1218" s="24">
        <f>VLOOKUP(N1218, KM!$A:$E, 5, 0)</f>
        <v>3971</v>
      </c>
      <c r="V1218" s="24">
        <f>VLOOKUP(H1218, IMPOSTO!$A:$D, 4, 0)</f>
        <v>0.18</v>
      </c>
      <c r="W1218" s="24">
        <f>VLOOKUP(I1218, IMPOSTO!$A:$D, 4, 0)</f>
        <v>0.12</v>
      </c>
      <c r="X1218" s="24">
        <f>VLOOKUP(J1218, IMPOSTO!$A:$D, 4, 0)</f>
        <v>7.0000000000000007E-2</v>
      </c>
      <c r="Y1218" s="24">
        <f>VLOOKUP(K1218, IMPOSTO!$A:$D, 4, 0)</f>
        <v>0.12</v>
      </c>
      <c r="Z1218" s="24">
        <f>VLOOKUP(L1218, IMPOSTO!$A:$D, 4, 0)</f>
        <v>0.12</v>
      </c>
      <c r="AA1218" s="24">
        <f>VLOOKUP(M1218, IMPOSTO!$A:$D, 4, 0)</f>
        <v>0.12</v>
      </c>
      <c r="AB1218" s="24">
        <f>VLOOKUP(N1218, IMPOSTO!$A:$D, 4, 0)</f>
        <v>7.0000000000000007E-2</v>
      </c>
      <c r="AC1218" s="25">
        <f t="shared" si="173"/>
        <v>22382.135638253429</v>
      </c>
      <c r="AD1218" s="25">
        <f t="shared" si="174"/>
        <v>20922.671844736149</v>
      </c>
      <c r="AE1218" s="25">
        <f t="shared" si="175"/>
        <v>19829.624971363242</v>
      </c>
      <c r="AF1218" s="25">
        <f t="shared" si="176"/>
        <v>20936.194572008877</v>
      </c>
      <c r="AG1218" s="25">
        <f t="shared" si="177"/>
        <v>20904.830935645241</v>
      </c>
      <c r="AH1218" s="25">
        <f t="shared" si="178"/>
        <v>20902.444572008877</v>
      </c>
      <c r="AI1218" s="25">
        <f t="shared" si="179"/>
        <v>20161.775508997645</v>
      </c>
    </row>
    <row r="1219" spans="1:35" ht="15.75" customHeight="1">
      <c r="A1219" s="12" t="s">
        <v>847</v>
      </c>
      <c r="B1219" s="12" t="s">
        <v>848</v>
      </c>
      <c r="C1219" s="12" t="s">
        <v>278</v>
      </c>
      <c r="D1219" s="12" t="s">
        <v>33</v>
      </c>
      <c r="E1219" s="12" t="s">
        <v>23</v>
      </c>
      <c r="F1219" s="13">
        <v>1742.1317015673983</v>
      </c>
      <c r="G1219" s="14">
        <v>4284.0985464431187</v>
      </c>
      <c r="H1219" s="24" t="str">
        <f t="shared" si="172"/>
        <v>SPSP</v>
      </c>
      <c r="I1219" s="24" t="str">
        <f t="shared" si="181"/>
        <v>SPMG</v>
      </c>
      <c r="J1219" s="24" t="str">
        <f t="shared" si="181"/>
        <v>SPES</v>
      </c>
      <c r="K1219" s="24" t="str">
        <f t="shared" si="181"/>
        <v>SPSC</v>
      </c>
      <c r="L1219" s="24" t="str">
        <f t="shared" si="181"/>
        <v>SPRJ</v>
      </c>
      <c r="M1219" s="24" t="str">
        <f t="shared" si="181"/>
        <v>SPPR</v>
      </c>
      <c r="N1219" s="24" t="str">
        <f t="shared" si="181"/>
        <v>SPAM</v>
      </c>
      <c r="O1219" s="24">
        <f>VLOOKUP(H1219, KM!$A:$E, 5, 0)</f>
        <v>0</v>
      </c>
      <c r="P1219" s="24">
        <f>VLOOKUP(I1219, KM!$A:$E, 5, 0)</f>
        <v>586</v>
      </c>
      <c r="Q1219" s="24">
        <f>VLOOKUP(J1219, KM!$A:$E, 5, 0)</f>
        <v>882</v>
      </c>
      <c r="R1219" s="24">
        <f>VLOOKUP(K1219, KM!$A:$E, 5, 0)</f>
        <v>705</v>
      </c>
      <c r="S1219" s="24">
        <f>VLOOKUP(L1219, KM!$A:$E, 5, 0)</f>
        <v>429</v>
      </c>
      <c r="T1219" s="24">
        <f>VLOOKUP(M1219, KM!$A:$E, 5, 0)</f>
        <v>408</v>
      </c>
      <c r="U1219" s="24">
        <f>VLOOKUP(N1219, KM!$A:$E, 5, 0)</f>
        <v>3971</v>
      </c>
      <c r="V1219" s="24">
        <f>VLOOKUP(H1219, IMPOSTO!$A:$D, 4, 0)</f>
        <v>0.18</v>
      </c>
      <c r="W1219" s="24">
        <f>VLOOKUP(I1219, IMPOSTO!$A:$D, 4, 0)</f>
        <v>0.12</v>
      </c>
      <c r="X1219" s="24">
        <f>VLOOKUP(J1219, IMPOSTO!$A:$D, 4, 0)</f>
        <v>7.0000000000000007E-2</v>
      </c>
      <c r="Y1219" s="24">
        <f>VLOOKUP(K1219, IMPOSTO!$A:$D, 4, 0)</f>
        <v>0.12</v>
      </c>
      <c r="Z1219" s="24">
        <f>VLOOKUP(L1219, IMPOSTO!$A:$D, 4, 0)</f>
        <v>0.12</v>
      </c>
      <c r="AA1219" s="24">
        <f>VLOOKUP(M1219, IMPOSTO!$A:$D, 4, 0)</f>
        <v>0.12</v>
      </c>
      <c r="AB1219" s="24">
        <f>VLOOKUP(N1219, IMPOSTO!$A:$D, 4, 0)</f>
        <v>7.0000000000000007E-2</v>
      </c>
      <c r="AC1219" s="25">
        <f t="shared" si="173"/>
        <v>5224.5104224916076</v>
      </c>
      <c r="AD1219" s="25">
        <f t="shared" si="174"/>
        <v>4934.8847118671811</v>
      </c>
      <c r="AE1219" s="25">
        <f t="shared" si="175"/>
        <v>4701.3962864979776</v>
      </c>
      <c r="AF1219" s="25">
        <f t="shared" si="176"/>
        <v>4948.4074391399072</v>
      </c>
      <c r="AG1219" s="25">
        <f t="shared" si="177"/>
        <v>4917.0438027762711</v>
      </c>
      <c r="AH1219" s="25">
        <f t="shared" si="178"/>
        <v>4914.6574391399081</v>
      </c>
      <c r="AI1219" s="25">
        <f t="shared" si="179"/>
        <v>5033.5468241323861</v>
      </c>
    </row>
    <row r="1220" spans="1:35" ht="15.75" customHeight="1">
      <c r="A1220" s="12" t="s">
        <v>263</v>
      </c>
      <c r="B1220" s="12" t="s">
        <v>264</v>
      </c>
      <c r="C1220" s="12" t="s">
        <v>265</v>
      </c>
      <c r="D1220" s="12" t="s">
        <v>50</v>
      </c>
      <c r="E1220" s="12" t="s">
        <v>23</v>
      </c>
      <c r="F1220" s="13">
        <v>338.90917489565976</v>
      </c>
      <c r="G1220" s="14">
        <v>2988.8455692929365</v>
      </c>
      <c r="H1220" s="24" t="str">
        <f t="shared" si="172"/>
        <v>SPSP</v>
      </c>
      <c r="I1220" s="24" t="str">
        <f t="shared" si="181"/>
        <v>SPMG</v>
      </c>
      <c r="J1220" s="24" t="str">
        <f t="shared" si="181"/>
        <v>SPES</v>
      </c>
      <c r="K1220" s="24" t="str">
        <f t="shared" si="181"/>
        <v>SPSC</v>
      </c>
      <c r="L1220" s="24" t="str">
        <f t="shared" si="181"/>
        <v>SPRJ</v>
      </c>
      <c r="M1220" s="24" t="str">
        <f t="shared" si="181"/>
        <v>SPPR</v>
      </c>
      <c r="N1220" s="24" t="str">
        <f t="shared" si="181"/>
        <v>SPAM</v>
      </c>
      <c r="O1220" s="24">
        <f>VLOOKUP(H1220, KM!$A:$E, 5, 0)</f>
        <v>0</v>
      </c>
      <c r="P1220" s="24">
        <f>VLOOKUP(I1220, KM!$A:$E, 5, 0)</f>
        <v>586</v>
      </c>
      <c r="Q1220" s="24">
        <f>VLOOKUP(J1220, KM!$A:$E, 5, 0)</f>
        <v>882</v>
      </c>
      <c r="R1220" s="24">
        <f>VLOOKUP(K1220, KM!$A:$E, 5, 0)</f>
        <v>705</v>
      </c>
      <c r="S1220" s="24">
        <f>VLOOKUP(L1220, KM!$A:$E, 5, 0)</f>
        <v>429</v>
      </c>
      <c r="T1220" s="24">
        <f>VLOOKUP(M1220, KM!$A:$E, 5, 0)</f>
        <v>408</v>
      </c>
      <c r="U1220" s="24">
        <f>VLOOKUP(N1220, KM!$A:$E, 5, 0)</f>
        <v>3971</v>
      </c>
      <c r="V1220" s="24">
        <f>VLOOKUP(H1220, IMPOSTO!$A:$D, 4, 0)</f>
        <v>0.18</v>
      </c>
      <c r="W1220" s="24">
        <f>VLOOKUP(I1220, IMPOSTO!$A:$D, 4, 0)</f>
        <v>0.12</v>
      </c>
      <c r="X1220" s="24">
        <f>VLOOKUP(J1220, IMPOSTO!$A:$D, 4, 0)</f>
        <v>7.0000000000000007E-2</v>
      </c>
      <c r="Y1220" s="24">
        <f>VLOOKUP(K1220, IMPOSTO!$A:$D, 4, 0)</f>
        <v>0.12</v>
      </c>
      <c r="Z1220" s="24">
        <f>VLOOKUP(L1220, IMPOSTO!$A:$D, 4, 0)</f>
        <v>0.12</v>
      </c>
      <c r="AA1220" s="24">
        <f>VLOOKUP(M1220, IMPOSTO!$A:$D, 4, 0)</f>
        <v>0.12</v>
      </c>
      <c r="AB1220" s="24">
        <f>VLOOKUP(N1220, IMPOSTO!$A:$D, 4, 0)</f>
        <v>7.0000000000000007E-2</v>
      </c>
      <c r="AC1220" s="25">
        <f t="shared" si="173"/>
        <v>3644.9336210889464</v>
      </c>
      <c r="AD1220" s="25">
        <f t="shared" si="174"/>
        <v>3463.006328741973</v>
      </c>
      <c r="AE1220" s="25">
        <f t="shared" si="175"/>
        <v>3308.6511497773513</v>
      </c>
      <c r="AF1220" s="25">
        <f t="shared" si="176"/>
        <v>3476.5290560147005</v>
      </c>
      <c r="AG1220" s="25">
        <f t="shared" si="177"/>
        <v>3445.1654196510644</v>
      </c>
      <c r="AH1220" s="25">
        <f t="shared" si="178"/>
        <v>3442.7790560147009</v>
      </c>
      <c r="AI1220" s="25">
        <f t="shared" si="179"/>
        <v>3640.8016874117598</v>
      </c>
    </row>
    <row r="1221" spans="1:35" ht="15.75" customHeight="1">
      <c r="A1221" s="12" t="s">
        <v>263</v>
      </c>
      <c r="B1221" s="12" t="s">
        <v>264</v>
      </c>
      <c r="C1221" s="12" t="s">
        <v>265</v>
      </c>
      <c r="D1221" s="12" t="s">
        <v>50</v>
      </c>
      <c r="E1221" s="12" t="s">
        <v>23</v>
      </c>
      <c r="F1221" s="13">
        <v>939.87107245654283</v>
      </c>
      <c r="G1221" s="14">
        <v>6357.1675565202731</v>
      </c>
      <c r="H1221" s="24" t="str">
        <f t="shared" ref="H1221:H1284" si="182">$E1221 &amp; H$17</f>
        <v>SPSP</v>
      </c>
      <c r="I1221" s="24" t="str">
        <f t="shared" si="181"/>
        <v>SPMG</v>
      </c>
      <c r="J1221" s="24" t="str">
        <f t="shared" si="181"/>
        <v>SPES</v>
      </c>
      <c r="K1221" s="24" t="str">
        <f t="shared" si="181"/>
        <v>SPSC</v>
      </c>
      <c r="L1221" s="24" t="str">
        <f t="shared" si="181"/>
        <v>SPRJ</v>
      </c>
      <c r="M1221" s="24" t="str">
        <f t="shared" si="181"/>
        <v>SPPR</v>
      </c>
      <c r="N1221" s="24" t="str">
        <f t="shared" si="181"/>
        <v>SPAM</v>
      </c>
      <c r="O1221" s="24">
        <f>VLOOKUP(H1221, KM!$A:$E, 5, 0)</f>
        <v>0</v>
      </c>
      <c r="P1221" s="24">
        <f>VLOOKUP(I1221, KM!$A:$E, 5, 0)</f>
        <v>586</v>
      </c>
      <c r="Q1221" s="24">
        <f>VLOOKUP(J1221, KM!$A:$E, 5, 0)</f>
        <v>882</v>
      </c>
      <c r="R1221" s="24">
        <f>VLOOKUP(K1221, KM!$A:$E, 5, 0)</f>
        <v>705</v>
      </c>
      <c r="S1221" s="24">
        <f>VLOOKUP(L1221, KM!$A:$E, 5, 0)</f>
        <v>429</v>
      </c>
      <c r="T1221" s="24">
        <f>VLOOKUP(M1221, KM!$A:$E, 5, 0)</f>
        <v>408</v>
      </c>
      <c r="U1221" s="24">
        <f>VLOOKUP(N1221, KM!$A:$E, 5, 0)</f>
        <v>3971</v>
      </c>
      <c r="V1221" s="24">
        <f>VLOOKUP(H1221, IMPOSTO!$A:$D, 4, 0)</f>
        <v>0.18</v>
      </c>
      <c r="W1221" s="24">
        <f>VLOOKUP(I1221, IMPOSTO!$A:$D, 4, 0)</f>
        <v>0.12</v>
      </c>
      <c r="X1221" s="24">
        <f>VLOOKUP(J1221, IMPOSTO!$A:$D, 4, 0)</f>
        <v>7.0000000000000007E-2</v>
      </c>
      <c r="Y1221" s="24">
        <f>VLOOKUP(K1221, IMPOSTO!$A:$D, 4, 0)</f>
        <v>0.12</v>
      </c>
      <c r="Z1221" s="24">
        <f>VLOOKUP(L1221, IMPOSTO!$A:$D, 4, 0)</f>
        <v>0.12</v>
      </c>
      <c r="AA1221" s="24">
        <f>VLOOKUP(M1221, IMPOSTO!$A:$D, 4, 0)</f>
        <v>0.12</v>
      </c>
      <c r="AB1221" s="24">
        <f>VLOOKUP(N1221, IMPOSTO!$A:$D, 4, 0)</f>
        <v>7.0000000000000007E-2</v>
      </c>
      <c r="AC1221" s="25">
        <f t="shared" si="173"/>
        <v>7752.6433616100885</v>
      </c>
      <c r="AD1221" s="25">
        <f t="shared" si="174"/>
        <v>7290.6449505912196</v>
      </c>
      <c r="AE1221" s="25">
        <f t="shared" si="175"/>
        <v>6930.5027489465301</v>
      </c>
      <c r="AF1221" s="25">
        <f t="shared" si="176"/>
        <v>7304.1676778639467</v>
      </c>
      <c r="AG1221" s="25">
        <f t="shared" si="177"/>
        <v>7272.8040415003097</v>
      </c>
      <c r="AH1221" s="25">
        <f t="shared" si="178"/>
        <v>7270.4176778639467</v>
      </c>
      <c r="AI1221" s="25">
        <f t="shared" si="179"/>
        <v>7262.6532865809395</v>
      </c>
    </row>
    <row r="1222" spans="1:35" ht="15.75" customHeight="1">
      <c r="A1222" s="12" t="s">
        <v>263</v>
      </c>
      <c r="B1222" s="12" t="s">
        <v>264</v>
      </c>
      <c r="C1222" s="12" t="s">
        <v>265</v>
      </c>
      <c r="D1222" s="12" t="s">
        <v>50</v>
      </c>
      <c r="E1222" s="12" t="s">
        <v>23</v>
      </c>
      <c r="F1222" s="13">
        <v>1296.3738930435072</v>
      </c>
      <c r="G1222" s="14">
        <v>9086.9698425425504</v>
      </c>
      <c r="H1222" s="24" t="str">
        <f t="shared" si="182"/>
        <v>SPSP</v>
      </c>
      <c r="I1222" s="24" t="str">
        <f t="shared" si="181"/>
        <v>SPMG</v>
      </c>
      <c r="J1222" s="24" t="str">
        <f t="shared" si="181"/>
        <v>SPES</v>
      </c>
      <c r="K1222" s="24" t="str">
        <f t="shared" si="181"/>
        <v>SPSC</v>
      </c>
      <c r="L1222" s="24" t="str">
        <f t="shared" si="181"/>
        <v>SPRJ</v>
      </c>
      <c r="M1222" s="24" t="str">
        <f t="shared" si="181"/>
        <v>SPPR</v>
      </c>
      <c r="N1222" s="24" t="str">
        <f t="shared" si="181"/>
        <v>SPAM</v>
      </c>
      <c r="O1222" s="24">
        <f>VLOOKUP(H1222, KM!$A:$E, 5, 0)</f>
        <v>0</v>
      </c>
      <c r="P1222" s="24">
        <f>VLOOKUP(I1222, KM!$A:$E, 5, 0)</f>
        <v>586</v>
      </c>
      <c r="Q1222" s="24">
        <f>VLOOKUP(J1222, KM!$A:$E, 5, 0)</f>
        <v>882</v>
      </c>
      <c r="R1222" s="24">
        <f>VLOOKUP(K1222, KM!$A:$E, 5, 0)</f>
        <v>705</v>
      </c>
      <c r="S1222" s="24">
        <f>VLOOKUP(L1222, KM!$A:$E, 5, 0)</f>
        <v>429</v>
      </c>
      <c r="T1222" s="24">
        <f>VLOOKUP(M1222, KM!$A:$E, 5, 0)</f>
        <v>408</v>
      </c>
      <c r="U1222" s="24">
        <f>VLOOKUP(N1222, KM!$A:$E, 5, 0)</f>
        <v>3971</v>
      </c>
      <c r="V1222" s="24">
        <f>VLOOKUP(H1222, IMPOSTO!$A:$D, 4, 0)</f>
        <v>0.18</v>
      </c>
      <c r="W1222" s="24">
        <f>VLOOKUP(I1222, IMPOSTO!$A:$D, 4, 0)</f>
        <v>0.12</v>
      </c>
      <c r="X1222" s="24">
        <f>VLOOKUP(J1222, IMPOSTO!$A:$D, 4, 0)</f>
        <v>7.0000000000000007E-2</v>
      </c>
      <c r="Y1222" s="24">
        <f>VLOOKUP(K1222, IMPOSTO!$A:$D, 4, 0)</f>
        <v>0.12</v>
      </c>
      <c r="Z1222" s="24">
        <f>VLOOKUP(L1222, IMPOSTO!$A:$D, 4, 0)</f>
        <v>0.12</v>
      </c>
      <c r="AA1222" s="24">
        <f>VLOOKUP(M1222, IMPOSTO!$A:$D, 4, 0)</f>
        <v>0.12</v>
      </c>
      <c r="AB1222" s="24">
        <f>VLOOKUP(N1222, IMPOSTO!$A:$D, 4, 0)</f>
        <v>7.0000000000000007E-2</v>
      </c>
      <c r="AC1222" s="25">
        <f t="shared" si="173"/>
        <v>11081.670539686036</v>
      </c>
      <c r="AD1222" s="25">
        <f t="shared" si="174"/>
        <v>10392.693002889262</v>
      </c>
      <c r="AE1222" s="25">
        <f t="shared" si="175"/>
        <v>9865.7740242393029</v>
      </c>
      <c r="AF1222" s="25">
        <f t="shared" si="176"/>
        <v>10406.215730161988</v>
      </c>
      <c r="AG1222" s="25">
        <f t="shared" si="177"/>
        <v>10374.852093798352</v>
      </c>
      <c r="AH1222" s="25">
        <f t="shared" si="178"/>
        <v>10372.465730161988</v>
      </c>
      <c r="AI1222" s="25">
        <f t="shared" si="179"/>
        <v>10197.924561873711</v>
      </c>
    </row>
    <row r="1223" spans="1:35" ht="15.75" customHeight="1">
      <c r="A1223" s="12" t="s">
        <v>263</v>
      </c>
      <c r="B1223" s="12" t="s">
        <v>264</v>
      </c>
      <c r="C1223" s="12" t="s">
        <v>265</v>
      </c>
      <c r="D1223" s="12" t="s">
        <v>50</v>
      </c>
      <c r="E1223" s="12" t="s">
        <v>23</v>
      </c>
      <c r="F1223" s="13">
        <v>9.2598135217393391</v>
      </c>
      <c r="G1223" s="14">
        <v>277.37771404370187</v>
      </c>
      <c r="H1223" s="24" t="str">
        <f t="shared" si="182"/>
        <v>SPSP</v>
      </c>
      <c r="I1223" s="24" t="str">
        <f t="shared" si="181"/>
        <v>SPMG</v>
      </c>
      <c r="J1223" s="24" t="str">
        <f t="shared" si="181"/>
        <v>SPES</v>
      </c>
      <c r="K1223" s="24" t="str">
        <f t="shared" si="181"/>
        <v>SPSC</v>
      </c>
      <c r="L1223" s="24" t="str">
        <f t="shared" si="181"/>
        <v>SPRJ</v>
      </c>
      <c r="M1223" s="24" t="str">
        <f t="shared" si="181"/>
        <v>SPPR</v>
      </c>
      <c r="N1223" s="24" t="str">
        <f t="shared" si="181"/>
        <v>SPAM</v>
      </c>
      <c r="O1223" s="24">
        <f>VLOOKUP(H1223, KM!$A:$E, 5, 0)</f>
        <v>0</v>
      </c>
      <c r="P1223" s="24">
        <f>VLOOKUP(I1223, KM!$A:$E, 5, 0)</f>
        <v>586</v>
      </c>
      <c r="Q1223" s="24">
        <f>VLOOKUP(J1223, KM!$A:$E, 5, 0)</f>
        <v>882</v>
      </c>
      <c r="R1223" s="24">
        <f>VLOOKUP(K1223, KM!$A:$E, 5, 0)</f>
        <v>705</v>
      </c>
      <c r="S1223" s="24">
        <f>VLOOKUP(L1223, KM!$A:$E, 5, 0)</f>
        <v>429</v>
      </c>
      <c r="T1223" s="24">
        <f>VLOOKUP(M1223, KM!$A:$E, 5, 0)</f>
        <v>408</v>
      </c>
      <c r="U1223" s="24">
        <f>VLOOKUP(N1223, KM!$A:$E, 5, 0)</f>
        <v>3971</v>
      </c>
      <c r="V1223" s="24">
        <f>VLOOKUP(H1223, IMPOSTO!$A:$D, 4, 0)</f>
        <v>0.18</v>
      </c>
      <c r="W1223" s="24">
        <f>VLOOKUP(I1223, IMPOSTO!$A:$D, 4, 0)</f>
        <v>0.12</v>
      </c>
      <c r="X1223" s="24">
        <f>VLOOKUP(J1223, IMPOSTO!$A:$D, 4, 0)</f>
        <v>7.0000000000000007E-2</v>
      </c>
      <c r="Y1223" s="24">
        <f>VLOOKUP(K1223, IMPOSTO!$A:$D, 4, 0)</f>
        <v>0.12</v>
      </c>
      <c r="Z1223" s="24">
        <f>VLOOKUP(L1223, IMPOSTO!$A:$D, 4, 0)</f>
        <v>0.12</v>
      </c>
      <c r="AA1223" s="24">
        <f>VLOOKUP(M1223, IMPOSTO!$A:$D, 4, 0)</f>
        <v>0.12</v>
      </c>
      <c r="AB1223" s="24">
        <f>VLOOKUP(N1223, IMPOSTO!$A:$D, 4, 0)</f>
        <v>7.0000000000000007E-2</v>
      </c>
      <c r="AC1223" s="25">
        <f t="shared" si="173"/>
        <v>338.26550493134374</v>
      </c>
      <c r="AD1223" s="25">
        <f t="shared" si="174"/>
        <v>381.79285686784306</v>
      </c>
      <c r="AE1223" s="25">
        <f t="shared" si="175"/>
        <v>393.09431617602354</v>
      </c>
      <c r="AF1223" s="25">
        <f t="shared" si="176"/>
        <v>395.31558414057031</v>
      </c>
      <c r="AG1223" s="25">
        <f t="shared" si="177"/>
        <v>363.95194777693393</v>
      </c>
      <c r="AH1223" s="25">
        <f t="shared" si="178"/>
        <v>361.56558414057031</v>
      </c>
      <c r="AI1223" s="25">
        <f t="shared" si="179"/>
        <v>725.24485381043223</v>
      </c>
    </row>
    <row r="1224" spans="1:35" ht="15.75" customHeight="1">
      <c r="A1224" s="12" t="s">
        <v>943</v>
      </c>
      <c r="B1224" s="12" t="s">
        <v>944</v>
      </c>
      <c r="C1224" s="12" t="s">
        <v>936</v>
      </c>
      <c r="D1224" s="12" t="s">
        <v>50</v>
      </c>
      <c r="E1224" s="12" t="s">
        <v>23</v>
      </c>
      <c r="F1224" s="13">
        <v>824.06864578893078</v>
      </c>
      <c r="G1224" s="14">
        <v>23558.279151583392</v>
      </c>
      <c r="H1224" s="24" t="str">
        <f t="shared" si="182"/>
        <v>SPSP</v>
      </c>
      <c r="I1224" s="24" t="str">
        <f t="shared" si="181"/>
        <v>SPMG</v>
      </c>
      <c r="J1224" s="24" t="str">
        <f t="shared" si="181"/>
        <v>SPES</v>
      </c>
      <c r="K1224" s="24" t="str">
        <f t="shared" si="181"/>
        <v>SPSC</v>
      </c>
      <c r="L1224" s="24" t="str">
        <f t="shared" si="181"/>
        <v>SPRJ</v>
      </c>
      <c r="M1224" s="24" t="str">
        <f t="shared" si="181"/>
        <v>SPPR</v>
      </c>
      <c r="N1224" s="24" t="str">
        <f t="shared" si="181"/>
        <v>SPAM</v>
      </c>
      <c r="O1224" s="24">
        <f>VLOOKUP(H1224, KM!$A:$E, 5, 0)</f>
        <v>0</v>
      </c>
      <c r="P1224" s="24">
        <f>VLOOKUP(I1224, KM!$A:$E, 5, 0)</f>
        <v>586</v>
      </c>
      <c r="Q1224" s="24">
        <f>VLOOKUP(J1224, KM!$A:$E, 5, 0)</f>
        <v>882</v>
      </c>
      <c r="R1224" s="24">
        <f>VLOOKUP(K1224, KM!$A:$E, 5, 0)</f>
        <v>705</v>
      </c>
      <c r="S1224" s="24">
        <f>VLOOKUP(L1224, KM!$A:$E, 5, 0)</f>
        <v>429</v>
      </c>
      <c r="T1224" s="24">
        <f>VLOOKUP(M1224, KM!$A:$E, 5, 0)</f>
        <v>408</v>
      </c>
      <c r="U1224" s="24">
        <f>VLOOKUP(N1224, KM!$A:$E, 5, 0)</f>
        <v>3971</v>
      </c>
      <c r="V1224" s="24">
        <f>VLOOKUP(H1224, IMPOSTO!$A:$D, 4, 0)</f>
        <v>0.18</v>
      </c>
      <c r="W1224" s="24">
        <f>VLOOKUP(I1224, IMPOSTO!$A:$D, 4, 0)</f>
        <v>0.12</v>
      </c>
      <c r="X1224" s="24">
        <f>VLOOKUP(J1224, IMPOSTO!$A:$D, 4, 0)</f>
        <v>7.0000000000000007E-2</v>
      </c>
      <c r="Y1224" s="24">
        <f>VLOOKUP(K1224, IMPOSTO!$A:$D, 4, 0)</f>
        <v>0.12</v>
      </c>
      <c r="Z1224" s="24">
        <f>VLOOKUP(L1224, IMPOSTO!$A:$D, 4, 0)</f>
        <v>0.12</v>
      </c>
      <c r="AA1224" s="24">
        <f>VLOOKUP(M1224, IMPOSTO!$A:$D, 4, 0)</f>
        <v>0.12</v>
      </c>
      <c r="AB1224" s="24">
        <f>VLOOKUP(N1224, IMPOSTO!$A:$D, 4, 0)</f>
        <v>7.0000000000000007E-2</v>
      </c>
      <c r="AC1224" s="25">
        <f t="shared" si="173"/>
        <v>28729.608721443161</v>
      </c>
      <c r="AD1224" s="25">
        <f t="shared" si="174"/>
        <v>26837.362672253854</v>
      </c>
      <c r="AE1224" s="25">
        <f t="shared" si="175"/>
        <v>25426.321668369241</v>
      </c>
      <c r="AF1224" s="25">
        <f t="shared" si="176"/>
        <v>26850.885399526582</v>
      </c>
      <c r="AG1224" s="25">
        <f t="shared" si="177"/>
        <v>26819.521763162946</v>
      </c>
      <c r="AH1224" s="25">
        <f t="shared" si="178"/>
        <v>26817.135399526582</v>
      </c>
      <c r="AI1224" s="25">
        <f t="shared" si="179"/>
        <v>25758.472206003647</v>
      </c>
    </row>
    <row r="1225" spans="1:35" ht="15.75" customHeight="1">
      <c r="A1225" s="12" t="s">
        <v>945</v>
      </c>
      <c r="B1225" s="12" t="s">
        <v>946</v>
      </c>
      <c r="C1225" s="12" t="s">
        <v>936</v>
      </c>
      <c r="D1225" s="12" t="s">
        <v>50</v>
      </c>
      <c r="E1225" s="12" t="s">
        <v>23</v>
      </c>
      <c r="F1225" s="13">
        <v>94.306433409999997</v>
      </c>
      <c r="G1225" s="14">
        <v>2373.5746019999997</v>
      </c>
      <c r="H1225" s="24" t="str">
        <f t="shared" si="182"/>
        <v>SPSP</v>
      </c>
      <c r="I1225" s="24" t="str">
        <f t="shared" si="181"/>
        <v>SPMG</v>
      </c>
      <c r="J1225" s="24" t="str">
        <f t="shared" si="181"/>
        <v>SPES</v>
      </c>
      <c r="K1225" s="24" t="str">
        <f t="shared" si="181"/>
        <v>SPSC</v>
      </c>
      <c r="L1225" s="24" t="str">
        <f t="shared" si="181"/>
        <v>SPRJ</v>
      </c>
      <c r="M1225" s="24" t="str">
        <f t="shared" si="181"/>
        <v>SPPR</v>
      </c>
      <c r="N1225" s="24" t="str">
        <f t="shared" si="181"/>
        <v>SPAM</v>
      </c>
      <c r="O1225" s="24">
        <f>VLOOKUP(H1225, KM!$A:$E, 5, 0)</f>
        <v>0</v>
      </c>
      <c r="P1225" s="24">
        <f>VLOOKUP(I1225, KM!$A:$E, 5, 0)</f>
        <v>586</v>
      </c>
      <c r="Q1225" s="24">
        <f>VLOOKUP(J1225, KM!$A:$E, 5, 0)</f>
        <v>882</v>
      </c>
      <c r="R1225" s="24">
        <f>VLOOKUP(K1225, KM!$A:$E, 5, 0)</f>
        <v>705</v>
      </c>
      <c r="S1225" s="24">
        <f>VLOOKUP(L1225, KM!$A:$E, 5, 0)</f>
        <v>429</v>
      </c>
      <c r="T1225" s="24">
        <f>VLOOKUP(M1225, KM!$A:$E, 5, 0)</f>
        <v>408</v>
      </c>
      <c r="U1225" s="24">
        <f>VLOOKUP(N1225, KM!$A:$E, 5, 0)</f>
        <v>3971</v>
      </c>
      <c r="V1225" s="24">
        <f>VLOOKUP(H1225, IMPOSTO!$A:$D, 4, 0)</f>
        <v>0.18</v>
      </c>
      <c r="W1225" s="24">
        <f>VLOOKUP(I1225, IMPOSTO!$A:$D, 4, 0)</f>
        <v>0.12</v>
      </c>
      <c r="X1225" s="24">
        <f>VLOOKUP(J1225, IMPOSTO!$A:$D, 4, 0)</f>
        <v>7.0000000000000007E-2</v>
      </c>
      <c r="Y1225" s="24">
        <f>VLOOKUP(K1225, IMPOSTO!$A:$D, 4, 0)</f>
        <v>0.12</v>
      </c>
      <c r="Z1225" s="24">
        <f>VLOOKUP(L1225, IMPOSTO!$A:$D, 4, 0)</f>
        <v>0.12</v>
      </c>
      <c r="AA1225" s="24">
        <f>VLOOKUP(M1225, IMPOSTO!$A:$D, 4, 0)</f>
        <v>0.12</v>
      </c>
      <c r="AB1225" s="24">
        <f>VLOOKUP(N1225, IMPOSTO!$A:$D, 4, 0)</f>
        <v>7.0000000000000007E-2</v>
      </c>
      <c r="AC1225" s="25">
        <f t="shared" si="173"/>
        <v>2894.6031731707312</v>
      </c>
      <c r="AD1225" s="25">
        <f t="shared" si="174"/>
        <v>2763.8347749999994</v>
      </c>
      <c r="AE1225" s="25">
        <f t="shared" si="175"/>
        <v>2647.0694645161288</v>
      </c>
      <c r="AF1225" s="25">
        <f t="shared" si="176"/>
        <v>2777.3575022727268</v>
      </c>
      <c r="AG1225" s="25">
        <f t="shared" si="177"/>
        <v>2745.9938659090908</v>
      </c>
      <c r="AH1225" s="25">
        <f t="shared" si="178"/>
        <v>2743.6075022727273</v>
      </c>
      <c r="AI1225" s="25">
        <f t="shared" si="179"/>
        <v>2979.2200021505373</v>
      </c>
    </row>
    <row r="1226" spans="1:35" ht="15.75" customHeight="1">
      <c r="A1226" s="12" t="s">
        <v>947</v>
      </c>
      <c r="B1226" s="12" t="s">
        <v>948</v>
      </c>
      <c r="C1226" s="12" t="s">
        <v>232</v>
      </c>
      <c r="D1226" s="12" t="s">
        <v>33</v>
      </c>
      <c r="E1226" s="12" t="s">
        <v>23</v>
      </c>
      <c r="F1226" s="13">
        <v>2641.9999999999995</v>
      </c>
      <c r="G1226" s="14">
        <v>120687.30023521272</v>
      </c>
      <c r="H1226" s="24" t="str">
        <f t="shared" si="182"/>
        <v>SPSP</v>
      </c>
      <c r="I1226" s="24" t="str">
        <f t="shared" si="181"/>
        <v>SPMG</v>
      </c>
      <c r="J1226" s="24" t="str">
        <f t="shared" si="181"/>
        <v>SPES</v>
      </c>
      <c r="K1226" s="24" t="str">
        <f t="shared" si="181"/>
        <v>SPSC</v>
      </c>
      <c r="L1226" s="24" t="str">
        <f t="shared" si="181"/>
        <v>SPRJ</v>
      </c>
      <c r="M1226" s="24" t="str">
        <f t="shared" si="181"/>
        <v>SPPR</v>
      </c>
      <c r="N1226" s="24" t="str">
        <f t="shared" si="181"/>
        <v>SPAM</v>
      </c>
      <c r="O1226" s="24">
        <f>VLOOKUP(H1226, KM!$A:$E, 5, 0)</f>
        <v>0</v>
      </c>
      <c r="P1226" s="24">
        <f>VLOOKUP(I1226, KM!$A:$E, 5, 0)</f>
        <v>586</v>
      </c>
      <c r="Q1226" s="24">
        <f>VLOOKUP(J1226, KM!$A:$E, 5, 0)</f>
        <v>882</v>
      </c>
      <c r="R1226" s="24">
        <f>VLOOKUP(K1226, KM!$A:$E, 5, 0)</f>
        <v>705</v>
      </c>
      <c r="S1226" s="24">
        <f>VLOOKUP(L1226, KM!$A:$E, 5, 0)</f>
        <v>429</v>
      </c>
      <c r="T1226" s="24">
        <f>VLOOKUP(M1226, KM!$A:$E, 5, 0)</f>
        <v>408</v>
      </c>
      <c r="U1226" s="24">
        <f>VLOOKUP(N1226, KM!$A:$E, 5, 0)</f>
        <v>3971</v>
      </c>
      <c r="V1226" s="24">
        <f>VLOOKUP(H1226, IMPOSTO!$A:$D, 4, 0)</f>
        <v>0.18</v>
      </c>
      <c r="W1226" s="24">
        <f>VLOOKUP(I1226, IMPOSTO!$A:$D, 4, 0)</f>
        <v>0.12</v>
      </c>
      <c r="X1226" s="24">
        <f>VLOOKUP(J1226, IMPOSTO!$A:$D, 4, 0)</f>
        <v>7.0000000000000007E-2</v>
      </c>
      <c r="Y1226" s="24">
        <f>VLOOKUP(K1226, IMPOSTO!$A:$D, 4, 0)</f>
        <v>0.12</v>
      </c>
      <c r="Z1226" s="24">
        <f>VLOOKUP(L1226, IMPOSTO!$A:$D, 4, 0)</f>
        <v>0.12</v>
      </c>
      <c r="AA1226" s="24">
        <f>VLOOKUP(M1226, IMPOSTO!$A:$D, 4, 0)</f>
        <v>0.12</v>
      </c>
      <c r="AB1226" s="24">
        <f>VLOOKUP(N1226, IMPOSTO!$A:$D, 4, 0)</f>
        <v>7.0000000000000007E-2</v>
      </c>
      <c r="AC1226" s="25">
        <f t="shared" si="173"/>
        <v>147179.63443318623</v>
      </c>
      <c r="AD1226" s="25">
        <f t="shared" si="174"/>
        <v>137211.25026728719</v>
      </c>
      <c r="AE1226" s="25">
        <f t="shared" si="175"/>
        <v>129866.12928517497</v>
      </c>
      <c r="AF1226" s="25">
        <f t="shared" si="176"/>
        <v>137224.7729945599</v>
      </c>
      <c r="AG1226" s="25">
        <f t="shared" si="177"/>
        <v>137193.40935819628</v>
      </c>
      <c r="AH1226" s="25">
        <f t="shared" si="178"/>
        <v>137191.02299455993</v>
      </c>
      <c r="AI1226" s="25">
        <f t="shared" si="179"/>
        <v>130198.27982280939</v>
      </c>
    </row>
    <row r="1227" spans="1:35" ht="15.75" customHeight="1">
      <c r="A1227" s="12" t="s">
        <v>949</v>
      </c>
      <c r="B1227" s="12" t="s">
        <v>950</v>
      </c>
      <c r="C1227" s="12" t="s">
        <v>122</v>
      </c>
      <c r="D1227" s="12" t="s">
        <v>33</v>
      </c>
      <c r="E1227" s="12" t="s">
        <v>23</v>
      </c>
      <c r="F1227" s="13">
        <v>26117.775399999999</v>
      </c>
      <c r="G1227" s="14">
        <v>729603.0286175271</v>
      </c>
      <c r="H1227" s="24" t="str">
        <f t="shared" si="182"/>
        <v>SPSP</v>
      </c>
      <c r="I1227" s="24" t="str">
        <f t="shared" si="181"/>
        <v>SPMG</v>
      </c>
      <c r="J1227" s="24" t="str">
        <f t="shared" si="181"/>
        <v>SPES</v>
      </c>
      <c r="K1227" s="24" t="str">
        <f t="shared" si="181"/>
        <v>SPSC</v>
      </c>
      <c r="L1227" s="24" t="str">
        <f t="shared" si="181"/>
        <v>SPRJ</v>
      </c>
      <c r="M1227" s="24" t="str">
        <f t="shared" si="181"/>
        <v>SPPR</v>
      </c>
      <c r="N1227" s="24" t="str">
        <f t="shared" si="181"/>
        <v>SPAM</v>
      </c>
      <c r="O1227" s="24">
        <f>VLOOKUP(H1227, KM!$A:$E, 5, 0)</f>
        <v>0</v>
      </c>
      <c r="P1227" s="24">
        <f>VLOOKUP(I1227, KM!$A:$E, 5, 0)</f>
        <v>586</v>
      </c>
      <c r="Q1227" s="24">
        <f>VLOOKUP(J1227, KM!$A:$E, 5, 0)</f>
        <v>882</v>
      </c>
      <c r="R1227" s="24">
        <f>VLOOKUP(K1227, KM!$A:$E, 5, 0)</f>
        <v>705</v>
      </c>
      <c r="S1227" s="24">
        <f>VLOOKUP(L1227, KM!$A:$E, 5, 0)</f>
        <v>429</v>
      </c>
      <c r="T1227" s="24">
        <f>VLOOKUP(M1227, KM!$A:$E, 5, 0)</f>
        <v>408</v>
      </c>
      <c r="U1227" s="24">
        <f>VLOOKUP(N1227, KM!$A:$E, 5, 0)</f>
        <v>3971</v>
      </c>
      <c r="V1227" s="24">
        <f>VLOOKUP(H1227, IMPOSTO!$A:$D, 4, 0)</f>
        <v>0.18</v>
      </c>
      <c r="W1227" s="24">
        <f>VLOOKUP(I1227, IMPOSTO!$A:$D, 4, 0)</f>
        <v>0.12</v>
      </c>
      <c r="X1227" s="24">
        <f>VLOOKUP(J1227, IMPOSTO!$A:$D, 4, 0)</f>
        <v>7.0000000000000007E-2</v>
      </c>
      <c r="Y1227" s="24">
        <f>VLOOKUP(K1227, IMPOSTO!$A:$D, 4, 0)</f>
        <v>0.12</v>
      </c>
      <c r="Z1227" s="24">
        <f>VLOOKUP(L1227, IMPOSTO!$A:$D, 4, 0)</f>
        <v>0.12</v>
      </c>
      <c r="AA1227" s="24">
        <f>VLOOKUP(M1227, IMPOSTO!$A:$D, 4, 0)</f>
        <v>0.12</v>
      </c>
      <c r="AB1227" s="24">
        <f>VLOOKUP(N1227, IMPOSTO!$A:$D, 4, 0)</f>
        <v>7.0000000000000007E-2</v>
      </c>
      <c r="AC1227" s="25">
        <f t="shared" si="173"/>
        <v>889759.79099698423</v>
      </c>
      <c r="AD1227" s="25">
        <f t="shared" si="174"/>
        <v>829160.94161082618</v>
      </c>
      <c r="AE1227" s="25">
        <f t="shared" si="175"/>
        <v>784614.22431992157</v>
      </c>
      <c r="AF1227" s="25">
        <f t="shared" si="176"/>
        <v>829174.464338099</v>
      </c>
      <c r="AG1227" s="25">
        <f t="shared" si="177"/>
        <v>829143.10070173535</v>
      </c>
      <c r="AH1227" s="25">
        <f t="shared" si="178"/>
        <v>829140.714338099</v>
      </c>
      <c r="AI1227" s="25">
        <f t="shared" si="179"/>
        <v>784946.37485755607</v>
      </c>
    </row>
    <row r="1228" spans="1:35" ht="15.75" customHeight="1">
      <c r="A1228" s="12" t="s">
        <v>951</v>
      </c>
      <c r="B1228" s="12" t="s">
        <v>952</v>
      </c>
      <c r="C1228" s="12" t="s">
        <v>232</v>
      </c>
      <c r="D1228" s="12" t="s">
        <v>33</v>
      </c>
      <c r="E1228" s="12" t="s">
        <v>23</v>
      </c>
      <c r="F1228" s="13">
        <v>3020.9999999999982</v>
      </c>
      <c r="G1228" s="14">
        <v>37067.775161392397</v>
      </c>
      <c r="H1228" s="24" t="str">
        <f t="shared" si="182"/>
        <v>SPSP</v>
      </c>
      <c r="I1228" s="24" t="str">
        <f t="shared" si="181"/>
        <v>SPMG</v>
      </c>
      <c r="J1228" s="24" t="str">
        <f t="shared" si="181"/>
        <v>SPES</v>
      </c>
      <c r="K1228" s="24" t="str">
        <f t="shared" si="181"/>
        <v>SPSC</v>
      </c>
      <c r="L1228" s="24" t="str">
        <f t="shared" si="181"/>
        <v>SPRJ</v>
      </c>
      <c r="M1228" s="24" t="str">
        <f t="shared" si="181"/>
        <v>SPPR</v>
      </c>
      <c r="N1228" s="24" t="str">
        <f t="shared" si="181"/>
        <v>SPAM</v>
      </c>
      <c r="O1228" s="24">
        <f>VLOOKUP(H1228, KM!$A:$E, 5, 0)</f>
        <v>0</v>
      </c>
      <c r="P1228" s="24">
        <f>VLOOKUP(I1228, KM!$A:$E, 5, 0)</f>
        <v>586</v>
      </c>
      <c r="Q1228" s="24">
        <f>VLOOKUP(J1228, KM!$A:$E, 5, 0)</f>
        <v>882</v>
      </c>
      <c r="R1228" s="24">
        <f>VLOOKUP(K1228, KM!$A:$E, 5, 0)</f>
        <v>705</v>
      </c>
      <c r="S1228" s="24">
        <f>VLOOKUP(L1228, KM!$A:$E, 5, 0)</f>
        <v>429</v>
      </c>
      <c r="T1228" s="24">
        <f>VLOOKUP(M1228, KM!$A:$E, 5, 0)</f>
        <v>408</v>
      </c>
      <c r="U1228" s="24">
        <f>VLOOKUP(N1228, KM!$A:$E, 5, 0)</f>
        <v>3971</v>
      </c>
      <c r="V1228" s="24">
        <f>VLOOKUP(H1228, IMPOSTO!$A:$D, 4, 0)</f>
        <v>0.18</v>
      </c>
      <c r="W1228" s="24">
        <f>VLOOKUP(I1228, IMPOSTO!$A:$D, 4, 0)</f>
        <v>0.12</v>
      </c>
      <c r="X1228" s="24">
        <f>VLOOKUP(J1228, IMPOSTO!$A:$D, 4, 0)</f>
        <v>7.0000000000000007E-2</v>
      </c>
      <c r="Y1228" s="24">
        <f>VLOOKUP(K1228, IMPOSTO!$A:$D, 4, 0)</f>
        <v>0.12</v>
      </c>
      <c r="Z1228" s="24">
        <f>VLOOKUP(L1228, IMPOSTO!$A:$D, 4, 0)</f>
        <v>0.12</v>
      </c>
      <c r="AA1228" s="24">
        <f>VLOOKUP(M1228, IMPOSTO!$A:$D, 4, 0)</f>
        <v>0.12</v>
      </c>
      <c r="AB1228" s="24">
        <f>VLOOKUP(N1228, IMPOSTO!$A:$D, 4, 0)</f>
        <v>7.0000000000000007E-2</v>
      </c>
      <c r="AC1228" s="25">
        <f t="shared" si="173"/>
        <v>45204.603855356581</v>
      </c>
      <c r="AD1228" s="25">
        <f t="shared" si="174"/>
        <v>42189.062683400451</v>
      </c>
      <c r="AE1228" s="25">
        <f t="shared" si="175"/>
        <v>39952.661463862794</v>
      </c>
      <c r="AF1228" s="25">
        <f t="shared" si="176"/>
        <v>42202.585410673179</v>
      </c>
      <c r="AG1228" s="25">
        <f t="shared" si="177"/>
        <v>42171.221774309546</v>
      </c>
      <c r="AH1228" s="25">
        <f t="shared" si="178"/>
        <v>42168.835410673179</v>
      </c>
      <c r="AI1228" s="25">
        <f t="shared" si="179"/>
        <v>40284.812001497201</v>
      </c>
    </row>
    <row r="1229" spans="1:35" ht="15.75" customHeight="1">
      <c r="A1229" s="12" t="s">
        <v>853</v>
      </c>
      <c r="B1229" s="12" t="s">
        <v>854</v>
      </c>
      <c r="C1229" s="12" t="s">
        <v>265</v>
      </c>
      <c r="D1229" s="12" t="s">
        <v>33</v>
      </c>
      <c r="E1229" s="12" t="s">
        <v>23</v>
      </c>
      <c r="F1229" s="13">
        <v>2253.727810650887</v>
      </c>
      <c r="G1229" s="14">
        <v>33111.386840236686</v>
      </c>
      <c r="H1229" s="24" t="str">
        <f t="shared" si="182"/>
        <v>SPSP</v>
      </c>
      <c r="I1229" s="24" t="str">
        <f t="shared" si="181"/>
        <v>SPMG</v>
      </c>
      <c r="J1229" s="24" t="str">
        <f t="shared" si="181"/>
        <v>SPES</v>
      </c>
      <c r="K1229" s="24" t="str">
        <f t="shared" si="181"/>
        <v>SPSC</v>
      </c>
      <c r="L1229" s="24" t="str">
        <f t="shared" si="181"/>
        <v>SPRJ</v>
      </c>
      <c r="M1229" s="24" t="str">
        <f t="shared" si="181"/>
        <v>SPPR</v>
      </c>
      <c r="N1229" s="24" t="str">
        <f t="shared" si="181"/>
        <v>SPAM</v>
      </c>
      <c r="O1229" s="24">
        <f>VLOOKUP(H1229, KM!$A:$E, 5, 0)</f>
        <v>0</v>
      </c>
      <c r="P1229" s="24">
        <f>VLOOKUP(I1229, KM!$A:$E, 5, 0)</f>
        <v>586</v>
      </c>
      <c r="Q1229" s="24">
        <f>VLOOKUP(J1229, KM!$A:$E, 5, 0)</f>
        <v>882</v>
      </c>
      <c r="R1229" s="24">
        <f>VLOOKUP(K1229, KM!$A:$E, 5, 0)</f>
        <v>705</v>
      </c>
      <c r="S1229" s="24">
        <f>VLOOKUP(L1229, KM!$A:$E, 5, 0)</f>
        <v>429</v>
      </c>
      <c r="T1229" s="24">
        <f>VLOOKUP(M1229, KM!$A:$E, 5, 0)</f>
        <v>408</v>
      </c>
      <c r="U1229" s="24">
        <f>VLOOKUP(N1229, KM!$A:$E, 5, 0)</f>
        <v>3971</v>
      </c>
      <c r="V1229" s="24">
        <f>VLOOKUP(H1229, IMPOSTO!$A:$D, 4, 0)</f>
        <v>0.18</v>
      </c>
      <c r="W1229" s="24">
        <f>VLOOKUP(I1229, IMPOSTO!$A:$D, 4, 0)</f>
        <v>0.12</v>
      </c>
      <c r="X1229" s="24">
        <f>VLOOKUP(J1229, IMPOSTO!$A:$D, 4, 0)</f>
        <v>7.0000000000000007E-2</v>
      </c>
      <c r="Y1229" s="24">
        <f>VLOOKUP(K1229, IMPOSTO!$A:$D, 4, 0)</f>
        <v>0.12</v>
      </c>
      <c r="Z1229" s="24">
        <f>VLOOKUP(L1229, IMPOSTO!$A:$D, 4, 0)</f>
        <v>0.12</v>
      </c>
      <c r="AA1229" s="24">
        <f>VLOOKUP(M1229, IMPOSTO!$A:$D, 4, 0)</f>
        <v>0.12</v>
      </c>
      <c r="AB1229" s="24">
        <f>VLOOKUP(N1229, IMPOSTO!$A:$D, 4, 0)</f>
        <v>7.0000000000000007E-2</v>
      </c>
      <c r="AC1229" s="25">
        <f t="shared" si="173"/>
        <v>40379.740049069129</v>
      </c>
      <c r="AD1229" s="25">
        <f t="shared" si="174"/>
        <v>37693.166863905324</v>
      </c>
      <c r="AE1229" s="25">
        <f t="shared" si="175"/>
        <v>35698.48047337278</v>
      </c>
      <c r="AF1229" s="25">
        <f t="shared" si="176"/>
        <v>37706.689591178052</v>
      </c>
      <c r="AG1229" s="25">
        <f t="shared" si="177"/>
        <v>37675.32595481442</v>
      </c>
      <c r="AH1229" s="25">
        <f t="shared" si="178"/>
        <v>37672.939591178052</v>
      </c>
      <c r="AI1229" s="25">
        <f t="shared" si="179"/>
        <v>36030.631011007194</v>
      </c>
    </row>
    <row r="1230" spans="1:35" ht="15.75" customHeight="1">
      <c r="A1230" s="12" t="s">
        <v>953</v>
      </c>
      <c r="B1230" s="12" t="s">
        <v>954</v>
      </c>
      <c r="C1230" s="12" t="s">
        <v>192</v>
      </c>
      <c r="D1230" s="12" t="s">
        <v>33</v>
      </c>
      <c r="E1230" s="12" t="s">
        <v>23</v>
      </c>
      <c r="F1230" s="13">
        <v>2543.5806451612907</v>
      </c>
      <c r="G1230" s="14">
        <v>3218.5153838709675</v>
      </c>
      <c r="H1230" s="24" t="str">
        <f t="shared" si="182"/>
        <v>SPSP</v>
      </c>
      <c r="I1230" s="24" t="str">
        <f t="shared" si="181"/>
        <v>SPMG</v>
      </c>
      <c r="J1230" s="24" t="str">
        <f t="shared" si="181"/>
        <v>SPES</v>
      </c>
      <c r="K1230" s="24" t="str">
        <f t="shared" si="181"/>
        <v>SPSC</v>
      </c>
      <c r="L1230" s="24" t="str">
        <f t="shared" si="181"/>
        <v>SPRJ</v>
      </c>
      <c r="M1230" s="24" t="str">
        <f t="shared" si="181"/>
        <v>SPPR</v>
      </c>
      <c r="N1230" s="24" t="str">
        <f t="shared" si="181"/>
        <v>SPAM</v>
      </c>
      <c r="O1230" s="24">
        <f>VLOOKUP(H1230, KM!$A:$E, 5, 0)</f>
        <v>0</v>
      </c>
      <c r="P1230" s="24">
        <f>VLOOKUP(I1230, KM!$A:$E, 5, 0)</f>
        <v>586</v>
      </c>
      <c r="Q1230" s="24">
        <f>VLOOKUP(J1230, KM!$A:$E, 5, 0)</f>
        <v>882</v>
      </c>
      <c r="R1230" s="24">
        <f>VLOOKUP(K1230, KM!$A:$E, 5, 0)</f>
        <v>705</v>
      </c>
      <c r="S1230" s="24">
        <f>VLOOKUP(L1230, KM!$A:$E, 5, 0)</f>
        <v>429</v>
      </c>
      <c r="T1230" s="24">
        <f>VLOOKUP(M1230, KM!$A:$E, 5, 0)</f>
        <v>408</v>
      </c>
      <c r="U1230" s="24">
        <f>VLOOKUP(N1230, KM!$A:$E, 5, 0)</f>
        <v>3971</v>
      </c>
      <c r="V1230" s="24">
        <f>VLOOKUP(H1230, IMPOSTO!$A:$D, 4, 0)</f>
        <v>0.18</v>
      </c>
      <c r="W1230" s="24">
        <f>VLOOKUP(I1230, IMPOSTO!$A:$D, 4, 0)</f>
        <v>0.12</v>
      </c>
      <c r="X1230" s="24">
        <f>VLOOKUP(J1230, IMPOSTO!$A:$D, 4, 0)</f>
        <v>7.0000000000000007E-2</v>
      </c>
      <c r="Y1230" s="24">
        <f>VLOOKUP(K1230, IMPOSTO!$A:$D, 4, 0)</f>
        <v>0.12</v>
      </c>
      <c r="Z1230" s="24">
        <f>VLOOKUP(L1230, IMPOSTO!$A:$D, 4, 0)</f>
        <v>0.12</v>
      </c>
      <c r="AA1230" s="24">
        <f>VLOOKUP(M1230, IMPOSTO!$A:$D, 4, 0)</f>
        <v>0.12</v>
      </c>
      <c r="AB1230" s="24">
        <f>VLOOKUP(N1230, IMPOSTO!$A:$D, 4, 0)</f>
        <v>7.0000000000000007E-2</v>
      </c>
      <c r="AC1230" s="25">
        <f t="shared" si="173"/>
        <v>3925.0187608182528</v>
      </c>
      <c r="AD1230" s="25">
        <f t="shared" si="174"/>
        <v>3723.9947543988264</v>
      </c>
      <c r="AE1230" s="25">
        <f t="shared" si="175"/>
        <v>3555.6079396462019</v>
      </c>
      <c r="AF1230" s="25">
        <f t="shared" si="176"/>
        <v>3737.5174816715539</v>
      </c>
      <c r="AG1230" s="25">
        <f t="shared" si="177"/>
        <v>3706.1538453079179</v>
      </c>
      <c r="AH1230" s="25">
        <f t="shared" si="178"/>
        <v>3703.7674816715544</v>
      </c>
      <c r="AI1230" s="25">
        <f t="shared" si="179"/>
        <v>3887.7584772806104</v>
      </c>
    </row>
    <row r="1231" spans="1:35" ht="15.75" customHeight="1">
      <c r="A1231" s="12" t="s">
        <v>818</v>
      </c>
      <c r="B1231" s="12" t="s">
        <v>819</v>
      </c>
      <c r="C1231" s="12" t="s">
        <v>86</v>
      </c>
      <c r="D1231" s="12" t="s">
        <v>33</v>
      </c>
      <c r="E1231" s="12" t="s">
        <v>23</v>
      </c>
      <c r="F1231" s="13">
        <v>34352.253600000004</v>
      </c>
      <c r="G1231" s="14">
        <v>210094.30919265386</v>
      </c>
      <c r="H1231" s="24" t="str">
        <f t="shared" si="182"/>
        <v>SPSP</v>
      </c>
      <c r="I1231" s="24" t="str">
        <f t="shared" si="181"/>
        <v>SPMG</v>
      </c>
      <c r="J1231" s="24" t="str">
        <f t="shared" si="181"/>
        <v>SPES</v>
      </c>
      <c r="K1231" s="24" t="str">
        <f t="shared" si="181"/>
        <v>SPSC</v>
      </c>
      <c r="L1231" s="24" t="str">
        <f t="shared" si="181"/>
        <v>SPRJ</v>
      </c>
      <c r="M1231" s="24" t="str">
        <f t="shared" si="181"/>
        <v>SPPR</v>
      </c>
      <c r="N1231" s="24" t="str">
        <f t="shared" si="181"/>
        <v>SPAM</v>
      </c>
      <c r="O1231" s="24">
        <f>VLOOKUP(H1231, KM!$A:$E, 5, 0)</f>
        <v>0</v>
      </c>
      <c r="P1231" s="24">
        <f>VLOOKUP(I1231, KM!$A:$E, 5, 0)</f>
        <v>586</v>
      </c>
      <c r="Q1231" s="24">
        <f>VLOOKUP(J1231, KM!$A:$E, 5, 0)</f>
        <v>882</v>
      </c>
      <c r="R1231" s="24">
        <f>VLOOKUP(K1231, KM!$A:$E, 5, 0)</f>
        <v>705</v>
      </c>
      <c r="S1231" s="24">
        <f>VLOOKUP(L1231, KM!$A:$E, 5, 0)</f>
        <v>429</v>
      </c>
      <c r="T1231" s="24">
        <f>VLOOKUP(M1231, KM!$A:$E, 5, 0)</f>
        <v>408</v>
      </c>
      <c r="U1231" s="24">
        <f>VLOOKUP(N1231, KM!$A:$E, 5, 0)</f>
        <v>3971</v>
      </c>
      <c r="V1231" s="24">
        <f>VLOOKUP(H1231, IMPOSTO!$A:$D, 4, 0)</f>
        <v>0.18</v>
      </c>
      <c r="W1231" s="24">
        <f>VLOOKUP(I1231, IMPOSTO!$A:$D, 4, 0)</f>
        <v>0.12</v>
      </c>
      <c r="X1231" s="24">
        <f>VLOOKUP(J1231, IMPOSTO!$A:$D, 4, 0)</f>
        <v>7.0000000000000007E-2</v>
      </c>
      <c r="Y1231" s="24">
        <f>VLOOKUP(K1231, IMPOSTO!$A:$D, 4, 0)</f>
        <v>0.12</v>
      </c>
      <c r="Z1231" s="24">
        <f>VLOOKUP(L1231, IMPOSTO!$A:$D, 4, 0)</f>
        <v>0.12</v>
      </c>
      <c r="AA1231" s="24">
        <f>VLOOKUP(M1231, IMPOSTO!$A:$D, 4, 0)</f>
        <v>0.12</v>
      </c>
      <c r="AB1231" s="24">
        <f>VLOOKUP(N1231, IMPOSTO!$A:$D, 4, 0)</f>
        <v>7.0000000000000007E-2</v>
      </c>
      <c r="AC1231" s="25">
        <f t="shared" si="173"/>
        <v>256212.57218616322</v>
      </c>
      <c r="AD1231" s="25">
        <f t="shared" si="174"/>
        <v>238810.1240825612</v>
      </c>
      <c r="AE1231" s="25">
        <f t="shared" si="175"/>
        <v>226002.69805661708</v>
      </c>
      <c r="AF1231" s="25">
        <f t="shared" si="176"/>
        <v>238823.64680983394</v>
      </c>
      <c r="AG1231" s="25">
        <f t="shared" si="177"/>
        <v>238792.28317347029</v>
      </c>
      <c r="AH1231" s="25">
        <f t="shared" si="178"/>
        <v>238789.89680983391</v>
      </c>
      <c r="AI1231" s="25">
        <f t="shared" si="179"/>
        <v>226334.8485942515</v>
      </c>
    </row>
    <row r="1232" spans="1:35" ht="15.75" customHeight="1">
      <c r="A1232" s="12" t="s">
        <v>247</v>
      </c>
      <c r="B1232" s="12" t="s">
        <v>248</v>
      </c>
      <c r="C1232" s="12" t="s">
        <v>192</v>
      </c>
      <c r="D1232" s="12" t="s">
        <v>50</v>
      </c>
      <c r="E1232" s="12" t="s">
        <v>23</v>
      </c>
      <c r="F1232" s="13">
        <v>42.56849315068493</v>
      </c>
      <c r="G1232" s="14">
        <v>1236.1890410958904</v>
      </c>
      <c r="H1232" s="24" t="str">
        <f t="shared" si="182"/>
        <v>SPSP</v>
      </c>
      <c r="I1232" s="24" t="str">
        <f t="shared" si="181"/>
        <v>SPMG</v>
      </c>
      <c r="J1232" s="24" t="str">
        <f t="shared" si="181"/>
        <v>SPES</v>
      </c>
      <c r="K1232" s="24" t="str">
        <f t="shared" si="181"/>
        <v>SPSC</v>
      </c>
      <c r="L1232" s="24" t="str">
        <f t="shared" si="181"/>
        <v>SPRJ</v>
      </c>
      <c r="M1232" s="24" t="str">
        <f t="shared" si="181"/>
        <v>SPPR</v>
      </c>
      <c r="N1232" s="24" t="str">
        <f t="shared" si="181"/>
        <v>SPAM</v>
      </c>
      <c r="O1232" s="24">
        <f>VLOOKUP(H1232, KM!$A:$E, 5, 0)</f>
        <v>0</v>
      </c>
      <c r="P1232" s="24">
        <f>VLOOKUP(I1232, KM!$A:$E, 5, 0)</f>
        <v>586</v>
      </c>
      <c r="Q1232" s="24">
        <f>VLOOKUP(J1232, KM!$A:$E, 5, 0)</f>
        <v>882</v>
      </c>
      <c r="R1232" s="24">
        <f>VLOOKUP(K1232, KM!$A:$E, 5, 0)</f>
        <v>705</v>
      </c>
      <c r="S1232" s="24">
        <f>VLOOKUP(L1232, KM!$A:$E, 5, 0)</f>
        <v>429</v>
      </c>
      <c r="T1232" s="24">
        <f>VLOOKUP(M1232, KM!$A:$E, 5, 0)</f>
        <v>408</v>
      </c>
      <c r="U1232" s="24">
        <f>VLOOKUP(N1232, KM!$A:$E, 5, 0)</f>
        <v>3971</v>
      </c>
      <c r="V1232" s="24">
        <f>VLOOKUP(H1232, IMPOSTO!$A:$D, 4, 0)</f>
        <v>0.18</v>
      </c>
      <c r="W1232" s="24">
        <f>VLOOKUP(I1232, IMPOSTO!$A:$D, 4, 0)</f>
        <v>0.12</v>
      </c>
      <c r="X1232" s="24">
        <f>VLOOKUP(J1232, IMPOSTO!$A:$D, 4, 0)</f>
        <v>7.0000000000000007E-2</v>
      </c>
      <c r="Y1232" s="24">
        <f>VLOOKUP(K1232, IMPOSTO!$A:$D, 4, 0)</f>
        <v>0.12</v>
      </c>
      <c r="Z1232" s="24">
        <f>VLOOKUP(L1232, IMPOSTO!$A:$D, 4, 0)</f>
        <v>0.12</v>
      </c>
      <c r="AA1232" s="24">
        <f>VLOOKUP(M1232, IMPOSTO!$A:$D, 4, 0)</f>
        <v>0.12</v>
      </c>
      <c r="AB1232" s="24">
        <f>VLOOKUP(N1232, IMPOSTO!$A:$D, 4, 0)</f>
        <v>7.0000000000000007E-2</v>
      </c>
      <c r="AC1232" s="25">
        <f t="shared" si="173"/>
        <v>1507.5476110925492</v>
      </c>
      <c r="AD1232" s="25">
        <f t="shared" si="174"/>
        <v>1471.3511830635116</v>
      </c>
      <c r="AE1232" s="25">
        <f t="shared" si="175"/>
        <v>1424.0742377375168</v>
      </c>
      <c r="AF1232" s="25">
        <f t="shared" si="176"/>
        <v>1484.8739103362391</v>
      </c>
      <c r="AG1232" s="25">
        <f t="shared" si="177"/>
        <v>1453.5102739726028</v>
      </c>
      <c r="AH1232" s="25">
        <f t="shared" si="178"/>
        <v>1451.1239103362391</v>
      </c>
      <c r="AI1232" s="25">
        <f t="shared" si="179"/>
        <v>1756.2247753719253</v>
      </c>
    </row>
    <row r="1233" spans="1:35" ht="15.75" customHeight="1">
      <c r="A1233" s="12" t="s">
        <v>820</v>
      </c>
      <c r="B1233" s="12" t="s">
        <v>821</v>
      </c>
      <c r="C1233" s="12" t="s">
        <v>192</v>
      </c>
      <c r="D1233" s="12" t="s">
        <v>33</v>
      </c>
      <c r="E1233" s="12" t="s">
        <v>23</v>
      </c>
      <c r="F1233" s="13">
        <v>2618.9519999999989</v>
      </c>
      <c r="G1233" s="14">
        <v>244583.92728</v>
      </c>
      <c r="H1233" s="24" t="str">
        <f t="shared" si="182"/>
        <v>SPSP</v>
      </c>
      <c r="I1233" s="24" t="str">
        <f t="shared" si="181"/>
        <v>SPMG</v>
      </c>
      <c r="J1233" s="24" t="str">
        <f t="shared" si="181"/>
        <v>SPES</v>
      </c>
      <c r="K1233" s="24" t="str">
        <f t="shared" si="181"/>
        <v>SPSC</v>
      </c>
      <c r="L1233" s="24" t="str">
        <f t="shared" si="181"/>
        <v>SPRJ</v>
      </c>
      <c r="M1233" s="24" t="str">
        <f t="shared" si="181"/>
        <v>SPPR</v>
      </c>
      <c r="N1233" s="24" t="str">
        <f t="shared" si="181"/>
        <v>SPAM</v>
      </c>
      <c r="O1233" s="24">
        <f>VLOOKUP(H1233, KM!$A:$E, 5, 0)</f>
        <v>0</v>
      </c>
      <c r="P1233" s="24">
        <f>VLOOKUP(I1233, KM!$A:$E, 5, 0)</f>
        <v>586</v>
      </c>
      <c r="Q1233" s="24">
        <f>VLOOKUP(J1233, KM!$A:$E, 5, 0)</f>
        <v>882</v>
      </c>
      <c r="R1233" s="24">
        <f>VLOOKUP(K1233, KM!$A:$E, 5, 0)</f>
        <v>705</v>
      </c>
      <c r="S1233" s="24">
        <f>VLOOKUP(L1233, KM!$A:$E, 5, 0)</f>
        <v>429</v>
      </c>
      <c r="T1233" s="24">
        <f>VLOOKUP(M1233, KM!$A:$E, 5, 0)</f>
        <v>408</v>
      </c>
      <c r="U1233" s="24">
        <f>VLOOKUP(N1233, KM!$A:$E, 5, 0)</f>
        <v>3971</v>
      </c>
      <c r="V1233" s="24">
        <f>VLOOKUP(H1233, IMPOSTO!$A:$D, 4, 0)</f>
        <v>0.18</v>
      </c>
      <c r="W1233" s="24">
        <f>VLOOKUP(I1233, IMPOSTO!$A:$D, 4, 0)</f>
        <v>0.12</v>
      </c>
      <c r="X1233" s="24">
        <f>VLOOKUP(J1233, IMPOSTO!$A:$D, 4, 0)</f>
        <v>7.0000000000000007E-2</v>
      </c>
      <c r="Y1233" s="24">
        <f>VLOOKUP(K1233, IMPOSTO!$A:$D, 4, 0)</f>
        <v>0.12</v>
      </c>
      <c r="Z1233" s="24">
        <f>VLOOKUP(L1233, IMPOSTO!$A:$D, 4, 0)</f>
        <v>0.12</v>
      </c>
      <c r="AA1233" s="24">
        <f>VLOOKUP(M1233, IMPOSTO!$A:$D, 4, 0)</f>
        <v>0.12</v>
      </c>
      <c r="AB1233" s="24">
        <f>VLOOKUP(N1233, IMPOSTO!$A:$D, 4, 0)</f>
        <v>7.0000000000000007E-2</v>
      </c>
      <c r="AC1233" s="25">
        <f t="shared" si="173"/>
        <v>298273.08204878046</v>
      </c>
      <c r="AD1233" s="25">
        <f t="shared" si="174"/>
        <v>278002.8719090909</v>
      </c>
      <c r="AE1233" s="25">
        <f t="shared" si="175"/>
        <v>263088.30890322581</v>
      </c>
      <c r="AF1233" s="25">
        <f t="shared" si="176"/>
        <v>278016.39463636366</v>
      </c>
      <c r="AG1233" s="25">
        <f t="shared" si="177"/>
        <v>277985.03100000002</v>
      </c>
      <c r="AH1233" s="25">
        <f t="shared" si="178"/>
        <v>277982.64463636361</v>
      </c>
      <c r="AI1233" s="25">
        <f t="shared" si="179"/>
        <v>263420.45944086026</v>
      </c>
    </row>
    <row r="1234" spans="1:35" ht="15.75" customHeight="1">
      <c r="A1234" s="12" t="s">
        <v>859</v>
      </c>
      <c r="B1234" s="12" t="s">
        <v>860</v>
      </c>
      <c r="C1234" s="12" t="s">
        <v>192</v>
      </c>
      <c r="D1234" s="12" t="s">
        <v>33</v>
      </c>
      <c r="E1234" s="12" t="s">
        <v>23</v>
      </c>
      <c r="F1234" s="13">
        <v>493.13157894736844</v>
      </c>
      <c r="G1234" s="14">
        <v>7468.0374671052632</v>
      </c>
      <c r="H1234" s="24" t="str">
        <f t="shared" si="182"/>
        <v>SPSP</v>
      </c>
      <c r="I1234" s="24" t="str">
        <f t="shared" si="181"/>
        <v>SPMG</v>
      </c>
      <c r="J1234" s="24" t="str">
        <f t="shared" si="181"/>
        <v>SPES</v>
      </c>
      <c r="K1234" s="24" t="str">
        <f t="shared" si="181"/>
        <v>SPSC</v>
      </c>
      <c r="L1234" s="24" t="str">
        <f t="shared" si="181"/>
        <v>SPRJ</v>
      </c>
      <c r="M1234" s="24" t="str">
        <f t="shared" si="181"/>
        <v>SPPR</v>
      </c>
      <c r="N1234" s="24" t="str">
        <f t="shared" si="181"/>
        <v>SPAM</v>
      </c>
      <c r="O1234" s="24">
        <f>VLOOKUP(H1234, KM!$A:$E, 5, 0)</f>
        <v>0</v>
      </c>
      <c r="P1234" s="24">
        <f>VLOOKUP(I1234, KM!$A:$E, 5, 0)</f>
        <v>586</v>
      </c>
      <c r="Q1234" s="24">
        <f>VLOOKUP(J1234, KM!$A:$E, 5, 0)</f>
        <v>882</v>
      </c>
      <c r="R1234" s="24">
        <f>VLOOKUP(K1234, KM!$A:$E, 5, 0)</f>
        <v>705</v>
      </c>
      <c r="S1234" s="24">
        <f>VLOOKUP(L1234, KM!$A:$E, 5, 0)</f>
        <v>429</v>
      </c>
      <c r="T1234" s="24">
        <f>VLOOKUP(M1234, KM!$A:$E, 5, 0)</f>
        <v>408</v>
      </c>
      <c r="U1234" s="24">
        <f>VLOOKUP(N1234, KM!$A:$E, 5, 0)</f>
        <v>3971</v>
      </c>
      <c r="V1234" s="24">
        <f>VLOOKUP(H1234, IMPOSTO!$A:$D, 4, 0)</f>
        <v>0.18</v>
      </c>
      <c r="W1234" s="24">
        <f>VLOOKUP(I1234, IMPOSTO!$A:$D, 4, 0)</f>
        <v>0.12</v>
      </c>
      <c r="X1234" s="24">
        <f>VLOOKUP(J1234, IMPOSTO!$A:$D, 4, 0)</f>
        <v>7.0000000000000007E-2</v>
      </c>
      <c r="Y1234" s="24">
        <f>VLOOKUP(K1234, IMPOSTO!$A:$D, 4, 0)</f>
        <v>0.12</v>
      </c>
      <c r="Z1234" s="24">
        <f>VLOOKUP(L1234, IMPOSTO!$A:$D, 4, 0)</f>
        <v>0.12</v>
      </c>
      <c r="AA1234" s="24">
        <f>VLOOKUP(M1234, IMPOSTO!$A:$D, 4, 0)</f>
        <v>0.12</v>
      </c>
      <c r="AB1234" s="24">
        <f>VLOOKUP(N1234, IMPOSTO!$A:$D, 4, 0)</f>
        <v>7.0000000000000007E-2</v>
      </c>
      <c r="AC1234" s="25">
        <f t="shared" si="173"/>
        <v>9107.3627647625162</v>
      </c>
      <c r="AD1234" s="25">
        <f t="shared" si="174"/>
        <v>8552.9971217105267</v>
      </c>
      <c r="AE1234" s="25">
        <f t="shared" si="175"/>
        <v>8124.9865237691001</v>
      </c>
      <c r="AF1234" s="25">
        <f t="shared" si="176"/>
        <v>8566.5198489832528</v>
      </c>
      <c r="AG1234" s="25">
        <f t="shared" si="177"/>
        <v>8535.1562126196168</v>
      </c>
      <c r="AH1234" s="25">
        <f t="shared" si="178"/>
        <v>8532.7698489832546</v>
      </c>
      <c r="AI1234" s="25">
        <f t="shared" si="179"/>
        <v>8457.1370614035095</v>
      </c>
    </row>
    <row r="1235" spans="1:35" ht="15.75" customHeight="1">
      <c r="A1235" s="12" t="s">
        <v>955</v>
      </c>
      <c r="B1235" s="12" t="s">
        <v>956</v>
      </c>
      <c r="C1235" s="12" t="s">
        <v>192</v>
      </c>
      <c r="D1235" s="12" t="s">
        <v>33</v>
      </c>
      <c r="E1235" s="12" t="s">
        <v>23</v>
      </c>
      <c r="F1235" s="13">
        <v>52.002999999999993</v>
      </c>
      <c r="G1235" s="14">
        <v>309.18783673076922</v>
      </c>
      <c r="H1235" s="24" t="str">
        <f t="shared" si="182"/>
        <v>SPSP</v>
      </c>
      <c r="I1235" s="24" t="str">
        <f t="shared" si="181"/>
        <v>SPMG</v>
      </c>
      <c r="J1235" s="24" t="str">
        <f t="shared" si="181"/>
        <v>SPES</v>
      </c>
      <c r="K1235" s="24" t="str">
        <f t="shared" si="181"/>
        <v>SPSC</v>
      </c>
      <c r="L1235" s="24" t="str">
        <f t="shared" si="181"/>
        <v>SPRJ</v>
      </c>
      <c r="M1235" s="24" t="str">
        <f t="shared" si="181"/>
        <v>SPPR</v>
      </c>
      <c r="N1235" s="24" t="str">
        <f t="shared" si="181"/>
        <v>SPAM</v>
      </c>
      <c r="O1235" s="24">
        <f>VLOOKUP(H1235, KM!$A:$E, 5, 0)</f>
        <v>0</v>
      </c>
      <c r="P1235" s="24">
        <f>VLOOKUP(I1235, KM!$A:$E, 5, 0)</f>
        <v>586</v>
      </c>
      <c r="Q1235" s="24">
        <f>VLOOKUP(J1235, KM!$A:$E, 5, 0)</f>
        <v>882</v>
      </c>
      <c r="R1235" s="24">
        <f>VLOOKUP(K1235, KM!$A:$E, 5, 0)</f>
        <v>705</v>
      </c>
      <c r="S1235" s="24">
        <f>VLOOKUP(L1235, KM!$A:$E, 5, 0)</f>
        <v>429</v>
      </c>
      <c r="T1235" s="24">
        <f>VLOOKUP(M1235, KM!$A:$E, 5, 0)</f>
        <v>408</v>
      </c>
      <c r="U1235" s="24">
        <f>VLOOKUP(N1235, KM!$A:$E, 5, 0)</f>
        <v>3971</v>
      </c>
      <c r="V1235" s="24">
        <f>VLOOKUP(H1235, IMPOSTO!$A:$D, 4, 0)</f>
        <v>0.18</v>
      </c>
      <c r="W1235" s="24">
        <f>VLOOKUP(I1235, IMPOSTO!$A:$D, 4, 0)</f>
        <v>0.12</v>
      </c>
      <c r="X1235" s="24">
        <f>VLOOKUP(J1235, IMPOSTO!$A:$D, 4, 0)</f>
        <v>7.0000000000000007E-2</v>
      </c>
      <c r="Y1235" s="24">
        <f>VLOOKUP(K1235, IMPOSTO!$A:$D, 4, 0)</f>
        <v>0.12</v>
      </c>
      <c r="Z1235" s="24">
        <f>VLOOKUP(L1235, IMPOSTO!$A:$D, 4, 0)</f>
        <v>0.12</v>
      </c>
      <c r="AA1235" s="24">
        <f>VLOOKUP(M1235, IMPOSTO!$A:$D, 4, 0)</f>
        <v>0.12</v>
      </c>
      <c r="AB1235" s="24">
        <f>VLOOKUP(N1235, IMPOSTO!$A:$D, 4, 0)</f>
        <v>7.0000000000000007E-2</v>
      </c>
      <c r="AC1235" s="25">
        <f t="shared" ref="AC1235:AC1298" si="183">($G1235 + O1235 * $AE$5) / (1 - V1235)</f>
        <v>377.05833747654782</v>
      </c>
      <c r="AD1235" s="25">
        <f t="shared" ref="AD1235:AD1298" si="184">($G1235 + P1235 * $AE$5) / (1 - W1235)</f>
        <v>417.94072355769231</v>
      </c>
      <c r="AE1235" s="25">
        <f t="shared" ref="AE1235:AE1298" si="185">($G1235 + Q1235 * $AE$5) / (1 - X1235)</f>
        <v>427.29874917287015</v>
      </c>
      <c r="AF1235" s="25">
        <f t="shared" ref="AF1235:AF1298" si="186">($G1235 + R1235 * $AE$5) / (1 - Y1235)</f>
        <v>431.46345083041956</v>
      </c>
      <c r="AG1235" s="25">
        <f t="shared" ref="AG1235:AG1298" si="187">($G1235 + S1235 * $AE$5) / (1 - Z1235)</f>
        <v>400.09981446678324</v>
      </c>
      <c r="AH1235" s="25">
        <f t="shared" ref="AH1235:AH1298" si="188">($G1235 + T1235 * $AE$5) / (1 - AA1235)</f>
        <v>397.71345083041956</v>
      </c>
      <c r="AI1235" s="25">
        <f t="shared" ref="AI1235:AI1298" si="189">($G1235 + U1235 * $AE$5) / (1 - AB1235)</f>
        <v>759.44928680727878</v>
      </c>
    </row>
    <row r="1236" spans="1:35" ht="15.75" customHeight="1">
      <c r="A1236" s="12" t="s">
        <v>957</v>
      </c>
      <c r="B1236" s="12" t="s">
        <v>958</v>
      </c>
      <c r="C1236" s="12" t="s">
        <v>217</v>
      </c>
      <c r="D1236" s="12" t="s">
        <v>33</v>
      </c>
      <c r="E1236" s="12" t="s">
        <v>23</v>
      </c>
      <c r="F1236" s="13">
        <v>44</v>
      </c>
      <c r="G1236" s="14">
        <v>1550.0906666666665</v>
      </c>
      <c r="H1236" s="24" t="str">
        <f t="shared" si="182"/>
        <v>SPSP</v>
      </c>
      <c r="I1236" s="24" t="str">
        <f t="shared" si="181"/>
        <v>SPMG</v>
      </c>
      <c r="J1236" s="24" t="str">
        <f t="shared" si="181"/>
        <v>SPES</v>
      </c>
      <c r="K1236" s="24" t="str">
        <f t="shared" si="181"/>
        <v>SPSC</v>
      </c>
      <c r="L1236" s="24" t="str">
        <f t="shared" si="181"/>
        <v>SPRJ</v>
      </c>
      <c r="M1236" s="24" t="str">
        <f t="shared" si="181"/>
        <v>SPPR</v>
      </c>
      <c r="N1236" s="24" t="str">
        <f t="shared" si="181"/>
        <v>SPAM</v>
      </c>
      <c r="O1236" s="24">
        <f>VLOOKUP(H1236, KM!$A:$E, 5, 0)</f>
        <v>0</v>
      </c>
      <c r="P1236" s="24">
        <f>VLOOKUP(I1236, KM!$A:$E, 5, 0)</f>
        <v>586</v>
      </c>
      <c r="Q1236" s="24">
        <f>VLOOKUP(J1236, KM!$A:$E, 5, 0)</f>
        <v>882</v>
      </c>
      <c r="R1236" s="24">
        <f>VLOOKUP(K1236, KM!$A:$E, 5, 0)</f>
        <v>705</v>
      </c>
      <c r="S1236" s="24">
        <f>VLOOKUP(L1236, KM!$A:$E, 5, 0)</f>
        <v>429</v>
      </c>
      <c r="T1236" s="24">
        <f>VLOOKUP(M1236, KM!$A:$E, 5, 0)</f>
        <v>408</v>
      </c>
      <c r="U1236" s="24">
        <f>VLOOKUP(N1236, KM!$A:$E, 5, 0)</f>
        <v>3971</v>
      </c>
      <c r="V1236" s="24">
        <f>VLOOKUP(H1236, IMPOSTO!$A:$D, 4, 0)</f>
        <v>0.18</v>
      </c>
      <c r="W1236" s="24">
        <f>VLOOKUP(I1236, IMPOSTO!$A:$D, 4, 0)</f>
        <v>0.12</v>
      </c>
      <c r="X1236" s="24">
        <f>VLOOKUP(J1236, IMPOSTO!$A:$D, 4, 0)</f>
        <v>7.0000000000000007E-2</v>
      </c>
      <c r="Y1236" s="24">
        <f>VLOOKUP(K1236, IMPOSTO!$A:$D, 4, 0)</f>
        <v>0.12</v>
      </c>
      <c r="Z1236" s="24">
        <f>VLOOKUP(L1236, IMPOSTO!$A:$D, 4, 0)</f>
        <v>0.12</v>
      </c>
      <c r="AA1236" s="24">
        <f>VLOOKUP(M1236, IMPOSTO!$A:$D, 4, 0)</f>
        <v>0.12</v>
      </c>
      <c r="AB1236" s="24">
        <f>VLOOKUP(N1236, IMPOSTO!$A:$D, 4, 0)</f>
        <v>7.0000000000000007E-2</v>
      </c>
      <c r="AC1236" s="25">
        <f t="shared" si="183"/>
        <v>1890.3544715447151</v>
      </c>
      <c r="AD1236" s="25">
        <f t="shared" si="184"/>
        <v>1828.0575757575755</v>
      </c>
      <c r="AE1236" s="25">
        <f t="shared" si="185"/>
        <v>1761.6028673835126</v>
      </c>
      <c r="AF1236" s="25">
        <f t="shared" si="186"/>
        <v>1841.5803030303027</v>
      </c>
      <c r="AG1236" s="25">
        <f t="shared" si="187"/>
        <v>1810.2166666666665</v>
      </c>
      <c r="AH1236" s="25">
        <f t="shared" si="188"/>
        <v>1807.8303030303027</v>
      </c>
      <c r="AI1236" s="25">
        <f t="shared" si="189"/>
        <v>2093.7534050179211</v>
      </c>
    </row>
    <row r="1237" spans="1:35" ht="15.75" customHeight="1">
      <c r="A1237" s="12" t="s">
        <v>959</v>
      </c>
      <c r="B1237" s="12" t="s">
        <v>960</v>
      </c>
      <c r="C1237" s="12" t="s">
        <v>192</v>
      </c>
      <c r="D1237" s="12" t="s">
        <v>33</v>
      </c>
      <c r="E1237" s="12" t="s">
        <v>23</v>
      </c>
      <c r="F1237" s="13">
        <v>56</v>
      </c>
      <c r="G1237" s="14">
        <v>5229.84</v>
      </c>
      <c r="H1237" s="24" t="str">
        <f t="shared" si="182"/>
        <v>SPSP</v>
      </c>
      <c r="I1237" s="24" t="str">
        <f t="shared" si="181"/>
        <v>SPMG</v>
      </c>
      <c r="J1237" s="24" t="str">
        <f t="shared" si="181"/>
        <v>SPES</v>
      </c>
      <c r="K1237" s="24" t="str">
        <f t="shared" si="181"/>
        <v>SPSC</v>
      </c>
      <c r="L1237" s="24" t="str">
        <f t="shared" si="181"/>
        <v>SPRJ</v>
      </c>
      <c r="M1237" s="24" t="str">
        <f t="shared" si="181"/>
        <v>SPPR</v>
      </c>
      <c r="N1237" s="24" t="str">
        <f t="shared" si="181"/>
        <v>SPAM</v>
      </c>
      <c r="O1237" s="24">
        <f>VLOOKUP(H1237, KM!$A:$E, 5, 0)</f>
        <v>0</v>
      </c>
      <c r="P1237" s="24">
        <f>VLOOKUP(I1237, KM!$A:$E, 5, 0)</f>
        <v>586</v>
      </c>
      <c r="Q1237" s="24">
        <f>VLOOKUP(J1237, KM!$A:$E, 5, 0)</f>
        <v>882</v>
      </c>
      <c r="R1237" s="24">
        <f>VLOOKUP(K1237, KM!$A:$E, 5, 0)</f>
        <v>705</v>
      </c>
      <c r="S1237" s="24">
        <f>VLOOKUP(L1237, KM!$A:$E, 5, 0)</f>
        <v>429</v>
      </c>
      <c r="T1237" s="24">
        <f>VLOOKUP(M1237, KM!$A:$E, 5, 0)</f>
        <v>408</v>
      </c>
      <c r="U1237" s="24">
        <f>VLOOKUP(N1237, KM!$A:$E, 5, 0)</f>
        <v>3971</v>
      </c>
      <c r="V1237" s="24">
        <f>VLOOKUP(H1237, IMPOSTO!$A:$D, 4, 0)</f>
        <v>0.18</v>
      </c>
      <c r="W1237" s="24">
        <f>VLOOKUP(I1237, IMPOSTO!$A:$D, 4, 0)</f>
        <v>0.12</v>
      </c>
      <c r="X1237" s="24">
        <f>VLOOKUP(J1237, IMPOSTO!$A:$D, 4, 0)</f>
        <v>7.0000000000000007E-2</v>
      </c>
      <c r="Y1237" s="24">
        <f>VLOOKUP(K1237, IMPOSTO!$A:$D, 4, 0)</f>
        <v>0.12</v>
      </c>
      <c r="Z1237" s="24">
        <f>VLOOKUP(L1237, IMPOSTO!$A:$D, 4, 0)</f>
        <v>0.12</v>
      </c>
      <c r="AA1237" s="24">
        <f>VLOOKUP(M1237, IMPOSTO!$A:$D, 4, 0)</f>
        <v>0.12</v>
      </c>
      <c r="AB1237" s="24">
        <f>VLOOKUP(N1237, IMPOSTO!$A:$D, 4, 0)</f>
        <v>7.0000000000000007E-2</v>
      </c>
      <c r="AC1237" s="25">
        <f t="shared" si="183"/>
        <v>6377.8536585365855</v>
      </c>
      <c r="AD1237" s="25">
        <f t="shared" si="184"/>
        <v>6009.5909090909099</v>
      </c>
      <c r="AE1237" s="25">
        <f t="shared" si="185"/>
        <v>5718.3225806451619</v>
      </c>
      <c r="AF1237" s="25">
        <f t="shared" si="186"/>
        <v>6023.1136363636369</v>
      </c>
      <c r="AG1237" s="25">
        <f t="shared" si="187"/>
        <v>5991.75</v>
      </c>
      <c r="AH1237" s="25">
        <f t="shared" si="188"/>
        <v>5989.3636363636369</v>
      </c>
      <c r="AI1237" s="25">
        <f t="shared" si="189"/>
        <v>6050.4731182795713</v>
      </c>
    </row>
    <row r="1238" spans="1:35" ht="15.75" customHeight="1">
      <c r="A1238" s="12" t="s">
        <v>648</v>
      </c>
      <c r="B1238" s="12" t="s">
        <v>649</v>
      </c>
      <c r="C1238" s="12" t="s">
        <v>119</v>
      </c>
      <c r="D1238" s="12" t="s">
        <v>33</v>
      </c>
      <c r="E1238" s="12" t="s">
        <v>23</v>
      </c>
      <c r="F1238" s="13">
        <v>236</v>
      </c>
      <c r="G1238" s="14">
        <v>11101.44</v>
      </c>
      <c r="H1238" s="24" t="str">
        <f t="shared" si="182"/>
        <v>SPSP</v>
      </c>
      <c r="I1238" s="24" t="str">
        <f t="shared" si="181"/>
        <v>SPMG</v>
      </c>
      <c r="J1238" s="24" t="str">
        <f t="shared" si="181"/>
        <v>SPES</v>
      </c>
      <c r="K1238" s="24" t="str">
        <f t="shared" si="181"/>
        <v>SPSC</v>
      </c>
      <c r="L1238" s="24" t="str">
        <f t="shared" si="181"/>
        <v>SPRJ</v>
      </c>
      <c r="M1238" s="24" t="str">
        <f t="shared" si="181"/>
        <v>SPPR</v>
      </c>
      <c r="N1238" s="24" t="str">
        <f t="shared" si="181"/>
        <v>SPAM</v>
      </c>
      <c r="O1238" s="24">
        <f>VLOOKUP(H1238, KM!$A:$E, 5, 0)</f>
        <v>0</v>
      </c>
      <c r="P1238" s="24">
        <f>VLOOKUP(I1238, KM!$A:$E, 5, 0)</f>
        <v>586</v>
      </c>
      <c r="Q1238" s="24">
        <f>VLOOKUP(J1238, KM!$A:$E, 5, 0)</f>
        <v>882</v>
      </c>
      <c r="R1238" s="24">
        <f>VLOOKUP(K1238, KM!$A:$E, 5, 0)</f>
        <v>705</v>
      </c>
      <c r="S1238" s="24">
        <f>VLOOKUP(L1238, KM!$A:$E, 5, 0)</f>
        <v>429</v>
      </c>
      <c r="T1238" s="24">
        <f>VLOOKUP(M1238, KM!$A:$E, 5, 0)</f>
        <v>408</v>
      </c>
      <c r="U1238" s="24">
        <f>VLOOKUP(N1238, KM!$A:$E, 5, 0)</f>
        <v>3971</v>
      </c>
      <c r="V1238" s="24">
        <f>VLOOKUP(H1238, IMPOSTO!$A:$D, 4, 0)</f>
        <v>0.18</v>
      </c>
      <c r="W1238" s="24">
        <f>VLOOKUP(I1238, IMPOSTO!$A:$D, 4, 0)</f>
        <v>0.12</v>
      </c>
      <c r="X1238" s="24">
        <f>VLOOKUP(J1238, IMPOSTO!$A:$D, 4, 0)</f>
        <v>7.0000000000000007E-2</v>
      </c>
      <c r="Y1238" s="24">
        <f>VLOOKUP(K1238, IMPOSTO!$A:$D, 4, 0)</f>
        <v>0.12</v>
      </c>
      <c r="Z1238" s="24">
        <f>VLOOKUP(L1238, IMPOSTO!$A:$D, 4, 0)</f>
        <v>0.12</v>
      </c>
      <c r="AA1238" s="24">
        <f>VLOOKUP(M1238, IMPOSTO!$A:$D, 4, 0)</f>
        <v>0.12</v>
      </c>
      <c r="AB1238" s="24">
        <f>VLOOKUP(N1238, IMPOSTO!$A:$D, 4, 0)</f>
        <v>7.0000000000000007E-2</v>
      </c>
      <c r="AC1238" s="25">
        <f t="shared" si="183"/>
        <v>13538.341463414634</v>
      </c>
      <c r="AD1238" s="25">
        <f t="shared" si="184"/>
        <v>12681.863636363638</v>
      </c>
      <c r="AE1238" s="25">
        <f t="shared" si="185"/>
        <v>12031.870967741937</v>
      </c>
      <c r="AF1238" s="25">
        <f t="shared" si="186"/>
        <v>12695.386363636364</v>
      </c>
      <c r="AG1238" s="25">
        <f t="shared" si="187"/>
        <v>12664.022727272728</v>
      </c>
      <c r="AH1238" s="25">
        <f t="shared" si="188"/>
        <v>12661.636363636364</v>
      </c>
      <c r="AI1238" s="25">
        <f t="shared" si="189"/>
        <v>12364.021505376346</v>
      </c>
    </row>
    <row r="1239" spans="1:35" ht="15.75" customHeight="1">
      <c r="A1239" s="12" t="s">
        <v>274</v>
      </c>
      <c r="B1239" s="12" t="s">
        <v>275</v>
      </c>
      <c r="C1239" s="12" t="s">
        <v>192</v>
      </c>
      <c r="D1239" s="12" t="s">
        <v>50</v>
      </c>
      <c r="E1239" s="12" t="s">
        <v>23</v>
      </c>
      <c r="F1239" s="13">
        <v>2.0738370370370371</v>
      </c>
      <c r="G1239" s="14">
        <v>123.76659437037037</v>
      </c>
      <c r="H1239" s="24" t="str">
        <f t="shared" si="182"/>
        <v>SPSP</v>
      </c>
      <c r="I1239" s="24" t="str">
        <f t="shared" si="181"/>
        <v>SPMG</v>
      </c>
      <c r="J1239" s="24" t="str">
        <f t="shared" si="181"/>
        <v>SPES</v>
      </c>
      <c r="K1239" s="24" t="str">
        <f t="shared" si="181"/>
        <v>SPSC</v>
      </c>
      <c r="L1239" s="24" t="str">
        <f t="shared" si="181"/>
        <v>SPRJ</v>
      </c>
      <c r="M1239" s="24" t="str">
        <f t="shared" si="181"/>
        <v>SPPR</v>
      </c>
      <c r="N1239" s="24" t="str">
        <f t="shared" si="181"/>
        <v>SPAM</v>
      </c>
      <c r="O1239" s="24">
        <f>VLOOKUP(H1239, KM!$A:$E, 5, 0)</f>
        <v>0</v>
      </c>
      <c r="P1239" s="24">
        <f>VLOOKUP(I1239, KM!$A:$E, 5, 0)</f>
        <v>586</v>
      </c>
      <c r="Q1239" s="24">
        <f>VLOOKUP(J1239, KM!$A:$E, 5, 0)</f>
        <v>882</v>
      </c>
      <c r="R1239" s="24">
        <f>VLOOKUP(K1239, KM!$A:$E, 5, 0)</f>
        <v>705</v>
      </c>
      <c r="S1239" s="24">
        <f>VLOOKUP(L1239, KM!$A:$E, 5, 0)</f>
        <v>429</v>
      </c>
      <c r="T1239" s="24">
        <f>VLOOKUP(M1239, KM!$A:$E, 5, 0)</f>
        <v>408</v>
      </c>
      <c r="U1239" s="24">
        <f>VLOOKUP(N1239, KM!$A:$E, 5, 0)</f>
        <v>3971</v>
      </c>
      <c r="V1239" s="24">
        <f>VLOOKUP(H1239, IMPOSTO!$A:$D, 4, 0)</f>
        <v>0.18</v>
      </c>
      <c r="W1239" s="24">
        <f>VLOOKUP(I1239, IMPOSTO!$A:$D, 4, 0)</f>
        <v>0.12</v>
      </c>
      <c r="X1239" s="24">
        <f>VLOOKUP(J1239, IMPOSTO!$A:$D, 4, 0)</f>
        <v>7.0000000000000007E-2</v>
      </c>
      <c r="Y1239" s="24">
        <f>VLOOKUP(K1239, IMPOSTO!$A:$D, 4, 0)</f>
        <v>0.12</v>
      </c>
      <c r="Z1239" s="24">
        <f>VLOOKUP(L1239, IMPOSTO!$A:$D, 4, 0)</f>
        <v>0.12</v>
      </c>
      <c r="AA1239" s="24">
        <f>VLOOKUP(M1239, IMPOSTO!$A:$D, 4, 0)</f>
        <v>0.12</v>
      </c>
      <c r="AB1239" s="24">
        <f>VLOOKUP(N1239, IMPOSTO!$A:$D, 4, 0)</f>
        <v>7.0000000000000007E-2</v>
      </c>
      <c r="AC1239" s="25">
        <f t="shared" si="183"/>
        <v>150.93487118337848</v>
      </c>
      <c r="AD1239" s="25">
        <f t="shared" si="184"/>
        <v>207.23476632996633</v>
      </c>
      <c r="AE1239" s="25">
        <f t="shared" si="185"/>
        <v>227.92106921545204</v>
      </c>
      <c r="AF1239" s="25">
        <f t="shared" si="186"/>
        <v>220.75749360269361</v>
      </c>
      <c r="AG1239" s="25">
        <f t="shared" si="187"/>
        <v>189.39385723905724</v>
      </c>
      <c r="AH1239" s="25">
        <f t="shared" si="188"/>
        <v>187.00749360269361</v>
      </c>
      <c r="AI1239" s="25">
        <f t="shared" si="189"/>
        <v>560.0716068498607</v>
      </c>
    </row>
    <row r="1240" spans="1:35" ht="15.75" customHeight="1">
      <c r="A1240" s="12" t="s">
        <v>504</v>
      </c>
      <c r="B1240" s="12" t="s">
        <v>505</v>
      </c>
      <c r="C1240" s="12" t="s">
        <v>135</v>
      </c>
      <c r="D1240" s="12" t="s">
        <v>33</v>
      </c>
      <c r="E1240" s="12" t="s">
        <v>23</v>
      </c>
      <c r="F1240" s="13">
        <v>45.252300000000005</v>
      </c>
      <c r="G1240" s="14">
        <v>451.25219915368712</v>
      </c>
      <c r="H1240" s="24" t="str">
        <f t="shared" si="182"/>
        <v>SPSP</v>
      </c>
      <c r="I1240" s="24" t="str">
        <f t="shared" si="181"/>
        <v>SPMG</v>
      </c>
      <c r="J1240" s="24" t="str">
        <f t="shared" si="181"/>
        <v>SPES</v>
      </c>
      <c r="K1240" s="24" t="str">
        <f t="shared" si="181"/>
        <v>SPSC</v>
      </c>
      <c r="L1240" s="24" t="str">
        <f t="shared" si="181"/>
        <v>SPRJ</v>
      </c>
      <c r="M1240" s="24" t="str">
        <f t="shared" si="181"/>
        <v>SPPR</v>
      </c>
      <c r="N1240" s="24" t="str">
        <f t="shared" si="181"/>
        <v>SPAM</v>
      </c>
      <c r="O1240" s="24">
        <f>VLOOKUP(H1240, KM!$A:$E, 5, 0)</f>
        <v>0</v>
      </c>
      <c r="P1240" s="24">
        <f>VLOOKUP(I1240, KM!$A:$E, 5, 0)</f>
        <v>586</v>
      </c>
      <c r="Q1240" s="24">
        <f>VLOOKUP(J1240, KM!$A:$E, 5, 0)</f>
        <v>882</v>
      </c>
      <c r="R1240" s="24">
        <f>VLOOKUP(K1240, KM!$A:$E, 5, 0)</f>
        <v>705</v>
      </c>
      <c r="S1240" s="24">
        <f>VLOOKUP(L1240, KM!$A:$E, 5, 0)</f>
        <v>429</v>
      </c>
      <c r="T1240" s="24">
        <f>VLOOKUP(M1240, KM!$A:$E, 5, 0)</f>
        <v>408</v>
      </c>
      <c r="U1240" s="24">
        <f>VLOOKUP(N1240, KM!$A:$E, 5, 0)</f>
        <v>3971</v>
      </c>
      <c r="V1240" s="24">
        <f>VLOOKUP(H1240, IMPOSTO!$A:$D, 4, 0)</f>
        <v>0.18</v>
      </c>
      <c r="W1240" s="24">
        <f>VLOOKUP(I1240, IMPOSTO!$A:$D, 4, 0)</f>
        <v>0.12</v>
      </c>
      <c r="X1240" s="24">
        <f>VLOOKUP(J1240, IMPOSTO!$A:$D, 4, 0)</f>
        <v>7.0000000000000007E-2</v>
      </c>
      <c r="Y1240" s="24">
        <f>VLOOKUP(K1240, IMPOSTO!$A:$D, 4, 0)</f>
        <v>0.12</v>
      </c>
      <c r="Z1240" s="24">
        <f>VLOOKUP(L1240, IMPOSTO!$A:$D, 4, 0)</f>
        <v>0.12</v>
      </c>
      <c r="AA1240" s="24">
        <f>VLOOKUP(M1240, IMPOSTO!$A:$D, 4, 0)</f>
        <v>0.12</v>
      </c>
      <c r="AB1240" s="24">
        <f>VLOOKUP(N1240, IMPOSTO!$A:$D, 4, 0)</f>
        <v>7.0000000000000007E-2</v>
      </c>
      <c r="AC1240" s="25">
        <f t="shared" si="183"/>
        <v>550.3075599435208</v>
      </c>
      <c r="AD1240" s="25">
        <f t="shared" si="184"/>
        <v>579.3774990382808</v>
      </c>
      <c r="AE1240" s="25">
        <f t="shared" si="185"/>
        <v>580.05612812224433</v>
      </c>
      <c r="AF1240" s="25">
        <f t="shared" si="186"/>
        <v>592.90022631100805</v>
      </c>
      <c r="AG1240" s="25">
        <f t="shared" si="187"/>
        <v>561.53658994737168</v>
      </c>
      <c r="AH1240" s="25">
        <f t="shared" si="188"/>
        <v>559.15022631100805</v>
      </c>
      <c r="AI1240" s="25">
        <f t="shared" si="189"/>
        <v>912.20666575665291</v>
      </c>
    </row>
    <row r="1241" spans="1:35" ht="15.75" customHeight="1">
      <c r="A1241" s="12" t="s">
        <v>58</v>
      </c>
      <c r="B1241" s="12" t="s">
        <v>59</v>
      </c>
      <c r="C1241" s="12" t="s">
        <v>60</v>
      </c>
      <c r="D1241" s="12" t="s">
        <v>50</v>
      </c>
      <c r="E1241" s="12" t="s">
        <v>23</v>
      </c>
      <c r="F1241" s="13">
        <v>0.45025984427141263</v>
      </c>
      <c r="G1241" s="14">
        <v>18.755628500556174</v>
      </c>
      <c r="H1241" s="24" t="str">
        <f t="shared" si="182"/>
        <v>SPSP</v>
      </c>
      <c r="I1241" s="24" t="str">
        <f t="shared" si="181"/>
        <v>SPMG</v>
      </c>
      <c r="J1241" s="24" t="str">
        <f t="shared" si="181"/>
        <v>SPES</v>
      </c>
      <c r="K1241" s="24" t="str">
        <f t="shared" si="181"/>
        <v>SPSC</v>
      </c>
      <c r="L1241" s="24" t="str">
        <f t="shared" si="181"/>
        <v>SPRJ</v>
      </c>
      <c r="M1241" s="24" t="str">
        <f t="shared" si="181"/>
        <v>SPPR</v>
      </c>
      <c r="N1241" s="24" t="str">
        <f t="shared" si="181"/>
        <v>SPAM</v>
      </c>
      <c r="O1241" s="24">
        <f>VLOOKUP(H1241, KM!$A:$E, 5, 0)</f>
        <v>0</v>
      </c>
      <c r="P1241" s="24">
        <f>VLOOKUP(I1241, KM!$A:$E, 5, 0)</f>
        <v>586</v>
      </c>
      <c r="Q1241" s="24">
        <f>VLOOKUP(J1241, KM!$A:$E, 5, 0)</f>
        <v>882</v>
      </c>
      <c r="R1241" s="24">
        <f>VLOOKUP(K1241, KM!$A:$E, 5, 0)</f>
        <v>705</v>
      </c>
      <c r="S1241" s="24">
        <f>VLOOKUP(L1241, KM!$A:$E, 5, 0)</f>
        <v>429</v>
      </c>
      <c r="T1241" s="24">
        <f>VLOOKUP(M1241, KM!$A:$E, 5, 0)</f>
        <v>408</v>
      </c>
      <c r="U1241" s="24">
        <f>VLOOKUP(N1241, KM!$A:$E, 5, 0)</f>
        <v>3971</v>
      </c>
      <c r="V1241" s="24">
        <f>VLOOKUP(H1241, IMPOSTO!$A:$D, 4, 0)</f>
        <v>0.18</v>
      </c>
      <c r="W1241" s="24">
        <f>VLOOKUP(I1241, IMPOSTO!$A:$D, 4, 0)</f>
        <v>0.12</v>
      </c>
      <c r="X1241" s="24">
        <f>VLOOKUP(J1241, IMPOSTO!$A:$D, 4, 0)</f>
        <v>7.0000000000000007E-2</v>
      </c>
      <c r="Y1241" s="24">
        <f>VLOOKUP(K1241, IMPOSTO!$A:$D, 4, 0)</f>
        <v>0.12</v>
      </c>
      <c r="Z1241" s="24">
        <f>VLOOKUP(L1241, IMPOSTO!$A:$D, 4, 0)</f>
        <v>0.12</v>
      </c>
      <c r="AA1241" s="24">
        <f>VLOOKUP(M1241, IMPOSTO!$A:$D, 4, 0)</f>
        <v>0.12</v>
      </c>
      <c r="AB1241" s="24">
        <f>VLOOKUP(N1241, IMPOSTO!$A:$D, 4, 0)</f>
        <v>7.0000000000000007E-2</v>
      </c>
      <c r="AC1241" s="25">
        <f t="shared" si="183"/>
        <v>22.872717683605089</v>
      </c>
      <c r="AD1241" s="25">
        <f t="shared" si="184"/>
        <v>87.904123296086567</v>
      </c>
      <c r="AE1241" s="25">
        <f t="shared" si="185"/>
        <v>115.00605215113568</v>
      </c>
      <c r="AF1241" s="25">
        <f t="shared" si="186"/>
        <v>101.42685056881383</v>
      </c>
      <c r="AG1241" s="25">
        <f t="shared" si="187"/>
        <v>70.063214205177474</v>
      </c>
      <c r="AH1241" s="25">
        <f t="shared" si="188"/>
        <v>67.676850568813848</v>
      </c>
      <c r="AI1241" s="25">
        <f t="shared" si="189"/>
        <v>447.15658978554433</v>
      </c>
    </row>
    <row r="1242" spans="1:35" ht="15.75" customHeight="1">
      <c r="A1242" s="12" t="s">
        <v>824</v>
      </c>
      <c r="B1242" s="12" t="s">
        <v>825</v>
      </c>
      <c r="C1242" s="12" t="s">
        <v>160</v>
      </c>
      <c r="D1242" s="12" t="s">
        <v>33</v>
      </c>
      <c r="E1242" s="12" t="s">
        <v>23</v>
      </c>
      <c r="F1242" s="13">
        <v>60.944793103448269</v>
      </c>
      <c r="G1242" s="14">
        <v>277.3308848275862</v>
      </c>
      <c r="H1242" s="24" t="str">
        <f t="shared" si="182"/>
        <v>SPSP</v>
      </c>
      <c r="I1242" s="24" t="str">
        <f t="shared" si="181"/>
        <v>SPMG</v>
      </c>
      <c r="J1242" s="24" t="str">
        <f t="shared" si="181"/>
        <v>SPES</v>
      </c>
      <c r="K1242" s="24" t="str">
        <f t="shared" si="181"/>
        <v>SPSC</v>
      </c>
      <c r="L1242" s="24" t="str">
        <f t="shared" si="181"/>
        <v>SPRJ</v>
      </c>
      <c r="M1242" s="24" t="str">
        <f t="shared" si="181"/>
        <v>SPPR</v>
      </c>
      <c r="N1242" s="24" t="str">
        <f t="shared" si="181"/>
        <v>SPAM</v>
      </c>
      <c r="O1242" s="24">
        <f>VLOOKUP(H1242, KM!$A:$E, 5, 0)</f>
        <v>0</v>
      </c>
      <c r="P1242" s="24">
        <f>VLOOKUP(I1242, KM!$A:$E, 5, 0)</f>
        <v>586</v>
      </c>
      <c r="Q1242" s="24">
        <f>VLOOKUP(J1242, KM!$A:$E, 5, 0)</f>
        <v>882</v>
      </c>
      <c r="R1242" s="24">
        <f>VLOOKUP(K1242, KM!$A:$E, 5, 0)</f>
        <v>705</v>
      </c>
      <c r="S1242" s="24">
        <f>VLOOKUP(L1242, KM!$A:$E, 5, 0)</f>
        <v>429</v>
      </c>
      <c r="T1242" s="24">
        <f>VLOOKUP(M1242, KM!$A:$E, 5, 0)</f>
        <v>408</v>
      </c>
      <c r="U1242" s="24">
        <f>VLOOKUP(N1242, KM!$A:$E, 5, 0)</f>
        <v>3971</v>
      </c>
      <c r="V1242" s="24">
        <f>VLOOKUP(H1242, IMPOSTO!$A:$D, 4, 0)</f>
        <v>0.18</v>
      </c>
      <c r="W1242" s="24">
        <f>VLOOKUP(I1242, IMPOSTO!$A:$D, 4, 0)</f>
        <v>0.12</v>
      </c>
      <c r="X1242" s="24">
        <f>VLOOKUP(J1242, IMPOSTO!$A:$D, 4, 0)</f>
        <v>7.0000000000000007E-2</v>
      </c>
      <c r="Y1242" s="24">
        <f>VLOOKUP(K1242, IMPOSTO!$A:$D, 4, 0)</f>
        <v>0.12</v>
      </c>
      <c r="Z1242" s="24">
        <f>VLOOKUP(L1242, IMPOSTO!$A:$D, 4, 0)</f>
        <v>0.12</v>
      </c>
      <c r="AA1242" s="24">
        <f>VLOOKUP(M1242, IMPOSTO!$A:$D, 4, 0)</f>
        <v>0.12</v>
      </c>
      <c r="AB1242" s="24">
        <f>VLOOKUP(N1242, IMPOSTO!$A:$D, 4, 0)</f>
        <v>7.0000000000000007E-2</v>
      </c>
      <c r="AC1242" s="25">
        <f t="shared" si="183"/>
        <v>338.20839613120268</v>
      </c>
      <c r="AD1242" s="25">
        <f t="shared" si="184"/>
        <v>381.73964184952979</v>
      </c>
      <c r="AE1242" s="25">
        <f t="shared" si="185"/>
        <v>393.04396218020025</v>
      </c>
      <c r="AF1242" s="25">
        <f t="shared" si="186"/>
        <v>395.26236912225704</v>
      </c>
      <c r="AG1242" s="25">
        <f t="shared" si="187"/>
        <v>363.89873275862072</v>
      </c>
      <c r="AH1242" s="25">
        <f t="shared" si="188"/>
        <v>361.51236912225704</v>
      </c>
      <c r="AI1242" s="25">
        <f t="shared" si="189"/>
        <v>725.19449981460889</v>
      </c>
    </row>
    <row r="1243" spans="1:35" ht="15.75" customHeight="1">
      <c r="A1243" s="12" t="s">
        <v>961</v>
      </c>
      <c r="B1243" s="12" t="s">
        <v>962</v>
      </c>
      <c r="C1243" s="12" t="s">
        <v>876</v>
      </c>
      <c r="D1243" s="12" t="s">
        <v>50</v>
      </c>
      <c r="E1243" s="12" t="s">
        <v>23</v>
      </c>
      <c r="F1243" s="13">
        <v>14.547619047619049</v>
      </c>
      <c r="G1243" s="14">
        <v>2008.0635714285715</v>
      </c>
      <c r="H1243" s="24" t="str">
        <f t="shared" si="182"/>
        <v>SPSP</v>
      </c>
      <c r="I1243" s="24" t="str">
        <f t="shared" si="181"/>
        <v>SPMG</v>
      </c>
      <c r="J1243" s="24" t="str">
        <f t="shared" si="181"/>
        <v>SPES</v>
      </c>
      <c r="K1243" s="24" t="str">
        <f t="shared" si="181"/>
        <v>SPSC</v>
      </c>
      <c r="L1243" s="24" t="str">
        <f t="shared" si="181"/>
        <v>SPRJ</v>
      </c>
      <c r="M1243" s="24" t="str">
        <f t="shared" si="181"/>
        <v>SPPR</v>
      </c>
      <c r="N1243" s="24" t="str">
        <f t="shared" si="181"/>
        <v>SPAM</v>
      </c>
      <c r="O1243" s="24">
        <f>VLOOKUP(H1243, KM!$A:$E, 5, 0)</f>
        <v>0</v>
      </c>
      <c r="P1243" s="24">
        <f>VLOOKUP(I1243, KM!$A:$E, 5, 0)</f>
        <v>586</v>
      </c>
      <c r="Q1243" s="24">
        <f>VLOOKUP(J1243, KM!$A:$E, 5, 0)</f>
        <v>882</v>
      </c>
      <c r="R1243" s="24">
        <f>VLOOKUP(K1243, KM!$A:$E, 5, 0)</f>
        <v>705</v>
      </c>
      <c r="S1243" s="24">
        <f>VLOOKUP(L1243, KM!$A:$E, 5, 0)</f>
        <v>429</v>
      </c>
      <c r="T1243" s="24">
        <f>VLOOKUP(M1243, KM!$A:$E, 5, 0)</f>
        <v>408</v>
      </c>
      <c r="U1243" s="24">
        <f>VLOOKUP(N1243, KM!$A:$E, 5, 0)</f>
        <v>3971</v>
      </c>
      <c r="V1243" s="24">
        <f>VLOOKUP(H1243, IMPOSTO!$A:$D, 4, 0)</f>
        <v>0.18</v>
      </c>
      <c r="W1243" s="24">
        <f>VLOOKUP(I1243, IMPOSTO!$A:$D, 4, 0)</f>
        <v>0.12</v>
      </c>
      <c r="X1243" s="24">
        <f>VLOOKUP(J1243, IMPOSTO!$A:$D, 4, 0)</f>
        <v>7.0000000000000007E-2</v>
      </c>
      <c r="Y1243" s="24">
        <f>VLOOKUP(K1243, IMPOSTO!$A:$D, 4, 0)</f>
        <v>0.12</v>
      </c>
      <c r="Z1243" s="24">
        <f>VLOOKUP(L1243, IMPOSTO!$A:$D, 4, 0)</f>
        <v>0.12</v>
      </c>
      <c r="AA1243" s="24">
        <f>VLOOKUP(M1243, IMPOSTO!$A:$D, 4, 0)</f>
        <v>0.12</v>
      </c>
      <c r="AB1243" s="24">
        <f>VLOOKUP(N1243, IMPOSTO!$A:$D, 4, 0)</f>
        <v>7.0000000000000007E-2</v>
      </c>
      <c r="AC1243" s="25">
        <f t="shared" si="183"/>
        <v>2448.8580139372821</v>
      </c>
      <c r="AD1243" s="25">
        <f t="shared" si="184"/>
        <v>2348.4813311688313</v>
      </c>
      <c r="AE1243" s="25">
        <f t="shared" si="185"/>
        <v>2254.0468509984644</v>
      </c>
      <c r="AF1243" s="25">
        <f t="shared" si="186"/>
        <v>2362.0040584415588</v>
      </c>
      <c r="AG1243" s="25">
        <f t="shared" si="187"/>
        <v>2330.6404220779223</v>
      </c>
      <c r="AH1243" s="25">
        <f t="shared" si="188"/>
        <v>2328.2540584415583</v>
      </c>
      <c r="AI1243" s="25">
        <f t="shared" si="189"/>
        <v>2586.1973886328728</v>
      </c>
    </row>
    <row r="1244" spans="1:35" ht="15.75" customHeight="1">
      <c r="A1244" s="12" t="s">
        <v>961</v>
      </c>
      <c r="B1244" s="12" t="s">
        <v>962</v>
      </c>
      <c r="C1244" s="12" t="s">
        <v>876</v>
      </c>
      <c r="D1244" s="12" t="s">
        <v>50</v>
      </c>
      <c r="E1244" s="12" t="s">
        <v>23</v>
      </c>
      <c r="F1244" s="13">
        <v>11.452380952380956</v>
      </c>
      <c r="G1244" s="14">
        <v>1549.6433333333334</v>
      </c>
      <c r="H1244" s="24" t="str">
        <f t="shared" si="182"/>
        <v>SPSP</v>
      </c>
      <c r="I1244" s="24" t="str">
        <f t="shared" si="181"/>
        <v>SPMG</v>
      </c>
      <c r="J1244" s="24" t="str">
        <f t="shared" si="181"/>
        <v>SPES</v>
      </c>
      <c r="K1244" s="24" t="str">
        <f t="shared" si="181"/>
        <v>SPSC</v>
      </c>
      <c r="L1244" s="24" t="str">
        <f t="shared" si="181"/>
        <v>SPRJ</v>
      </c>
      <c r="M1244" s="24" t="str">
        <f t="shared" si="181"/>
        <v>SPPR</v>
      </c>
      <c r="N1244" s="24" t="str">
        <f t="shared" si="181"/>
        <v>SPAM</v>
      </c>
      <c r="O1244" s="24">
        <f>VLOOKUP(H1244, KM!$A:$E, 5, 0)</f>
        <v>0</v>
      </c>
      <c r="P1244" s="24">
        <f>VLOOKUP(I1244, KM!$A:$E, 5, 0)</f>
        <v>586</v>
      </c>
      <c r="Q1244" s="24">
        <f>VLOOKUP(J1244, KM!$A:$E, 5, 0)</f>
        <v>882</v>
      </c>
      <c r="R1244" s="24">
        <f>VLOOKUP(K1244, KM!$A:$E, 5, 0)</f>
        <v>705</v>
      </c>
      <c r="S1244" s="24">
        <f>VLOOKUP(L1244, KM!$A:$E, 5, 0)</f>
        <v>429</v>
      </c>
      <c r="T1244" s="24">
        <f>VLOOKUP(M1244, KM!$A:$E, 5, 0)</f>
        <v>408</v>
      </c>
      <c r="U1244" s="24">
        <f>VLOOKUP(N1244, KM!$A:$E, 5, 0)</f>
        <v>3971</v>
      </c>
      <c r="V1244" s="24">
        <f>VLOOKUP(H1244, IMPOSTO!$A:$D, 4, 0)</f>
        <v>0.18</v>
      </c>
      <c r="W1244" s="24">
        <f>VLOOKUP(I1244, IMPOSTO!$A:$D, 4, 0)</f>
        <v>0.12</v>
      </c>
      <c r="X1244" s="24">
        <f>VLOOKUP(J1244, IMPOSTO!$A:$D, 4, 0)</f>
        <v>7.0000000000000007E-2</v>
      </c>
      <c r="Y1244" s="24">
        <f>VLOOKUP(K1244, IMPOSTO!$A:$D, 4, 0)</f>
        <v>0.12</v>
      </c>
      <c r="Z1244" s="24">
        <f>VLOOKUP(L1244, IMPOSTO!$A:$D, 4, 0)</f>
        <v>0.12</v>
      </c>
      <c r="AA1244" s="24">
        <f>VLOOKUP(M1244, IMPOSTO!$A:$D, 4, 0)</f>
        <v>0.12</v>
      </c>
      <c r="AB1244" s="24">
        <f>VLOOKUP(N1244, IMPOSTO!$A:$D, 4, 0)</f>
        <v>7.0000000000000007E-2</v>
      </c>
      <c r="AC1244" s="25">
        <f t="shared" si="183"/>
        <v>1889.8089430894308</v>
      </c>
      <c r="AD1244" s="25">
        <f t="shared" si="184"/>
        <v>1827.5492424242425</v>
      </c>
      <c r="AE1244" s="25">
        <f t="shared" si="185"/>
        <v>1761.1218637992833</v>
      </c>
      <c r="AF1244" s="25">
        <f t="shared" si="186"/>
        <v>1841.0719696969697</v>
      </c>
      <c r="AG1244" s="25">
        <f t="shared" si="187"/>
        <v>1809.7083333333335</v>
      </c>
      <c r="AH1244" s="25">
        <f t="shared" si="188"/>
        <v>1807.3219696969697</v>
      </c>
      <c r="AI1244" s="25">
        <f t="shared" si="189"/>
        <v>2093.2724014336918</v>
      </c>
    </row>
    <row r="1245" spans="1:35" ht="15.75" customHeight="1">
      <c r="A1245" s="12" t="s">
        <v>963</v>
      </c>
      <c r="B1245" s="12" t="s">
        <v>964</v>
      </c>
      <c r="C1245" s="12" t="s">
        <v>876</v>
      </c>
      <c r="D1245" s="12" t="s">
        <v>33</v>
      </c>
      <c r="E1245" s="12" t="s">
        <v>23</v>
      </c>
      <c r="F1245" s="13">
        <v>234.92040000000017</v>
      </c>
      <c r="G1245" s="14">
        <v>13073.462244857143</v>
      </c>
      <c r="H1245" s="24" t="str">
        <f t="shared" si="182"/>
        <v>SPSP</v>
      </c>
      <c r="I1245" s="24" t="str">
        <f t="shared" si="181"/>
        <v>SPMG</v>
      </c>
      <c r="J1245" s="24" t="str">
        <f t="shared" si="181"/>
        <v>SPES</v>
      </c>
      <c r="K1245" s="24" t="str">
        <f t="shared" si="181"/>
        <v>SPSC</v>
      </c>
      <c r="L1245" s="24" t="str">
        <f t="shared" si="181"/>
        <v>SPRJ</v>
      </c>
      <c r="M1245" s="24" t="str">
        <f t="shared" si="181"/>
        <v>SPPR</v>
      </c>
      <c r="N1245" s="24" t="str">
        <f t="shared" si="181"/>
        <v>SPAM</v>
      </c>
      <c r="O1245" s="24">
        <f>VLOOKUP(H1245, KM!$A:$E, 5, 0)</f>
        <v>0</v>
      </c>
      <c r="P1245" s="24">
        <f>VLOOKUP(I1245, KM!$A:$E, 5, 0)</f>
        <v>586</v>
      </c>
      <c r="Q1245" s="24">
        <f>VLOOKUP(J1245, KM!$A:$E, 5, 0)</f>
        <v>882</v>
      </c>
      <c r="R1245" s="24">
        <f>VLOOKUP(K1245, KM!$A:$E, 5, 0)</f>
        <v>705</v>
      </c>
      <c r="S1245" s="24">
        <f>VLOOKUP(L1245, KM!$A:$E, 5, 0)</f>
        <v>429</v>
      </c>
      <c r="T1245" s="24">
        <f>VLOOKUP(M1245, KM!$A:$E, 5, 0)</f>
        <v>408</v>
      </c>
      <c r="U1245" s="24">
        <f>VLOOKUP(N1245, KM!$A:$E, 5, 0)</f>
        <v>3971</v>
      </c>
      <c r="V1245" s="24">
        <f>VLOOKUP(H1245, IMPOSTO!$A:$D, 4, 0)</f>
        <v>0.18</v>
      </c>
      <c r="W1245" s="24">
        <f>VLOOKUP(I1245, IMPOSTO!$A:$D, 4, 0)</f>
        <v>0.12</v>
      </c>
      <c r="X1245" s="24">
        <f>VLOOKUP(J1245, IMPOSTO!$A:$D, 4, 0)</f>
        <v>7.0000000000000007E-2</v>
      </c>
      <c r="Y1245" s="24">
        <f>VLOOKUP(K1245, IMPOSTO!$A:$D, 4, 0)</f>
        <v>0.12</v>
      </c>
      <c r="Z1245" s="24">
        <f>VLOOKUP(L1245, IMPOSTO!$A:$D, 4, 0)</f>
        <v>0.12</v>
      </c>
      <c r="AA1245" s="24">
        <f>VLOOKUP(M1245, IMPOSTO!$A:$D, 4, 0)</f>
        <v>0.12</v>
      </c>
      <c r="AB1245" s="24">
        <f>VLOOKUP(N1245, IMPOSTO!$A:$D, 4, 0)</f>
        <v>7.0000000000000007E-2</v>
      </c>
      <c r="AC1245" s="25">
        <f t="shared" si="183"/>
        <v>15943.246640069685</v>
      </c>
      <c r="AD1245" s="25">
        <f t="shared" si="184"/>
        <v>14922.79800551948</v>
      </c>
      <c r="AE1245" s="25">
        <f t="shared" si="185"/>
        <v>14152.324994470047</v>
      </c>
      <c r="AF1245" s="25">
        <f t="shared" si="186"/>
        <v>14936.320732792208</v>
      </c>
      <c r="AG1245" s="25">
        <f t="shared" si="187"/>
        <v>14904.95709642857</v>
      </c>
      <c r="AH1245" s="25">
        <f t="shared" si="188"/>
        <v>14902.570732792206</v>
      </c>
      <c r="AI1245" s="25">
        <f t="shared" si="189"/>
        <v>14484.475532104456</v>
      </c>
    </row>
    <row r="1246" spans="1:35" ht="15.75" customHeight="1">
      <c r="A1246" s="12" t="s">
        <v>965</v>
      </c>
      <c r="B1246" s="12" t="s">
        <v>966</v>
      </c>
      <c r="C1246" s="12" t="s">
        <v>217</v>
      </c>
      <c r="D1246" s="12" t="s">
        <v>33</v>
      </c>
      <c r="E1246" s="12" t="s">
        <v>23</v>
      </c>
      <c r="F1246" s="13">
        <v>197.0243000000001</v>
      </c>
      <c r="G1246" s="14">
        <v>4437.5127807287936</v>
      </c>
      <c r="H1246" s="24" t="str">
        <f t="shared" si="182"/>
        <v>SPSP</v>
      </c>
      <c r="I1246" s="24" t="str">
        <f t="shared" si="181"/>
        <v>SPMG</v>
      </c>
      <c r="J1246" s="24" t="str">
        <f t="shared" si="181"/>
        <v>SPES</v>
      </c>
      <c r="K1246" s="24" t="str">
        <f t="shared" si="181"/>
        <v>SPSC</v>
      </c>
      <c r="L1246" s="24" t="str">
        <f t="shared" si="181"/>
        <v>SPRJ</v>
      </c>
      <c r="M1246" s="24" t="str">
        <f t="shared" si="181"/>
        <v>SPPR</v>
      </c>
      <c r="N1246" s="24" t="str">
        <f t="shared" si="181"/>
        <v>SPAM</v>
      </c>
      <c r="O1246" s="24">
        <f>VLOOKUP(H1246, KM!$A:$E, 5, 0)</f>
        <v>0</v>
      </c>
      <c r="P1246" s="24">
        <f>VLOOKUP(I1246, KM!$A:$E, 5, 0)</f>
        <v>586</v>
      </c>
      <c r="Q1246" s="24">
        <f>VLOOKUP(J1246, KM!$A:$E, 5, 0)</f>
        <v>882</v>
      </c>
      <c r="R1246" s="24">
        <f>VLOOKUP(K1246, KM!$A:$E, 5, 0)</f>
        <v>705</v>
      </c>
      <c r="S1246" s="24">
        <f>VLOOKUP(L1246, KM!$A:$E, 5, 0)</f>
        <v>429</v>
      </c>
      <c r="T1246" s="24">
        <f>VLOOKUP(M1246, KM!$A:$E, 5, 0)</f>
        <v>408</v>
      </c>
      <c r="U1246" s="24">
        <f>VLOOKUP(N1246, KM!$A:$E, 5, 0)</f>
        <v>3971</v>
      </c>
      <c r="V1246" s="24">
        <f>VLOOKUP(H1246, IMPOSTO!$A:$D, 4, 0)</f>
        <v>0.18</v>
      </c>
      <c r="W1246" s="24">
        <f>VLOOKUP(I1246, IMPOSTO!$A:$D, 4, 0)</f>
        <v>0.12</v>
      </c>
      <c r="X1246" s="24">
        <f>VLOOKUP(J1246, IMPOSTO!$A:$D, 4, 0)</f>
        <v>7.0000000000000007E-2</v>
      </c>
      <c r="Y1246" s="24">
        <f>VLOOKUP(K1246, IMPOSTO!$A:$D, 4, 0)</f>
        <v>0.12</v>
      </c>
      <c r="Z1246" s="24">
        <f>VLOOKUP(L1246, IMPOSTO!$A:$D, 4, 0)</f>
        <v>0.12</v>
      </c>
      <c r="AA1246" s="24">
        <f>VLOOKUP(M1246, IMPOSTO!$A:$D, 4, 0)</f>
        <v>0.12</v>
      </c>
      <c r="AB1246" s="24">
        <f>VLOOKUP(N1246, IMPOSTO!$A:$D, 4, 0)</f>
        <v>7.0000000000000007E-2</v>
      </c>
      <c r="AC1246" s="25">
        <f t="shared" si="183"/>
        <v>5411.6009521082842</v>
      </c>
      <c r="AD1246" s="25">
        <f t="shared" si="184"/>
        <v>5109.2190690099933</v>
      </c>
      <c r="AE1246" s="25">
        <f t="shared" si="185"/>
        <v>4866.3578287406381</v>
      </c>
      <c r="AF1246" s="25">
        <f t="shared" si="186"/>
        <v>5122.7417962827203</v>
      </c>
      <c r="AG1246" s="25">
        <f t="shared" si="187"/>
        <v>5091.3781599190834</v>
      </c>
      <c r="AH1246" s="25">
        <f t="shared" si="188"/>
        <v>5088.9917962827203</v>
      </c>
      <c r="AI1246" s="25">
        <f t="shared" si="189"/>
        <v>5198.5083663750474</v>
      </c>
    </row>
    <row r="1247" spans="1:35" ht="15.75" customHeight="1">
      <c r="A1247" s="12" t="s">
        <v>967</v>
      </c>
      <c r="B1247" s="12" t="s">
        <v>968</v>
      </c>
      <c r="C1247" s="12" t="s">
        <v>969</v>
      </c>
      <c r="D1247" s="12" t="s">
        <v>50</v>
      </c>
      <c r="E1247" s="12" t="s">
        <v>23</v>
      </c>
      <c r="F1247" s="13">
        <v>5.0453999999999999</v>
      </c>
      <c r="G1247" s="14">
        <v>63.027120717213123</v>
      </c>
      <c r="H1247" s="24" t="str">
        <f t="shared" si="182"/>
        <v>SPSP</v>
      </c>
      <c r="I1247" s="24" t="str">
        <f t="shared" si="181"/>
        <v>SPMG</v>
      </c>
      <c r="J1247" s="24" t="str">
        <f t="shared" si="181"/>
        <v>SPES</v>
      </c>
      <c r="K1247" s="24" t="str">
        <f t="shared" si="181"/>
        <v>SPSC</v>
      </c>
      <c r="L1247" s="24" t="str">
        <f t="shared" si="181"/>
        <v>SPRJ</v>
      </c>
      <c r="M1247" s="24" t="str">
        <f t="shared" si="181"/>
        <v>SPPR</v>
      </c>
      <c r="N1247" s="24" t="str">
        <f t="shared" si="181"/>
        <v>SPAM</v>
      </c>
      <c r="O1247" s="24">
        <f>VLOOKUP(H1247, KM!$A:$E, 5, 0)</f>
        <v>0</v>
      </c>
      <c r="P1247" s="24">
        <f>VLOOKUP(I1247, KM!$A:$E, 5, 0)</f>
        <v>586</v>
      </c>
      <c r="Q1247" s="24">
        <f>VLOOKUP(J1247, KM!$A:$E, 5, 0)</f>
        <v>882</v>
      </c>
      <c r="R1247" s="24">
        <f>VLOOKUP(K1247, KM!$A:$E, 5, 0)</f>
        <v>705</v>
      </c>
      <c r="S1247" s="24">
        <f>VLOOKUP(L1247, KM!$A:$E, 5, 0)</f>
        <v>429</v>
      </c>
      <c r="T1247" s="24">
        <f>VLOOKUP(M1247, KM!$A:$E, 5, 0)</f>
        <v>408</v>
      </c>
      <c r="U1247" s="24">
        <f>VLOOKUP(N1247, KM!$A:$E, 5, 0)</f>
        <v>3971</v>
      </c>
      <c r="V1247" s="24">
        <f>VLOOKUP(H1247, IMPOSTO!$A:$D, 4, 0)</f>
        <v>0.18</v>
      </c>
      <c r="W1247" s="24">
        <f>VLOOKUP(I1247, IMPOSTO!$A:$D, 4, 0)</f>
        <v>0.12</v>
      </c>
      <c r="X1247" s="24">
        <f>VLOOKUP(J1247, IMPOSTO!$A:$D, 4, 0)</f>
        <v>7.0000000000000007E-2</v>
      </c>
      <c r="Y1247" s="24">
        <f>VLOOKUP(K1247, IMPOSTO!$A:$D, 4, 0)</f>
        <v>0.12</v>
      </c>
      <c r="Z1247" s="24">
        <f>VLOOKUP(L1247, IMPOSTO!$A:$D, 4, 0)</f>
        <v>0.12</v>
      </c>
      <c r="AA1247" s="24">
        <f>VLOOKUP(M1247, IMPOSTO!$A:$D, 4, 0)</f>
        <v>0.12</v>
      </c>
      <c r="AB1247" s="24">
        <f>VLOOKUP(N1247, IMPOSTO!$A:$D, 4, 0)</f>
        <v>7.0000000000000007E-2</v>
      </c>
      <c r="AC1247" s="25">
        <f t="shared" si="183"/>
        <v>76.862342338064778</v>
      </c>
      <c r="AD1247" s="25">
        <f t="shared" si="184"/>
        <v>138.21263717865128</v>
      </c>
      <c r="AE1247" s="25">
        <f t="shared" si="185"/>
        <v>162.60980722280982</v>
      </c>
      <c r="AF1247" s="25">
        <f t="shared" si="186"/>
        <v>151.73536445137853</v>
      </c>
      <c r="AG1247" s="25">
        <f t="shared" si="187"/>
        <v>120.37172808774218</v>
      </c>
      <c r="AH1247" s="25">
        <f t="shared" si="188"/>
        <v>117.98536445137854</v>
      </c>
      <c r="AI1247" s="25">
        <f t="shared" si="189"/>
        <v>494.76034485721846</v>
      </c>
    </row>
    <row r="1248" spans="1:35" ht="15.75" customHeight="1">
      <c r="A1248" s="12" t="s">
        <v>879</v>
      </c>
      <c r="B1248" s="12" t="s">
        <v>880</v>
      </c>
      <c r="C1248" s="12" t="s">
        <v>143</v>
      </c>
      <c r="D1248" s="12" t="s">
        <v>33</v>
      </c>
      <c r="E1248" s="12" t="s">
        <v>23</v>
      </c>
      <c r="F1248" s="13">
        <v>1746.4910000000004</v>
      </c>
      <c r="G1248" s="14">
        <v>38753.618382133282</v>
      </c>
      <c r="H1248" s="24" t="str">
        <f t="shared" si="182"/>
        <v>SPSP</v>
      </c>
      <c r="I1248" s="24" t="str">
        <f t="shared" si="181"/>
        <v>SPMG</v>
      </c>
      <c r="J1248" s="24" t="str">
        <f t="shared" si="181"/>
        <v>SPES</v>
      </c>
      <c r="K1248" s="24" t="str">
        <f t="shared" si="181"/>
        <v>SPSC</v>
      </c>
      <c r="L1248" s="24" t="str">
        <f t="shared" si="181"/>
        <v>SPRJ</v>
      </c>
      <c r="M1248" s="24" t="str">
        <f t="shared" si="181"/>
        <v>SPPR</v>
      </c>
      <c r="N1248" s="24" t="str">
        <f t="shared" si="181"/>
        <v>SPAM</v>
      </c>
      <c r="O1248" s="24">
        <f>VLOOKUP(H1248, KM!$A:$E, 5, 0)</f>
        <v>0</v>
      </c>
      <c r="P1248" s="24">
        <f>VLOOKUP(I1248, KM!$A:$E, 5, 0)</f>
        <v>586</v>
      </c>
      <c r="Q1248" s="24">
        <f>VLOOKUP(J1248, KM!$A:$E, 5, 0)</f>
        <v>882</v>
      </c>
      <c r="R1248" s="24">
        <f>VLOOKUP(K1248, KM!$A:$E, 5, 0)</f>
        <v>705</v>
      </c>
      <c r="S1248" s="24">
        <f>VLOOKUP(L1248, KM!$A:$E, 5, 0)</f>
        <v>429</v>
      </c>
      <c r="T1248" s="24">
        <f>VLOOKUP(M1248, KM!$A:$E, 5, 0)</f>
        <v>408</v>
      </c>
      <c r="U1248" s="24">
        <f>VLOOKUP(N1248, KM!$A:$E, 5, 0)</f>
        <v>3971</v>
      </c>
      <c r="V1248" s="24">
        <f>VLOOKUP(H1248, IMPOSTO!$A:$D, 4, 0)</f>
        <v>0.18</v>
      </c>
      <c r="W1248" s="24">
        <f>VLOOKUP(I1248, IMPOSTO!$A:$D, 4, 0)</f>
        <v>0.12</v>
      </c>
      <c r="X1248" s="24">
        <f>VLOOKUP(J1248, IMPOSTO!$A:$D, 4, 0)</f>
        <v>7.0000000000000007E-2</v>
      </c>
      <c r="Y1248" s="24">
        <f>VLOOKUP(K1248, IMPOSTO!$A:$D, 4, 0)</f>
        <v>0.12</v>
      </c>
      <c r="Z1248" s="24">
        <f>VLOOKUP(L1248, IMPOSTO!$A:$D, 4, 0)</f>
        <v>0.12</v>
      </c>
      <c r="AA1248" s="24">
        <f>VLOOKUP(M1248, IMPOSTO!$A:$D, 4, 0)</f>
        <v>0.12</v>
      </c>
      <c r="AB1248" s="24">
        <f>VLOOKUP(N1248, IMPOSTO!$A:$D, 4, 0)</f>
        <v>7.0000000000000007E-2</v>
      </c>
      <c r="AC1248" s="25">
        <f t="shared" si="183"/>
        <v>47260.510222113757</v>
      </c>
      <c r="AD1248" s="25">
        <f t="shared" si="184"/>
        <v>44104.793616060546</v>
      </c>
      <c r="AE1248" s="25">
        <f t="shared" si="185"/>
        <v>41765.396109820729</v>
      </c>
      <c r="AF1248" s="25">
        <f t="shared" si="186"/>
        <v>44118.316343333274</v>
      </c>
      <c r="AG1248" s="25">
        <f t="shared" si="187"/>
        <v>44086.952706969641</v>
      </c>
      <c r="AH1248" s="25">
        <f t="shared" si="188"/>
        <v>44084.566343333281</v>
      </c>
      <c r="AI1248" s="25">
        <f t="shared" si="189"/>
        <v>42097.546647455143</v>
      </c>
    </row>
    <row r="1249" spans="1:35" ht="15.75" customHeight="1">
      <c r="A1249" s="12" t="s">
        <v>826</v>
      </c>
      <c r="B1249" s="12" t="s">
        <v>827</v>
      </c>
      <c r="C1249" s="12" t="s">
        <v>314</v>
      </c>
      <c r="D1249" s="12" t="s">
        <v>33</v>
      </c>
      <c r="E1249" s="12" t="s">
        <v>23</v>
      </c>
      <c r="F1249" s="13">
        <v>27.195</v>
      </c>
      <c r="G1249" s="14">
        <v>1138.9895297383177</v>
      </c>
      <c r="H1249" s="24" t="str">
        <f t="shared" si="182"/>
        <v>SPSP</v>
      </c>
      <c r="I1249" s="24" t="str">
        <f t="shared" si="181"/>
        <v>SPMG</v>
      </c>
      <c r="J1249" s="24" t="str">
        <f t="shared" si="181"/>
        <v>SPES</v>
      </c>
      <c r="K1249" s="24" t="str">
        <f t="shared" si="181"/>
        <v>SPSC</v>
      </c>
      <c r="L1249" s="24" t="str">
        <f t="shared" si="181"/>
        <v>SPRJ</v>
      </c>
      <c r="M1249" s="24" t="str">
        <f t="shared" si="181"/>
        <v>SPPR</v>
      </c>
      <c r="N1249" s="24" t="str">
        <f t="shared" si="181"/>
        <v>SPAM</v>
      </c>
      <c r="O1249" s="24">
        <f>VLOOKUP(H1249, KM!$A:$E, 5, 0)</f>
        <v>0</v>
      </c>
      <c r="P1249" s="24">
        <f>VLOOKUP(I1249, KM!$A:$E, 5, 0)</f>
        <v>586</v>
      </c>
      <c r="Q1249" s="24">
        <f>VLOOKUP(J1249, KM!$A:$E, 5, 0)</f>
        <v>882</v>
      </c>
      <c r="R1249" s="24">
        <f>VLOOKUP(K1249, KM!$A:$E, 5, 0)</f>
        <v>705</v>
      </c>
      <c r="S1249" s="24">
        <f>VLOOKUP(L1249, KM!$A:$E, 5, 0)</f>
        <v>429</v>
      </c>
      <c r="T1249" s="24">
        <f>VLOOKUP(M1249, KM!$A:$E, 5, 0)</f>
        <v>408</v>
      </c>
      <c r="U1249" s="24">
        <f>VLOOKUP(N1249, KM!$A:$E, 5, 0)</f>
        <v>3971</v>
      </c>
      <c r="V1249" s="24">
        <f>VLOOKUP(H1249, IMPOSTO!$A:$D, 4, 0)</f>
        <v>0.18</v>
      </c>
      <c r="W1249" s="24">
        <f>VLOOKUP(I1249, IMPOSTO!$A:$D, 4, 0)</f>
        <v>0.12</v>
      </c>
      <c r="X1249" s="24">
        <f>VLOOKUP(J1249, IMPOSTO!$A:$D, 4, 0)</f>
        <v>7.0000000000000007E-2</v>
      </c>
      <c r="Y1249" s="24">
        <f>VLOOKUP(K1249, IMPOSTO!$A:$D, 4, 0)</f>
        <v>0.12</v>
      </c>
      <c r="Z1249" s="24">
        <f>VLOOKUP(L1249, IMPOSTO!$A:$D, 4, 0)</f>
        <v>0.12</v>
      </c>
      <c r="AA1249" s="24">
        <f>VLOOKUP(M1249, IMPOSTO!$A:$D, 4, 0)</f>
        <v>0.12</v>
      </c>
      <c r="AB1249" s="24">
        <f>VLOOKUP(N1249, IMPOSTO!$A:$D, 4, 0)</f>
        <v>7.0000000000000007E-2</v>
      </c>
      <c r="AC1249" s="25">
        <f t="shared" si="183"/>
        <v>1389.0116216320946</v>
      </c>
      <c r="AD1249" s="25">
        <f t="shared" si="184"/>
        <v>1360.8971928844519</v>
      </c>
      <c r="AE1249" s="25">
        <f t="shared" si="185"/>
        <v>1319.5586341272235</v>
      </c>
      <c r="AF1249" s="25">
        <f t="shared" si="186"/>
        <v>1374.4199201571791</v>
      </c>
      <c r="AG1249" s="25">
        <f t="shared" si="187"/>
        <v>1343.0562837935429</v>
      </c>
      <c r="AH1249" s="25">
        <f t="shared" si="188"/>
        <v>1340.6699201571791</v>
      </c>
      <c r="AI1249" s="25">
        <f t="shared" si="189"/>
        <v>1651.709171761632</v>
      </c>
    </row>
    <row r="1250" spans="1:35" ht="15.75" customHeight="1">
      <c r="A1250" s="12" t="s">
        <v>408</v>
      </c>
      <c r="B1250" s="12" t="s">
        <v>409</v>
      </c>
      <c r="C1250" s="12" t="s">
        <v>143</v>
      </c>
      <c r="D1250" s="12" t="s">
        <v>33</v>
      </c>
      <c r="E1250" s="12" t="s">
        <v>23</v>
      </c>
      <c r="F1250" s="13">
        <v>15383.891844861946</v>
      </c>
      <c r="G1250" s="14">
        <v>599327.01589435316</v>
      </c>
      <c r="H1250" s="24" t="str">
        <f t="shared" si="182"/>
        <v>SPSP</v>
      </c>
      <c r="I1250" s="24" t="str">
        <f t="shared" si="181"/>
        <v>SPMG</v>
      </c>
      <c r="J1250" s="24" t="str">
        <f t="shared" si="181"/>
        <v>SPES</v>
      </c>
      <c r="K1250" s="24" t="str">
        <f t="shared" si="181"/>
        <v>SPSC</v>
      </c>
      <c r="L1250" s="24" t="str">
        <f t="shared" si="181"/>
        <v>SPRJ</v>
      </c>
      <c r="M1250" s="24" t="str">
        <f t="shared" si="181"/>
        <v>SPPR</v>
      </c>
      <c r="N1250" s="24" t="str">
        <f t="shared" si="181"/>
        <v>SPAM</v>
      </c>
      <c r="O1250" s="24">
        <f>VLOOKUP(H1250, KM!$A:$E, 5, 0)</f>
        <v>0</v>
      </c>
      <c r="P1250" s="24">
        <f>VLOOKUP(I1250, KM!$A:$E, 5, 0)</f>
        <v>586</v>
      </c>
      <c r="Q1250" s="24">
        <f>VLOOKUP(J1250, KM!$A:$E, 5, 0)</f>
        <v>882</v>
      </c>
      <c r="R1250" s="24">
        <f>VLOOKUP(K1250, KM!$A:$E, 5, 0)</f>
        <v>705</v>
      </c>
      <c r="S1250" s="24">
        <f>VLOOKUP(L1250, KM!$A:$E, 5, 0)</f>
        <v>429</v>
      </c>
      <c r="T1250" s="24">
        <f>VLOOKUP(M1250, KM!$A:$E, 5, 0)</f>
        <v>408</v>
      </c>
      <c r="U1250" s="24">
        <f>VLOOKUP(N1250, KM!$A:$E, 5, 0)</f>
        <v>3971</v>
      </c>
      <c r="V1250" s="24">
        <f>VLOOKUP(H1250, IMPOSTO!$A:$D, 4, 0)</f>
        <v>0.18</v>
      </c>
      <c r="W1250" s="24">
        <f>VLOOKUP(I1250, IMPOSTO!$A:$D, 4, 0)</f>
        <v>0.12</v>
      </c>
      <c r="X1250" s="24">
        <f>VLOOKUP(J1250, IMPOSTO!$A:$D, 4, 0)</f>
        <v>7.0000000000000007E-2</v>
      </c>
      <c r="Y1250" s="24">
        <f>VLOOKUP(K1250, IMPOSTO!$A:$D, 4, 0)</f>
        <v>0.12</v>
      </c>
      <c r="Z1250" s="24">
        <f>VLOOKUP(L1250, IMPOSTO!$A:$D, 4, 0)</f>
        <v>0.12</v>
      </c>
      <c r="AA1250" s="24">
        <f>VLOOKUP(M1250, IMPOSTO!$A:$D, 4, 0)</f>
        <v>0.12</v>
      </c>
      <c r="AB1250" s="24">
        <f>VLOOKUP(N1250, IMPOSTO!$A:$D, 4, 0)</f>
        <v>7.0000000000000007E-2</v>
      </c>
      <c r="AC1250" s="25">
        <f t="shared" si="183"/>
        <v>730886.60474921111</v>
      </c>
      <c r="AD1250" s="25">
        <f t="shared" si="184"/>
        <v>681120.01806176489</v>
      </c>
      <c r="AE1250" s="25">
        <f t="shared" si="185"/>
        <v>644532.49020898191</v>
      </c>
      <c r="AF1250" s="25">
        <f t="shared" si="186"/>
        <v>681133.54078903771</v>
      </c>
      <c r="AG1250" s="25">
        <f t="shared" si="187"/>
        <v>681102.17715267406</v>
      </c>
      <c r="AH1250" s="25">
        <f t="shared" si="188"/>
        <v>681099.79078903771</v>
      </c>
      <c r="AI1250" s="25">
        <f t="shared" si="189"/>
        <v>644864.64074661629</v>
      </c>
    </row>
    <row r="1251" spans="1:35" ht="15.75" customHeight="1">
      <c r="A1251" s="12" t="s">
        <v>30</v>
      </c>
      <c r="B1251" s="12" t="s">
        <v>31</v>
      </c>
      <c r="C1251" s="12" t="s">
        <v>32</v>
      </c>
      <c r="D1251" s="12" t="s">
        <v>33</v>
      </c>
      <c r="E1251" s="12" t="s">
        <v>23</v>
      </c>
      <c r="F1251" s="13">
        <v>2.1068257191780821</v>
      </c>
      <c r="G1251" s="14">
        <v>66.838704375205481</v>
      </c>
      <c r="H1251" s="24" t="str">
        <f t="shared" si="182"/>
        <v>SPSP</v>
      </c>
      <c r="I1251" s="24" t="str">
        <f t="shared" si="181"/>
        <v>SPMG</v>
      </c>
      <c r="J1251" s="24" t="str">
        <f t="shared" si="181"/>
        <v>SPES</v>
      </c>
      <c r="K1251" s="24" t="str">
        <f t="shared" si="181"/>
        <v>SPSC</v>
      </c>
      <c r="L1251" s="24" t="str">
        <f t="shared" si="181"/>
        <v>SPRJ</v>
      </c>
      <c r="M1251" s="24" t="str">
        <f t="shared" si="181"/>
        <v>SPPR</v>
      </c>
      <c r="N1251" s="24" t="str">
        <f t="shared" si="181"/>
        <v>SPAM</v>
      </c>
      <c r="O1251" s="24">
        <f>VLOOKUP(H1251, KM!$A:$E, 5, 0)</f>
        <v>0</v>
      </c>
      <c r="P1251" s="24">
        <f>VLOOKUP(I1251, KM!$A:$E, 5, 0)</f>
        <v>586</v>
      </c>
      <c r="Q1251" s="24">
        <f>VLOOKUP(J1251, KM!$A:$E, 5, 0)</f>
        <v>882</v>
      </c>
      <c r="R1251" s="24">
        <f>VLOOKUP(K1251, KM!$A:$E, 5, 0)</f>
        <v>705</v>
      </c>
      <c r="S1251" s="24">
        <f>VLOOKUP(L1251, KM!$A:$E, 5, 0)</f>
        <v>429</v>
      </c>
      <c r="T1251" s="24">
        <f>VLOOKUP(M1251, KM!$A:$E, 5, 0)</f>
        <v>408</v>
      </c>
      <c r="U1251" s="24">
        <f>VLOOKUP(N1251, KM!$A:$E, 5, 0)</f>
        <v>3971</v>
      </c>
      <c r="V1251" s="24">
        <f>VLOOKUP(H1251, IMPOSTO!$A:$D, 4, 0)</f>
        <v>0.18</v>
      </c>
      <c r="W1251" s="24">
        <f>VLOOKUP(I1251, IMPOSTO!$A:$D, 4, 0)</f>
        <v>0.12</v>
      </c>
      <c r="X1251" s="24">
        <f>VLOOKUP(J1251, IMPOSTO!$A:$D, 4, 0)</f>
        <v>7.0000000000000007E-2</v>
      </c>
      <c r="Y1251" s="24">
        <f>VLOOKUP(K1251, IMPOSTO!$A:$D, 4, 0)</f>
        <v>0.12</v>
      </c>
      <c r="Z1251" s="24">
        <f>VLOOKUP(L1251, IMPOSTO!$A:$D, 4, 0)</f>
        <v>0.12</v>
      </c>
      <c r="AA1251" s="24">
        <f>VLOOKUP(M1251, IMPOSTO!$A:$D, 4, 0)</f>
        <v>0.12</v>
      </c>
      <c r="AB1251" s="24">
        <f>VLOOKUP(N1251, IMPOSTO!$A:$D, 4, 0)</f>
        <v>7.0000000000000007E-2</v>
      </c>
      <c r="AC1251" s="25">
        <f t="shared" si="183"/>
        <v>81.510615091714001</v>
      </c>
      <c r="AD1251" s="25">
        <f t="shared" si="184"/>
        <v>142.54398224455167</v>
      </c>
      <c r="AE1251" s="25">
        <f t="shared" si="185"/>
        <v>166.70828427441452</v>
      </c>
      <c r="AF1251" s="25">
        <f t="shared" si="186"/>
        <v>156.06670951727895</v>
      </c>
      <c r="AG1251" s="25">
        <f t="shared" si="187"/>
        <v>124.70307315364259</v>
      </c>
      <c r="AH1251" s="25">
        <f t="shared" si="188"/>
        <v>122.31670951727897</v>
      </c>
      <c r="AI1251" s="25">
        <f t="shared" si="189"/>
        <v>498.85882190882313</v>
      </c>
    </row>
    <row r="1252" spans="1:35" ht="15.75" customHeight="1">
      <c r="A1252" s="12" t="s">
        <v>918</v>
      </c>
      <c r="B1252" s="12" t="s">
        <v>970</v>
      </c>
      <c r="C1252" s="12" t="s">
        <v>89</v>
      </c>
      <c r="D1252" s="12" t="s">
        <v>33</v>
      </c>
      <c r="E1252" s="12" t="s">
        <v>23</v>
      </c>
      <c r="F1252" s="13">
        <v>0.41006408026755847</v>
      </c>
      <c r="G1252" s="14">
        <v>25.535859152508355</v>
      </c>
      <c r="H1252" s="24" t="str">
        <f t="shared" si="182"/>
        <v>SPSP</v>
      </c>
      <c r="I1252" s="24" t="str">
        <f t="shared" si="181"/>
        <v>SPMG</v>
      </c>
      <c r="J1252" s="24" t="str">
        <f t="shared" si="181"/>
        <v>SPES</v>
      </c>
      <c r="K1252" s="24" t="str">
        <f t="shared" si="181"/>
        <v>SPSC</v>
      </c>
      <c r="L1252" s="24" t="str">
        <f t="shared" si="181"/>
        <v>SPRJ</v>
      </c>
      <c r="M1252" s="24" t="str">
        <f t="shared" si="181"/>
        <v>SPPR</v>
      </c>
      <c r="N1252" s="24" t="str">
        <f t="shared" si="181"/>
        <v>SPAM</v>
      </c>
      <c r="O1252" s="24">
        <f>VLOOKUP(H1252, KM!$A:$E, 5, 0)</f>
        <v>0</v>
      </c>
      <c r="P1252" s="24">
        <f>VLOOKUP(I1252, KM!$A:$E, 5, 0)</f>
        <v>586</v>
      </c>
      <c r="Q1252" s="24">
        <f>VLOOKUP(J1252, KM!$A:$E, 5, 0)</f>
        <v>882</v>
      </c>
      <c r="R1252" s="24">
        <f>VLOOKUP(K1252, KM!$A:$E, 5, 0)</f>
        <v>705</v>
      </c>
      <c r="S1252" s="24">
        <f>VLOOKUP(L1252, KM!$A:$E, 5, 0)</f>
        <v>429</v>
      </c>
      <c r="T1252" s="24">
        <f>VLOOKUP(M1252, KM!$A:$E, 5, 0)</f>
        <v>408</v>
      </c>
      <c r="U1252" s="24">
        <f>VLOOKUP(N1252, KM!$A:$E, 5, 0)</f>
        <v>3971</v>
      </c>
      <c r="V1252" s="24">
        <f>VLOOKUP(H1252, IMPOSTO!$A:$D, 4, 0)</f>
        <v>0.18</v>
      </c>
      <c r="W1252" s="24">
        <f>VLOOKUP(I1252, IMPOSTO!$A:$D, 4, 0)</f>
        <v>0.12</v>
      </c>
      <c r="X1252" s="24">
        <f>VLOOKUP(J1252, IMPOSTO!$A:$D, 4, 0)</f>
        <v>7.0000000000000007E-2</v>
      </c>
      <c r="Y1252" s="24">
        <f>VLOOKUP(K1252, IMPOSTO!$A:$D, 4, 0)</f>
        <v>0.12</v>
      </c>
      <c r="Z1252" s="24">
        <f>VLOOKUP(L1252, IMPOSTO!$A:$D, 4, 0)</f>
        <v>0.12</v>
      </c>
      <c r="AA1252" s="24">
        <f>VLOOKUP(M1252, IMPOSTO!$A:$D, 4, 0)</f>
        <v>0.12</v>
      </c>
      <c r="AB1252" s="24">
        <f>VLOOKUP(N1252, IMPOSTO!$A:$D, 4, 0)</f>
        <v>7.0000000000000007E-2</v>
      </c>
      <c r="AC1252" s="25">
        <f t="shared" si="183"/>
        <v>31.141291649400429</v>
      </c>
      <c r="AD1252" s="25">
        <f t="shared" si="184"/>
        <v>95.608930855123134</v>
      </c>
      <c r="AE1252" s="25">
        <f t="shared" si="185"/>
        <v>122.29662274463264</v>
      </c>
      <c r="AF1252" s="25">
        <f t="shared" si="186"/>
        <v>109.1316581278504</v>
      </c>
      <c r="AG1252" s="25">
        <f t="shared" si="187"/>
        <v>77.768021764214041</v>
      </c>
      <c r="AH1252" s="25">
        <f t="shared" si="188"/>
        <v>75.381658127850415</v>
      </c>
      <c r="AI1252" s="25">
        <f t="shared" si="189"/>
        <v>454.44716037904129</v>
      </c>
    </row>
    <row r="1253" spans="1:35" ht="15.75" customHeight="1">
      <c r="A1253" s="12" t="s">
        <v>412</v>
      </c>
      <c r="B1253" s="12" t="s">
        <v>413</v>
      </c>
      <c r="C1253" s="12" t="s">
        <v>414</v>
      </c>
      <c r="D1253" s="12" t="s">
        <v>33</v>
      </c>
      <c r="E1253" s="12" t="s">
        <v>23</v>
      </c>
      <c r="F1253" s="13">
        <v>9.1563726586773235</v>
      </c>
      <c r="G1253" s="14">
        <v>874.86206318863742</v>
      </c>
      <c r="H1253" s="24" t="str">
        <f t="shared" si="182"/>
        <v>SPSP</v>
      </c>
      <c r="I1253" s="24" t="str">
        <f t="shared" si="181"/>
        <v>SPMG</v>
      </c>
      <c r="J1253" s="24" t="str">
        <f t="shared" si="181"/>
        <v>SPES</v>
      </c>
      <c r="K1253" s="24" t="str">
        <f t="shared" si="181"/>
        <v>SPSC</v>
      </c>
      <c r="L1253" s="24" t="str">
        <f t="shared" si="181"/>
        <v>SPRJ</v>
      </c>
      <c r="M1253" s="24" t="str">
        <f t="shared" si="181"/>
        <v>SPPR</v>
      </c>
      <c r="N1253" s="24" t="str">
        <f t="shared" si="181"/>
        <v>SPAM</v>
      </c>
      <c r="O1253" s="24">
        <f>VLOOKUP(H1253, KM!$A:$E, 5, 0)</f>
        <v>0</v>
      </c>
      <c r="P1253" s="24">
        <f>VLOOKUP(I1253, KM!$A:$E, 5, 0)</f>
        <v>586</v>
      </c>
      <c r="Q1253" s="24">
        <f>VLOOKUP(J1253, KM!$A:$E, 5, 0)</f>
        <v>882</v>
      </c>
      <c r="R1253" s="24">
        <f>VLOOKUP(K1253, KM!$A:$E, 5, 0)</f>
        <v>705</v>
      </c>
      <c r="S1253" s="24">
        <f>VLOOKUP(L1253, KM!$A:$E, 5, 0)</f>
        <v>429</v>
      </c>
      <c r="T1253" s="24">
        <f>VLOOKUP(M1253, KM!$A:$E, 5, 0)</f>
        <v>408</v>
      </c>
      <c r="U1253" s="24">
        <f>VLOOKUP(N1253, KM!$A:$E, 5, 0)</f>
        <v>3971</v>
      </c>
      <c r="V1253" s="24">
        <f>VLOOKUP(H1253, IMPOSTO!$A:$D, 4, 0)</f>
        <v>0.18</v>
      </c>
      <c r="W1253" s="24">
        <f>VLOOKUP(I1253, IMPOSTO!$A:$D, 4, 0)</f>
        <v>0.12</v>
      </c>
      <c r="X1253" s="24">
        <f>VLOOKUP(J1253, IMPOSTO!$A:$D, 4, 0)</f>
        <v>7.0000000000000007E-2</v>
      </c>
      <c r="Y1253" s="24">
        <f>VLOOKUP(K1253, IMPOSTO!$A:$D, 4, 0)</f>
        <v>0.12</v>
      </c>
      <c r="Z1253" s="24">
        <f>VLOOKUP(L1253, IMPOSTO!$A:$D, 4, 0)</f>
        <v>0.12</v>
      </c>
      <c r="AA1253" s="24">
        <f>VLOOKUP(M1253, IMPOSTO!$A:$D, 4, 0)</f>
        <v>0.12</v>
      </c>
      <c r="AB1253" s="24">
        <f>VLOOKUP(N1253, IMPOSTO!$A:$D, 4, 0)</f>
        <v>7.0000000000000007E-2</v>
      </c>
      <c r="AC1253" s="25">
        <f t="shared" si="183"/>
        <v>1066.9049551080943</v>
      </c>
      <c r="AD1253" s="25">
        <f t="shared" si="184"/>
        <v>1060.7523445325426</v>
      </c>
      <c r="AE1253" s="25">
        <f t="shared" si="185"/>
        <v>1035.5506055791802</v>
      </c>
      <c r="AF1253" s="25">
        <f t="shared" si="186"/>
        <v>1074.2750718052698</v>
      </c>
      <c r="AG1253" s="25">
        <f t="shared" si="187"/>
        <v>1042.9114354416333</v>
      </c>
      <c r="AH1253" s="25">
        <f t="shared" si="188"/>
        <v>1040.5250718052698</v>
      </c>
      <c r="AI1253" s="25">
        <f t="shared" si="189"/>
        <v>1367.7011432135887</v>
      </c>
    </row>
    <row r="1254" spans="1:35" ht="15.75" customHeight="1">
      <c r="A1254" s="12" t="s">
        <v>764</v>
      </c>
      <c r="B1254" s="12" t="s">
        <v>765</v>
      </c>
      <c r="C1254" s="12" t="s">
        <v>192</v>
      </c>
      <c r="D1254" s="12" t="s">
        <v>33</v>
      </c>
      <c r="E1254" s="12" t="s">
        <v>23</v>
      </c>
      <c r="F1254" s="13">
        <v>204</v>
      </c>
      <c r="G1254" s="14">
        <v>3098.4</v>
      </c>
      <c r="H1254" s="24" t="str">
        <f t="shared" si="182"/>
        <v>SPSP</v>
      </c>
      <c r="I1254" s="24" t="str">
        <f t="shared" si="181"/>
        <v>SPMG</v>
      </c>
      <c r="J1254" s="24" t="str">
        <f t="shared" si="181"/>
        <v>SPES</v>
      </c>
      <c r="K1254" s="24" t="str">
        <f t="shared" si="181"/>
        <v>SPSC</v>
      </c>
      <c r="L1254" s="24" t="str">
        <f t="shared" si="181"/>
        <v>SPRJ</v>
      </c>
      <c r="M1254" s="24" t="str">
        <f t="shared" si="181"/>
        <v>SPPR</v>
      </c>
      <c r="N1254" s="24" t="str">
        <f t="shared" si="181"/>
        <v>SPAM</v>
      </c>
      <c r="O1254" s="24">
        <f>VLOOKUP(H1254, KM!$A:$E, 5, 0)</f>
        <v>0</v>
      </c>
      <c r="P1254" s="24">
        <f>VLOOKUP(I1254, KM!$A:$E, 5, 0)</f>
        <v>586</v>
      </c>
      <c r="Q1254" s="24">
        <f>VLOOKUP(J1254, KM!$A:$E, 5, 0)</f>
        <v>882</v>
      </c>
      <c r="R1254" s="24">
        <f>VLOOKUP(K1254, KM!$A:$E, 5, 0)</f>
        <v>705</v>
      </c>
      <c r="S1254" s="24">
        <f>VLOOKUP(L1254, KM!$A:$E, 5, 0)</f>
        <v>429</v>
      </c>
      <c r="T1254" s="24">
        <f>VLOOKUP(M1254, KM!$A:$E, 5, 0)</f>
        <v>408</v>
      </c>
      <c r="U1254" s="24">
        <f>VLOOKUP(N1254, KM!$A:$E, 5, 0)</f>
        <v>3971</v>
      </c>
      <c r="V1254" s="24">
        <f>VLOOKUP(H1254, IMPOSTO!$A:$D, 4, 0)</f>
        <v>0.18</v>
      </c>
      <c r="W1254" s="24">
        <f>VLOOKUP(I1254, IMPOSTO!$A:$D, 4, 0)</f>
        <v>0.12</v>
      </c>
      <c r="X1254" s="24">
        <f>VLOOKUP(J1254, IMPOSTO!$A:$D, 4, 0)</f>
        <v>7.0000000000000007E-2</v>
      </c>
      <c r="Y1254" s="24">
        <f>VLOOKUP(K1254, IMPOSTO!$A:$D, 4, 0)</f>
        <v>0.12</v>
      </c>
      <c r="Z1254" s="24">
        <f>VLOOKUP(L1254, IMPOSTO!$A:$D, 4, 0)</f>
        <v>0.12</v>
      </c>
      <c r="AA1254" s="24">
        <f>VLOOKUP(M1254, IMPOSTO!$A:$D, 4, 0)</f>
        <v>0.12</v>
      </c>
      <c r="AB1254" s="24">
        <f>VLOOKUP(N1254, IMPOSTO!$A:$D, 4, 0)</f>
        <v>7.0000000000000007E-2</v>
      </c>
      <c r="AC1254" s="25">
        <f t="shared" si="183"/>
        <v>3778.5365853658536</v>
      </c>
      <c r="AD1254" s="25">
        <f t="shared" si="184"/>
        <v>3587.5</v>
      </c>
      <c r="AE1254" s="25">
        <f t="shared" si="185"/>
        <v>3426.4516129032259</v>
      </c>
      <c r="AF1254" s="25">
        <f t="shared" si="186"/>
        <v>3601.0227272727275</v>
      </c>
      <c r="AG1254" s="25">
        <f t="shared" si="187"/>
        <v>3569.659090909091</v>
      </c>
      <c r="AH1254" s="25">
        <f t="shared" si="188"/>
        <v>3567.2727272727275</v>
      </c>
      <c r="AI1254" s="25">
        <f t="shared" si="189"/>
        <v>3758.6021505376348</v>
      </c>
    </row>
    <row r="1255" spans="1:35" ht="15.75" customHeight="1">
      <c r="A1255" s="12" t="s">
        <v>971</v>
      </c>
      <c r="B1255" s="12" t="s">
        <v>972</v>
      </c>
      <c r="C1255" s="12" t="s">
        <v>192</v>
      </c>
      <c r="D1255" s="12" t="s">
        <v>33</v>
      </c>
      <c r="E1255" s="12" t="s">
        <v>23</v>
      </c>
      <c r="F1255" s="13">
        <v>1</v>
      </c>
      <c r="G1255" s="14">
        <v>25.16</v>
      </c>
      <c r="H1255" s="24" t="str">
        <f t="shared" si="182"/>
        <v>SPSP</v>
      </c>
      <c r="I1255" s="24" t="str">
        <f t="shared" si="181"/>
        <v>SPMG</v>
      </c>
      <c r="J1255" s="24" t="str">
        <f t="shared" si="181"/>
        <v>SPES</v>
      </c>
      <c r="K1255" s="24" t="str">
        <f t="shared" si="181"/>
        <v>SPSC</v>
      </c>
      <c r="L1255" s="24" t="str">
        <f t="shared" si="181"/>
        <v>SPRJ</v>
      </c>
      <c r="M1255" s="24" t="str">
        <f t="shared" si="181"/>
        <v>SPPR</v>
      </c>
      <c r="N1255" s="24" t="str">
        <f t="shared" si="181"/>
        <v>SPAM</v>
      </c>
      <c r="O1255" s="24">
        <f>VLOOKUP(H1255, KM!$A:$E, 5, 0)</f>
        <v>0</v>
      </c>
      <c r="P1255" s="24">
        <f>VLOOKUP(I1255, KM!$A:$E, 5, 0)</f>
        <v>586</v>
      </c>
      <c r="Q1255" s="24">
        <f>VLOOKUP(J1255, KM!$A:$E, 5, 0)</f>
        <v>882</v>
      </c>
      <c r="R1255" s="24">
        <f>VLOOKUP(K1255, KM!$A:$E, 5, 0)</f>
        <v>705</v>
      </c>
      <c r="S1255" s="24">
        <f>VLOOKUP(L1255, KM!$A:$E, 5, 0)</f>
        <v>429</v>
      </c>
      <c r="T1255" s="24">
        <f>VLOOKUP(M1255, KM!$A:$E, 5, 0)</f>
        <v>408</v>
      </c>
      <c r="U1255" s="24">
        <f>VLOOKUP(N1255, KM!$A:$E, 5, 0)</f>
        <v>3971</v>
      </c>
      <c r="V1255" s="24">
        <f>VLOOKUP(H1255, IMPOSTO!$A:$D, 4, 0)</f>
        <v>0.18</v>
      </c>
      <c r="W1255" s="24">
        <f>VLOOKUP(I1255, IMPOSTO!$A:$D, 4, 0)</f>
        <v>0.12</v>
      </c>
      <c r="X1255" s="24">
        <f>VLOOKUP(J1255, IMPOSTO!$A:$D, 4, 0)</f>
        <v>7.0000000000000007E-2</v>
      </c>
      <c r="Y1255" s="24">
        <f>VLOOKUP(K1255, IMPOSTO!$A:$D, 4, 0)</f>
        <v>0.12</v>
      </c>
      <c r="Z1255" s="24">
        <f>VLOOKUP(L1255, IMPOSTO!$A:$D, 4, 0)</f>
        <v>0.12</v>
      </c>
      <c r="AA1255" s="24">
        <f>VLOOKUP(M1255, IMPOSTO!$A:$D, 4, 0)</f>
        <v>0.12</v>
      </c>
      <c r="AB1255" s="24">
        <f>VLOOKUP(N1255, IMPOSTO!$A:$D, 4, 0)</f>
        <v>7.0000000000000007E-2</v>
      </c>
      <c r="AC1255" s="25">
        <f t="shared" si="183"/>
        <v>30.68292682926829</v>
      </c>
      <c r="AD1255" s="25">
        <f t="shared" si="184"/>
        <v>95.181818181818187</v>
      </c>
      <c r="AE1255" s="25">
        <f t="shared" si="185"/>
        <v>121.89247311827958</v>
      </c>
      <c r="AF1255" s="25">
        <f t="shared" si="186"/>
        <v>108.70454545454545</v>
      </c>
      <c r="AG1255" s="25">
        <f t="shared" si="187"/>
        <v>77.340909090909093</v>
      </c>
      <c r="AH1255" s="25">
        <f t="shared" si="188"/>
        <v>74.954545454545467</v>
      </c>
      <c r="AI1255" s="25">
        <f t="shared" si="189"/>
        <v>454.04301075268825</v>
      </c>
    </row>
    <row r="1256" spans="1:35" ht="15.75" customHeight="1">
      <c r="A1256" s="12" t="s">
        <v>857</v>
      </c>
      <c r="B1256" s="12" t="s">
        <v>858</v>
      </c>
      <c r="C1256" s="12" t="s">
        <v>192</v>
      </c>
      <c r="D1256" s="12" t="s">
        <v>50</v>
      </c>
      <c r="E1256" s="12" t="s">
        <v>23</v>
      </c>
      <c r="F1256" s="13">
        <v>477.85621621621624</v>
      </c>
      <c r="G1256" s="14">
        <v>1836.6652553716212</v>
      </c>
      <c r="H1256" s="24" t="str">
        <f t="shared" si="182"/>
        <v>SPSP</v>
      </c>
      <c r="I1256" s="24" t="str">
        <f t="shared" si="181"/>
        <v>SPMG</v>
      </c>
      <c r="J1256" s="24" t="str">
        <f t="shared" si="181"/>
        <v>SPES</v>
      </c>
      <c r="K1256" s="24" t="str">
        <f t="shared" si="181"/>
        <v>SPSC</v>
      </c>
      <c r="L1256" s="24" t="str">
        <f t="shared" si="181"/>
        <v>SPRJ</v>
      </c>
      <c r="M1256" s="24" t="str">
        <f t="shared" si="181"/>
        <v>SPPR</v>
      </c>
      <c r="N1256" s="24" t="str">
        <f t="shared" si="181"/>
        <v>SPAM</v>
      </c>
      <c r="O1256" s="24">
        <f>VLOOKUP(H1256, KM!$A:$E, 5, 0)</f>
        <v>0</v>
      </c>
      <c r="P1256" s="24">
        <f>VLOOKUP(I1256, KM!$A:$E, 5, 0)</f>
        <v>586</v>
      </c>
      <c r="Q1256" s="24">
        <f>VLOOKUP(J1256, KM!$A:$E, 5, 0)</f>
        <v>882</v>
      </c>
      <c r="R1256" s="24">
        <f>VLOOKUP(K1256, KM!$A:$E, 5, 0)</f>
        <v>705</v>
      </c>
      <c r="S1256" s="24">
        <f>VLOOKUP(L1256, KM!$A:$E, 5, 0)</f>
        <v>429</v>
      </c>
      <c r="T1256" s="24">
        <f>VLOOKUP(M1256, KM!$A:$E, 5, 0)</f>
        <v>408</v>
      </c>
      <c r="U1256" s="24">
        <f>VLOOKUP(N1256, KM!$A:$E, 5, 0)</f>
        <v>3971</v>
      </c>
      <c r="V1256" s="24">
        <f>VLOOKUP(H1256, IMPOSTO!$A:$D, 4, 0)</f>
        <v>0.18</v>
      </c>
      <c r="W1256" s="24">
        <f>VLOOKUP(I1256, IMPOSTO!$A:$D, 4, 0)</f>
        <v>0.12</v>
      </c>
      <c r="X1256" s="24">
        <f>VLOOKUP(J1256, IMPOSTO!$A:$D, 4, 0)</f>
        <v>7.0000000000000007E-2</v>
      </c>
      <c r="Y1256" s="24">
        <f>VLOOKUP(K1256, IMPOSTO!$A:$D, 4, 0)</f>
        <v>0.12</v>
      </c>
      <c r="Z1256" s="24">
        <f>VLOOKUP(L1256, IMPOSTO!$A:$D, 4, 0)</f>
        <v>0.12</v>
      </c>
      <c r="AA1256" s="24">
        <f>VLOOKUP(M1256, IMPOSTO!$A:$D, 4, 0)</f>
        <v>0.12</v>
      </c>
      <c r="AB1256" s="24">
        <f>VLOOKUP(N1256, IMPOSTO!$A:$D, 4, 0)</f>
        <v>7.0000000000000007E-2</v>
      </c>
      <c r="AC1256" s="25">
        <f t="shared" si="183"/>
        <v>2239.835677282465</v>
      </c>
      <c r="AD1256" s="25">
        <f t="shared" si="184"/>
        <v>2153.7105174677513</v>
      </c>
      <c r="AE1256" s="25">
        <f t="shared" si="185"/>
        <v>2069.7475864210983</v>
      </c>
      <c r="AF1256" s="25">
        <f t="shared" si="186"/>
        <v>2167.2332447404788</v>
      </c>
      <c r="AG1256" s="25">
        <f t="shared" si="187"/>
        <v>2135.8696083768423</v>
      </c>
      <c r="AH1256" s="25">
        <f t="shared" si="188"/>
        <v>2133.4832447404788</v>
      </c>
      <c r="AI1256" s="25">
        <f t="shared" si="189"/>
        <v>2401.8981240555067</v>
      </c>
    </row>
    <row r="1257" spans="1:35" ht="15.75" customHeight="1">
      <c r="A1257" s="12" t="s">
        <v>558</v>
      </c>
      <c r="B1257" s="12" t="s">
        <v>559</v>
      </c>
      <c r="C1257" s="12" t="s">
        <v>192</v>
      </c>
      <c r="D1257" s="12" t="s">
        <v>50</v>
      </c>
      <c r="E1257" s="12" t="s">
        <v>23</v>
      </c>
      <c r="F1257" s="13">
        <v>111.28332879999999</v>
      </c>
      <c r="G1257" s="14">
        <v>7155.6166972733345</v>
      </c>
      <c r="H1257" s="24" t="str">
        <f t="shared" si="182"/>
        <v>SPSP</v>
      </c>
      <c r="I1257" s="24" t="str">
        <f t="shared" si="181"/>
        <v>SPMG</v>
      </c>
      <c r="J1257" s="24" t="str">
        <f t="shared" si="181"/>
        <v>SPES</v>
      </c>
      <c r="K1257" s="24" t="str">
        <f t="shared" si="181"/>
        <v>SPSC</v>
      </c>
      <c r="L1257" s="24" t="str">
        <f t="shared" si="181"/>
        <v>SPRJ</v>
      </c>
      <c r="M1257" s="24" t="str">
        <f t="shared" si="181"/>
        <v>SPPR</v>
      </c>
      <c r="N1257" s="24" t="str">
        <f t="shared" si="181"/>
        <v>SPAM</v>
      </c>
      <c r="O1257" s="24">
        <f>VLOOKUP(H1257, KM!$A:$E, 5, 0)</f>
        <v>0</v>
      </c>
      <c r="P1257" s="24">
        <f>VLOOKUP(I1257, KM!$A:$E, 5, 0)</f>
        <v>586</v>
      </c>
      <c r="Q1257" s="24">
        <f>VLOOKUP(J1257, KM!$A:$E, 5, 0)</f>
        <v>882</v>
      </c>
      <c r="R1257" s="24">
        <f>VLOOKUP(K1257, KM!$A:$E, 5, 0)</f>
        <v>705</v>
      </c>
      <c r="S1257" s="24">
        <f>VLOOKUP(L1257, KM!$A:$E, 5, 0)</f>
        <v>429</v>
      </c>
      <c r="T1257" s="24">
        <f>VLOOKUP(M1257, KM!$A:$E, 5, 0)</f>
        <v>408</v>
      </c>
      <c r="U1257" s="24">
        <f>VLOOKUP(N1257, KM!$A:$E, 5, 0)</f>
        <v>3971</v>
      </c>
      <c r="V1257" s="24">
        <f>VLOOKUP(H1257, IMPOSTO!$A:$D, 4, 0)</f>
        <v>0.18</v>
      </c>
      <c r="W1257" s="24">
        <f>VLOOKUP(I1257, IMPOSTO!$A:$D, 4, 0)</f>
        <v>0.12</v>
      </c>
      <c r="X1257" s="24">
        <f>VLOOKUP(J1257, IMPOSTO!$A:$D, 4, 0)</f>
        <v>7.0000000000000007E-2</v>
      </c>
      <c r="Y1257" s="24">
        <f>VLOOKUP(K1257, IMPOSTO!$A:$D, 4, 0)</f>
        <v>0.12</v>
      </c>
      <c r="Z1257" s="24">
        <f>VLOOKUP(L1257, IMPOSTO!$A:$D, 4, 0)</f>
        <v>0.12</v>
      </c>
      <c r="AA1257" s="24">
        <f>VLOOKUP(M1257, IMPOSTO!$A:$D, 4, 0)</f>
        <v>0.12</v>
      </c>
      <c r="AB1257" s="24">
        <f>VLOOKUP(N1257, IMPOSTO!$A:$D, 4, 0)</f>
        <v>7.0000000000000007E-2</v>
      </c>
      <c r="AC1257" s="25">
        <f t="shared" si="183"/>
        <v>8726.3618259430896</v>
      </c>
      <c r="AD1257" s="25">
        <f t="shared" si="184"/>
        <v>8197.9735196287893</v>
      </c>
      <c r="AE1257" s="25">
        <f t="shared" si="185"/>
        <v>7789.0502121218651</v>
      </c>
      <c r="AF1257" s="25">
        <f t="shared" si="186"/>
        <v>8211.4962469015172</v>
      </c>
      <c r="AG1257" s="25">
        <f t="shared" si="187"/>
        <v>8180.1326105378794</v>
      </c>
      <c r="AH1257" s="25">
        <f t="shared" si="188"/>
        <v>8177.7462469015163</v>
      </c>
      <c r="AI1257" s="25">
        <f t="shared" si="189"/>
        <v>8121.2007497562745</v>
      </c>
    </row>
    <row r="1258" spans="1:35" ht="15.75" customHeight="1">
      <c r="A1258" s="12" t="s">
        <v>558</v>
      </c>
      <c r="B1258" s="12" t="s">
        <v>559</v>
      </c>
      <c r="C1258" s="12" t="s">
        <v>192</v>
      </c>
      <c r="D1258" s="12" t="s">
        <v>50</v>
      </c>
      <c r="E1258" s="12" t="s">
        <v>23</v>
      </c>
      <c r="F1258" s="13">
        <v>127.85744160000002</v>
      </c>
      <c r="G1258" s="14">
        <v>8116.7337136760016</v>
      </c>
      <c r="H1258" s="24" t="str">
        <f t="shared" si="182"/>
        <v>SPSP</v>
      </c>
      <c r="I1258" s="24" t="str">
        <f t="shared" si="181"/>
        <v>SPMG</v>
      </c>
      <c r="J1258" s="24" t="str">
        <f t="shared" ref="I1258:N1321" si="190">$E1258 &amp; J$17</f>
        <v>SPES</v>
      </c>
      <c r="K1258" s="24" t="str">
        <f t="shared" si="190"/>
        <v>SPSC</v>
      </c>
      <c r="L1258" s="24" t="str">
        <f t="shared" si="190"/>
        <v>SPRJ</v>
      </c>
      <c r="M1258" s="24" t="str">
        <f t="shared" si="190"/>
        <v>SPPR</v>
      </c>
      <c r="N1258" s="24" t="str">
        <f t="shared" si="190"/>
        <v>SPAM</v>
      </c>
      <c r="O1258" s="24">
        <f>VLOOKUP(H1258, KM!$A:$E, 5, 0)</f>
        <v>0</v>
      </c>
      <c r="P1258" s="24">
        <f>VLOOKUP(I1258, KM!$A:$E, 5, 0)</f>
        <v>586</v>
      </c>
      <c r="Q1258" s="24">
        <f>VLOOKUP(J1258, KM!$A:$E, 5, 0)</f>
        <v>882</v>
      </c>
      <c r="R1258" s="24">
        <f>VLOOKUP(K1258, KM!$A:$E, 5, 0)</f>
        <v>705</v>
      </c>
      <c r="S1258" s="24">
        <f>VLOOKUP(L1258, KM!$A:$E, 5, 0)</f>
        <v>429</v>
      </c>
      <c r="T1258" s="24">
        <f>VLOOKUP(M1258, KM!$A:$E, 5, 0)</f>
        <v>408</v>
      </c>
      <c r="U1258" s="24">
        <f>VLOOKUP(N1258, KM!$A:$E, 5, 0)</f>
        <v>3971</v>
      </c>
      <c r="V1258" s="24">
        <f>VLOOKUP(H1258, IMPOSTO!$A:$D, 4, 0)</f>
        <v>0.18</v>
      </c>
      <c r="W1258" s="24">
        <f>VLOOKUP(I1258, IMPOSTO!$A:$D, 4, 0)</f>
        <v>0.12</v>
      </c>
      <c r="X1258" s="24">
        <f>VLOOKUP(J1258, IMPOSTO!$A:$D, 4, 0)</f>
        <v>7.0000000000000007E-2</v>
      </c>
      <c r="Y1258" s="24">
        <f>VLOOKUP(K1258, IMPOSTO!$A:$D, 4, 0)</f>
        <v>0.12</v>
      </c>
      <c r="Z1258" s="24">
        <f>VLOOKUP(L1258, IMPOSTO!$A:$D, 4, 0)</f>
        <v>0.12</v>
      </c>
      <c r="AA1258" s="24">
        <f>VLOOKUP(M1258, IMPOSTO!$A:$D, 4, 0)</f>
        <v>0.12</v>
      </c>
      <c r="AB1258" s="24">
        <f>VLOOKUP(N1258, IMPOSTO!$A:$D, 4, 0)</f>
        <v>7.0000000000000007E-2</v>
      </c>
      <c r="AC1258" s="25">
        <f t="shared" si="183"/>
        <v>9898.4557483853678</v>
      </c>
      <c r="AD1258" s="25">
        <f t="shared" si="184"/>
        <v>9290.1519473590924</v>
      </c>
      <c r="AE1258" s="25">
        <f t="shared" si="185"/>
        <v>8822.5093695440883</v>
      </c>
      <c r="AF1258" s="25">
        <f t="shared" si="186"/>
        <v>9303.6746746318204</v>
      </c>
      <c r="AG1258" s="25">
        <f t="shared" si="187"/>
        <v>9272.3110382681825</v>
      </c>
      <c r="AH1258" s="25">
        <f t="shared" si="188"/>
        <v>9269.9246746318204</v>
      </c>
      <c r="AI1258" s="25">
        <f t="shared" si="189"/>
        <v>9154.6599071784967</v>
      </c>
    </row>
    <row r="1259" spans="1:35" ht="15.75" customHeight="1">
      <c r="A1259" s="12" t="s">
        <v>558</v>
      </c>
      <c r="B1259" s="12" t="s">
        <v>559</v>
      </c>
      <c r="C1259" s="12" t="s">
        <v>192</v>
      </c>
      <c r="D1259" s="12" t="s">
        <v>50</v>
      </c>
      <c r="E1259" s="12" t="s">
        <v>23</v>
      </c>
      <c r="F1259" s="13">
        <v>23.677303999999999</v>
      </c>
      <c r="G1259" s="14">
        <v>1517.2732100586668</v>
      </c>
      <c r="H1259" s="24" t="str">
        <f t="shared" si="182"/>
        <v>SPSP</v>
      </c>
      <c r="I1259" s="24" t="str">
        <f t="shared" si="190"/>
        <v>SPMG</v>
      </c>
      <c r="J1259" s="24" t="str">
        <f t="shared" si="190"/>
        <v>SPES</v>
      </c>
      <c r="K1259" s="24" t="str">
        <f t="shared" si="190"/>
        <v>SPSC</v>
      </c>
      <c r="L1259" s="24" t="str">
        <f t="shared" si="190"/>
        <v>SPRJ</v>
      </c>
      <c r="M1259" s="24" t="str">
        <f t="shared" si="190"/>
        <v>SPPR</v>
      </c>
      <c r="N1259" s="24" t="str">
        <f t="shared" si="190"/>
        <v>SPAM</v>
      </c>
      <c r="O1259" s="24">
        <f>VLOOKUP(H1259, KM!$A:$E, 5, 0)</f>
        <v>0</v>
      </c>
      <c r="P1259" s="24">
        <f>VLOOKUP(I1259, KM!$A:$E, 5, 0)</f>
        <v>586</v>
      </c>
      <c r="Q1259" s="24">
        <f>VLOOKUP(J1259, KM!$A:$E, 5, 0)</f>
        <v>882</v>
      </c>
      <c r="R1259" s="24">
        <f>VLOOKUP(K1259, KM!$A:$E, 5, 0)</f>
        <v>705</v>
      </c>
      <c r="S1259" s="24">
        <f>VLOOKUP(L1259, KM!$A:$E, 5, 0)</f>
        <v>429</v>
      </c>
      <c r="T1259" s="24">
        <f>VLOOKUP(M1259, KM!$A:$E, 5, 0)</f>
        <v>408</v>
      </c>
      <c r="U1259" s="24">
        <f>VLOOKUP(N1259, KM!$A:$E, 5, 0)</f>
        <v>3971</v>
      </c>
      <c r="V1259" s="24">
        <f>VLOOKUP(H1259, IMPOSTO!$A:$D, 4, 0)</f>
        <v>0.18</v>
      </c>
      <c r="W1259" s="24">
        <f>VLOOKUP(I1259, IMPOSTO!$A:$D, 4, 0)</f>
        <v>0.12</v>
      </c>
      <c r="X1259" s="24">
        <f>VLOOKUP(J1259, IMPOSTO!$A:$D, 4, 0)</f>
        <v>7.0000000000000007E-2</v>
      </c>
      <c r="Y1259" s="24">
        <f>VLOOKUP(K1259, IMPOSTO!$A:$D, 4, 0)</f>
        <v>0.12</v>
      </c>
      <c r="Z1259" s="24">
        <f>VLOOKUP(L1259, IMPOSTO!$A:$D, 4, 0)</f>
        <v>0.12</v>
      </c>
      <c r="AA1259" s="24">
        <f>VLOOKUP(M1259, IMPOSTO!$A:$D, 4, 0)</f>
        <v>0.12</v>
      </c>
      <c r="AB1259" s="24">
        <f>VLOOKUP(N1259, IMPOSTO!$A:$D, 4, 0)</f>
        <v>7.0000000000000007E-2</v>
      </c>
      <c r="AC1259" s="25">
        <f t="shared" si="183"/>
        <v>1850.333182998374</v>
      </c>
      <c r="AD1259" s="25">
        <f t="shared" si="184"/>
        <v>1790.765011430303</v>
      </c>
      <c r="AE1259" s="25">
        <f t="shared" si="185"/>
        <v>1726.3152796329753</v>
      </c>
      <c r="AF1259" s="25">
        <f t="shared" si="186"/>
        <v>1804.2877387030305</v>
      </c>
      <c r="AG1259" s="25">
        <f t="shared" si="187"/>
        <v>1772.9241023393943</v>
      </c>
      <c r="AH1259" s="25">
        <f t="shared" si="188"/>
        <v>1770.5377387030303</v>
      </c>
      <c r="AI1259" s="25">
        <f t="shared" si="189"/>
        <v>2058.4658172673835</v>
      </c>
    </row>
    <row r="1260" spans="1:35" ht="15.75" customHeight="1">
      <c r="A1260" s="12" t="s">
        <v>955</v>
      </c>
      <c r="B1260" s="12" t="s">
        <v>956</v>
      </c>
      <c r="C1260" s="12" t="s">
        <v>192</v>
      </c>
      <c r="D1260" s="12" t="s">
        <v>33</v>
      </c>
      <c r="E1260" s="12" t="s">
        <v>23</v>
      </c>
      <c r="F1260" s="13">
        <v>62.997000000000014</v>
      </c>
      <c r="G1260" s="14">
        <v>374.55350942307695</v>
      </c>
      <c r="H1260" s="24" t="str">
        <f t="shared" si="182"/>
        <v>SPSP</v>
      </c>
      <c r="I1260" s="24" t="str">
        <f t="shared" si="190"/>
        <v>SPMG</v>
      </c>
      <c r="J1260" s="24" t="str">
        <f t="shared" si="190"/>
        <v>SPES</v>
      </c>
      <c r="K1260" s="24" t="str">
        <f t="shared" si="190"/>
        <v>SPSC</v>
      </c>
      <c r="L1260" s="24" t="str">
        <f t="shared" si="190"/>
        <v>SPRJ</v>
      </c>
      <c r="M1260" s="24" t="str">
        <f t="shared" si="190"/>
        <v>SPPR</v>
      </c>
      <c r="N1260" s="24" t="str">
        <f t="shared" si="190"/>
        <v>SPAM</v>
      </c>
      <c r="O1260" s="24">
        <f>VLOOKUP(H1260, KM!$A:$E, 5, 0)</f>
        <v>0</v>
      </c>
      <c r="P1260" s="24">
        <f>VLOOKUP(I1260, KM!$A:$E, 5, 0)</f>
        <v>586</v>
      </c>
      <c r="Q1260" s="24">
        <f>VLOOKUP(J1260, KM!$A:$E, 5, 0)</f>
        <v>882</v>
      </c>
      <c r="R1260" s="24">
        <f>VLOOKUP(K1260, KM!$A:$E, 5, 0)</f>
        <v>705</v>
      </c>
      <c r="S1260" s="24">
        <f>VLOOKUP(L1260, KM!$A:$E, 5, 0)</f>
        <v>429</v>
      </c>
      <c r="T1260" s="24">
        <f>VLOOKUP(M1260, KM!$A:$E, 5, 0)</f>
        <v>408</v>
      </c>
      <c r="U1260" s="24">
        <f>VLOOKUP(N1260, KM!$A:$E, 5, 0)</f>
        <v>3971</v>
      </c>
      <c r="V1260" s="24">
        <f>VLOOKUP(H1260, IMPOSTO!$A:$D, 4, 0)</f>
        <v>0.18</v>
      </c>
      <c r="W1260" s="24">
        <f>VLOOKUP(I1260, IMPOSTO!$A:$D, 4, 0)</f>
        <v>0.12</v>
      </c>
      <c r="X1260" s="24">
        <f>VLOOKUP(J1260, IMPOSTO!$A:$D, 4, 0)</f>
        <v>7.0000000000000007E-2</v>
      </c>
      <c r="Y1260" s="24">
        <f>VLOOKUP(K1260, IMPOSTO!$A:$D, 4, 0)</f>
        <v>0.12</v>
      </c>
      <c r="Z1260" s="24">
        <f>VLOOKUP(L1260, IMPOSTO!$A:$D, 4, 0)</f>
        <v>0.12</v>
      </c>
      <c r="AA1260" s="24">
        <f>VLOOKUP(M1260, IMPOSTO!$A:$D, 4, 0)</f>
        <v>0.12</v>
      </c>
      <c r="AB1260" s="24">
        <f>VLOOKUP(N1260, IMPOSTO!$A:$D, 4, 0)</f>
        <v>7.0000000000000007E-2</v>
      </c>
      <c r="AC1260" s="25">
        <f t="shared" si="183"/>
        <v>456.77257246716698</v>
      </c>
      <c r="AD1260" s="25">
        <f t="shared" si="184"/>
        <v>492.21989707167836</v>
      </c>
      <c r="AE1260" s="25">
        <f t="shared" si="185"/>
        <v>497.58441873449135</v>
      </c>
      <c r="AF1260" s="25">
        <f t="shared" si="186"/>
        <v>505.74262434440561</v>
      </c>
      <c r="AG1260" s="25">
        <f t="shared" si="187"/>
        <v>474.3789879807693</v>
      </c>
      <c r="AH1260" s="25">
        <f t="shared" si="188"/>
        <v>471.99262434440561</v>
      </c>
      <c r="AI1260" s="25">
        <f t="shared" si="189"/>
        <v>829.73495636889993</v>
      </c>
    </row>
    <row r="1261" spans="1:35" ht="15.75" customHeight="1">
      <c r="A1261" s="12" t="s">
        <v>274</v>
      </c>
      <c r="B1261" s="12" t="s">
        <v>275</v>
      </c>
      <c r="C1261" s="12" t="s">
        <v>192</v>
      </c>
      <c r="D1261" s="12" t="s">
        <v>50</v>
      </c>
      <c r="E1261" s="12" t="s">
        <v>23</v>
      </c>
      <c r="F1261" s="13">
        <v>0.1479111111111111</v>
      </c>
      <c r="G1261" s="14">
        <v>8.8273351111111094</v>
      </c>
      <c r="H1261" s="24" t="str">
        <f t="shared" si="182"/>
        <v>SPSP</v>
      </c>
      <c r="I1261" s="24" t="str">
        <f t="shared" si="190"/>
        <v>SPMG</v>
      </c>
      <c r="J1261" s="24" t="str">
        <f t="shared" si="190"/>
        <v>SPES</v>
      </c>
      <c r="K1261" s="24" t="str">
        <f t="shared" si="190"/>
        <v>SPSC</v>
      </c>
      <c r="L1261" s="24" t="str">
        <f t="shared" si="190"/>
        <v>SPRJ</v>
      </c>
      <c r="M1261" s="24" t="str">
        <f t="shared" si="190"/>
        <v>SPPR</v>
      </c>
      <c r="N1261" s="24" t="str">
        <f t="shared" si="190"/>
        <v>SPAM</v>
      </c>
      <c r="O1261" s="24">
        <f>VLOOKUP(H1261, KM!$A:$E, 5, 0)</f>
        <v>0</v>
      </c>
      <c r="P1261" s="24">
        <f>VLOOKUP(I1261, KM!$A:$E, 5, 0)</f>
        <v>586</v>
      </c>
      <c r="Q1261" s="24">
        <f>VLOOKUP(J1261, KM!$A:$E, 5, 0)</f>
        <v>882</v>
      </c>
      <c r="R1261" s="24">
        <f>VLOOKUP(K1261, KM!$A:$E, 5, 0)</f>
        <v>705</v>
      </c>
      <c r="S1261" s="24">
        <f>VLOOKUP(L1261, KM!$A:$E, 5, 0)</f>
        <v>429</v>
      </c>
      <c r="T1261" s="24">
        <f>VLOOKUP(M1261, KM!$A:$E, 5, 0)</f>
        <v>408</v>
      </c>
      <c r="U1261" s="24">
        <f>VLOOKUP(N1261, KM!$A:$E, 5, 0)</f>
        <v>3971</v>
      </c>
      <c r="V1261" s="24">
        <f>VLOOKUP(H1261, IMPOSTO!$A:$D, 4, 0)</f>
        <v>0.18</v>
      </c>
      <c r="W1261" s="24">
        <f>VLOOKUP(I1261, IMPOSTO!$A:$D, 4, 0)</f>
        <v>0.12</v>
      </c>
      <c r="X1261" s="24">
        <f>VLOOKUP(J1261, IMPOSTO!$A:$D, 4, 0)</f>
        <v>7.0000000000000007E-2</v>
      </c>
      <c r="Y1261" s="24">
        <f>VLOOKUP(K1261, IMPOSTO!$A:$D, 4, 0)</f>
        <v>0.12</v>
      </c>
      <c r="Z1261" s="24">
        <f>VLOOKUP(L1261, IMPOSTO!$A:$D, 4, 0)</f>
        <v>0.12</v>
      </c>
      <c r="AA1261" s="24">
        <f>VLOOKUP(M1261, IMPOSTO!$A:$D, 4, 0)</f>
        <v>0.12</v>
      </c>
      <c r="AB1261" s="24">
        <f>VLOOKUP(N1261, IMPOSTO!$A:$D, 4, 0)</f>
        <v>7.0000000000000007E-2</v>
      </c>
      <c r="AC1261" s="25">
        <f t="shared" si="183"/>
        <v>10.765042818428181</v>
      </c>
      <c r="AD1261" s="25">
        <f t="shared" si="184"/>
        <v>76.621971717171704</v>
      </c>
      <c r="AE1261" s="25">
        <f t="shared" si="185"/>
        <v>104.3304678614098</v>
      </c>
      <c r="AF1261" s="25">
        <f t="shared" si="186"/>
        <v>90.144698989898984</v>
      </c>
      <c r="AG1261" s="25">
        <f t="shared" si="187"/>
        <v>58.781062626262631</v>
      </c>
      <c r="AH1261" s="25">
        <f t="shared" si="188"/>
        <v>56.394698989898991</v>
      </c>
      <c r="AI1261" s="25">
        <f t="shared" si="189"/>
        <v>436.48100549581847</v>
      </c>
    </row>
    <row r="1262" spans="1:35" ht="15.75" customHeight="1">
      <c r="A1262" s="12" t="s">
        <v>274</v>
      </c>
      <c r="B1262" s="12" t="s">
        <v>275</v>
      </c>
      <c r="C1262" s="12" t="s">
        <v>192</v>
      </c>
      <c r="D1262" s="12" t="s">
        <v>50</v>
      </c>
      <c r="E1262" s="12" t="s">
        <v>23</v>
      </c>
      <c r="F1262" s="13">
        <v>1.8488888888888888</v>
      </c>
      <c r="G1262" s="14">
        <v>110.34050559999999</v>
      </c>
      <c r="H1262" s="24" t="str">
        <f t="shared" si="182"/>
        <v>SPSP</v>
      </c>
      <c r="I1262" s="24" t="str">
        <f t="shared" si="190"/>
        <v>SPMG</v>
      </c>
      <c r="J1262" s="24" t="str">
        <f t="shared" si="190"/>
        <v>SPES</v>
      </c>
      <c r="K1262" s="24" t="str">
        <f t="shared" si="190"/>
        <v>SPSC</v>
      </c>
      <c r="L1262" s="24" t="str">
        <f t="shared" si="190"/>
        <v>SPRJ</v>
      </c>
      <c r="M1262" s="24" t="str">
        <f t="shared" si="190"/>
        <v>SPPR</v>
      </c>
      <c r="N1262" s="24" t="str">
        <f t="shared" si="190"/>
        <v>SPAM</v>
      </c>
      <c r="O1262" s="24">
        <f>VLOOKUP(H1262, KM!$A:$E, 5, 0)</f>
        <v>0</v>
      </c>
      <c r="P1262" s="24">
        <f>VLOOKUP(I1262, KM!$A:$E, 5, 0)</f>
        <v>586</v>
      </c>
      <c r="Q1262" s="24">
        <f>VLOOKUP(J1262, KM!$A:$E, 5, 0)</f>
        <v>882</v>
      </c>
      <c r="R1262" s="24">
        <f>VLOOKUP(K1262, KM!$A:$E, 5, 0)</f>
        <v>705</v>
      </c>
      <c r="S1262" s="24">
        <f>VLOOKUP(L1262, KM!$A:$E, 5, 0)</f>
        <v>429</v>
      </c>
      <c r="T1262" s="24">
        <f>VLOOKUP(M1262, KM!$A:$E, 5, 0)</f>
        <v>408</v>
      </c>
      <c r="U1262" s="24">
        <f>VLOOKUP(N1262, KM!$A:$E, 5, 0)</f>
        <v>3971</v>
      </c>
      <c r="V1262" s="24">
        <f>VLOOKUP(H1262, IMPOSTO!$A:$D, 4, 0)</f>
        <v>0.18</v>
      </c>
      <c r="W1262" s="24">
        <f>VLOOKUP(I1262, IMPOSTO!$A:$D, 4, 0)</f>
        <v>0.12</v>
      </c>
      <c r="X1262" s="24">
        <f>VLOOKUP(J1262, IMPOSTO!$A:$D, 4, 0)</f>
        <v>7.0000000000000007E-2</v>
      </c>
      <c r="Y1262" s="24">
        <f>VLOOKUP(K1262, IMPOSTO!$A:$D, 4, 0)</f>
        <v>0.12</v>
      </c>
      <c r="Z1262" s="24">
        <f>VLOOKUP(L1262, IMPOSTO!$A:$D, 4, 0)</f>
        <v>0.12</v>
      </c>
      <c r="AA1262" s="24">
        <f>VLOOKUP(M1262, IMPOSTO!$A:$D, 4, 0)</f>
        <v>0.12</v>
      </c>
      <c r="AB1262" s="24">
        <f>VLOOKUP(N1262, IMPOSTO!$A:$D, 4, 0)</f>
        <v>7.0000000000000007E-2</v>
      </c>
      <c r="AC1262" s="25">
        <f t="shared" si="183"/>
        <v>134.56159219512193</v>
      </c>
      <c r="AD1262" s="25">
        <f t="shared" si="184"/>
        <v>191.97784727272727</v>
      </c>
      <c r="AE1262" s="25">
        <f t="shared" si="185"/>
        <v>213.48441462365591</v>
      </c>
      <c r="AF1262" s="25">
        <f t="shared" si="186"/>
        <v>205.50057454545453</v>
      </c>
      <c r="AG1262" s="25">
        <f t="shared" si="187"/>
        <v>174.13693818181818</v>
      </c>
      <c r="AH1262" s="25">
        <f t="shared" si="188"/>
        <v>171.75057454545453</v>
      </c>
      <c r="AI1262" s="25">
        <f t="shared" si="189"/>
        <v>545.63495225806457</v>
      </c>
    </row>
    <row r="1263" spans="1:35" ht="15.75" customHeight="1">
      <c r="A1263" s="12" t="s">
        <v>824</v>
      </c>
      <c r="B1263" s="12" t="s">
        <v>825</v>
      </c>
      <c r="C1263" s="12" t="s">
        <v>160</v>
      </c>
      <c r="D1263" s="12" t="s">
        <v>33</v>
      </c>
      <c r="E1263" s="12" t="s">
        <v>23</v>
      </c>
      <c r="F1263" s="13">
        <v>1.2756379310344828</v>
      </c>
      <c r="G1263" s="14">
        <v>5.9062036206896558</v>
      </c>
      <c r="H1263" s="24" t="str">
        <f t="shared" si="182"/>
        <v>SPSP</v>
      </c>
      <c r="I1263" s="24" t="str">
        <f t="shared" si="190"/>
        <v>SPMG</v>
      </c>
      <c r="J1263" s="24" t="str">
        <f t="shared" si="190"/>
        <v>SPES</v>
      </c>
      <c r="K1263" s="24" t="str">
        <f t="shared" si="190"/>
        <v>SPSC</v>
      </c>
      <c r="L1263" s="24" t="str">
        <f t="shared" si="190"/>
        <v>SPRJ</v>
      </c>
      <c r="M1263" s="24" t="str">
        <f t="shared" si="190"/>
        <v>SPPR</v>
      </c>
      <c r="N1263" s="24" t="str">
        <f t="shared" si="190"/>
        <v>SPAM</v>
      </c>
      <c r="O1263" s="24">
        <f>VLOOKUP(H1263, KM!$A:$E, 5, 0)</f>
        <v>0</v>
      </c>
      <c r="P1263" s="24">
        <f>VLOOKUP(I1263, KM!$A:$E, 5, 0)</f>
        <v>586</v>
      </c>
      <c r="Q1263" s="24">
        <f>VLOOKUP(J1263, KM!$A:$E, 5, 0)</f>
        <v>882</v>
      </c>
      <c r="R1263" s="24">
        <f>VLOOKUP(K1263, KM!$A:$E, 5, 0)</f>
        <v>705</v>
      </c>
      <c r="S1263" s="24">
        <f>VLOOKUP(L1263, KM!$A:$E, 5, 0)</f>
        <v>429</v>
      </c>
      <c r="T1263" s="24">
        <f>VLOOKUP(M1263, KM!$A:$E, 5, 0)</f>
        <v>408</v>
      </c>
      <c r="U1263" s="24">
        <f>VLOOKUP(N1263, KM!$A:$E, 5, 0)</f>
        <v>3971</v>
      </c>
      <c r="V1263" s="24">
        <f>VLOOKUP(H1263, IMPOSTO!$A:$D, 4, 0)</f>
        <v>0.18</v>
      </c>
      <c r="W1263" s="24">
        <f>VLOOKUP(I1263, IMPOSTO!$A:$D, 4, 0)</f>
        <v>0.12</v>
      </c>
      <c r="X1263" s="24">
        <f>VLOOKUP(J1263, IMPOSTO!$A:$D, 4, 0)</f>
        <v>7.0000000000000007E-2</v>
      </c>
      <c r="Y1263" s="24">
        <f>VLOOKUP(K1263, IMPOSTO!$A:$D, 4, 0)</f>
        <v>0.12</v>
      </c>
      <c r="Z1263" s="24">
        <f>VLOOKUP(L1263, IMPOSTO!$A:$D, 4, 0)</f>
        <v>0.12</v>
      </c>
      <c r="AA1263" s="24">
        <f>VLOOKUP(M1263, IMPOSTO!$A:$D, 4, 0)</f>
        <v>0.12</v>
      </c>
      <c r="AB1263" s="24">
        <f>VLOOKUP(N1263, IMPOSTO!$A:$D, 4, 0)</f>
        <v>7.0000000000000007E-2</v>
      </c>
      <c r="AC1263" s="25">
        <f t="shared" si="183"/>
        <v>7.2026873423044577</v>
      </c>
      <c r="AD1263" s="25">
        <f t="shared" si="184"/>
        <v>73.302504114420074</v>
      </c>
      <c r="AE1263" s="25">
        <f t="shared" si="185"/>
        <v>101.18946625880609</v>
      </c>
      <c r="AF1263" s="25">
        <f t="shared" si="186"/>
        <v>86.825231387147326</v>
      </c>
      <c r="AG1263" s="25">
        <f t="shared" si="187"/>
        <v>55.461595023510974</v>
      </c>
      <c r="AH1263" s="25">
        <f t="shared" si="188"/>
        <v>53.075231387147348</v>
      </c>
      <c r="AI1263" s="25">
        <f t="shared" si="189"/>
        <v>433.34000389321477</v>
      </c>
    </row>
    <row r="1264" spans="1:35" ht="15.75" customHeight="1">
      <c r="A1264" s="12" t="s">
        <v>965</v>
      </c>
      <c r="B1264" s="12" t="s">
        <v>966</v>
      </c>
      <c r="C1264" s="12" t="s">
        <v>217</v>
      </c>
      <c r="D1264" s="12" t="s">
        <v>33</v>
      </c>
      <c r="E1264" s="12" t="s">
        <v>23</v>
      </c>
      <c r="F1264" s="13">
        <v>239.01730000000006</v>
      </c>
      <c r="G1264" s="14">
        <v>5383.3071533069187</v>
      </c>
      <c r="H1264" s="24" t="str">
        <f t="shared" si="182"/>
        <v>SPSP</v>
      </c>
      <c r="I1264" s="24" t="str">
        <f t="shared" si="190"/>
        <v>SPMG</v>
      </c>
      <c r="J1264" s="24" t="str">
        <f t="shared" si="190"/>
        <v>SPES</v>
      </c>
      <c r="K1264" s="24" t="str">
        <f t="shared" si="190"/>
        <v>SPSC</v>
      </c>
      <c r="L1264" s="24" t="str">
        <f t="shared" si="190"/>
        <v>SPRJ</v>
      </c>
      <c r="M1264" s="24" t="str">
        <f t="shared" si="190"/>
        <v>SPPR</v>
      </c>
      <c r="N1264" s="24" t="str">
        <f t="shared" si="190"/>
        <v>SPAM</v>
      </c>
      <c r="O1264" s="24">
        <f>VLOOKUP(H1264, KM!$A:$E, 5, 0)</f>
        <v>0</v>
      </c>
      <c r="P1264" s="24">
        <f>VLOOKUP(I1264, KM!$A:$E, 5, 0)</f>
        <v>586</v>
      </c>
      <c r="Q1264" s="24">
        <f>VLOOKUP(J1264, KM!$A:$E, 5, 0)</f>
        <v>882</v>
      </c>
      <c r="R1264" s="24">
        <f>VLOOKUP(K1264, KM!$A:$E, 5, 0)</f>
        <v>705</v>
      </c>
      <c r="S1264" s="24">
        <f>VLOOKUP(L1264, KM!$A:$E, 5, 0)</f>
        <v>429</v>
      </c>
      <c r="T1264" s="24">
        <f>VLOOKUP(M1264, KM!$A:$E, 5, 0)</f>
        <v>408</v>
      </c>
      <c r="U1264" s="24">
        <f>VLOOKUP(N1264, KM!$A:$E, 5, 0)</f>
        <v>3971</v>
      </c>
      <c r="V1264" s="24">
        <f>VLOOKUP(H1264, IMPOSTO!$A:$D, 4, 0)</f>
        <v>0.18</v>
      </c>
      <c r="W1264" s="24">
        <f>VLOOKUP(I1264, IMPOSTO!$A:$D, 4, 0)</f>
        <v>0.12</v>
      </c>
      <c r="X1264" s="24">
        <f>VLOOKUP(J1264, IMPOSTO!$A:$D, 4, 0)</f>
        <v>7.0000000000000007E-2</v>
      </c>
      <c r="Y1264" s="24">
        <f>VLOOKUP(K1264, IMPOSTO!$A:$D, 4, 0)</f>
        <v>0.12</v>
      </c>
      <c r="Z1264" s="24">
        <f>VLOOKUP(L1264, IMPOSTO!$A:$D, 4, 0)</f>
        <v>0.12</v>
      </c>
      <c r="AA1264" s="24">
        <f>VLOOKUP(M1264, IMPOSTO!$A:$D, 4, 0)</f>
        <v>0.12</v>
      </c>
      <c r="AB1264" s="24">
        <f>VLOOKUP(N1264, IMPOSTO!$A:$D, 4, 0)</f>
        <v>7.0000000000000007E-2</v>
      </c>
      <c r="AC1264" s="25">
        <f t="shared" si="183"/>
        <v>6565.0087235450228</v>
      </c>
      <c r="AD1264" s="25">
        <f t="shared" si="184"/>
        <v>6183.9854014851353</v>
      </c>
      <c r="AE1264" s="25">
        <f t="shared" si="185"/>
        <v>5883.3410250612033</v>
      </c>
      <c r="AF1264" s="25">
        <f t="shared" si="186"/>
        <v>6197.5081287578623</v>
      </c>
      <c r="AG1264" s="25">
        <f t="shared" si="187"/>
        <v>6166.1444923942254</v>
      </c>
      <c r="AH1264" s="25">
        <f t="shared" si="188"/>
        <v>6163.7581287578623</v>
      </c>
      <c r="AI1264" s="25">
        <f t="shared" si="189"/>
        <v>6215.4915626956126</v>
      </c>
    </row>
    <row r="1265" spans="1:35" ht="15.75" customHeight="1">
      <c r="A1265" s="12" t="s">
        <v>423</v>
      </c>
      <c r="B1265" s="12" t="s">
        <v>915</v>
      </c>
      <c r="C1265" s="12" t="s">
        <v>192</v>
      </c>
      <c r="D1265" s="12" t="s">
        <v>50</v>
      </c>
      <c r="E1265" s="12" t="s">
        <v>23</v>
      </c>
      <c r="F1265" s="13">
        <v>1.8552802631578946</v>
      </c>
      <c r="G1265" s="14">
        <v>37.402450105263163</v>
      </c>
      <c r="H1265" s="24" t="str">
        <f t="shared" si="182"/>
        <v>SPSP</v>
      </c>
      <c r="I1265" s="24" t="str">
        <f t="shared" si="190"/>
        <v>SPMG</v>
      </c>
      <c r="J1265" s="24" t="str">
        <f t="shared" si="190"/>
        <v>SPES</v>
      </c>
      <c r="K1265" s="24" t="str">
        <f t="shared" si="190"/>
        <v>SPSC</v>
      </c>
      <c r="L1265" s="24" t="str">
        <f t="shared" si="190"/>
        <v>SPRJ</v>
      </c>
      <c r="M1265" s="24" t="str">
        <f t="shared" si="190"/>
        <v>SPPR</v>
      </c>
      <c r="N1265" s="24" t="str">
        <f t="shared" si="190"/>
        <v>SPAM</v>
      </c>
      <c r="O1265" s="24">
        <f>VLOOKUP(H1265, KM!$A:$E, 5, 0)</f>
        <v>0</v>
      </c>
      <c r="P1265" s="24">
        <f>VLOOKUP(I1265, KM!$A:$E, 5, 0)</f>
        <v>586</v>
      </c>
      <c r="Q1265" s="24">
        <f>VLOOKUP(J1265, KM!$A:$E, 5, 0)</f>
        <v>882</v>
      </c>
      <c r="R1265" s="24">
        <f>VLOOKUP(K1265, KM!$A:$E, 5, 0)</f>
        <v>705</v>
      </c>
      <c r="S1265" s="24">
        <f>VLOOKUP(L1265, KM!$A:$E, 5, 0)</f>
        <v>429</v>
      </c>
      <c r="T1265" s="24">
        <f>VLOOKUP(M1265, KM!$A:$E, 5, 0)</f>
        <v>408</v>
      </c>
      <c r="U1265" s="24">
        <f>VLOOKUP(N1265, KM!$A:$E, 5, 0)</f>
        <v>3971</v>
      </c>
      <c r="V1265" s="24">
        <f>VLOOKUP(H1265, IMPOSTO!$A:$D, 4, 0)</f>
        <v>0.18</v>
      </c>
      <c r="W1265" s="24">
        <f>VLOOKUP(I1265, IMPOSTO!$A:$D, 4, 0)</f>
        <v>0.12</v>
      </c>
      <c r="X1265" s="24">
        <f>VLOOKUP(J1265, IMPOSTO!$A:$D, 4, 0)</f>
        <v>7.0000000000000007E-2</v>
      </c>
      <c r="Y1265" s="24">
        <f>VLOOKUP(K1265, IMPOSTO!$A:$D, 4, 0)</f>
        <v>0.12</v>
      </c>
      <c r="Z1265" s="24">
        <f>VLOOKUP(L1265, IMPOSTO!$A:$D, 4, 0)</f>
        <v>0.12</v>
      </c>
      <c r="AA1265" s="24">
        <f>VLOOKUP(M1265, IMPOSTO!$A:$D, 4, 0)</f>
        <v>0.12</v>
      </c>
      <c r="AB1265" s="24">
        <f>VLOOKUP(N1265, IMPOSTO!$A:$D, 4, 0)</f>
        <v>7.0000000000000007E-2</v>
      </c>
      <c r="AC1265" s="25">
        <f t="shared" si="183"/>
        <v>45.612744030808734</v>
      </c>
      <c r="AD1265" s="25">
        <f t="shared" si="184"/>
        <v>109.09369330143541</v>
      </c>
      <c r="AE1265" s="25">
        <f t="shared" si="185"/>
        <v>135.05639796264856</v>
      </c>
      <c r="AF1265" s="25">
        <f t="shared" si="186"/>
        <v>122.61642057416269</v>
      </c>
      <c r="AG1265" s="25">
        <f t="shared" si="187"/>
        <v>91.252784210526343</v>
      </c>
      <c r="AH1265" s="25">
        <f t="shared" si="188"/>
        <v>88.866420574162689</v>
      </c>
      <c r="AI1265" s="25">
        <f t="shared" si="189"/>
        <v>467.20693559705722</v>
      </c>
    </row>
    <row r="1266" spans="1:35" ht="15.75" customHeight="1">
      <c r="A1266" s="12" t="s">
        <v>920</v>
      </c>
      <c r="B1266" s="12" t="s">
        <v>921</v>
      </c>
      <c r="C1266" s="12" t="s">
        <v>217</v>
      </c>
      <c r="D1266" s="12" t="s">
        <v>50</v>
      </c>
      <c r="E1266" s="12" t="s">
        <v>23</v>
      </c>
      <c r="F1266" s="13">
        <v>125.99499999999999</v>
      </c>
      <c r="G1266" s="14">
        <v>2127.6291053846148</v>
      </c>
      <c r="H1266" s="24" t="str">
        <f t="shared" si="182"/>
        <v>SPSP</v>
      </c>
      <c r="I1266" s="24" t="str">
        <f t="shared" si="190"/>
        <v>SPMG</v>
      </c>
      <c r="J1266" s="24" t="str">
        <f t="shared" si="190"/>
        <v>SPES</v>
      </c>
      <c r="K1266" s="24" t="str">
        <f t="shared" si="190"/>
        <v>SPSC</v>
      </c>
      <c r="L1266" s="24" t="str">
        <f t="shared" si="190"/>
        <v>SPRJ</v>
      </c>
      <c r="M1266" s="24" t="str">
        <f t="shared" si="190"/>
        <v>SPPR</v>
      </c>
      <c r="N1266" s="24" t="str">
        <f t="shared" si="190"/>
        <v>SPAM</v>
      </c>
      <c r="O1266" s="24">
        <f>VLOOKUP(H1266, KM!$A:$E, 5, 0)</f>
        <v>0</v>
      </c>
      <c r="P1266" s="24">
        <f>VLOOKUP(I1266, KM!$A:$E, 5, 0)</f>
        <v>586</v>
      </c>
      <c r="Q1266" s="24">
        <f>VLOOKUP(J1266, KM!$A:$E, 5, 0)</f>
        <v>882</v>
      </c>
      <c r="R1266" s="24">
        <f>VLOOKUP(K1266, KM!$A:$E, 5, 0)</f>
        <v>705</v>
      </c>
      <c r="S1266" s="24">
        <f>VLOOKUP(L1266, KM!$A:$E, 5, 0)</f>
        <v>429</v>
      </c>
      <c r="T1266" s="24">
        <f>VLOOKUP(M1266, KM!$A:$E, 5, 0)</f>
        <v>408</v>
      </c>
      <c r="U1266" s="24">
        <f>VLOOKUP(N1266, KM!$A:$E, 5, 0)</f>
        <v>3971</v>
      </c>
      <c r="V1266" s="24">
        <f>VLOOKUP(H1266, IMPOSTO!$A:$D, 4, 0)</f>
        <v>0.18</v>
      </c>
      <c r="W1266" s="24">
        <f>VLOOKUP(I1266, IMPOSTO!$A:$D, 4, 0)</f>
        <v>0.12</v>
      </c>
      <c r="X1266" s="24">
        <f>VLOOKUP(J1266, IMPOSTO!$A:$D, 4, 0)</f>
        <v>7.0000000000000007E-2</v>
      </c>
      <c r="Y1266" s="24">
        <f>VLOOKUP(K1266, IMPOSTO!$A:$D, 4, 0)</f>
        <v>0.12</v>
      </c>
      <c r="Z1266" s="24">
        <f>VLOOKUP(L1266, IMPOSTO!$A:$D, 4, 0)</f>
        <v>0.12</v>
      </c>
      <c r="AA1266" s="24">
        <f>VLOOKUP(M1266, IMPOSTO!$A:$D, 4, 0)</f>
        <v>0.12</v>
      </c>
      <c r="AB1266" s="24">
        <f>VLOOKUP(N1266, IMPOSTO!$A:$D, 4, 0)</f>
        <v>7.0000000000000007E-2</v>
      </c>
      <c r="AC1266" s="25">
        <f t="shared" si="183"/>
        <v>2594.6696407129448</v>
      </c>
      <c r="AD1266" s="25">
        <f t="shared" si="184"/>
        <v>2484.3512561188804</v>
      </c>
      <c r="AE1266" s="25">
        <f t="shared" si="185"/>
        <v>2382.6119412737794</v>
      </c>
      <c r="AF1266" s="25">
        <f t="shared" si="186"/>
        <v>2497.8739833916079</v>
      </c>
      <c r="AG1266" s="25">
        <f t="shared" si="187"/>
        <v>2466.5103470279714</v>
      </c>
      <c r="AH1266" s="25">
        <f t="shared" si="188"/>
        <v>2464.1239833916079</v>
      </c>
      <c r="AI1266" s="25">
        <f t="shared" si="189"/>
        <v>2714.7624789081879</v>
      </c>
    </row>
    <row r="1267" spans="1:35" ht="15.75" customHeight="1">
      <c r="A1267" s="12" t="s">
        <v>881</v>
      </c>
      <c r="B1267" s="12" t="s">
        <v>882</v>
      </c>
      <c r="C1267" s="12" t="s">
        <v>192</v>
      </c>
      <c r="D1267" s="12" t="s">
        <v>50</v>
      </c>
      <c r="E1267" s="12" t="s">
        <v>23</v>
      </c>
      <c r="F1267" s="13">
        <v>1163.9789303079417</v>
      </c>
      <c r="G1267" s="14">
        <v>41818.352001620748</v>
      </c>
      <c r="H1267" s="24" t="str">
        <f t="shared" si="182"/>
        <v>SPSP</v>
      </c>
      <c r="I1267" s="24" t="str">
        <f t="shared" si="190"/>
        <v>SPMG</v>
      </c>
      <c r="J1267" s="24" t="str">
        <f t="shared" si="190"/>
        <v>SPES</v>
      </c>
      <c r="K1267" s="24" t="str">
        <f t="shared" si="190"/>
        <v>SPSC</v>
      </c>
      <c r="L1267" s="24" t="str">
        <f t="shared" si="190"/>
        <v>SPRJ</v>
      </c>
      <c r="M1267" s="24" t="str">
        <f t="shared" si="190"/>
        <v>SPPR</v>
      </c>
      <c r="N1267" s="24" t="str">
        <f t="shared" si="190"/>
        <v>SPAM</v>
      </c>
      <c r="O1267" s="24">
        <f>VLOOKUP(H1267, KM!$A:$E, 5, 0)</f>
        <v>0</v>
      </c>
      <c r="P1267" s="24">
        <f>VLOOKUP(I1267, KM!$A:$E, 5, 0)</f>
        <v>586</v>
      </c>
      <c r="Q1267" s="24">
        <f>VLOOKUP(J1267, KM!$A:$E, 5, 0)</f>
        <v>882</v>
      </c>
      <c r="R1267" s="24">
        <f>VLOOKUP(K1267, KM!$A:$E, 5, 0)</f>
        <v>705</v>
      </c>
      <c r="S1267" s="24">
        <f>VLOOKUP(L1267, KM!$A:$E, 5, 0)</f>
        <v>429</v>
      </c>
      <c r="T1267" s="24">
        <f>VLOOKUP(M1267, KM!$A:$E, 5, 0)</f>
        <v>408</v>
      </c>
      <c r="U1267" s="24">
        <f>VLOOKUP(N1267, KM!$A:$E, 5, 0)</f>
        <v>3971</v>
      </c>
      <c r="V1267" s="24">
        <f>VLOOKUP(H1267, IMPOSTO!$A:$D, 4, 0)</f>
        <v>0.18</v>
      </c>
      <c r="W1267" s="24">
        <f>VLOOKUP(I1267, IMPOSTO!$A:$D, 4, 0)</f>
        <v>0.12</v>
      </c>
      <c r="X1267" s="24">
        <f>VLOOKUP(J1267, IMPOSTO!$A:$D, 4, 0)</f>
        <v>7.0000000000000007E-2</v>
      </c>
      <c r="Y1267" s="24">
        <f>VLOOKUP(K1267, IMPOSTO!$A:$D, 4, 0)</f>
        <v>0.12</v>
      </c>
      <c r="Z1267" s="24">
        <f>VLOOKUP(L1267, IMPOSTO!$A:$D, 4, 0)</f>
        <v>0.12</v>
      </c>
      <c r="AA1267" s="24">
        <f>VLOOKUP(M1267, IMPOSTO!$A:$D, 4, 0)</f>
        <v>0.12</v>
      </c>
      <c r="AB1267" s="24">
        <f>VLOOKUP(N1267, IMPOSTO!$A:$D, 4, 0)</f>
        <v>7.0000000000000007E-2</v>
      </c>
      <c r="AC1267" s="25">
        <f t="shared" si="183"/>
        <v>50997.990245878958</v>
      </c>
      <c r="AD1267" s="25">
        <f t="shared" si="184"/>
        <v>47587.445456387213</v>
      </c>
      <c r="AE1267" s="25">
        <f t="shared" si="185"/>
        <v>45060.808603893274</v>
      </c>
      <c r="AF1267" s="25">
        <f t="shared" si="186"/>
        <v>47600.968183659941</v>
      </c>
      <c r="AG1267" s="25">
        <f t="shared" si="187"/>
        <v>47569.604547296309</v>
      </c>
      <c r="AH1267" s="25">
        <f t="shared" si="188"/>
        <v>47567.218183659941</v>
      </c>
      <c r="AI1267" s="25">
        <f t="shared" si="189"/>
        <v>45392.959141527688</v>
      </c>
    </row>
    <row r="1268" spans="1:35" ht="15.75" customHeight="1">
      <c r="A1268" s="12" t="s">
        <v>881</v>
      </c>
      <c r="B1268" s="12" t="s">
        <v>882</v>
      </c>
      <c r="C1268" s="12" t="s">
        <v>192</v>
      </c>
      <c r="D1268" s="12" t="s">
        <v>50</v>
      </c>
      <c r="E1268" s="12" t="s">
        <v>23</v>
      </c>
      <c r="F1268" s="13">
        <v>101.21555915721233</v>
      </c>
      <c r="G1268" s="14">
        <v>4225.2435170178287</v>
      </c>
      <c r="H1268" s="24" t="str">
        <f t="shared" si="182"/>
        <v>SPSP</v>
      </c>
      <c r="I1268" s="24" t="str">
        <f t="shared" si="190"/>
        <v>SPMG</v>
      </c>
      <c r="J1268" s="24" t="str">
        <f t="shared" si="190"/>
        <v>SPES</v>
      </c>
      <c r="K1268" s="24" t="str">
        <f t="shared" si="190"/>
        <v>SPSC</v>
      </c>
      <c r="L1268" s="24" t="str">
        <f t="shared" si="190"/>
        <v>SPRJ</v>
      </c>
      <c r="M1268" s="24" t="str">
        <f t="shared" si="190"/>
        <v>SPPR</v>
      </c>
      <c r="N1268" s="24" t="str">
        <f t="shared" si="190"/>
        <v>SPAM</v>
      </c>
      <c r="O1268" s="24">
        <f>VLOOKUP(H1268, KM!$A:$E, 5, 0)</f>
        <v>0</v>
      </c>
      <c r="P1268" s="24">
        <f>VLOOKUP(I1268, KM!$A:$E, 5, 0)</f>
        <v>586</v>
      </c>
      <c r="Q1268" s="24">
        <f>VLOOKUP(J1268, KM!$A:$E, 5, 0)</f>
        <v>882</v>
      </c>
      <c r="R1268" s="24">
        <f>VLOOKUP(K1268, KM!$A:$E, 5, 0)</f>
        <v>705</v>
      </c>
      <c r="S1268" s="24">
        <f>VLOOKUP(L1268, KM!$A:$E, 5, 0)</f>
        <v>429</v>
      </c>
      <c r="T1268" s="24">
        <f>VLOOKUP(M1268, KM!$A:$E, 5, 0)</f>
        <v>408</v>
      </c>
      <c r="U1268" s="24">
        <f>VLOOKUP(N1268, KM!$A:$E, 5, 0)</f>
        <v>3971</v>
      </c>
      <c r="V1268" s="24">
        <f>VLOOKUP(H1268, IMPOSTO!$A:$D, 4, 0)</f>
        <v>0.18</v>
      </c>
      <c r="W1268" s="24">
        <f>VLOOKUP(I1268, IMPOSTO!$A:$D, 4, 0)</f>
        <v>0.12</v>
      </c>
      <c r="X1268" s="24">
        <f>VLOOKUP(J1268, IMPOSTO!$A:$D, 4, 0)</f>
        <v>7.0000000000000007E-2</v>
      </c>
      <c r="Y1268" s="24">
        <f>VLOOKUP(K1268, IMPOSTO!$A:$D, 4, 0)</f>
        <v>0.12</v>
      </c>
      <c r="Z1268" s="24">
        <f>VLOOKUP(L1268, IMPOSTO!$A:$D, 4, 0)</f>
        <v>0.12</v>
      </c>
      <c r="AA1268" s="24">
        <f>VLOOKUP(M1268, IMPOSTO!$A:$D, 4, 0)</f>
        <v>0.12</v>
      </c>
      <c r="AB1268" s="24">
        <f>VLOOKUP(N1268, IMPOSTO!$A:$D, 4, 0)</f>
        <v>7.0000000000000007E-2</v>
      </c>
      <c r="AC1268" s="25">
        <f t="shared" si="183"/>
        <v>5152.7359963632052</v>
      </c>
      <c r="AD1268" s="25">
        <f t="shared" si="184"/>
        <v>4868.003996611169</v>
      </c>
      <c r="AE1268" s="25">
        <f t="shared" si="185"/>
        <v>4638.1113086213209</v>
      </c>
      <c r="AF1268" s="25">
        <f t="shared" si="186"/>
        <v>4881.526723883896</v>
      </c>
      <c r="AG1268" s="25">
        <f t="shared" si="187"/>
        <v>4850.1630875202591</v>
      </c>
      <c r="AH1268" s="25">
        <f t="shared" si="188"/>
        <v>4847.776723883896</v>
      </c>
      <c r="AI1268" s="25">
        <f t="shared" si="189"/>
        <v>4970.2618462557302</v>
      </c>
    </row>
    <row r="1269" spans="1:35" ht="15.75" customHeight="1">
      <c r="A1269" s="12" t="s">
        <v>973</v>
      </c>
      <c r="B1269" s="12" t="s">
        <v>974</v>
      </c>
      <c r="C1269" s="12" t="s">
        <v>259</v>
      </c>
      <c r="D1269" s="12" t="s">
        <v>33</v>
      </c>
      <c r="E1269" s="12" t="s">
        <v>23</v>
      </c>
      <c r="F1269" s="13">
        <v>59285.999999999993</v>
      </c>
      <c r="G1269" s="14">
        <v>415173.88981001667</v>
      </c>
      <c r="H1269" s="24" t="str">
        <f t="shared" si="182"/>
        <v>SPSP</v>
      </c>
      <c r="I1269" s="24" t="str">
        <f t="shared" si="190"/>
        <v>SPMG</v>
      </c>
      <c r="J1269" s="24" t="str">
        <f t="shared" si="190"/>
        <v>SPES</v>
      </c>
      <c r="K1269" s="24" t="str">
        <f t="shared" si="190"/>
        <v>SPSC</v>
      </c>
      <c r="L1269" s="24" t="str">
        <f t="shared" si="190"/>
        <v>SPRJ</v>
      </c>
      <c r="M1269" s="24" t="str">
        <f t="shared" si="190"/>
        <v>SPPR</v>
      </c>
      <c r="N1269" s="24" t="str">
        <f t="shared" si="190"/>
        <v>SPAM</v>
      </c>
      <c r="O1269" s="24">
        <f>VLOOKUP(H1269, KM!$A:$E, 5, 0)</f>
        <v>0</v>
      </c>
      <c r="P1269" s="24">
        <f>VLOOKUP(I1269, KM!$A:$E, 5, 0)</f>
        <v>586</v>
      </c>
      <c r="Q1269" s="24">
        <f>VLOOKUP(J1269, KM!$A:$E, 5, 0)</f>
        <v>882</v>
      </c>
      <c r="R1269" s="24">
        <f>VLOOKUP(K1269, KM!$A:$E, 5, 0)</f>
        <v>705</v>
      </c>
      <c r="S1269" s="24">
        <f>VLOOKUP(L1269, KM!$A:$E, 5, 0)</f>
        <v>429</v>
      </c>
      <c r="T1269" s="24">
        <f>VLOOKUP(M1269, KM!$A:$E, 5, 0)</f>
        <v>408</v>
      </c>
      <c r="U1269" s="24">
        <f>VLOOKUP(N1269, KM!$A:$E, 5, 0)</f>
        <v>3971</v>
      </c>
      <c r="V1269" s="24">
        <f>VLOOKUP(H1269, IMPOSTO!$A:$D, 4, 0)</f>
        <v>0.18</v>
      </c>
      <c r="W1269" s="24">
        <f>VLOOKUP(I1269, IMPOSTO!$A:$D, 4, 0)</f>
        <v>0.12</v>
      </c>
      <c r="X1269" s="24">
        <f>VLOOKUP(J1269, IMPOSTO!$A:$D, 4, 0)</f>
        <v>7.0000000000000007E-2</v>
      </c>
      <c r="Y1269" s="24">
        <f>VLOOKUP(K1269, IMPOSTO!$A:$D, 4, 0)</f>
        <v>0.12</v>
      </c>
      <c r="Z1269" s="24">
        <f>VLOOKUP(L1269, IMPOSTO!$A:$D, 4, 0)</f>
        <v>0.12</v>
      </c>
      <c r="AA1269" s="24">
        <f>VLOOKUP(M1269, IMPOSTO!$A:$D, 4, 0)</f>
        <v>0.12</v>
      </c>
      <c r="AB1269" s="24">
        <f>VLOOKUP(N1269, IMPOSTO!$A:$D, 4, 0)</f>
        <v>7.0000000000000007E-2</v>
      </c>
      <c r="AC1269" s="25">
        <f t="shared" si="183"/>
        <v>506309.62171953247</v>
      </c>
      <c r="AD1269" s="25">
        <f t="shared" si="184"/>
        <v>471855.10205683712</v>
      </c>
      <c r="AE1269" s="25">
        <f t="shared" si="185"/>
        <v>446518.37613980292</v>
      </c>
      <c r="AF1269" s="25">
        <f t="shared" si="186"/>
        <v>471868.62478410982</v>
      </c>
      <c r="AG1269" s="25">
        <f t="shared" si="187"/>
        <v>471837.26114774623</v>
      </c>
      <c r="AH1269" s="25">
        <f t="shared" si="188"/>
        <v>471834.87478410982</v>
      </c>
      <c r="AI1269" s="25">
        <f t="shared" si="189"/>
        <v>446850.5266774373</v>
      </c>
    </row>
    <row r="1270" spans="1:35" ht="15.75" customHeight="1">
      <c r="A1270" s="12" t="s">
        <v>975</v>
      </c>
      <c r="B1270" s="12" t="s">
        <v>976</v>
      </c>
      <c r="C1270" s="12" t="s">
        <v>969</v>
      </c>
      <c r="D1270" s="12" t="s">
        <v>33</v>
      </c>
      <c r="E1270" s="12" t="s">
        <v>23</v>
      </c>
      <c r="F1270" s="13">
        <v>2095</v>
      </c>
      <c r="G1270" s="14">
        <v>87070.45768621235</v>
      </c>
      <c r="H1270" s="24" t="str">
        <f t="shared" si="182"/>
        <v>SPSP</v>
      </c>
      <c r="I1270" s="24" t="str">
        <f t="shared" si="190"/>
        <v>SPMG</v>
      </c>
      <c r="J1270" s="24" t="str">
        <f t="shared" si="190"/>
        <v>SPES</v>
      </c>
      <c r="K1270" s="24" t="str">
        <f t="shared" si="190"/>
        <v>SPSC</v>
      </c>
      <c r="L1270" s="24" t="str">
        <f t="shared" si="190"/>
        <v>SPRJ</v>
      </c>
      <c r="M1270" s="24" t="str">
        <f t="shared" si="190"/>
        <v>SPPR</v>
      </c>
      <c r="N1270" s="24" t="str">
        <f t="shared" si="190"/>
        <v>SPAM</v>
      </c>
      <c r="O1270" s="24">
        <f>VLOOKUP(H1270, KM!$A:$E, 5, 0)</f>
        <v>0</v>
      </c>
      <c r="P1270" s="24">
        <f>VLOOKUP(I1270, KM!$A:$E, 5, 0)</f>
        <v>586</v>
      </c>
      <c r="Q1270" s="24">
        <f>VLOOKUP(J1270, KM!$A:$E, 5, 0)</f>
        <v>882</v>
      </c>
      <c r="R1270" s="24">
        <f>VLOOKUP(K1270, KM!$A:$E, 5, 0)</f>
        <v>705</v>
      </c>
      <c r="S1270" s="24">
        <f>VLOOKUP(L1270, KM!$A:$E, 5, 0)</f>
        <v>429</v>
      </c>
      <c r="T1270" s="24">
        <f>VLOOKUP(M1270, KM!$A:$E, 5, 0)</f>
        <v>408</v>
      </c>
      <c r="U1270" s="24">
        <f>VLOOKUP(N1270, KM!$A:$E, 5, 0)</f>
        <v>3971</v>
      </c>
      <c r="V1270" s="24">
        <f>VLOOKUP(H1270, IMPOSTO!$A:$D, 4, 0)</f>
        <v>0.18</v>
      </c>
      <c r="W1270" s="24">
        <f>VLOOKUP(I1270, IMPOSTO!$A:$D, 4, 0)</f>
        <v>0.12</v>
      </c>
      <c r="X1270" s="24">
        <f>VLOOKUP(J1270, IMPOSTO!$A:$D, 4, 0)</f>
        <v>7.0000000000000007E-2</v>
      </c>
      <c r="Y1270" s="24">
        <f>VLOOKUP(K1270, IMPOSTO!$A:$D, 4, 0)</f>
        <v>0.12</v>
      </c>
      <c r="Z1270" s="24">
        <f>VLOOKUP(L1270, IMPOSTO!$A:$D, 4, 0)</f>
        <v>0.12</v>
      </c>
      <c r="AA1270" s="24">
        <f>VLOOKUP(M1270, IMPOSTO!$A:$D, 4, 0)</f>
        <v>0.12</v>
      </c>
      <c r="AB1270" s="24">
        <f>VLOOKUP(N1270, IMPOSTO!$A:$D, 4, 0)</f>
        <v>7.0000000000000007E-2</v>
      </c>
      <c r="AC1270" s="25">
        <f t="shared" si="183"/>
        <v>106183.48498318579</v>
      </c>
      <c r="AD1270" s="25">
        <f t="shared" si="184"/>
        <v>99010.292825241311</v>
      </c>
      <c r="AE1270" s="25">
        <f t="shared" si="185"/>
        <v>93718.986759368127</v>
      </c>
      <c r="AF1270" s="25">
        <f t="shared" si="186"/>
        <v>99023.815552514032</v>
      </c>
      <c r="AG1270" s="25">
        <f t="shared" si="187"/>
        <v>98992.451916150385</v>
      </c>
      <c r="AH1270" s="25">
        <f t="shared" si="188"/>
        <v>98990.065552514032</v>
      </c>
      <c r="AI1270" s="25">
        <f t="shared" si="189"/>
        <v>94051.13729700254</v>
      </c>
    </row>
    <row r="1271" spans="1:35" ht="15.75" customHeight="1">
      <c r="A1271" s="12" t="s">
        <v>888</v>
      </c>
      <c r="B1271" s="12" t="s">
        <v>889</v>
      </c>
      <c r="C1271" s="12" t="s">
        <v>223</v>
      </c>
      <c r="D1271" s="12" t="s">
        <v>50</v>
      </c>
      <c r="E1271" s="12" t="s">
        <v>23</v>
      </c>
      <c r="F1271" s="13">
        <v>121.11964873765093</v>
      </c>
      <c r="G1271" s="14">
        <v>1952.4992041712401</v>
      </c>
      <c r="H1271" s="24" t="str">
        <f t="shared" si="182"/>
        <v>SPSP</v>
      </c>
      <c r="I1271" s="24" t="str">
        <f t="shared" si="190"/>
        <v>SPMG</v>
      </c>
      <c r="J1271" s="24" t="str">
        <f t="shared" si="190"/>
        <v>SPES</v>
      </c>
      <c r="K1271" s="24" t="str">
        <f t="shared" si="190"/>
        <v>SPSC</v>
      </c>
      <c r="L1271" s="24" t="str">
        <f t="shared" si="190"/>
        <v>SPRJ</v>
      </c>
      <c r="M1271" s="24" t="str">
        <f t="shared" si="190"/>
        <v>SPPR</v>
      </c>
      <c r="N1271" s="24" t="str">
        <f t="shared" si="190"/>
        <v>SPAM</v>
      </c>
      <c r="O1271" s="24">
        <f>VLOOKUP(H1271, KM!$A:$E, 5, 0)</f>
        <v>0</v>
      </c>
      <c r="P1271" s="24">
        <f>VLOOKUP(I1271, KM!$A:$E, 5, 0)</f>
        <v>586</v>
      </c>
      <c r="Q1271" s="24">
        <f>VLOOKUP(J1271, KM!$A:$E, 5, 0)</f>
        <v>882</v>
      </c>
      <c r="R1271" s="24">
        <f>VLOOKUP(K1271, KM!$A:$E, 5, 0)</f>
        <v>705</v>
      </c>
      <c r="S1271" s="24">
        <f>VLOOKUP(L1271, KM!$A:$E, 5, 0)</f>
        <v>429</v>
      </c>
      <c r="T1271" s="24">
        <f>VLOOKUP(M1271, KM!$A:$E, 5, 0)</f>
        <v>408</v>
      </c>
      <c r="U1271" s="24">
        <f>VLOOKUP(N1271, KM!$A:$E, 5, 0)</f>
        <v>3971</v>
      </c>
      <c r="V1271" s="24">
        <f>VLOOKUP(H1271, IMPOSTO!$A:$D, 4, 0)</f>
        <v>0.18</v>
      </c>
      <c r="W1271" s="24">
        <f>VLOOKUP(I1271, IMPOSTO!$A:$D, 4, 0)</f>
        <v>0.12</v>
      </c>
      <c r="X1271" s="24">
        <f>VLOOKUP(J1271, IMPOSTO!$A:$D, 4, 0)</f>
        <v>7.0000000000000007E-2</v>
      </c>
      <c r="Y1271" s="24">
        <f>VLOOKUP(K1271, IMPOSTO!$A:$D, 4, 0)</f>
        <v>0.12</v>
      </c>
      <c r="Z1271" s="24">
        <f>VLOOKUP(L1271, IMPOSTO!$A:$D, 4, 0)</f>
        <v>0.12</v>
      </c>
      <c r="AA1271" s="24">
        <f>VLOOKUP(M1271, IMPOSTO!$A:$D, 4, 0)</f>
        <v>0.12</v>
      </c>
      <c r="AB1271" s="24">
        <f>VLOOKUP(N1271, IMPOSTO!$A:$D, 4, 0)</f>
        <v>7.0000000000000007E-2</v>
      </c>
      <c r="AC1271" s="25">
        <f t="shared" si="183"/>
        <v>2381.0965904527316</v>
      </c>
      <c r="AD1271" s="25">
        <f t="shared" si="184"/>
        <v>2285.3400047400455</v>
      </c>
      <c r="AE1271" s="25">
        <f t="shared" si="185"/>
        <v>2194.3002195389681</v>
      </c>
      <c r="AF1271" s="25">
        <f t="shared" si="186"/>
        <v>2298.862732012773</v>
      </c>
      <c r="AG1271" s="25">
        <f t="shared" si="187"/>
        <v>2267.4990956491365</v>
      </c>
      <c r="AH1271" s="25">
        <f t="shared" si="188"/>
        <v>2265.1127320127725</v>
      </c>
      <c r="AI1271" s="25">
        <f t="shared" si="189"/>
        <v>2526.4507571733766</v>
      </c>
    </row>
    <row r="1272" spans="1:35" ht="15.75" customHeight="1">
      <c r="A1272" s="12" t="s">
        <v>977</v>
      </c>
      <c r="B1272" s="12" t="s">
        <v>978</v>
      </c>
      <c r="C1272" s="12" t="s">
        <v>979</v>
      </c>
      <c r="D1272" s="12" t="s">
        <v>50</v>
      </c>
      <c r="E1272" s="12" t="s">
        <v>23</v>
      </c>
      <c r="F1272" s="13">
        <v>416.51750972762653</v>
      </c>
      <c r="G1272" s="14">
        <v>424922.83307392994</v>
      </c>
      <c r="H1272" s="24" t="str">
        <f t="shared" si="182"/>
        <v>SPSP</v>
      </c>
      <c r="I1272" s="24" t="str">
        <f t="shared" si="190"/>
        <v>SPMG</v>
      </c>
      <c r="J1272" s="24" t="str">
        <f t="shared" si="190"/>
        <v>SPES</v>
      </c>
      <c r="K1272" s="24" t="str">
        <f t="shared" si="190"/>
        <v>SPSC</v>
      </c>
      <c r="L1272" s="24" t="str">
        <f t="shared" si="190"/>
        <v>SPRJ</v>
      </c>
      <c r="M1272" s="24" t="str">
        <f t="shared" si="190"/>
        <v>SPPR</v>
      </c>
      <c r="N1272" s="24" t="str">
        <f t="shared" si="190"/>
        <v>SPAM</v>
      </c>
      <c r="O1272" s="24">
        <f>VLOOKUP(H1272, KM!$A:$E, 5, 0)</f>
        <v>0</v>
      </c>
      <c r="P1272" s="24">
        <f>VLOOKUP(I1272, KM!$A:$E, 5, 0)</f>
        <v>586</v>
      </c>
      <c r="Q1272" s="24">
        <f>VLOOKUP(J1272, KM!$A:$E, 5, 0)</f>
        <v>882</v>
      </c>
      <c r="R1272" s="24">
        <f>VLOOKUP(K1272, KM!$A:$E, 5, 0)</f>
        <v>705</v>
      </c>
      <c r="S1272" s="24">
        <f>VLOOKUP(L1272, KM!$A:$E, 5, 0)</f>
        <v>429</v>
      </c>
      <c r="T1272" s="24">
        <f>VLOOKUP(M1272, KM!$A:$E, 5, 0)</f>
        <v>408</v>
      </c>
      <c r="U1272" s="24">
        <f>VLOOKUP(N1272, KM!$A:$E, 5, 0)</f>
        <v>3971</v>
      </c>
      <c r="V1272" s="24">
        <f>VLOOKUP(H1272, IMPOSTO!$A:$D, 4, 0)</f>
        <v>0.18</v>
      </c>
      <c r="W1272" s="24">
        <f>VLOOKUP(I1272, IMPOSTO!$A:$D, 4, 0)</f>
        <v>0.12</v>
      </c>
      <c r="X1272" s="24">
        <f>VLOOKUP(J1272, IMPOSTO!$A:$D, 4, 0)</f>
        <v>7.0000000000000007E-2</v>
      </c>
      <c r="Y1272" s="24">
        <f>VLOOKUP(K1272, IMPOSTO!$A:$D, 4, 0)</f>
        <v>0.12</v>
      </c>
      <c r="Z1272" s="24">
        <f>VLOOKUP(L1272, IMPOSTO!$A:$D, 4, 0)</f>
        <v>0.12</v>
      </c>
      <c r="AA1272" s="24">
        <f>VLOOKUP(M1272, IMPOSTO!$A:$D, 4, 0)</f>
        <v>0.12</v>
      </c>
      <c r="AB1272" s="24">
        <f>VLOOKUP(N1272, IMPOSTO!$A:$D, 4, 0)</f>
        <v>7.0000000000000007E-2</v>
      </c>
      <c r="AC1272" s="25">
        <f t="shared" si="183"/>
        <v>518198.57691942673</v>
      </c>
      <c r="AD1272" s="25">
        <f t="shared" si="184"/>
        <v>482933.44667492039</v>
      </c>
      <c r="AE1272" s="25">
        <f t="shared" si="185"/>
        <v>457001.11083218275</v>
      </c>
      <c r="AF1272" s="25">
        <f t="shared" si="186"/>
        <v>482946.96940219309</v>
      </c>
      <c r="AG1272" s="25">
        <f t="shared" si="187"/>
        <v>482915.6057658295</v>
      </c>
      <c r="AH1272" s="25">
        <f t="shared" si="188"/>
        <v>482913.21940219309</v>
      </c>
      <c r="AI1272" s="25">
        <f t="shared" si="189"/>
        <v>457333.26136981713</v>
      </c>
    </row>
    <row r="1273" spans="1:35" ht="15.75" customHeight="1">
      <c r="A1273" s="12" t="s">
        <v>980</v>
      </c>
      <c r="B1273" s="12" t="s">
        <v>981</v>
      </c>
      <c r="C1273" s="12" t="s">
        <v>176</v>
      </c>
      <c r="D1273" s="12" t="s">
        <v>50</v>
      </c>
      <c r="E1273" s="12" t="s">
        <v>23</v>
      </c>
      <c r="F1273" s="13">
        <v>24.424778761061948</v>
      </c>
      <c r="G1273" s="14">
        <v>1355.5548672566372</v>
      </c>
      <c r="H1273" s="24" t="str">
        <f t="shared" si="182"/>
        <v>SPSP</v>
      </c>
      <c r="I1273" s="24" t="str">
        <f t="shared" si="190"/>
        <v>SPMG</v>
      </c>
      <c r="J1273" s="24" t="str">
        <f t="shared" si="190"/>
        <v>SPES</v>
      </c>
      <c r="K1273" s="24" t="str">
        <f t="shared" si="190"/>
        <v>SPSC</v>
      </c>
      <c r="L1273" s="24" t="str">
        <f t="shared" si="190"/>
        <v>SPRJ</v>
      </c>
      <c r="M1273" s="24" t="str">
        <f t="shared" si="190"/>
        <v>SPPR</v>
      </c>
      <c r="N1273" s="24" t="str">
        <f t="shared" si="190"/>
        <v>SPAM</v>
      </c>
      <c r="O1273" s="24">
        <f>VLOOKUP(H1273, KM!$A:$E, 5, 0)</f>
        <v>0</v>
      </c>
      <c r="P1273" s="24">
        <f>VLOOKUP(I1273, KM!$A:$E, 5, 0)</f>
        <v>586</v>
      </c>
      <c r="Q1273" s="24">
        <f>VLOOKUP(J1273, KM!$A:$E, 5, 0)</f>
        <v>882</v>
      </c>
      <c r="R1273" s="24">
        <f>VLOOKUP(K1273, KM!$A:$E, 5, 0)</f>
        <v>705</v>
      </c>
      <c r="S1273" s="24">
        <f>VLOOKUP(L1273, KM!$A:$E, 5, 0)</f>
        <v>429</v>
      </c>
      <c r="T1273" s="24">
        <f>VLOOKUP(M1273, KM!$A:$E, 5, 0)</f>
        <v>408</v>
      </c>
      <c r="U1273" s="24">
        <f>VLOOKUP(N1273, KM!$A:$E, 5, 0)</f>
        <v>3971</v>
      </c>
      <c r="V1273" s="24">
        <f>VLOOKUP(H1273, IMPOSTO!$A:$D, 4, 0)</f>
        <v>0.18</v>
      </c>
      <c r="W1273" s="24">
        <f>VLOOKUP(I1273, IMPOSTO!$A:$D, 4, 0)</f>
        <v>0.12</v>
      </c>
      <c r="X1273" s="24">
        <f>VLOOKUP(J1273, IMPOSTO!$A:$D, 4, 0)</f>
        <v>7.0000000000000007E-2</v>
      </c>
      <c r="Y1273" s="24">
        <f>VLOOKUP(K1273, IMPOSTO!$A:$D, 4, 0)</f>
        <v>0.12</v>
      </c>
      <c r="Z1273" s="24">
        <f>VLOOKUP(L1273, IMPOSTO!$A:$D, 4, 0)</f>
        <v>0.12</v>
      </c>
      <c r="AA1273" s="24">
        <f>VLOOKUP(M1273, IMPOSTO!$A:$D, 4, 0)</f>
        <v>0.12</v>
      </c>
      <c r="AB1273" s="24">
        <f>VLOOKUP(N1273, IMPOSTO!$A:$D, 4, 0)</f>
        <v>7.0000000000000007E-2</v>
      </c>
      <c r="AC1273" s="25">
        <f t="shared" si="183"/>
        <v>1653.1156917763867</v>
      </c>
      <c r="AD1273" s="25">
        <f t="shared" si="184"/>
        <v>1606.9941673370877</v>
      </c>
      <c r="AE1273" s="25">
        <f t="shared" si="185"/>
        <v>1552.4245884479972</v>
      </c>
      <c r="AF1273" s="25">
        <f t="shared" si="186"/>
        <v>1620.5168946098149</v>
      </c>
      <c r="AG1273" s="25">
        <f t="shared" si="187"/>
        <v>1589.1532582461787</v>
      </c>
      <c r="AH1273" s="25">
        <f t="shared" si="188"/>
        <v>1586.7668946098149</v>
      </c>
      <c r="AI1273" s="25">
        <f t="shared" si="189"/>
        <v>1884.5751260824059</v>
      </c>
    </row>
    <row r="1274" spans="1:35" ht="15.75" customHeight="1">
      <c r="A1274" s="12" t="s">
        <v>980</v>
      </c>
      <c r="B1274" s="12" t="s">
        <v>981</v>
      </c>
      <c r="C1274" s="12" t="s">
        <v>176</v>
      </c>
      <c r="D1274" s="12" t="s">
        <v>50</v>
      </c>
      <c r="E1274" s="12" t="s">
        <v>23</v>
      </c>
      <c r="F1274" s="13">
        <v>46.814159292035399</v>
      </c>
      <c r="G1274" s="14">
        <v>2463.8393805309738</v>
      </c>
      <c r="H1274" s="24" t="str">
        <f t="shared" si="182"/>
        <v>SPSP</v>
      </c>
      <c r="I1274" s="24" t="str">
        <f t="shared" si="190"/>
        <v>SPMG</v>
      </c>
      <c r="J1274" s="24" t="str">
        <f t="shared" si="190"/>
        <v>SPES</v>
      </c>
      <c r="K1274" s="24" t="str">
        <f t="shared" si="190"/>
        <v>SPSC</v>
      </c>
      <c r="L1274" s="24" t="str">
        <f t="shared" si="190"/>
        <v>SPRJ</v>
      </c>
      <c r="M1274" s="24" t="str">
        <f t="shared" si="190"/>
        <v>SPPR</v>
      </c>
      <c r="N1274" s="24" t="str">
        <f t="shared" si="190"/>
        <v>SPAM</v>
      </c>
      <c r="O1274" s="24">
        <f>VLOOKUP(H1274, KM!$A:$E, 5, 0)</f>
        <v>0</v>
      </c>
      <c r="P1274" s="24">
        <f>VLOOKUP(I1274, KM!$A:$E, 5, 0)</f>
        <v>586</v>
      </c>
      <c r="Q1274" s="24">
        <f>VLOOKUP(J1274, KM!$A:$E, 5, 0)</f>
        <v>882</v>
      </c>
      <c r="R1274" s="24">
        <f>VLOOKUP(K1274, KM!$A:$E, 5, 0)</f>
        <v>705</v>
      </c>
      <c r="S1274" s="24">
        <f>VLOOKUP(L1274, KM!$A:$E, 5, 0)</f>
        <v>429</v>
      </c>
      <c r="T1274" s="24">
        <f>VLOOKUP(M1274, KM!$A:$E, 5, 0)</f>
        <v>408</v>
      </c>
      <c r="U1274" s="24">
        <f>VLOOKUP(N1274, KM!$A:$E, 5, 0)</f>
        <v>3971</v>
      </c>
      <c r="V1274" s="24">
        <f>VLOOKUP(H1274, IMPOSTO!$A:$D, 4, 0)</f>
        <v>0.18</v>
      </c>
      <c r="W1274" s="24">
        <f>VLOOKUP(I1274, IMPOSTO!$A:$D, 4, 0)</f>
        <v>0.12</v>
      </c>
      <c r="X1274" s="24">
        <f>VLOOKUP(J1274, IMPOSTO!$A:$D, 4, 0)</f>
        <v>7.0000000000000007E-2</v>
      </c>
      <c r="Y1274" s="24">
        <f>VLOOKUP(K1274, IMPOSTO!$A:$D, 4, 0)</f>
        <v>0.12</v>
      </c>
      <c r="Z1274" s="24">
        <f>VLOOKUP(L1274, IMPOSTO!$A:$D, 4, 0)</f>
        <v>0.12</v>
      </c>
      <c r="AA1274" s="24">
        <f>VLOOKUP(M1274, IMPOSTO!$A:$D, 4, 0)</f>
        <v>0.12</v>
      </c>
      <c r="AB1274" s="24">
        <f>VLOOKUP(N1274, IMPOSTO!$A:$D, 4, 0)</f>
        <v>7.0000000000000007E-2</v>
      </c>
      <c r="AC1274" s="25">
        <f t="shared" si="183"/>
        <v>3004.682171379236</v>
      </c>
      <c r="AD1274" s="25">
        <f t="shared" si="184"/>
        <v>2866.4083869670158</v>
      </c>
      <c r="AE1274" s="25">
        <f t="shared" si="185"/>
        <v>2744.1283661623374</v>
      </c>
      <c r="AF1274" s="25">
        <f t="shared" si="186"/>
        <v>2879.9311142397428</v>
      </c>
      <c r="AG1274" s="25">
        <f t="shared" si="187"/>
        <v>2848.5674778761068</v>
      </c>
      <c r="AH1274" s="25">
        <f t="shared" si="188"/>
        <v>2846.1811142397432</v>
      </c>
      <c r="AI1274" s="25">
        <f t="shared" si="189"/>
        <v>3076.2789037967464</v>
      </c>
    </row>
    <row r="1275" spans="1:35" ht="15.75" customHeight="1">
      <c r="A1275" s="12" t="s">
        <v>808</v>
      </c>
      <c r="B1275" s="12" t="s">
        <v>809</v>
      </c>
      <c r="C1275" s="12" t="s">
        <v>454</v>
      </c>
      <c r="D1275" s="12" t="s">
        <v>50</v>
      </c>
      <c r="E1275" s="12" t="s">
        <v>23</v>
      </c>
      <c r="F1275" s="13">
        <v>98.071359691417541</v>
      </c>
      <c r="G1275" s="14">
        <v>19677.037608486018</v>
      </c>
      <c r="H1275" s="24" t="str">
        <f t="shared" si="182"/>
        <v>SPSP</v>
      </c>
      <c r="I1275" s="24" t="str">
        <f t="shared" si="190"/>
        <v>SPMG</v>
      </c>
      <c r="J1275" s="24" t="str">
        <f t="shared" si="190"/>
        <v>SPES</v>
      </c>
      <c r="K1275" s="24" t="str">
        <f t="shared" si="190"/>
        <v>SPSC</v>
      </c>
      <c r="L1275" s="24" t="str">
        <f t="shared" si="190"/>
        <v>SPRJ</v>
      </c>
      <c r="M1275" s="24" t="str">
        <f t="shared" si="190"/>
        <v>SPPR</v>
      </c>
      <c r="N1275" s="24" t="str">
        <f t="shared" si="190"/>
        <v>SPAM</v>
      </c>
      <c r="O1275" s="24">
        <f>VLOOKUP(H1275, KM!$A:$E, 5, 0)</f>
        <v>0</v>
      </c>
      <c r="P1275" s="24">
        <f>VLOOKUP(I1275, KM!$A:$E, 5, 0)</f>
        <v>586</v>
      </c>
      <c r="Q1275" s="24">
        <f>VLOOKUP(J1275, KM!$A:$E, 5, 0)</f>
        <v>882</v>
      </c>
      <c r="R1275" s="24">
        <f>VLOOKUP(K1275, KM!$A:$E, 5, 0)</f>
        <v>705</v>
      </c>
      <c r="S1275" s="24">
        <f>VLOOKUP(L1275, KM!$A:$E, 5, 0)</f>
        <v>429</v>
      </c>
      <c r="T1275" s="24">
        <f>VLOOKUP(M1275, KM!$A:$E, 5, 0)</f>
        <v>408</v>
      </c>
      <c r="U1275" s="24">
        <f>VLOOKUP(N1275, KM!$A:$E, 5, 0)</f>
        <v>3971</v>
      </c>
      <c r="V1275" s="24">
        <f>VLOOKUP(H1275, IMPOSTO!$A:$D, 4, 0)</f>
        <v>0.18</v>
      </c>
      <c r="W1275" s="24">
        <f>VLOOKUP(I1275, IMPOSTO!$A:$D, 4, 0)</f>
        <v>0.12</v>
      </c>
      <c r="X1275" s="24">
        <f>VLOOKUP(J1275, IMPOSTO!$A:$D, 4, 0)</f>
        <v>7.0000000000000007E-2</v>
      </c>
      <c r="Y1275" s="24">
        <f>VLOOKUP(K1275, IMPOSTO!$A:$D, 4, 0)</f>
        <v>0.12</v>
      </c>
      <c r="Z1275" s="24">
        <f>VLOOKUP(L1275, IMPOSTO!$A:$D, 4, 0)</f>
        <v>0.12</v>
      </c>
      <c r="AA1275" s="24">
        <f>VLOOKUP(M1275, IMPOSTO!$A:$D, 4, 0)</f>
        <v>0.12</v>
      </c>
      <c r="AB1275" s="24">
        <f>VLOOKUP(N1275, IMPOSTO!$A:$D, 4, 0)</f>
        <v>7.0000000000000007E-2</v>
      </c>
      <c r="AC1275" s="25">
        <f t="shared" si="183"/>
        <v>23996.387327421973</v>
      </c>
      <c r="AD1275" s="25">
        <f t="shared" si="184"/>
        <v>22426.86091873411</v>
      </c>
      <c r="AE1275" s="25">
        <f t="shared" si="185"/>
        <v>21252.943665038732</v>
      </c>
      <c r="AF1275" s="25">
        <f t="shared" si="186"/>
        <v>22440.383646006838</v>
      </c>
      <c r="AG1275" s="25">
        <f t="shared" si="187"/>
        <v>22409.020009643205</v>
      </c>
      <c r="AH1275" s="25">
        <f t="shared" si="188"/>
        <v>22406.633646006838</v>
      </c>
      <c r="AI1275" s="25">
        <f t="shared" si="189"/>
        <v>21585.094202673139</v>
      </c>
    </row>
    <row r="1276" spans="1:35" ht="15.75" customHeight="1">
      <c r="A1276" s="12" t="s">
        <v>982</v>
      </c>
      <c r="B1276" s="12" t="s">
        <v>983</v>
      </c>
      <c r="C1276" s="12" t="s">
        <v>192</v>
      </c>
      <c r="D1276" s="12" t="s">
        <v>50</v>
      </c>
      <c r="E1276" s="12" t="s">
        <v>23</v>
      </c>
      <c r="F1276" s="13">
        <v>80</v>
      </c>
      <c r="G1276" s="14">
        <v>1150.0724409448817</v>
      </c>
      <c r="H1276" s="24" t="str">
        <f t="shared" si="182"/>
        <v>SPSP</v>
      </c>
      <c r="I1276" s="24" t="str">
        <f t="shared" si="190"/>
        <v>SPMG</v>
      </c>
      <c r="J1276" s="24" t="str">
        <f t="shared" si="190"/>
        <v>SPES</v>
      </c>
      <c r="K1276" s="24" t="str">
        <f t="shared" si="190"/>
        <v>SPSC</v>
      </c>
      <c r="L1276" s="24" t="str">
        <f t="shared" si="190"/>
        <v>SPRJ</v>
      </c>
      <c r="M1276" s="24" t="str">
        <f t="shared" si="190"/>
        <v>SPPR</v>
      </c>
      <c r="N1276" s="24" t="str">
        <f t="shared" si="190"/>
        <v>SPAM</v>
      </c>
      <c r="O1276" s="24">
        <f>VLOOKUP(H1276, KM!$A:$E, 5, 0)</f>
        <v>0</v>
      </c>
      <c r="P1276" s="24">
        <f>VLOOKUP(I1276, KM!$A:$E, 5, 0)</f>
        <v>586</v>
      </c>
      <c r="Q1276" s="24">
        <f>VLOOKUP(J1276, KM!$A:$E, 5, 0)</f>
        <v>882</v>
      </c>
      <c r="R1276" s="24">
        <f>VLOOKUP(K1276, KM!$A:$E, 5, 0)</f>
        <v>705</v>
      </c>
      <c r="S1276" s="24">
        <f>VLOOKUP(L1276, KM!$A:$E, 5, 0)</f>
        <v>429</v>
      </c>
      <c r="T1276" s="24">
        <f>VLOOKUP(M1276, KM!$A:$E, 5, 0)</f>
        <v>408</v>
      </c>
      <c r="U1276" s="24">
        <f>VLOOKUP(N1276, KM!$A:$E, 5, 0)</f>
        <v>3971</v>
      </c>
      <c r="V1276" s="24">
        <f>VLOOKUP(H1276, IMPOSTO!$A:$D, 4, 0)</f>
        <v>0.18</v>
      </c>
      <c r="W1276" s="24">
        <f>VLOOKUP(I1276, IMPOSTO!$A:$D, 4, 0)</f>
        <v>0.12</v>
      </c>
      <c r="X1276" s="24">
        <f>VLOOKUP(J1276, IMPOSTO!$A:$D, 4, 0)</f>
        <v>7.0000000000000007E-2</v>
      </c>
      <c r="Y1276" s="24">
        <f>VLOOKUP(K1276, IMPOSTO!$A:$D, 4, 0)</f>
        <v>0.12</v>
      </c>
      <c r="Z1276" s="24">
        <f>VLOOKUP(L1276, IMPOSTO!$A:$D, 4, 0)</f>
        <v>0.12</v>
      </c>
      <c r="AA1276" s="24">
        <f>VLOOKUP(M1276, IMPOSTO!$A:$D, 4, 0)</f>
        <v>0.12</v>
      </c>
      <c r="AB1276" s="24">
        <f>VLOOKUP(N1276, IMPOSTO!$A:$D, 4, 0)</f>
        <v>7.0000000000000007E-2</v>
      </c>
      <c r="AC1276" s="25">
        <f t="shared" si="183"/>
        <v>1402.5273670059532</v>
      </c>
      <c r="AD1276" s="25">
        <f t="shared" si="184"/>
        <v>1373.4914101646382</v>
      </c>
      <c r="AE1276" s="25">
        <f t="shared" si="185"/>
        <v>1331.4757429514859</v>
      </c>
      <c r="AF1276" s="25">
        <f t="shared" si="186"/>
        <v>1387.0141374373657</v>
      </c>
      <c r="AG1276" s="25">
        <f t="shared" si="187"/>
        <v>1355.6505010737294</v>
      </c>
      <c r="AH1276" s="25">
        <f t="shared" si="188"/>
        <v>1353.2641374373654</v>
      </c>
      <c r="AI1276" s="25">
        <f t="shared" si="189"/>
        <v>1663.6262805858944</v>
      </c>
    </row>
    <row r="1277" spans="1:35" ht="15.75" customHeight="1">
      <c r="A1277" s="12" t="s">
        <v>310</v>
      </c>
      <c r="B1277" s="12" t="s">
        <v>311</v>
      </c>
      <c r="C1277" s="12" t="s">
        <v>135</v>
      </c>
      <c r="D1277" s="12" t="s">
        <v>33</v>
      </c>
      <c r="E1277" s="12" t="s">
        <v>23</v>
      </c>
      <c r="F1277" s="13">
        <v>12.851999999999999</v>
      </c>
      <c r="G1277" s="14">
        <v>505.67031901171447</v>
      </c>
      <c r="H1277" s="24" t="str">
        <f t="shared" si="182"/>
        <v>SPSP</v>
      </c>
      <c r="I1277" s="24" t="str">
        <f t="shared" si="190"/>
        <v>SPMG</v>
      </c>
      <c r="J1277" s="24" t="str">
        <f t="shared" si="190"/>
        <v>SPES</v>
      </c>
      <c r="K1277" s="24" t="str">
        <f t="shared" si="190"/>
        <v>SPSC</v>
      </c>
      <c r="L1277" s="24" t="str">
        <f t="shared" si="190"/>
        <v>SPRJ</v>
      </c>
      <c r="M1277" s="24" t="str">
        <f t="shared" si="190"/>
        <v>SPPR</v>
      </c>
      <c r="N1277" s="24" t="str">
        <f t="shared" si="190"/>
        <v>SPAM</v>
      </c>
      <c r="O1277" s="24">
        <f>VLOOKUP(H1277, KM!$A:$E, 5, 0)</f>
        <v>0</v>
      </c>
      <c r="P1277" s="24">
        <f>VLOOKUP(I1277, KM!$A:$E, 5, 0)</f>
        <v>586</v>
      </c>
      <c r="Q1277" s="24">
        <f>VLOOKUP(J1277, KM!$A:$E, 5, 0)</f>
        <v>882</v>
      </c>
      <c r="R1277" s="24">
        <f>VLOOKUP(K1277, KM!$A:$E, 5, 0)</f>
        <v>705</v>
      </c>
      <c r="S1277" s="24">
        <f>VLOOKUP(L1277, KM!$A:$E, 5, 0)</f>
        <v>429</v>
      </c>
      <c r="T1277" s="24">
        <f>VLOOKUP(M1277, KM!$A:$E, 5, 0)</f>
        <v>408</v>
      </c>
      <c r="U1277" s="24">
        <f>VLOOKUP(N1277, KM!$A:$E, 5, 0)</f>
        <v>3971</v>
      </c>
      <c r="V1277" s="24">
        <f>VLOOKUP(H1277, IMPOSTO!$A:$D, 4, 0)</f>
        <v>0.18</v>
      </c>
      <c r="W1277" s="24">
        <f>VLOOKUP(I1277, IMPOSTO!$A:$D, 4, 0)</f>
        <v>0.12</v>
      </c>
      <c r="X1277" s="24">
        <f>VLOOKUP(J1277, IMPOSTO!$A:$D, 4, 0)</f>
        <v>7.0000000000000007E-2</v>
      </c>
      <c r="Y1277" s="24">
        <f>VLOOKUP(K1277, IMPOSTO!$A:$D, 4, 0)</f>
        <v>0.12</v>
      </c>
      <c r="Z1277" s="24">
        <f>VLOOKUP(L1277, IMPOSTO!$A:$D, 4, 0)</f>
        <v>0.12</v>
      </c>
      <c r="AA1277" s="24">
        <f>VLOOKUP(M1277, IMPOSTO!$A:$D, 4, 0)</f>
        <v>0.12</v>
      </c>
      <c r="AB1277" s="24">
        <f>VLOOKUP(N1277, IMPOSTO!$A:$D, 4, 0)</f>
        <v>7.0000000000000007E-2</v>
      </c>
      <c r="AC1277" s="25">
        <f t="shared" si="183"/>
        <v>616.67112074599322</v>
      </c>
      <c r="AD1277" s="25">
        <f t="shared" si="184"/>
        <v>641.21627160422099</v>
      </c>
      <c r="AE1277" s="25">
        <f t="shared" si="185"/>
        <v>638.57023549646726</v>
      </c>
      <c r="AF1277" s="25">
        <f t="shared" si="186"/>
        <v>654.73899887694824</v>
      </c>
      <c r="AG1277" s="25">
        <f t="shared" si="187"/>
        <v>623.37536251331187</v>
      </c>
      <c r="AH1277" s="25">
        <f t="shared" si="188"/>
        <v>620.98899887694824</v>
      </c>
      <c r="AI1277" s="25">
        <f t="shared" si="189"/>
        <v>970.72077313087584</v>
      </c>
    </row>
    <row r="1278" spans="1:35" ht="15.75" customHeight="1">
      <c r="A1278" s="12" t="s">
        <v>312</v>
      </c>
      <c r="B1278" s="12" t="s">
        <v>313</v>
      </c>
      <c r="C1278" s="12" t="s">
        <v>314</v>
      </c>
      <c r="D1278" s="12" t="s">
        <v>33</v>
      </c>
      <c r="E1278" s="12" t="s">
        <v>23</v>
      </c>
      <c r="F1278" s="13">
        <v>0.14872981366459626</v>
      </c>
      <c r="G1278" s="14">
        <v>2.805032387329192</v>
      </c>
      <c r="H1278" s="24" t="str">
        <f t="shared" si="182"/>
        <v>SPSP</v>
      </c>
      <c r="I1278" s="24" t="str">
        <f t="shared" si="190"/>
        <v>SPMG</v>
      </c>
      <c r="J1278" s="24" t="str">
        <f t="shared" si="190"/>
        <v>SPES</v>
      </c>
      <c r="K1278" s="24" t="str">
        <f t="shared" si="190"/>
        <v>SPSC</v>
      </c>
      <c r="L1278" s="24" t="str">
        <f t="shared" si="190"/>
        <v>SPRJ</v>
      </c>
      <c r="M1278" s="24" t="str">
        <f t="shared" si="190"/>
        <v>SPPR</v>
      </c>
      <c r="N1278" s="24" t="str">
        <f t="shared" si="190"/>
        <v>SPAM</v>
      </c>
      <c r="O1278" s="24">
        <f>VLOOKUP(H1278, KM!$A:$E, 5, 0)</f>
        <v>0</v>
      </c>
      <c r="P1278" s="24">
        <f>VLOOKUP(I1278, KM!$A:$E, 5, 0)</f>
        <v>586</v>
      </c>
      <c r="Q1278" s="24">
        <f>VLOOKUP(J1278, KM!$A:$E, 5, 0)</f>
        <v>882</v>
      </c>
      <c r="R1278" s="24">
        <f>VLOOKUP(K1278, KM!$A:$E, 5, 0)</f>
        <v>705</v>
      </c>
      <c r="S1278" s="24">
        <f>VLOOKUP(L1278, KM!$A:$E, 5, 0)</f>
        <v>429</v>
      </c>
      <c r="T1278" s="24">
        <f>VLOOKUP(M1278, KM!$A:$E, 5, 0)</f>
        <v>408</v>
      </c>
      <c r="U1278" s="24">
        <f>VLOOKUP(N1278, KM!$A:$E, 5, 0)</f>
        <v>3971</v>
      </c>
      <c r="V1278" s="24">
        <f>VLOOKUP(H1278, IMPOSTO!$A:$D, 4, 0)</f>
        <v>0.18</v>
      </c>
      <c r="W1278" s="24">
        <f>VLOOKUP(I1278, IMPOSTO!$A:$D, 4, 0)</f>
        <v>0.12</v>
      </c>
      <c r="X1278" s="24">
        <f>VLOOKUP(J1278, IMPOSTO!$A:$D, 4, 0)</f>
        <v>7.0000000000000007E-2</v>
      </c>
      <c r="Y1278" s="24">
        <f>VLOOKUP(K1278, IMPOSTO!$A:$D, 4, 0)</f>
        <v>0.12</v>
      </c>
      <c r="Z1278" s="24">
        <f>VLOOKUP(L1278, IMPOSTO!$A:$D, 4, 0)</f>
        <v>0.12</v>
      </c>
      <c r="AA1278" s="24">
        <f>VLOOKUP(M1278, IMPOSTO!$A:$D, 4, 0)</f>
        <v>0.12</v>
      </c>
      <c r="AB1278" s="24">
        <f>VLOOKUP(N1278, IMPOSTO!$A:$D, 4, 0)</f>
        <v>7.0000000000000007E-2</v>
      </c>
      <c r="AC1278" s="25">
        <f t="shared" si="183"/>
        <v>3.42077120405999</v>
      </c>
      <c r="AD1278" s="25">
        <f t="shared" si="184"/>
        <v>69.778445894692268</v>
      </c>
      <c r="AE1278" s="25">
        <f t="shared" si="185"/>
        <v>97.854873534762575</v>
      </c>
      <c r="AF1278" s="25">
        <f t="shared" si="186"/>
        <v>83.301173167419535</v>
      </c>
      <c r="AG1278" s="25">
        <f t="shared" si="187"/>
        <v>51.937536803783182</v>
      </c>
      <c r="AH1278" s="25">
        <f t="shared" si="188"/>
        <v>49.551173167419542</v>
      </c>
      <c r="AI1278" s="25">
        <f t="shared" si="189"/>
        <v>430.00541116917128</v>
      </c>
    </row>
    <row r="1279" spans="1:35" ht="15.75" customHeight="1">
      <c r="A1279" s="12" t="s">
        <v>312</v>
      </c>
      <c r="B1279" s="12" t="s">
        <v>313</v>
      </c>
      <c r="C1279" s="12" t="s">
        <v>314</v>
      </c>
      <c r="D1279" s="12" t="s">
        <v>33</v>
      </c>
      <c r="E1279" s="12" t="s">
        <v>23</v>
      </c>
      <c r="F1279" s="13">
        <v>14.218570186335407</v>
      </c>
      <c r="G1279" s="14">
        <v>292.83897276695637</v>
      </c>
      <c r="H1279" s="24" t="str">
        <f t="shared" si="182"/>
        <v>SPSP</v>
      </c>
      <c r="I1279" s="24" t="str">
        <f t="shared" si="190"/>
        <v>SPMG</v>
      </c>
      <c r="J1279" s="24" t="str">
        <f t="shared" si="190"/>
        <v>SPES</v>
      </c>
      <c r="K1279" s="24" t="str">
        <f t="shared" si="190"/>
        <v>SPSC</v>
      </c>
      <c r="L1279" s="24" t="str">
        <f t="shared" si="190"/>
        <v>SPRJ</v>
      </c>
      <c r="M1279" s="24" t="str">
        <f t="shared" si="190"/>
        <v>SPPR</v>
      </c>
      <c r="N1279" s="24" t="str">
        <f t="shared" si="190"/>
        <v>SPAM</v>
      </c>
      <c r="O1279" s="24">
        <f>VLOOKUP(H1279, KM!$A:$E, 5, 0)</f>
        <v>0</v>
      </c>
      <c r="P1279" s="24">
        <f>VLOOKUP(I1279, KM!$A:$E, 5, 0)</f>
        <v>586</v>
      </c>
      <c r="Q1279" s="24">
        <f>VLOOKUP(J1279, KM!$A:$E, 5, 0)</f>
        <v>882</v>
      </c>
      <c r="R1279" s="24">
        <f>VLOOKUP(K1279, KM!$A:$E, 5, 0)</f>
        <v>705</v>
      </c>
      <c r="S1279" s="24">
        <f>VLOOKUP(L1279, KM!$A:$E, 5, 0)</f>
        <v>429</v>
      </c>
      <c r="T1279" s="24">
        <f>VLOOKUP(M1279, KM!$A:$E, 5, 0)</f>
        <v>408</v>
      </c>
      <c r="U1279" s="24">
        <f>VLOOKUP(N1279, KM!$A:$E, 5, 0)</f>
        <v>3971</v>
      </c>
      <c r="V1279" s="24">
        <f>VLOOKUP(H1279, IMPOSTO!$A:$D, 4, 0)</f>
        <v>0.18</v>
      </c>
      <c r="W1279" s="24">
        <f>VLOOKUP(I1279, IMPOSTO!$A:$D, 4, 0)</f>
        <v>0.12</v>
      </c>
      <c r="X1279" s="24">
        <f>VLOOKUP(J1279, IMPOSTO!$A:$D, 4, 0)</f>
        <v>7.0000000000000007E-2</v>
      </c>
      <c r="Y1279" s="24">
        <f>VLOOKUP(K1279, IMPOSTO!$A:$D, 4, 0)</f>
        <v>0.12</v>
      </c>
      <c r="Z1279" s="24">
        <f>VLOOKUP(L1279, IMPOSTO!$A:$D, 4, 0)</f>
        <v>0.12</v>
      </c>
      <c r="AA1279" s="24">
        <f>VLOOKUP(M1279, IMPOSTO!$A:$D, 4, 0)</f>
        <v>0.12</v>
      </c>
      <c r="AB1279" s="24">
        <f>VLOOKUP(N1279, IMPOSTO!$A:$D, 4, 0)</f>
        <v>7.0000000000000007E-2</v>
      </c>
      <c r="AC1279" s="25">
        <f t="shared" si="183"/>
        <v>357.12069849628824</v>
      </c>
      <c r="AD1279" s="25">
        <f t="shared" si="184"/>
        <v>399.36246905335952</v>
      </c>
      <c r="AE1279" s="25">
        <f t="shared" si="185"/>
        <v>409.7193255558671</v>
      </c>
      <c r="AF1279" s="25">
        <f t="shared" si="186"/>
        <v>412.88519632608677</v>
      </c>
      <c r="AG1279" s="25">
        <f t="shared" si="187"/>
        <v>381.52155996245045</v>
      </c>
      <c r="AH1279" s="25">
        <f t="shared" si="188"/>
        <v>379.13519632608683</v>
      </c>
      <c r="AI1279" s="25">
        <f t="shared" si="189"/>
        <v>741.86986319027574</v>
      </c>
    </row>
    <row r="1280" spans="1:35" ht="15.75" customHeight="1">
      <c r="A1280" s="12" t="s">
        <v>984</v>
      </c>
      <c r="B1280" s="12" t="s">
        <v>985</v>
      </c>
      <c r="C1280" s="12" t="s">
        <v>69</v>
      </c>
      <c r="D1280" s="12" t="s">
        <v>33</v>
      </c>
      <c r="E1280" s="12" t="s">
        <v>23</v>
      </c>
      <c r="F1280" s="13">
        <v>9.6254999999999953</v>
      </c>
      <c r="G1280" s="14">
        <v>126.2000372926627</v>
      </c>
      <c r="H1280" s="24" t="str">
        <f t="shared" si="182"/>
        <v>SPSP</v>
      </c>
      <c r="I1280" s="24" t="str">
        <f t="shared" si="190"/>
        <v>SPMG</v>
      </c>
      <c r="J1280" s="24" t="str">
        <f t="shared" si="190"/>
        <v>SPES</v>
      </c>
      <c r="K1280" s="24" t="str">
        <f t="shared" si="190"/>
        <v>SPSC</v>
      </c>
      <c r="L1280" s="24" t="str">
        <f t="shared" si="190"/>
        <v>SPRJ</v>
      </c>
      <c r="M1280" s="24" t="str">
        <f t="shared" si="190"/>
        <v>SPPR</v>
      </c>
      <c r="N1280" s="24" t="str">
        <f t="shared" si="190"/>
        <v>SPAM</v>
      </c>
      <c r="O1280" s="24">
        <f>VLOOKUP(H1280, KM!$A:$E, 5, 0)</f>
        <v>0</v>
      </c>
      <c r="P1280" s="24">
        <f>VLOOKUP(I1280, KM!$A:$E, 5, 0)</f>
        <v>586</v>
      </c>
      <c r="Q1280" s="24">
        <f>VLOOKUP(J1280, KM!$A:$E, 5, 0)</f>
        <v>882</v>
      </c>
      <c r="R1280" s="24">
        <f>VLOOKUP(K1280, KM!$A:$E, 5, 0)</f>
        <v>705</v>
      </c>
      <c r="S1280" s="24">
        <f>VLOOKUP(L1280, KM!$A:$E, 5, 0)</f>
        <v>429</v>
      </c>
      <c r="T1280" s="24">
        <f>VLOOKUP(M1280, KM!$A:$E, 5, 0)</f>
        <v>408</v>
      </c>
      <c r="U1280" s="24">
        <f>VLOOKUP(N1280, KM!$A:$E, 5, 0)</f>
        <v>3971</v>
      </c>
      <c r="V1280" s="24">
        <f>VLOOKUP(H1280, IMPOSTO!$A:$D, 4, 0)</f>
        <v>0.18</v>
      </c>
      <c r="W1280" s="24">
        <f>VLOOKUP(I1280, IMPOSTO!$A:$D, 4, 0)</f>
        <v>0.12</v>
      </c>
      <c r="X1280" s="24">
        <f>VLOOKUP(J1280, IMPOSTO!$A:$D, 4, 0)</f>
        <v>7.0000000000000007E-2</v>
      </c>
      <c r="Y1280" s="24">
        <f>VLOOKUP(K1280, IMPOSTO!$A:$D, 4, 0)</f>
        <v>0.12</v>
      </c>
      <c r="Z1280" s="24">
        <f>VLOOKUP(L1280, IMPOSTO!$A:$D, 4, 0)</f>
        <v>0.12</v>
      </c>
      <c r="AA1280" s="24">
        <f>VLOOKUP(M1280, IMPOSTO!$A:$D, 4, 0)</f>
        <v>0.12</v>
      </c>
      <c r="AB1280" s="24">
        <f>VLOOKUP(N1280, IMPOSTO!$A:$D, 4, 0)</f>
        <v>7.0000000000000007E-2</v>
      </c>
      <c r="AC1280" s="25">
        <f t="shared" si="183"/>
        <v>153.90248450324719</v>
      </c>
      <c r="AD1280" s="25">
        <f t="shared" si="184"/>
        <v>210.0000423780258</v>
      </c>
      <c r="AE1280" s="25">
        <f t="shared" si="185"/>
        <v>230.53767450823949</v>
      </c>
      <c r="AF1280" s="25">
        <f t="shared" si="186"/>
        <v>223.52276965075308</v>
      </c>
      <c r="AG1280" s="25">
        <f t="shared" si="187"/>
        <v>192.1591332871167</v>
      </c>
      <c r="AH1280" s="25">
        <f t="shared" si="188"/>
        <v>189.77276965075308</v>
      </c>
      <c r="AI1280" s="25">
        <f t="shared" si="189"/>
        <v>562.68821214264813</v>
      </c>
    </row>
    <row r="1281" spans="1:35" ht="15.75" customHeight="1">
      <c r="A1281" s="12" t="s">
        <v>502</v>
      </c>
      <c r="B1281" s="12" t="s">
        <v>503</v>
      </c>
      <c r="C1281" s="12" t="s">
        <v>140</v>
      </c>
      <c r="D1281" s="12" t="s">
        <v>33</v>
      </c>
      <c r="E1281" s="12" t="s">
        <v>23</v>
      </c>
      <c r="F1281" s="13">
        <v>2301.3265822784806</v>
      </c>
      <c r="G1281" s="14">
        <v>113232.17182784811</v>
      </c>
      <c r="H1281" s="24" t="str">
        <f t="shared" si="182"/>
        <v>SPSP</v>
      </c>
      <c r="I1281" s="24" t="str">
        <f t="shared" si="190"/>
        <v>SPMG</v>
      </c>
      <c r="J1281" s="24" t="str">
        <f t="shared" si="190"/>
        <v>SPES</v>
      </c>
      <c r="K1281" s="24" t="str">
        <f t="shared" si="190"/>
        <v>SPSC</v>
      </c>
      <c r="L1281" s="24" t="str">
        <f t="shared" si="190"/>
        <v>SPRJ</v>
      </c>
      <c r="M1281" s="24" t="str">
        <f t="shared" si="190"/>
        <v>SPPR</v>
      </c>
      <c r="N1281" s="24" t="str">
        <f t="shared" si="190"/>
        <v>SPAM</v>
      </c>
      <c r="O1281" s="24">
        <f>VLOOKUP(H1281, KM!$A:$E, 5, 0)</f>
        <v>0</v>
      </c>
      <c r="P1281" s="24">
        <f>VLOOKUP(I1281, KM!$A:$E, 5, 0)</f>
        <v>586</v>
      </c>
      <c r="Q1281" s="24">
        <f>VLOOKUP(J1281, KM!$A:$E, 5, 0)</f>
        <v>882</v>
      </c>
      <c r="R1281" s="24">
        <f>VLOOKUP(K1281, KM!$A:$E, 5, 0)</f>
        <v>705</v>
      </c>
      <c r="S1281" s="24">
        <f>VLOOKUP(L1281, KM!$A:$E, 5, 0)</f>
        <v>429</v>
      </c>
      <c r="T1281" s="24">
        <f>VLOOKUP(M1281, KM!$A:$E, 5, 0)</f>
        <v>408</v>
      </c>
      <c r="U1281" s="24">
        <f>VLOOKUP(N1281, KM!$A:$E, 5, 0)</f>
        <v>3971</v>
      </c>
      <c r="V1281" s="24">
        <f>VLOOKUP(H1281, IMPOSTO!$A:$D, 4, 0)</f>
        <v>0.18</v>
      </c>
      <c r="W1281" s="24">
        <f>VLOOKUP(I1281, IMPOSTO!$A:$D, 4, 0)</f>
        <v>0.12</v>
      </c>
      <c r="X1281" s="24">
        <f>VLOOKUP(J1281, IMPOSTO!$A:$D, 4, 0)</f>
        <v>7.0000000000000007E-2</v>
      </c>
      <c r="Y1281" s="24">
        <f>VLOOKUP(K1281, IMPOSTO!$A:$D, 4, 0)</f>
        <v>0.12</v>
      </c>
      <c r="Z1281" s="24">
        <f>VLOOKUP(L1281, IMPOSTO!$A:$D, 4, 0)</f>
        <v>0.12</v>
      </c>
      <c r="AA1281" s="24">
        <f>VLOOKUP(M1281, IMPOSTO!$A:$D, 4, 0)</f>
        <v>0.12</v>
      </c>
      <c r="AB1281" s="24">
        <f>VLOOKUP(N1281, IMPOSTO!$A:$D, 4, 0)</f>
        <v>7.0000000000000007E-2</v>
      </c>
      <c r="AC1281" s="25">
        <f t="shared" si="183"/>
        <v>138088.014424205</v>
      </c>
      <c r="AD1281" s="25">
        <f t="shared" si="184"/>
        <v>128739.5134407365</v>
      </c>
      <c r="AE1281" s="25">
        <f t="shared" si="185"/>
        <v>121849.86218048185</v>
      </c>
      <c r="AF1281" s="25">
        <f t="shared" si="186"/>
        <v>128753.03616800922</v>
      </c>
      <c r="AG1281" s="25">
        <f t="shared" si="187"/>
        <v>128721.67253164557</v>
      </c>
      <c r="AH1281" s="25">
        <f t="shared" si="188"/>
        <v>128719.28616800922</v>
      </c>
      <c r="AI1281" s="25">
        <f t="shared" si="189"/>
        <v>122182.01271811627</v>
      </c>
    </row>
    <row r="1282" spans="1:35" ht="15.75" customHeight="1">
      <c r="A1282" s="12" t="s">
        <v>52</v>
      </c>
      <c r="B1282" s="12" t="s">
        <v>53</v>
      </c>
      <c r="C1282" s="12" t="s">
        <v>54</v>
      </c>
      <c r="D1282" s="12" t="s">
        <v>33</v>
      </c>
      <c r="E1282" s="12" t="s">
        <v>23</v>
      </c>
      <c r="F1282" s="13">
        <v>20034.574111757258</v>
      </c>
      <c r="G1282" s="14">
        <v>265033.9168729877</v>
      </c>
      <c r="H1282" s="24" t="str">
        <f t="shared" si="182"/>
        <v>SPSP</v>
      </c>
      <c r="I1282" s="24" t="str">
        <f t="shared" si="190"/>
        <v>SPMG</v>
      </c>
      <c r="J1282" s="24" t="str">
        <f t="shared" si="190"/>
        <v>SPES</v>
      </c>
      <c r="K1282" s="24" t="str">
        <f t="shared" si="190"/>
        <v>SPSC</v>
      </c>
      <c r="L1282" s="24" t="str">
        <f t="shared" si="190"/>
        <v>SPRJ</v>
      </c>
      <c r="M1282" s="24" t="str">
        <f t="shared" si="190"/>
        <v>SPPR</v>
      </c>
      <c r="N1282" s="24" t="str">
        <f t="shared" si="190"/>
        <v>SPAM</v>
      </c>
      <c r="O1282" s="24">
        <f>VLOOKUP(H1282, KM!$A:$E, 5, 0)</f>
        <v>0</v>
      </c>
      <c r="P1282" s="24">
        <f>VLOOKUP(I1282, KM!$A:$E, 5, 0)</f>
        <v>586</v>
      </c>
      <c r="Q1282" s="24">
        <f>VLOOKUP(J1282, KM!$A:$E, 5, 0)</f>
        <v>882</v>
      </c>
      <c r="R1282" s="24">
        <f>VLOOKUP(K1282, KM!$A:$E, 5, 0)</f>
        <v>705</v>
      </c>
      <c r="S1282" s="24">
        <f>VLOOKUP(L1282, KM!$A:$E, 5, 0)</f>
        <v>429</v>
      </c>
      <c r="T1282" s="24">
        <f>VLOOKUP(M1282, KM!$A:$E, 5, 0)</f>
        <v>408</v>
      </c>
      <c r="U1282" s="24">
        <f>VLOOKUP(N1282, KM!$A:$E, 5, 0)</f>
        <v>3971</v>
      </c>
      <c r="V1282" s="24">
        <f>VLOOKUP(H1282, IMPOSTO!$A:$D, 4, 0)</f>
        <v>0.18</v>
      </c>
      <c r="W1282" s="24">
        <f>VLOOKUP(I1282, IMPOSTO!$A:$D, 4, 0)</f>
        <v>0.12</v>
      </c>
      <c r="X1282" s="24">
        <f>VLOOKUP(J1282, IMPOSTO!$A:$D, 4, 0)</f>
        <v>7.0000000000000007E-2</v>
      </c>
      <c r="Y1282" s="24">
        <f>VLOOKUP(K1282, IMPOSTO!$A:$D, 4, 0)</f>
        <v>0.12</v>
      </c>
      <c r="Z1282" s="24">
        <f>VLOOKUP(L1282, IMPOSTO!$A:$D, 4, 0)</f>
        <v>0.12</v>
      </c>
      <c r="AA1282" s="24">
        <f>VLOOKUP(M1282, IMPOSTO!$A:$D, 4, 0)</f>
        <v>0.12</v>
      </c>
      <c r="AB1282" s="24">
        <f>VLOOKUP(N1282, IMPOSTO!$A:$D, 4, 0)</f>
        <v>7.0000000000000007E-2</v>
      </c>
      <c r="AC1282" s="25">
        <f t="shared" si="183"/>
        <v>323212.09374754597</v>
      </c>
      <c r="AD1282" s="25">
        <f t="shared" si="184"/>
        <v>301241.4964465769</v>
      </c>
      <c r="AE1282" s="25">
        <f t="shared" si="185"/>
        <v>285077.54502471798</v>
      </c>
      <c r="AF1282" s="25">
        <f t="shared" si="186"/>
        <v>301255.01917384967</v>
      </c>
      <c r="AG1282" s="25">
        <f t="shared" si="187"/>
        <v>301223.65553748602</v>
      </c>
      <c r="AH1282" s="25">
        <f t="shared" si="188"/>
        <v>301221.26917384967</v>
      </c>
      <c r="AI1282" s="25">
        <f t="shared" si="189"/>
        <v>285409.69556235237</v>
      </c>
    </row>
    <row r="1283" spans="1:35" ht="15.75" customHeight="1">
      <c r="A1283" s="12" t="s">
        <v>986</v>
      </c>
      <c r="B1283" s="12" t="s">
        <v>987</v>
      </c>
      <c r="C1283" s="12" t="s">
        <v>217</v>
      </c>
      <c r="D1283" s="12" t="s">
        <v>50</v>
      </c>
      <c r="E1283" s="12" t="s">
        <v>23</v>
      </c>
      <c r="F1283" s="13">
        <v>967.9824000000001</v>
      </c>
      <c r="G1283" s="14">
        <v>7545.3109948514866</v>
      </c>
      <c r="H1283" s="24" t="str">
        <f t="shared" si="182"/>
        <v>SPSP</v>
      </c>
      <c r="I1283" s="24" t="str">
        <f t="shared" si="190"/>
        <v>SPMG</v>
      </c>
      <c r="J1283" s="24" t="str">
        <f t="shared" si="190"/>
        <v>SPES</v>
      </c>
      <c r="K1283" s="24" t="str">
        <f t="shared" si="190"/>
        <v>SPSC</v>
      </c>
      <c r="L1283" s="24" t="str">
        <f t="shared" si="190"/>
        <v>SPRJ</v>
      </c>
      <c r="M1283" s="24" t="str">
        <f t="shared" si="190"/>
        <v>SPPR</v>
      </c>
      <c r="N1283" s="24" t="str">
        <f t="shared" si="190"/>
        <v>SPAM</v>
      </c>
      <c r="O1283" s="24">
        <f>VLOOKUP(H1283, KM!$A:$E, 5, 0)</f>
        <v>0</v>
      </c>
      <c r="P1283" s="24">
        <f>VLOOKUP(I1283, KM!$A:$E, 5, 0)</f>
        <v>586</v>
      </c>
      <c r="Q1283" s="24">
        <f>VLOOKUP(J1283, KM!$A:$E, 5, 0)</f>
        <v>882</v>
      </c>
      <c r="R1283" s="24">
        <f>VLOOKUP(K1283, KM!$A:$E, 5, 0)</f>
        <v>705</v>
      </c>
      <c r="S1283" s="24">
        <f>VLOOKUP(L1283, KM!$A:$E, 5, 0)</f>
        <v>429</v>
      </c>
      <c r="T1283" s="24">
        <f>VLOOKUP(M1283, KM!$A:$E, 5, 0)</f>
        <v>408</v>
      </c>
      <c r="U1283" s="24">
        <f>VLOOKUP(N1283, KM!$A:$E, 5, 0)</f>
        <v>3971</v>
      </c>
      <c r="V1283" s="24">
        <f>VLOOKUP(H1283, IMPOSTO!$A:$D, 4, 0)</f>
        <v>0.18</v>
      </c>
      <c r="W1283" s="24">
        <f>VLOOKUP(I1283, IMPOSTO!$A:$D, 4, 0)</f>
        <v>0.12</v>
      </c>
      <c r="X1283" s="24">
        <f>VLOOKUP(J1283, IMPOSTO!$A:$D, 4, 0)</f>
        <v>7.0000000000000007E-2</v>
      </c>
      <c r="Y1283" s="24">
        <f>VLOOKUP(K1283, IMPOSTO!$A:$D, 4, 0)</f>
        <v>0.12</v>
      </c>
      <c r="Z1283" s="24">
        <f>VLOOKUP(L1283, IMPOSTO!$A:$D, 4, 0)</f>
        <v>0.12</v>
      </c>
      <c r="AA1283" s="24">
        <f>VLOOKUP(M1283, IMPOSTO!$A:$D, 4, 0)</f>
        <v>0.12</v>
      </c>
      <c r="AB1283" s="24">
        <f>VLOOKUP(N1283, IMPOSTO!$A:$D, 4, 0)</f>
        <v>7.0000000000000007E-2</v>
      </c>
      <c r="AC1283" s="25">
        <f t="shared" si="183"/>
        <v>9201.5987742091293</v>
      </c>
      <c r="AD1283" s="25">
        <f t="shared" si="184"/>
        <v>8640.8079486948718</v>
      </c>
      <c r="AE1283" s="25">
        <f t="shared" si="185"/>
        <v>8208.0763385499868</v>
      </c>
      <c r="AF1283" s="25">
        <f t="shared" si="186"/>
        <v>8654.3306759675979</v>
      </c>
      <c r="AG1283" s="25">
        <f t="shared" si="187"/>
        <v>8622.9670396039619</v>
      </c>
      <c r="AH1283" s="25">
        <f t="shared" si="188"/>
        <v>8620.5806759675979</v>
      </c>
      <c r="AI1283" s="25">
        <f t="shared" si="189"/>
        <v>8540.2268761843952</v>
      </c>
    </row>
    <row r="1284" spans="1:35" ht="15.75" customHeight="1">
      <c r="A1284" s="12" t="s">
        <v>866</v>
      </c>
      <c r="B1284" s="12" t="s">
        <v>867</v>
      </c>
      <c r="C1284" s="12" t="s">
        <v>205</v>
      </c>
      <c r="D1284" s="12" t="s">
        <v>33</v>
      </c>
      <c r="E1284" s="12" t="s">
        <v>23</v>
      </c>
      <c r="F1284" s="13">
        <v>20.558701335066754</v>
      </c>
      <c r="G1284" s="14">
        <v>1353.6774100568027</v>
      </c>
      <c r="H1284" s="24" t="str">
        <f t="shared" si="182"/>
        <v>SPSP</v>
      </c>
      <c r="I1284" s="24" t="str">
        <f t="shared" si="190"/>
        <v>SPMG</v>
      </c>
      <c r="J1284" s="24" t="str">
        <f t="shared" si="190"/>
        <v>SPES</v>
      </c>
      <c r="K1284" s="24" t="str">
        <f t="shared" si="190"/>
        <v>SPSC</v>
      </c>
      <c r="L1284" s="24" t="str">
        <f t="shared" si="190"/>
        <v>SPRJ</v>
      </c>
      <c r="M1284" s="24" t="str">
        <f t="shared" si="190"/>
        <v>SPPR</v>
      </c>
      <c r="N1284" s="24" t="str">
        <f t="shared" si="190"/>
        <v>SPAM</v>
      </c>
      <c r="O1284" s="24">
        <f>VLOOKUP(H1284, KM!$A:$E, 5, 0)</f>
        <v>0</v>
      </c>
      <c r="P1284" s="24">
        <f>VLOOKUP(I1284, KM!$A:$E, 5, 0)</f>
        <v>586</v>
      </c>
      <c r="Q1284" s="24">
        <f>VLOOKUP(J1284, KM!$A:$E, 5, 0)</f>
        <v>882</v>
      </c>
      <c r="R1284" s="24">
        <f>VLOOKUP(K1284, KM!$A:$E, 5, 0)</f>
        <v>705</v>
      </c>
      <c r="S1284" s="24">
        <f>VLOOKUP(L1284, KM!$A:$E, 5, 0)</f>
        <v>429</v>
      </c>
      <c r="T1284" s="24">
        <f>VLOOKUP(M1284, KM!$A:$E, 5, 0)</f>
        <v>408</v>
      </c>
      <c r="U1284" s="24">
        <f>VLOOKUP(N1284, KM!$A:$E, 5, 0)</f>
        <v>3971</v>
      </c>
      <c r="V1284" s="24">
        <f>VLOOKUP(H1284, IMPOSTO!$A:$D, 4, 0)</f>
        <v>0.18</v>
      </c>
      <c r="W1284" s="24">
        <f>VLOOKUP(I1284, IMPOSTO!$A:$D, 4, 0)</f>
        <v>0.12</v>
      </c>
      <c r="X1284" s="24">
        <f>VLOOKUP(J1284, IMPOSTO!$A:$D, 4, 0)</f>
        <v>7.0000000000000007E-2</v>
      </c>
      <c r="Y1284" s="24">
        <f>VLOOKUP(K1284, IMPOSTO!$A:$D, 4, 0)</f>
        <v>0.12</v>
      </c>
      <c r="Z1284" s="24">
        <f>VLOOKUP(L1284, IMPOSTO!$A:$D, 4, 0)</f>
        <v>0.12</v>
      </c>
      <c r="AA1284" s="24">
        <f>VLOOKUP(M1284, IMPOSTO!$A:$D, 4, 0)</f>
        <v>0.12</v>
      </c>
      <c r="AB1284" s="24">
        <f>VLOOKUP(N1284, IMPOSTO!$A:$D, 4, 0)</f>
        <v>7.0000000000000007E-2</v>
      </c>
      <c r="AC1284" s="25">
        <f t="shared" si="183"/>
        <v>1650.826109825369</v>
      </c>
      <c r="AD1284" s="25">
        <f t="shared" si="184"/>
        <v>1604.8606932463667</v>
      </c>
      <c r="AE1284" s="25">
        <f t="shared" si="185"/>
        <v>1550.4058172653795</v>
      </c>
      <c r="AF1284" s="25">
        <f t="shared" si="186"/>
        <v>1618.383420519094</v>
      </c>
      <c r="AG1284" s="25">
        <f t="shared" si="187"/>
        <v>1587.0197841554577</v>
      </c>
      <c r="AH1284" s="25">
        <f t="shared" si="188"/>
        <v>1584.633420519094</v>
      </c>
      <c r="AI1284" s="25">
        <f t="shared" si="189"/>
        <v>1882.5563548997879</v>
      </c>
    </row>
    <row r="1285" spans="1:35" ht="15.75" customHeight="1">
      <c r="A1285" s="12" t="s">
        <v>907</v>
      </c>
      <c r="B1285" s="12" t="s">
        <v>908</v>
      </c>
      <c r="C1285" s="12" t="s">
        <v>160</v>
      </c>
      <c r="D1285" s="12" t="s">
        <v>33</v>
      </c>
      <c r="E1285" s="12" t="s">
        <v>23</v>
      </c>
      <c r="F1285" s="13">
        <v>563.40516000000002</v>
      </c>
      <c r="G1285" s="14">
        <v>4209.2731611999998</v>
      </c>
      <c r="H1285" s="24" t="str">
        <f t="shared" ref="H1285:H1348" si="191">$E1285 &amp; H$17</f>
        <v>SPSP</v>
      </c>
      <c r="I1285" s="24" t="str">
        <f t="shared" si="190"/>
        <v>SPMG</v>
      </c>
      <c r="J1285" s="24" t="str">
        <f t="shared" si="190"/>
        <v>SPES</v>
      </c>
      <c r="K1285" s="24" t="str">
        <f t="shared" si="190"/>
        <v>SPSC</v>
      </c>
      <c r="L1285" s="24" t="str">
        <f t="shared" si="190"/>
        <v>SPRJ</v>
      </c>
      <c r="M1285" s="24" t="str">
        <f t="shared" si="190"/>
        <v>SPPR</v>
      </c>
      <c r="N1285" s="24" t="str">
        <f t="shared" si="190"/>
        <v>SPAM</v>
      </c>
      <c r="O1285" s="24">
        <f>VLOOKUP(H1285, KM!$A:$E, 5, 0)</f>
        <v>0</v>
      </c>
      <c r="P1285" s="24">
        <f>VLOOKUP(I1285, KM!$A:$E, 5, 0)</f>
        <v>586</v>
      </c>
      <c r="Q1285" s="24">
        <f>VLOOKUP(J1285, KM!$A:$E, 5, 0)</f>
        <v>882</v>
      </c>
      <c r="R1285" s="24">
        <f>VLOOKUP(K1285, KM!$A:$E, 5, 0)</f>
        <v>705</v>
      </c>
      <c r="S1285" s="24">
        <f>VLOOKUP(L1285, KM!$A:$E, 5, 0)</f>
        <v>429</v>
      </c>
      <c r="T1285" s="24">
        <f>VLOOKUP(M1285, KM!$A:$E, 5, 0)</f>
        <v>408</v>
      </c>
      <c r="U1285" s="24">
        <f>VLOOKUP(N1285, KM!$A:$E, 5, 0)</f>
        <v>3971</v>
      </c>
      <c r="V1285" s="24">
        <f>VLOOKUP(H1285, IMPOSTO!$A:$D, 4, 0)</f>
        <v>0.18</v>
      </c>
      <c r="W1285" s="24">
        <f>VLOOKUP(I1285, IMPOSTO!$A:$D, 4, 0)</f>
        <v>0.12</v>
      </c>
      <c r="X1285" s="24">
        <f>VLOOKUP(J1285, IMPOSTO!$A:$D, 4, 0)</f>
        <v>7.0000000000000007E-2</v>
      </c>
      <c r="Y1285" s="24">
        <f>VLOOKUP(K1285, IMPOSTO!$A:$D, 4, 0)</f>
        <v>0.12</v>
      </c>
      <c r="Z1285" s="24">
        <f>VLOOKUP(L1285, IMPOSTO!$A:$D, 4, 0)</f>
        <v>0.12</v>
      </c>
      <c r="AA1285" s="24">
        <f>VLOOKUP(M1285, IMPOSTO!$A:$D, 4, 0)</f>
        <v>0.12</v>
      </c>
      <c r="AB1285" s="24">
        <f>VLOOKUP(N1285, IMPOSTO!$A:$D, 4, 0)</f>
        <v>7.0000000000000007E-2</v>
      </c>
      <c r="AC1285" s="25">
        <f t="shared" si="183"/>
        <v>5133.2599526829263</v>
      </c>
      <c r="AD1285" s="25">
        <f t="shared" si="184"/>
        <v>4849.8558650000004</v>
      </c>
      <c r="AE1285" s="25">
        <f t="shared" si="185"/>
        <v>4620.9388830107528</v>
      </c>
      <c r="AF1285" s="25">
        <f t="shared" si="186"/>
        <v>4863.3785922727266</v>
      </c>
      <c r="AG1285" s="25">
        <f t="shared" si="187"/>
        <v>4832.0149559090905</v>
      </c>
      <c r="AH1285" s="25">
        <f t="shared" si="188"/>
        <v>4829.6285922727275</v>
      </c>
      <c r="AI1285" s="25">
        <f t="shared" si="189"/>
        <v>4953.0894206451621</v>
      </c>
    </row>
    <row r="1286" spans="1:35" ht="15.75" customHeight="1">
      <c r="A1286" s="12" t="s">
        <v>961</v>
      </c>
      <c r="B1286" s="12" t="s">
        <v>962</v>
      </c>
      <c r="C1286" s="12" t="s">
        <v>876</v>
      </c>
      <c r="D1286" s="12" t="s">
        <v>50</v>
      </c>
      <c r="E1286" s="12" t="s">
        <v>23</v>
      </c>
      <c r="F1286" s="13">
        <v>7.2738095238095246</v>
      </c>
      <c r="G1286" s="14">
        <v>1004.0317857142858</v>
      </c>
      <c r="H1286" s="24" t="str">
        <f t="shared" si="191"/>
        <v>SPSP</v>
      </c>
      <c r="I1286" s="24" t="str">
        <f t="shared" si="190"/>
        <v>SPMG</v>
      </c>
      <c r="J1286" s="24" t="str">
        <f t="shared" si="190"/>
        <v>SPES</v>
      </c>
      <c r="K1286" s="24" t="str">
        <f t="shared" si="190"/>
        <v>SPSC</v>
      </c>
      <c r="L1286" s="24" t="str">
        <f t="shared" si="190"/>
        <v>SPRJ</v>
      </c>
      <c r="M1286" s="24" t="str">
        <f t="shared" si="190"/>
        <v>SPPR</v>
      </c>
      <c r="N1286" s="24" t="str">
        <f t="shared" si="190"/>
        <v>SPAM</v>
      </c>
      <c r="O1286" s="24">
        <f>VLOOKUP(H1286, KM!$A:$E, 5, 0)</f>
        <v>0</v>
      </c>
      <c r="P1286" s="24">
        <f>VLOOKUP(I1286, KM!$A:$E, 5, 0)</f>
        <v>586</v>
      </c>
      <c r="Q1286" s="24">
        <f>VLOOKUP(J1286, KM!$A:$E, 5, 0)</f>
        <v>882</v>
      </c>
      <c r="R1286" s="24">
        <f>VLOOKUP(K1286, KM!$A:$E, 5, 0)</f>
        <v>705</v>
      </c>
      <c r="S1286" s="24">
        <f>VLOOKUP(L1286, KM!$A:$E, 5, 0)</f>
        <v>429</v>
      </c>
      <c r="T1286" s="24">
        <f>VLOOKUP(M1286, KM!$A:$E, 5, 0)</f>
        <v>408</v>
      </c>
      <c r="U1286" s="24">
        <f>VLOOKUP(N1286, KM!$A:$E, 5, 0)</f>
        <v>3971</v>
      </c>
      <c r="V1286" s="24">
        <f>VLOOKUP(H1286, IMPOSTO!$A:$D, 4, 0)</f>
        <v>0.18</v>
      </c>
      <c r="W1286" s="24">
        <f>VLOOKUP(I1286, IMPOSTO!$A:$D, 4, 0)</f>
        <v>0.12</v>
      </c>
      <c r="X1286" s="24">
        <f>VLOOKUP(J1286, IMPOSTO!$A:$D, 4, 0)</f>
        <v>7.0000000000000007E-2</v>
      </c>
      <c r="Y1286" s="24">
        <f>VLOOKUP(K1286, IMPOSTO!$A:$D, 4, 0)</f>
        <v>0.12</v>
      </c>
      <c r="Z1286" s="24">
        <f>VLOOKUP(L1286, IMPOSTO!$A:$D, 4, 0)</f>
        <v>0.12</v>
      </c>
      <c r="AA1286" s="24">
        <f>VLOOKUP(M1286, IMPOSTO!$A:$D, 4, 0)</f>
        <v>0.12</v>
      </c>
      <c r="AB1286" s="24">
        <f>VLOOKUP(N1286, IMPOSTO!$A:$D, 4, 0)</f>
        <v>7.0000000000000007E-2</v>
      </c>
      <c r="AC1286" s="25">
        <f t="shared" si="183"/>
        <v>1224.429006968641</v>
      </c>
      <c r="AD1286" s="25">
        <f t="shared" si="184"/>
        <v>1207.5361201298701</v>
      </c>
      <c r="AE1286" s="25">
        <f t="shared" si="185"/>
        <v>1174.4427803379417</v>
      </c>
      <c r="AF1286" s="25">
        <f t="shared" si="186"/>
        <v>1221.0588474025976</v>
      </c>
      <c r="AG1286" s="25">
        <f t="shared" si="187"/>
        <v>1189.6952110389611</v>
      </c>
      <c r="AH1286" s="25">
        <f t="shared" si="188"/>
        <v>1187.3088474025976</v>
      </c>
      <c r="AI1286" s="25">
        <f t="shared" si="189"/>
        <v>1506.5933179723504</v>
      </c>
    </row>
    <row r="1287" spans="1:35" ht="15.75" customHeight="1">
      <c r="A1287" s="12" t="s">
        <v>874</v>
      </c>
      <c r="B1287" s="12" t="s">
        <v>875</v>
      </c>
      <c r="C1287" s="12" t="s">
        <v>876</v>
      </c>
      <c r="D1287" s="12" t="s">
        <v>33</v>
      </c>
      <c r="E1287" s="12" t="s">
        <v>23</v>
      </c>
      <c r="F1287" s="13">
        <v>129.01530000000002</v>
      </c>
      <c r="G1287" s="14">
        <v>2225.9493516375001</v>
      </c>
      <c r="H1287" s="24" t="str">
        <f t="shared" si="191"/>
        <v>SPSP</v>
      </c>
      <c r="I1287" s="24" t="str">
        <f t="shared" si="190"/>
        <v>SPMG</v>
      </c>
      <c r="J1287" s="24" t="str">
        <f t="shared" si="190"/>
        <v>SPES</v>
      </c>
      <c r="K1287" s="24" t="str">
        <f t="shared" si="190"/>
        <v>SPSC</v>
      </c>
      <c r="L1287" s="24" t="str">
        <f t="shared" si="190"/>
        <v>SPRJ</v>
      </c>
      <c r="M1287" s="24" t="str">
        <f t="shared" si="190"/>
        <v>SPPR</v>
      </c>
      <c r="N1287" s="24" t="str">
        <f t="shared" si="190"/>
        <v>SPAM</v>
      </c>
      <c r="O1287" s="24">
        <f>VLOOKUP(H1287, KM!$A:$E, 5, 0)</f>
        <v>0</v>
      </c>
      <c r="P1287" s="24">
        <f>VLOOKUP(I1287, KM!$A:$E, 5, 0)</f>
        <v>586</v>
      </c>
      <c r="Q1287" s="24">
        <f>VLOOKUP(J1287, KM!$A:$E, 5, 0)</f>
        <v>882</v>
      </c>
      <c r="R1287" s="24">
        <f>VLOOKUP(K1287, KM!$A:$E, 5, 0)</f>
        <v>705</v>
      </c>
      <c r="S1287" s="24">
        <f>VLOOKUP(L1287, KM!$A:$E, 5, 0)</f>
        <v>429</v>
      </c>
      <c r="T1287" s="24">
        <f>VLOOKUP(M1287, KM!$A:$E, 5, 0)</f>
        <v>408</v>
      </c>
      <c r="U1287" s="24">
        <f>VLOOKUP(N1287, KM!$A:$E, 5, 0)</f>
        <v>3971</v>
      </c>
      <c r="V1287" s="24">
        <f>VLOOKUP(H1287, IMPOSTO!$A:$D, 4, 0)</f>
        <v>0.18</v>
      </c>
      <c r="W1287" s="24">
        <f>VLOOKUP(I1287, IMPOSTO!$A:$D, 4, 0)</f>
        <v>0.12</v>
      </c>
      <c r="X1287" s="24">
        <f>VLOOKUP(J1287, IMPOSTO!$A:$D, 4, 0)</f>
        <v>7.0000000000000007E-2</v>
      </c>
      <c r="Y1287" s="24">
        <f>VLOOKUP(K1287, IMPOSTO!$A:$D, 4, 0)</f>
        <v>0.12</v>
      </c>
      <c r="Z1287" s="24">
        <f>VLOOKUP(L1287, IMPOSTO!$A:$D, 4, 0)</f>
        <v>0.12</v>
      </c>
      <c r="AA1287" s="24">
        <f>VLOOKUP(M1287, IMPOSTO!$A:$D, 4, 0)</f>
        <v>0.12</v>
      </c>
      <c r="AB1287" s="24">
        <f>VLOOKUP(N1287, IMPOSTO!$A:$D, 4, 0)</f>
        <v>7.0000000000000007E-2</v>
      </c>
      <c r="AC1287" s="25">
        <f t="shared" si="183"/>
        <v>2714.5723800457317</v>
      </c>
      <c r="AD1287" s="25">
        <f t="shared" si="184"/>
        <v>2596.0788086789771</v>
      </c>
      <c r="AE1287" s="25">
        <f t="shared" si="185"/>
        <v>2488.3326361693548</v>
      </c>
      <c r="AF1287" s="25">
        <f t="shared" si="186"/>
        <v>2609.6015359517046</v>
      </c>
      <c r="AG1287" s="25">
        <f t="shared" si="187"/>
        <v>2578.2378995880686</v>
      </c>
      <c r="AH1287" s="25">
        <f t="shared" si="188"/>
        <v>2575.8515359517046</v>
      </c>
      <c r="AI1287" s="25">
        <f t="shared" si="189"/>
        <v>2820.4831738037637</v>
      </c>
    </row>
    <row r="1288" spans="1:35" ht="15.75" customHeight="1">
      <c r="A1288" s="12" t="s">
        <v>877</v>
      </c>
      <c r="B1288" s="12" t="s">
        <v>878</v>
      </c>
      <c r="C1288" s="12" t="s">
        <v>876</v>
      </c>
      <c r="D1288" s="12" t="s">
        <v>33</v>
      </c>
      <c r="E1288" s="12" t="s">
        <v>23</v>
      </c>
      <c r="F1288" s="13">
        <v>21006.526000000005</v>
      </c>
      <c r="G1288" s="14">
        <v>425691.35339068493</v>
      </c>
      <c r="H1288" s="24" t="str">
        <f t="shared" si="191"/>
        <v>SPSP</v>
      </c>
      <c r="I1288" s="24" t="str">
        <f t="shared" si="190"/>
        <v>SPMG</v>
      </c>
      <c r="J1288" s="24" t="str">
        <f t="shared" si="190"/>
        <v>SPES</v>
      </c>
      <c r="K1288" s="24" t="str">
        <f t="shared" si="190"/>
        <v>SPSC</v>
      </c>
      <c r="L1288" s="24" t="str">
        <f t="shared" si="190"/>
        <v>SPRJ</v>
      </c>
      <c r="M1288" s="24" t="str">
        <f t="shared" si="190"/>
        <v>SPPR</v>
      </c>
      <c r="N1288" s="24" t="str">
        <f t="shared" si="190"/>
        <v>SPAM</v>
      </c>
      <c r="O1288" s="24">
        <f>VLOOKUP(H1288, KM!$A:$E, 5, 0)</f>
        <v>0</v>
      </c>
      <c r="P1288" s="24">
        <f>VLOOKUP(I1288, KM!$A:$E, 5, 0)</f>
        <v>586</v>
      </c>
      <c r="Q1288" s="24">
        <f>VLOOKUP(J1288, KM!$A:$E, 5, 0)</f>
        <v>882</v>
      </c>
      <c r="R1288" s="24">
        <f>VLOOKUP(K1288, KM!$A:$E, 5, 0)</f>
        <v>705</v>
      </c>
      <c r="S1288" s="24">
        <f>VLOOKUP(L1288, KM!$A:$E, 5, 0)</f>
        <v>429</v>
      </c>
      <c r="T1288" s="24">
        <f>VLOOKUP(M1288, KM!$A:$E, 5, 0)</f>
        <v>408</v>
      </c>
      <c r="U1288" s="24">
        <f>VLOOKUP(N1288, KM!$A:$E, 5, 0)</f>
        <v>3971</v>
      </c>
      <c r="V1288" s="24">
        <f>VLOOKUP(H1288, IMPOSTO!$A:$D, 4, 0)</f>
        <v>0.18</v>
      </c>
      <c r="W1288" s="24">
        <f>VLOOKUP(I1288, IMPOSTO!$A:$D, 4, 0)</f>
        <v>0.12</v>
      </c>
      <c r="X1288" s="24">
        <f>VLOOKUP(J1288, IMPOSTO!$A:$D, 4, 0)</f>
        <v>7.0000000000000007E-2</v>
      </c>
      <c r="Y1288" s="24">
        <f>VLOOKUP(K1288, IMPOSTO!$A:$D, 4, 0)</f>
        <v>0.12</v>
      </c>
      <c r="Z1288" s="24">
        <f>VLOOKUP(L1288, IMPOSTO!$A:$D, 4, 0)</f>
        <v>0.12</v>
      </c>
      <c r="AA1288" s="24">
        <f>VLOOKUP(M1288, IMPOSTO!$A:$D, 4, 0)</f>
        <v>0.12</v>
      </c>
      <c r="AB1288" s="24">
        <f>VLOOKUP(N1288, IMPOSTO!$A:$D, 4, 0)</f>
        <v>7.0000000000000007E-2</v>
      </c>
      <c r="AC1288" s="25">
        <f t="shared" si="183"/>
        <v>519135.79681790841</v>
      </c>
      <c r="AD1288" s="25">
        <f t="shared" si="184"/>
        <v>483806.7652166874</v>
      </c>
      <c r="AE1288" s="25">
        <f t="shared" si="185"/>
        <v>457827.47676417738</v>
      </c>
      <c r="AF1288" s="25">
        <f t="shared" si="186"/>
        <v>483820.28794396017</v>
      </c>
      <c r="AG1288" s="25">
        <f t="shared" si="187"/>
        <v>483788.92430759652</v>
      </c>
      <c r="AH1288" s="25">
        <f t="shared" si="188"/>
        <v>483786.53794396011</v>
      </c>
      <c r="AI1288" s="25">
        <f t="shared" si="189"/>
        <v>458159.62730181176</v>
      </c>
    </row>
    <row r="1289" spans="1:35" ht="15.75" customHeight="1">
      <c r="A1289" s="12" t="s">
        <v>967</v>
      </c>
      <c r="B1289" s="12" t="s">
        <v>968</v>
      </c>
      <c r="C1289" s="12" t="s">
        <v>969</v>
      </c>
      <c r="D1289" s="12" t="s">
        <v>50</v>
      </c>
      <c r="E1289" s="12" t="s">
        <v>23</v>
      </c>
      <c r="F1289" s="13">
        <v>5600.9546</v>
      </c>
      <c r="G1289" s="14">
        <v>69967.10700951959</v>
      </c>
      <c r="H1289" s="24" t="str">
        <f t="shared" si="191"/>
        <v>SPSP</v>
      </c>
      <c r="I1289" s="24" t="str">
        <f t="shared" si="190"/>
        <v>SPMG</v>
      </c>
      <c r="J1289" s="24" t="str">
        <f t="shared" si="190"/>
        <v>SPES</v>
      </c>
      <c r="K1289" s="24" t="str">
        <f t="shared" si="190"/>
        <v>SPSC</v>
      </c>
      <c r="L1289" s="24" t="str">
        <f t="shared" si="190"/>
        <v>SPRJ</v>
      </c>
      <c r="M1289" s="24" t="str">
        <f t="shared" si="190"/>
        <v>SPPR</v>
      </c>
      <c r="N1289" s="24" t="str">
        <f t="shared" si="190"/>
        <v>SPAM</v>
      </c>
      <c r="O1289" s="24">
        <f>VLOOKUP(H1289, KM!$A:$E, 5, 0)</f>
        <v>0</v>
      </c>
      <c r="P1289" s="24">
        <f>VLOOKUP(I1289, KM!$A:$E, 5, 0)</f>
        <v>586</v>
      </c>
      <c r="Q1289" s="24">
        <f>VLOOKUP(J1289, KM!$A:$E, 5, 0)</f>
        <v>882</v>
      </c>
      <c r="R1289" s="24">
        <f>VLOOKUP(K1289, KM!$A:$E, 5, 0)</f>
        <v>705</v>
      </c>
      <c r="S1289" s="24">
        <f>VLOOKUP(L1289, KM!$A:$E, 5, 0)</f>
        <v>429</v>
      </c>
      <c r="T1289" s="24">
        <f>VLOOKUP(M1289, KM!$A:$E, 5, 0)</f>
        <v>408</v>
      </c>
      <c r="U1289" s="24">
        <f>VLOOKUP(N1289, KM!$A:$E, 5, 0)</f>
        <v>3971</v>
      </c>
      <c r="V1289" s="24">
        <f>VLOOKUP(H1289, IMPOSTO!$A:$D, 4, 0)</f>
        <v>0.18</v>
      </c>
      <c r="W1289" s="24">
        <f>VLOOKUP(I1289, IMPOSTO!$A:$D, 4, 0)</f>
        <v>0.12</v>
      </c>
      <c r="X1289" s="24">
        <f>VLOOKUP(J1289, IMPOSTO!$A:$D, 4, 0)</f>
        <v>7.0000000000000007E-2</v>
      </c>
      <c r="Y1289" s="24">
        <f>VLOOKUP(K1289, IMPOSTO!$A:$D, 4, 0)</f>
        <v>0.12</v>
      </c>
      <c r="Z1289" s="24">
        <f>VLOOKUP(L1289, IMPOSTO!$A:$D, 4, 0)</f>
        <v>0.12</v>
      </c>
      <c r="AA1289" s="24">
        <f>VLOOKUP(M1289, IMPOSTO!$A:$D, 4, 0)</f>
        <v>0.12</v>
      </c>
      <c r="AB1289" s="24">
        <f>VLOOKUP(N1289, IMPOSTO!$A:$D, 4, 0)</f>
        <v>7.0000000000000007E-2</v>
      </c>
      <c r="AC1289" s="25">
        <f t="shared" si="183"/>
        <v>85325.740255511686</v>
      </c>
      <c r="AD1289" s="25">
        <f t="shared" si="184"/>
        <v>79574.667056272272</v>
      </c>
      <c r="AE1289" s="25">
        <f t="shared" si="185"/>
        <v>75328.287107010314</v>
      </c>
      <c r="AF1289" s="25">
        <f t="shared" si="186"/>
        <v>79588.189783544993</v>
      </c>
      <c r="AG1289" s="25">
        <f t="shared" si="187"/>
        <v>79556.826147181346</v>
      </c>
      <c r="AH1289" s="25">
        <f t="shared" si="188"/>
        <v>79554.439783544993</v>
      </c>
      <c r="AI1289" s="25">
        <f t="shared" si="189"/>
        <v>75660.437644644728</v>
      </c>
    </row>
    <row r="1290" spans="1:35" ht="15.75" customHeight="1">
      <c r="A1290" s="12" t="s">
        <v>30</v>
      </c>
      <c r="B1290" s="12" t="s">
        <v>31</v>
      </c>
      <c r="C1290" s="12" t="s">
        <v>32</v>
      </c>
      <c r="D1290" s="12" t="s">
        <v>33</v>
      </c>
      <c r="E1290" s="12" t="s">
        <v>23</v>
      </c>
      <c r="F1290" s="13">
        <v>533.23547363013699</v>
      </c>
      <c r="G1290" s="14">
        <v>16754.923074895272</v>
      </c>
      <c r="H1290" s="24" t="str">
        <f t="shared" si="191"/>
        <v>SPSP</v>
      </c>
      <c r="I1290" s="24" t="str">
        <f t="shared" si="190"/>
        <v>SPMG</v>
      </c>
      <c r="J1290" s="24" t="str">
        <f t="shared" si="190"/>
        <v>SPES</v>
      </c>
      <c r="K1290" s="24" t="str">
        <f t="shared" si="190"/>
        <v>SPSC</v>
      </c>
      <c r="L1290" s="24" t="str">
        <f t="shared" si="190"/>
        <v>SPRJ</v>
      </c>
      <c r="M1290" s="24" t="str">
        <f t="shared" si="190"/>
        <v>SPPR</v>
      </c>
      <c r="N1290" s="24" t="str">
        <f t="shared" si="190"/>
        <v>SPAM</v>
      </c>
      <c r="O1290" s="24">
        <f>VLOOKUP(H1290, KM!$A:$E, 5, 0)</f>
        <v>0</v>
      </c>
      <c r="P1290" s="24">
        <f>VLOOKUP(I1290, KM!$A:$E, 5, 0)</f>
        <v>586</v>
      </c>
      <c r="Q1290" s="24">
        <f>VLOOKUP(J1290, KM!$A:$E, 5, 0)</f>
        <v>882</v>
      </c>
      <c r="R1290" s="24">
        <f>VLOOKUP(K1290, KM!$A:$E, 5, 0)</f>
        <v>705</v>
      </c>
      <c r="S1290" s="24">
        <f>VLOOKUP(L1290, KM!$A:$E, 5, 0)</f>
        <v>429</v>
      </c>
      <c r="T1290" s="24">
        <f>VLOOKUP(M1290, KM!$A:$E, 5, 0)</f>
        <v>408</v>
      </c>
      <c r="U1290" s="24">
        <f>VLOOKUP(N1290, KM!$A:$E, 5, 0)</f>
        <v>3971</v>
      </c>
      <c r="V1290" s="24">
        <f>VLOOKUP(H1290, IMPOSTO!$A:$D, 4, 0)</f>
        <v>0.18</v>
      </c>
      <c r="W1290" s="24">
        <f>VLOOKUP(I1290, IMPOSTO!$A:$D, 4, 0)</f>
        <v>0.12</v>
      </c>
      <c r="X1290" s="24">
        <f>VLOOKUP(J1290, IMPOSTO!$A:$D, 4, 0)</f>
        <v>7.0000000000000007E-2</v>
      </c>
      <c r="Y1290" s="24">
        <f>VLOOKUP(K1290, IMPOSTO!$A:$D, 4, 0)</f>
        <v>0.12</v>
      </c>
      <c r="Z1290" s="24">
        <f>VLOOKUP(L1290, IMPOSTO!$A:$D, 4, 0)</f>
        <v>0.12</v>
      </c>
      <c r="AA1290" s="24">
        <f>VLOOKUP(M1290, IMPOSTO!$A:$D, 4, 0)</f>
        <v>0.12</v>
      </c>
      <c r="AB1290" s="24">
        <f>VLOOKUP(N1290, IMPOSTO!$A:$D, 4, 0)</f>
        <v>7.0000000000000007E-2</v>
      </c>
      <c r="AC1290" s="25">
        <f t="shared" si="183"/>
        <v>20432.833018164965</v>
      </c>
      <c r="AD1290" s="25">
        <f t="shared" si="184"/>
        <v>19106.276221471897</v>
      </c>
      <c r="AE1290" s="25">
        <f t="shared" si="185"/>
        <v>18110.885026769112</v>
      </c>
      <c r="AF1290" s="25">
        <f t="shared" si="186"/>
        <v>19119.798948744628</v>
      </c>
      <c r="AG1290" s="25">
        <f t="shared" si="187"/>
        <v>19088.435312380992</v>
      </c>
      <c r="AH1290" s="25">
        <f t="shared" si="188"/>
        <v>19086.048948744628</v>
      </c>
      <c r="AI1290" s="25">
        <f t="shared" si="189"/>
        <v>18443.035564403519</v>
      </c>
    </row>
    <row r="1291" spans="1:35" ht="15.75" customHeight="1">
      <c r="A1291" s="12" t="s">
        <v>461</v>
      </c>
      <c r="B1291" s="12" t="s">
        <v>462</v>
      </c>
      <c r="C1291" s="12" t="s">
        <v>217</v>
      </c>
      <c r="D1291" s="12" t="s">
        <v>50</v>
      </c>
      <c r="E1291" s="12" t="s">
        <v>23</v>
      </c>
      <c r="F1291" s="13">
        <v>1037.7614388625593</v>
      </c>
      <c r="G1291" s="14">
        <v>6316.9992652246456</v>
      </c>
      <c r="H1291" s="24" t="str">
        <f t="shared" si="191"/>
        <v>SPSP</v>
      </c>
      <c r="I1291" s="24" t="str">
        <f t="shared" si="190"/>
        <v>SPMG</v>
      </c>
      <c r="J1291" s="24" t="str">
        <f t="shared" si="190"/>
        <v>SPES</v>
      </c>
      <c r="K1291" s="24" t="str">
        <f t="shared" si="190"/>
        <v>SPSC</v>
      </c>
      <c r="L1291" s="24" t="str">
        <f t="shared" si="190"/>
        <v>SPRJ</v>
      </c>
      <c r="M1291" s="24" t="str">
        <f t="shared" si="190"/>
        <v>SPPR</v>
      </c>
      <c r="N1291" s="24" t="str">
        <f t="shared" si="190"/>
        <v>SPAM</v>
      </c>
      <c r="O1291" s="24">
        <f>VLOOKUP(H1291, KM!$A:$E, 5, 0)</f>
        <v>0</v>
      </c>
      <c r="P1291" s="24">
        <f>VLOOKUP(I1291, KM!$A:$E, 5, 0)</f>
        <v>586</v>
      </c>
      <c r="Q1291" s="24">
        <f>VLOOKUP(J1291, KM!$A:$E, 5, 0)</f>
        <v>882</v>
      </c>
      <c r="R1291" s="24">
        <f>VLOOKUP(K1291, KM!$A:$E, 5, 0)</f>
        <v>705</v>
      </c>
      <c r="S1291" s="24">
        <f>VLOOKUP(L1291, KM!$A:$E, 5, 0)</f>
        <v>429</v>
      </c>
      <c r="T1291" s="24">
        <f>VLOOKUP(M1291, KM!$A:$E, 5, 0)</f>
        <v>408</v>
      </c>
      <c r="U1291" s="24">
        <f>VLOOKUP(N1291, KM!$A:$E, 5, 0)</f>
        <v>3971</v>
      </c>
      <c r="V1291" s="24">
        <f>VLOOKUP(H1291, IMPOSTO!$A:$D, 4, 0)</f>
        <v>0.18</v>
      </c>
      <c r="W1291" s="24">
        <f>VLOOKUP(I1291, IMPOSTO!$A:$D, 4, 0)</f>
        <v>0.12</v>
      </c>
      <c r="X1291" s="24">
        <f>VLOOKUP(J1291, IMPOSTO!$A:$D, 4, 0)</f>
        <v>7.0000000000000007E-2</v>
      </c>
      <c r="Y1291" s="24">
        <f>VLOOKUP(K1291, IMPOSTO!$A:$D, 4, 0)</f>
        <v>0.12</v>
      </c>
      <c r="Z1291" s="24">
        <f>VLOOKUP(L1291, IMPOSTO!$A:$D, 4, 0)</f>
        <v>0.12</v>
      </c>
      <c r="AA1291" s="24">
        <f>VLOOKUP(M1291, IMPOSTO!$A:$D, 4, 0)</f>
        <v>0.12</v>
      </c>
      <c r="AB1291" s="24">
        <f>VLOOKUP(N1291, IMPOSTO!$A:$D, 4, 0)</f>
        <v>7.0000000000000007E-2</v>
      </c>
      <c r="AC1291" s="25">
        <f t="shared" si="183"/>
        <v>7703.6576405178603</v>
      </c>
      <c r="AD1291" s="25">
        <f t="shared" si="184"/>
        <v>7244.9991650280072</v>
      </c>
      <c r="AE1291" s="25">
        <f t="shared" si="185"/>
        <v>6887.3110378759629</v>
      </c>
      <c r="AF1291" s="25">
        <f t="shared" si="186"/>
        <v>7258.5218923007333</v>
      </c>
      <c r="AG1291" s="25">
        <f t="shared" si="187"/>
        <v>7227.1582559370972</v>
      </c>
      <c r="AH1291" s="25">
        <f t="shared" si="188"/>
        <v>7224.7718923007342</v>
      </c>
      <c r="AI1291" s="25">
        <f t="shared" si="189"/>
        <v>7219.4615755103723</v>
      </c>
    </row>
    <row r="1292" spans="1:35" ht="15.75" customHeight="1">
      <c r="A1292" s="12" t="s">
        <v>463</v>
      </c>
      <c r="B1292" s="12" t="s">
        <v>464</v>
      </c>
      <c r="C1292" s="12" t="s">
        <v>217</v>
      </c>
      <c r="D1292" s="12" t="s">
        <v>33</v>
      </c>
      <c r="E1292" s="12" t="s">
        <v>23</v>
      </c>
      <c r="F1292" s="13">
        <v>25.215652173913043</v>
      </c>
      <c r="G1292" s="14">
        <v>1049.3871886956522</v>
      </c>
      <c r="H1292" s="24" t="str">
        <f t="shared" si="191"/>
        <v>SPSP</v>
      </c>
      <c r="I1292" s="24" t="str">
        <f t="shared" si="190"/>
        <v>SPMG</v>
      </c>
      <c r="J1292" s="24" t="str">
        <f t="shared" si="190"/>
        <v>SPES</v>
      </c>
      <c r="K1292" s="24" t="str">
        <f t="shared" si="190"/>
        <v>SPSC</v>
      </c>
      <c r="L1292" s="24" t="str">
        <f t="shared" si="190"/>
        <v>SPRJ</v>
      </c>
      <c r="M1292" s="24" t="str">
        <f t="shared" si="190"/>
        <v>SPPR</v>
      </c>
      <c r="N1292" s="24" t="str">
        <f t="shared" si="190"/>
        <v>SPAM</v>
      </c>
      <c r="O1292" s="24">
        <f>VLOOKUP(H1292, KM!$A:$E, 5, 0)</f>
        <v>0</v>
      </c>
      <c r="P1292" s="24">
        <f>VLOOKUP(I1292, KM!$A:$E, 5, 0)</f>
        <v>586</v>
      </c>
      <c r="Q1292" s="24">
        <f>VLOOKUP(J1292, KM!$A:$E, 5, 0)</f>
        <v>882</v>
      </c>
      <c r="R1292" s="24">
        <f>VLOOKUP(K1292, KM!$A:$E, 5, 0)</f>
        <v>705</v>
      </c>
      <c r="S1292" s="24">
        <f>VLOOKUP(L1292, KM!$A:$E, 5, 0)</f>
        <v>429</v>
      </c>
      <c r="T1292" s="24">
        <f>VLOOKUP(M1292, KM!$A:$E, 5, 0)</f>
        <v>408</v>
      </c>
      <c r="U1292" s="24">
        <f>VLOOKUP(N1292, KM!$A:$E, 5, 0)</f>
        <v>3971</v>
      </c>
      <c r="V1292" s="24">
        <f>VLOOKUP(H1292, IMPOSTO!$A:$D, 4, 0)</f>
        <v>0.18</v>
      </c>
      <c r="W1292" s="24">
        <f>VLOOKUP(I1292, IMPOSTO!$A:$D, 4, 0)</f>
        <v>0.12</v>
      </c>
      <c r="X1292" s="24">
        <f>VLOOKUP(J1292, IMPOSTO!$A:$D, 4, 0)</f>
        <v>7.0000000000000007E-2</v>
      </c>
      <c r="Y1292" s="24">
        <f>VLOOKUP(K1292, IMPOSTO!$A:$D, 4, 0)</f>
        <v>0.12</v>
      </c>
      <c r="Z1292" s="24">
        <f>VLOOKUP(L1292, IMPOSTO!$A:$D, 4, 0)</f>
        <v>0.12</v>
      </c>
      <c r="AA1292" s="24">
        <f>VLOOKUP(M1292, IMPOSTO!$A:$D, 4, 0)</f>
        <v>0.12</v>
      </c>
      <c r="AB1292" s="24">
        <f>VLOOKUP(N1292, IMPOSTO!$A:$D, 4, 0)</f>
        <v>7.0000000000000007E-2</v>
      </c>
      <c r="AC1292" s="25">
        <f t="shared" si="183"/>
        <v>1279.740474019088</v>
      </c>
      <c r="AD1292" s="25">
        <f t="shared" si="184"/>
        <v>1259.0763507905137</v>
      </c>
      <c r="AE1292" s="25">
        <f t="shared" si="185"/>
        <v>1223.2120308555402</v>
      </c>
      <c r="AF1292" s="25">
        <f t="shared" si="186"/>
        <v>1272.5990780632412</v>
      </c>
      <c r="AG1292" s="25">
        <f t="shared" si="187"/>
        <v>1241.235441699605</v>
      </c>
      <c r="AH1292" s="25">
        <f t="shared" si="188"/>
        <v>1238.849078063241</v>
      </c>
      <c r="AI1292" s="25">
        <f t="shared" si="189"/>
        <v>1555.3625684899487</v>
      </c>
    </row>
    <row r="1293" spans="1:35" ht="15.75" customHeight="1">
      <c r="A1293" s="12" t="s">
        <v>988</v>
      </c>
      <c r="B1293" s="12" t="s">
        <v>989</v>
      </c>
      <c r="C1293" s="12" t="s">
        <v>296</v>
      </c>
      <c r="D1293" s="12" t="s">
        <v>33</v>
      </c>
      <c r="E1293" s="12" t="s">
        <v>23</v>
      </c>
      <c r="F1293" s="13">
        <v>256.99999999999994</v>
      </c>
      <c r="G1293" s="14">
        <v>100224.51491166079</v>
      </c>
      <c r="H1293" s="24" t="str">
        <f t="shared" si="191"/>
        <v>SPSP</v>
      </c>
      <c r="I1293" s="24" t="str">
        <f t="shared" si="190"/>
        <v>SPMG</v>
      </c>
      <c r="J1293" s="24" t="str">
        <f t="shared" si="190"/>
        <v>SPES</v>
      </c>
      <c r="K1293" s="24" t="str">
        <f t="shared" si="190"/>
        <v>SPSC</v>
      </c>
      <c r="L1293" s="24" t="str">
        <f t="shared" si="190"/>
        <v>SPRJ</v>
      </c>
      <c r="M1293" s="24" t="str">
        <f t="shared" si="190"/>
        <v>SPPR</v>
      </c>
      <c r="N1293" s="24" t="str">
        <f t="shared" si="190"/>
        <v>SPAM</v>
      </c>
      <c r="O1293" s="24">
        <f>VLOOKUP(H1293, KM!$A:$E, 5, 0)</f>
        <v>0</v>
      </c>
      <c r="P1293" s="24">
        <f>VLOOKUP(I1293, KM!$A:$E, 5, 0)</f>
        <v>586</v>
      </c>
      <c r="Q1293" s="24">
        <f>VLOOKUP(J1293, KM!$A:$E, 5, 0)</f>
        <v>882</v>
      </c>
      <c r="R1293" s="24">
        <f>VLOOKUP(K1293, KM!$A:$E, 5, 0)</f>
        <v>705</v>
      </c>
      <c r="S1293" s="24">
        <f>VLOOKUP(L1293, KM!$A:$E, 5, 0)</f>
        <v>429</v>
      </c>
      <c r="T1293" s="24">
        <f>VLOOKUP(M1293, KM!$A:$E, 5, 0)</f>
        <v>408</v>
      </c>
      <c r="U1293" s="24">
        <f>VLOOKUP(N1293, KM!$A:$E, 5, 0)</f>
        <v>3971</v>
      </c>
      <c r="V1293" s="24">
        <f>VLOOKUP(H1293, IMPOSTO!$A:$D, 4, 0)</f>
        <v>0.18</v>
      </c>
      <c r="W1293" s="24">
        <f>VLOOKUP(I1293, IMPOSTO!$A:$D, 4, 0)</f>
        <v>0.12</v>
      </c>
      <c r="X1293" s="24">
        <f>VLOOKUP(J1293, IMPOSTO!$A:$D, 4, 0)</f>
        <v>7.0000000000000007E-2</v>
      </c>
      <c r="Y1293" s="24">
        <f>VLOOKUP(K1293, IMPOSTO!$A:$D, 4, 0)</f>
        <v>0.12</v>
      </c>
      <c r="Z1293" s="24">
        <f>VLOOKUP(L1293, IMPOSTO!$A:$D, 4, 0)</f>
        <v>0.12</v>
      </c>
      <c r="AA1293" s="24">
        <f>VLOOKUP(M1293, IMPOSTO!$A:$D, 4, 0)</f>
        <v>0.12</v>
      </c>
      <c r="AB1293" s="24">
        <f>VLOOKUP(N1293, IMPOSTO!$A:$D, 4, 0)</f>
        <v>7.0000000000000007E-2</v>
      </c>
      <c r="AC1293" s="25">
        <f t="shared" si="183"/>
        <v>122225.01818495218</v>
      </c>
      <c r="AD1293" s="25">
        <f t="shared" si="184"/>
        <v>113958.08512688726</v>
      </c>
      <c r="AE1293" s="25">
        <f t="shared" si="185"/>
        <v>107863.13431361376</v>
      </c>
      <c r="AF1293" s="25">
        <f t="shared" si="186"/>
        <v>113971.60785415999</v>
      </c>
      <c r="AG1293" s="25">
        <f t="shared" si="187"/>
        <v>113940.24421779635</v>
      </c>
      <c r="AH1293" s="25">
        <f t="shared" si="188"/>
        <v>113937.85785416</v>
      </c>
      <c r="AI1293" s="25">
        <f t="shared" si="189"/>
        <v>108195.28485124817</v>
      </c>
    </row>
    <row r="1294" spans="1:35" ht="15.75" customHeight="1">
      <c r="A1294" s="12" t="s">
        <v>990</v>
      </c>
      <c r="B1294" s="12" t="s">
        <v>991</v>
      </c>
      <c r="C1294" s="12" t="s">
        <v>296</v>
      </c>
      <c r="D1294" s="12" t="s">
        <v>33</v>
      </c>
      <c r="E1294" s="12" t="s">
        <v>23</v>
      </c>
      <c r="F1294" s="13">
        <v>400</v>
      </c>
      <c r="G1294" s="14">
        <v>141322.79653679655</v>
      </c>
      <c r="H1294" s="24" t="str">
        <f t="shared" si="191"/>
        <v>SPSP</v>
      </c>
      <c r="I1294" s="24" t="str">
        <f t="shared" si="190"/>
        <v>SPMG</v>
      </c>
      <c r="J1294" s="24" t="str">
        <f t="shared" si="190"/>
        <v>SPES</v>
      </c>
      <c r="K1294" s="24" t="str">
        <f t="shared" si="190"/>
        <v>SPSC</v>
      </c>
      <c r="L1294" s="24" t="str">
        <f t="shared" si="190"/>
        <v>SPRJ</v>
      </c>
      <c r="M1294" s="24" t="str">
        <f t="shared" si="190"/>
        <v>SPPR</v>
      </c>
      <c r="N1294" s="24" t="str">
        <f t="shared" si="190"/>
        <v>SPAM</v>
      </c>
      <c r="O1294" s="24">
        <f>VLOOKUP(H1294, KM!$A:$E, 5, 0)</f>
        <v>0</v>
      </c>
      <c r="P1294" s="24">
        <f>VLOOKUP(I1294, KM!$A:$E, 5, 0)</f>
        <v>586</v>
      </c>
      <c r="Q1294" s="24">
        <f>VLOOKUP(J1294, KM!$A:$E, 5, 0)</f>
        <v>882</v>
      </c>
      <c r="R1294" s="24">
        <f>VLOOKUP(K1294, KM!$A:$E, 5, 0)</f>
        <v>705</v>
      </c>
      <c r="S1294" s="24">
        <f>VLOOKUP(L1294, KM!$A:$E, 5, 0)</f>
        <v>429</v>
      </c>
      <c r="T1294" s="24">
        <f>VLOOKUP(M1294, KM!$A:$E, 5, 0)</f>
        <v>408</v>
      </c>
      <c r="U1294" s="24">
        <f>VLOOKUP(N1294, KM!$A:$E, 5, 0)</f>
        <v>3971</v>
      </c>
      <c r="V1294" s="24">
        <f>VLOOKUP(H1294, IMPOSTO!$A:$D, 4, 0)</f>
        <v>0.18</v>
      </c>
      <c r="W1294" s="24">
        <f>VLOOKUP(I1294, IMPOSTO!$A:$D, 4, 0)</f>
        <v>0.12</v>
      </c>
      <c r="X1294" s="24">
        <f>VLOOKUP(J1294, IMPOSTO!$A:$D, 4, 0)</f>
        <v>7.0000000000000007E-2</v>
      </c>
      <c r="Y1294" s="24">
        <f>VLOOKUP(K1294, IMPOSTO!$A:$D, 4, 0)</f>
        <v>0.12</v>
      </c>
      <c r="Z1294" s="24">
        <f>VLOOKUP(L1294, IMPOSTO!$A:$D, 4, 0)</f>
        <v>0.12</v>
      </c>
      <c r="AA1294" s="24">
        <f>VLOOKUP(M1294, IMPOSTO!$A:$D, 4, 0)</f>
        <v>0.12</v>
      </c>
      <c r="AB1294" s="24">
        <f>VLOOKUP(N1294, IMPOSTO!$A:$D, 4, 0)</f>
        <v>7.0000000000000007E-2</v>
      </c>
      <c r="AC1294" s="25">
        <f t="shared" si="183"/>
        <v>172344.87382536163</v>
      </c>
      <c r="AD1294" s="25">
        <f t="shared" si="184"/>
        <v>160660.67788272336</v>
      </c>
      <c r="AE1294" s="25">
        <f t="shared" si="185"/>
        <v>152054.83498580277</v>
      </c>
      <c r="AF1294" s="25">
        <f t="shared" si="186"/>
        <v>160674.20060999607</v>
      </c>
      <c r="AG1294" s="25">
        <f t="shared" si="187"/>
        <v>160642.83697363242</v>
      </c>
      <c r="AH1294" s="25">
        <f t="shared" si="188"/>
        <v>160640.45060999607</v>
      </c>
      <c r="AI1294" s="25">
        <f t="shared" si="189"/>
        <v>152386.98552343718</v>
      </c>
    </row>
    <row r="1295" spans="1:35" ht="15.75" customHeight="1">
      <c r="A1295" s="12" t="s">
        <v>992</v>
      </c>
      <c r="B1295" s="12" t="s">
        <v>993</v>
      </c>
      <c r="C1295" s="12" t="s">
        <v>192</v>
      </c>
      <c r="D1295" s="12" t="s">
        <v>50</v>
      </c>
      <c r="E1295" s="12" t="s">
        <v>23</v>
      </c>
      <c r="F1295" s="13">
        <v>8</v>
      </c>
      <c r="G1295" s="14">
        <v>458.11840000000001</v>
      </c>
      <c r="H1295" s="24" t="str">
        <f t="shared" si="191"/>
        <v>SPSP</v>
      </c>
      <c r="I1295" s="24" t="str">
        <f t="shared" si="190"/>
        <v>SPMG</v>
      </c>
      <c r="J1295" s="24" t="str">
        <f t="shared" si="190"/>
        <v>SPES</v>
      </c>
      <c r="K1295" s="24" t="str">
        <f t="shared" si="190"/>
        <v>SPSC</v>
      </c>
      <c r="L1295" s="24" t="str">
        <f t="shared" si="190"/>
        <v>SPRJ</v>
      </c>
      <c r="M1295" s="24" t="str">
        <f t="shared" si="190"/>
        <v>SPPR</v>
      </c>
      <c r="N1295" s="24" t="str">
        <f t="shared" si="190"/>
        <v>SPAM</v>
      </c>
      <c r="O1295" s="24">
        <f>VLOOKUP(H1295, KM!$A:$E, 5, 0)</f>
        <v>0</v>
      </c>
      <c r="P1295" s="24">
        <f>VLOOKUP(I1295, KM!$A:$E, 5, 0)</f>
        <v>586</v>
      </c>
      <c r="Q1295" s="24">
        <f>VLOOKUP(J1295, KM!$A:$E, 5, 0)</f>
        <v>882</v>
      </c>
      <c r="R1295" s="24">
        <f>VLOOKUP(K1295, KM!$A:$E, 5, 0)</f>
        <v>705</v>
      </c>
      <c r="S1295" s="24">
        <f>VLOOKUP(L1295, KM!$A:$E, 5, 0)</f>
        <v>429</v>
      </c>
      <c r="T1295" s="24">
        <f>VLOOKUP(M1295, KM!$A:$E, 5, 0)</f>
        <v>408</v>
      </c>
      <c r="U1295" s="24">
        <f>VLOOKUP(N1295, KM!$A:$E, 5, 0)</f>
        <v>3971</v>
      </c>
      <c r="V1295" s="24">
        <f>VLOOKUP(H1295, IMPOSTO!$A:$D, 4, 0)</f>
        <v>0.18</v>
      </c>
      <c r="W1295" s="24">
        <f>VLOOKUP(I1295, IMPOSTO!$A:$D, 4, 0)</f>
        <v>0.12</v>
      </c>
      <c r="X1295" s="24">
        <f>VLOOKUP(J1295, IMPOSTO!$A:$D, 4, 0)</f>
        <v>7.0000000000000007E-2</v>
      </c>
      <c r="Y1295" s="24">
        <f>VLOOKUP(K1295, IMPOSTO!$A:$D, 4, 0)</f>
        <v>0.12</v>
      </c>
      <c r="Z1295" s="24">
        <f>VLOOKUP(L1295, IMPOSTO!$A:$D, 4, 0)</f>
        <v>0.12</v>
      </c>
      <c r="AA1295" s="24">
        <f>VLOOKUP(M1295, IMPOSTO!$A:$D, 4, 0)</f>
        <v>0.12</v>
      </c>
      <c r="AB1295" s="24">
        <f>VLOOKUP(N1295, IMPOSTO!$A:$D, 4, 0)</f>
        <v>7.0000000000000007E-2</v>
      </c>
      <c r="AC1295" s="25">
        <f t="shared" si="183"/>
        <v>558.68097560975605</v>
      </c>
      <c r="AD1295" s="25">
        <f t="shared" si="184"/>
        <v>587.17999999999995</v>
      </c>
      <c r="AE1295" s="25">
        <f t="shared" si="185"/>
        <v>587.43913978494629</v>
      </c>
      <c r="AF1295" s="25">
        <f t="shared" si="186"/>
        <v>600.70272727272732</v>
      </c>
      <c r="AG1295" s="25">
        <f t="shared" si="187"/>
        <v>569.33909090909094</v>
      </c>
      <c r="AH1295" s="25">
        <f t="shared" si="188"/>
        <v>566.95272727272732</v>
      </c>
      <c r="AI1295" s="25">
        <f t="shared" si="189"/>
        <v>919.58967741935487</v>
      </c>
    </row>
    <row r="1296" spans="1:35" ht="15.75" customHeight="1">
      <c r="A1296" s="12" t="s">
        <v>841</v>
      </c>
      <c r="B1296" s="12" t="s">
        <v>842</v>
      </c>
      <c r="C1296" s="12" t="s">
        <v>192</v>
      </c>
      <c r="D1296" s="12" t="s">
        <v>50</v>
      </c>
      <c r="E1296" s="12" t="s">
        <v>23</v>
      </c>
      <c r="F1296" s="13">
        <v>50.350305882352941</v>
      </c>
      <c r="G1296" s="14">
        <v>939.33390792156865</v>
      </c>
      <c r="H1296" s="24" t="str">
        <f t="shared" si="191"/>
        <v>SPSP</v>
      </c>
      <c r="I1296" s="24" t="str">
        <f t="shared" si="190"/>
        <v>SPMG</v>
      </c>
      <c r="J1296" s="24" t="str">
        <f t="shared" si="190"/>
        <v>SPES</v>
      </c>
      <c r="K1296" s="24" t="str">
        <f t="shared" si="190"/>
        <v>SPSC</v>
      </c>
      <c r="L1296" s="24" t="str">
        <f t="shared" si="190"/>
        <v>SPRJ</v>
      </c>
      <c r="M1296" s="24" t="str">
        <f t="shared" si="190"/>
        <v>SPPR</v>
      </c>
      <c r="N1296" s="24" t="str">
        <f t="shared" si="190"/>
        <v>SPAM</v>
      </c>
      <c r="O1296" s="24">
        <f>VLOOKUP(H1296, KM!$A:$E, 5, 0)</f>
        <v>0</v>
      </c>
      <c r="P1296" s="24">
        <f>VLOOKUP(I1296, KM!$A:$E, 5, 0)</f>
        <v>586</v>
      </c>
      <c r="Q1296" s="24">
        <f>VLOOKUP(J1296, KM!$A:$E, 5, 0)</f>
        <v>882</v>
      </c>
      <c r="R1296" s="24">
        <f>VLOOKUP(K1296, KM!$A:$E, 5, 0)</f>
        <v>705</v>
      </c>
      <c r="S1296" s="24">
        <f>VLOOKUP(L1296, KM!$A:$E, 5, 0)</f>
        <v>429</v>
      </c>
      <c r="T1296" s="24">
        <f>VLOOKUP(M1296, KM!$A:$E, 5, 0)</f>
        <v>408</v>
      </c>
      <c r="U1296" s="24">
        <f>VLOOKUP(N1296, KM!$A:$E, 5, 0)</f>
        <v>3971</v>
      </c>
      <c r="V1296" s="24">
        <f>VLOOKUP(H1296, IMPOSTO!$A:$D, 4, 0)</f>
        <v>0.18</v>
      </c>
      <c r="W1296" s="24">
        <f>VLOOKUP(I1296, IMPOSTO!$A:$D, 4, 0)</f>
        <v>0.12</v>
      </c>
      <c r="X1296" s="24">
        <f>VLOOKUP(J1296, IMPOSTO!$A:$D, 4, 0)</f>
        <v>7.0000000000000007E-2</v>
      </c>
      <c r="Y1296" s="24">
        <f>VLOOKUP(K1296, IMPOSTO!$A:$D, 4, 0)</f>
        <v>0.12</v>
      </c>
      <c r="Z1296" s="24">
        <f>VLOOKUP(L1296, IMPOSTO!$A:$D, 4, 0)</f>
        <v>0.12</v>
      </c>
      <c r="AA1296" s="24">
        <f>VLOOKUP(M1296, IMPOSTO!$A:$D, 4, 0)</f>
        <v>0.12</v>
      </c>
      <c r="AB1296" s="24">
        <f>VLOOKUP(N1296, IMPOSTO!$A:$D, 4, 0)</f>
        <v>7.0000000000000007E-2</v>
      </c>
      <c r="AC1296" s="25">
        <f t="shared" si="183"/>
        <v>1145.529156001913</v>
      </c>
      <c r="AD1296" s="25">
        <f t="shared" si="184"/>
        <v>1134.0158044563279</v>
      </c>
      <c r="AE1296" s="25">
        <f t="shared" si="185"/>
        <v>1104.8751698081385</v>
      </c>
      <c r="AF1296" s="25">
        <f t="shared" si="186"/>
        <v>1147.5385317290552</v>
      </c>
      <c r="AG1296" s="25">
        <f t="shared" si="187"/>
        <v>1116.1748953654189</v>
      </c>
      <c r="AH1296" s="25">
        <f t="shared" si="188"/>
        <v>1113.7885317290552</v>
      </c>
      <c r="AI1296" s="25">
        <f t="shared" si="189"/>
        <v>1437.0257074425472</v>
      </c>
    </row>
    <row r="1297" spans="1:35" ht="15.75" customHeight="1">
      <c r="A1297" s="12" t="s">
        <v>239</v>
      </c>
      <c r="B1297" s="12" t="s">
        <v>240</v>
      </c>
      <c r="C1297" s="12" t="s">
        <v>160</v>
      </c>
      <c r="D1297" s="12" t="s">
        <v>50</v>
      </c>
      <c r="E1297" s="12" t="s">
        <v>23</v>
      </c>
      <c r="F1297" s="13">
        <v>6146.25</v>
      </c>
      <c r="G1297" s="14">
        <v>212723.22690054087</v>
      </c>
      <c r="H1297" s="24" t="str">
        <f t="shared" si="191"/>
        <v>SPSP</v>
      </c>
      <c r="I1297" s="24" t="str">
        <f t="shared" si="190"/>
        <v>SPMG</v>
      </c>
      <c r="J1297" s="24" t="str">
        <f t="shared" si="190"/>
        <v>SPES</v>
      </c>
      <c r="K1297" s="24" t="str">
        <f t="shared" si="190"/>
        <v>SPSC</v>
      </c>
      <c r="L1297" s="24" t="str">
        <f t="shared" si="190"/>
        <v>SPRJ</v>
      </c>
      <c r="M1297" s="24" t="str">
        <f t="shared" si="190"/>
        <v>SPPR</v>
      </c>
      <c r="N1297" s="24" t="str">
        <f t="shared" si="190"/>
        <v>SPAM</v>
      </c>
      <c r="O1297" s="24">
        <f>VLOOKUP(H1297, KM!$A:$E, 5, 0)</f>
        <v>0</v>
      </c>
      <c r="P1297" s="24">
        <f>VLOOKUP(I1297, KM!$A:$E, 5, 0)</f>
        <v>586</v>
      </c>
      <c r="Q1297" s="24">
        <f>VLOOKUP(J1297, KM!$A:$E, 5, 0)</f>
        <v>882</v>
      </c>
      <c r="R1297" s="24">
        <f>VLOOKUP(K1297, KM!$A:$E, 5, 0)</f>
        <v>705</v>
      </c>
      <c r="S1297" s="24">
        <f>VLOOKUP(L1297, KM!$A:$E, 5, 0)</f>
        <v>429</v>
      </c>
      <c r="T1297" s="24">
        <f>VLOOKUP(M1297, KM!$A:$E, 5, 0)</f>
        <v>408</v>
      </c>
      <c r="U1297" s="24">
        <f>VLOOKUP(N1297, KM!$A:$E, 5, 0)</f>
        <v>3971</v>
      </c>
      <c r="V1297" s="24">
        <f>VLOOKUP(H1297, IMPOSTO!$A:$D, 4, 0)</f>
        <v>0.18</v>
      </c>
      <c r="W1297" s="24">
        <f>VLOOKUP(I1297, IMPOSTO!$A:$D, 4, 0)</f>
        <v>0.12</v>
      </c>
      <c r="X1297" s="24">
        <f>VLOOKUP(J1297, IMPOSTO!$A:$D, 4, 0)</f>
        <v>7.0000000000000007E-2</v>
      </c>
      <c r="Y1297" s="24">
        <f>VLOOKUP(K1297, IMPOSTO!$A:$D, 4, 0)</f>
        <v>0.12</v>
      </c>
      <c r="Z1297" s="24">
        <f>VLOOKUP(L1297, IMPOSTO!$A:$D, 4, 0)</f>
        <v>0.12</v>
      </c>
      <c r="AA1297" s="24">
        <f>VLOOKUP(M1297, IMPOSTO!$A:$D, 4, 0)</f>
        <v>0.12</v>
      </c>
      <c r="AB1297" s="24">
        <f>VLOOKUP(N1297, IMPOSTO!$A:$D, 4, 0)</f>
        <v>7.0000000000000007E-2</v>
      </c>
      <c r="AC1297" s="25">
        <f t="shared" si="183"/>
        <v>259418.56939090349</v>
      </c>
      <c r="AD1297" s="25">
        <f t="shared" si="184"/>
        <v>241797.53056879644</v>
      </c>
      <c r="AE1297" s="25">
        <f t="shared" si="185"/>
        <v>228829.4912909042</v>
      </c>
      <c r="AF1297" s="25">
        <f t="shared" si="186"/>
        <v>241811.05329606918</v>
      </c>
      <c r="AG1297" s="25">
        <f t="shared" si="187"/>
        <v>241779.68965970553</v>
      </c>
      <c r="AH1297" s="25">
        <f t="shared" si="188"/>
        <v>241777.30329606915</v>
      </c>
      <c r="AI1297" s="25">
        <f t="shared" si="189"/>
        <v>229161.64182853859</v>
      </c>
    </row>
    <row r="1298" spans="1:35" ht="15.75" customHeight="1">
      <c r="A1298" s="12" t="s">
        <v>932</v>
      </c>
      <c r="B1298" s="12" t="s">
        <v>933</v>
      </c>
      <c r="C1298" s="12" t="s">
        <v>259</v>
      </c>
      <c r="D1298" s="12" t="s">
        <v>50</v>
      </c>
      <c r="E1298" s="12" t="s">
        <v>23</v>
      </c>
      <c r="F1298" s="13">
        <v>245.40678658536586</v>
      </c>
      <c r="G1298" s="14">
        <v>20897.809978609755</v>
      </c>
      <c r="H1298" s="24" t="str">
        <f t="shared" si="191"/>
        <v>SPSP</v>
      </c>
      <c r="I1298" s="24" t="str">
        <f t="shared" si="190"/>
        <v>SPMG</v>
      </c>
      <c r="J1298" s="24" t="str">
        <f t="shared" si="190"/>
        <v>SPES</v>
      </c>
      <c r="K1298" s="24" t="str">
        <f t="shared" si="190"/>
        <v>SPSC</v>
      </c>
      <c r="L1298" s="24" t="str">
        <f t="shared" si="190"/>
        <v>SPRJ</v>
      </c>
      <c r="M1298" s="24" t="str">
        <f t="shared" si="190"/>
        <v>SPPR</v>
      </c>
      <c r="N1298" s="24" t="str">
        <f t="shared" si="190"/>
        <v>SPAM</v>
      </c>
      <c r="O1298" s="24">
        <f>VLOOKUP(H1298, KM!$A:$E, 5, 0)</f>
        <v>0</v>
      </c>
      <c r="P1298" s="24">
        <f>VLOOKUP(I1298, KM!$A:$E, 5, 0)</f>
        <v>586</v>
      </c>
      <c r="Q1298" s="24">
        <f>VLOOKUP(J1298, KM!$A:$E, 5, 0)</f>
        <v>882</v>
      </c>
      <c r="R1298" s="24">
        <f>VLOOKUP(K1298, KM!$A:$E, 5, 0)</f>
        <v>705</v>
      </c>
      <c r="S1298" s="24">
        <f>VLOOKUP(L1298, KM!$A:$E, 5, 0)</f>
        <v>429</v>
      </c>
      <c r="T1298" s="24">
        <f>VLOOKUP(M1298, KM!$A:$E, 5, 0)</f>
        <v>408</v>
      </c>
      <c r="U1298" s="24">
        <f>VLOOKUP(N1298, KM!$A:$E, 5, 0)</f>
        <v>3971</v>
      </c>
      <c r="V1298" s="24">
        <f>VLOOKUP(H1298, IMPOSTO!$A:$D, 4, 0)</f>
        <v>0.18</v>
      </c>
      <c r="W1298" s="24">
        <f>VLOOKUP(I1298, IMPOSTO!$A:$D, 4, 0)</f>
        <v>0.12</v>
      </c>
      <c r="X1298" s="24">
        <f>VLOOKUP(J1298, IMPOSTO!$A:$D, 4, 0)</f>
        <v>7.0000000000000007E-2</v>
      </c>
      <c r="Y1298" s="24">
        <f>VLOOKUP(K1298, IMPOSTO!$A:$D, 4, 0)</f>
        <v>0.12</v>
      </c>
      <c r="Z1298" s="24">
        <f>VLOOKUP(L1298, IMPOSTO!$A:$D, 4, 0)</f>
        <v>0.12</v>
      </c>
      <c r="AA1298" s="24">
        <f>VLOOKUP(M1298, IMPOSTO!$A:$D, 4, 0)</f>
        <v>0.12</v>
      </c>
      <c r="AB1298" s="24">
        <f>VLOOKUP(N1298, IMPOSTO!$A:$D, 4, 0)</f>
        <v>7.0000000000000007E-2</v>
      </c>
      <c r="AC1298" s="25">
        <f t="shared" si="183"/>
        <v>25485.134120255796</v>
      </c>
      <c r="AD1298" s="25">
        <f t="shared" si="184"/>
        <v>23814.102248420175</v>
      </c>
      <c r="AE1298" s="25">
        <f t="shared" si="185"/>
        <v>22565.602127537375</v>
      </c>
      <c r="AF1298" s="25">
        <f t="shared" si="186"/>
        <v>23827.624975692903</v>
      </c>
      <c r="AG1298" s="25">
        <f t="shared" si="187"/>
        <v>23796.26133932927</v>
      </c>
      <c r="AH1298" s="25">
        <f t="shared" si="188"/>
        <v>23793.874975692903</v>
      </c>
      <c r="AI1298" s="25">
        <f t="shared" si="189"/>
        <v>22897.752665171782</v>
      </c>
    </row>
    <row r="1299" spans="1:35" ht="15.75" customHeight="1">
      <c r="A1299" s="12" t="s">
        <v>70</v>
      </c>
      <c r="B1299" s="12" t="s">
        <v>71</v>
      </c>
      <c r="C1299" s="12" t="s">
        <v>54</v>
      </c>
      <c r="D1299" s="12" t="s">
        <v>33</v>
      </c>
      <c r="E1299" s="12" t="s">
        <v>23</v>
      </c>
      <c r="F1299" s="13">
        <v>8.1661492614091049</v>
      </c>
      <c r="G1299" s="14">
        <v>110.33603272426922</v>
      </c>
      <c r="H1299" s="24" t="str">
        <f t="shared" si="191"/>
        <v>SPSP</v>
      </c>
      <c r="I1299" s="24" t="str">
        <f t="shared" si="190"/>
        <v>SPMG</v>
      </c>
      <c r="J1299" s="24" t="str">
        <f t="shared" si="190"/>
        <v>SPES</v>
      </c>
      <c r="K1299" s="24" t="str">
        <f t="shared" si="190"/>
        <v>SPSC</v>
      </c>
      <c r="L1299" s="24" t="str">
        <f t="shared" si="190"/>
        <v>SPRJ</v>
      </c>
      <c r="M1299" s="24" t="str">
        <f t="shared" si="190"/>
        <v>SPPR</v>
      </c>
      <c r="N1299" s="24" t="str">
        <f t="shared" si="190"/>
        <v>SPAM</v>
      </c>
      <c r="O1299" s="24">
        <f>VLOOKUP(H1299, KM!$A:$E, 5, 0)</f>
        <v>0</v>
      </c>
      <c r="P1299" s="24">
        <f>VLOOKUP(I1299, KM!$A:$E, 5, 0)</f>
        <v>586</v>
      </c>
      <c r="Q1299" s="24">
        <f>VLOOKUP(J1299, KM!$A:$E, 5, 0)</f>
        <v>882</v>
      </c>
      <c r="R1299" s="24">
        <f>VLOOKUP(K1299, KM!$A:$E, 5, 0)</f>
        <v>705</v>
      </c>
      <c r="S1299" s="24">
        <f>VLOOKUP(L1299, KM!$A:$E, 5, 0)</f>
        <v>429</v>
      </c>
      <c r="T1299" s="24">
        <f>VLOOKUP(M1299, KM!$A:$E, 5, 0)</f>
        <v>408</v>
      </c>
      <c r="U1299" s="24">
        <f>VLOOKUP(N1299, KM!$A:$E, 5, 0)</f>
        <v>3971</v>
      </c>
      <c r="V1299" s="24">
        <f>VLOOKUP(H1299, IMPOSTO!$A:$D, 4, 0)</f>
        <v>0.18</v>
      </c>
      <c r="W1299" s="24">
        <f>VLOOKUP(I1299, IMPOSTO!$A:$D, 4, 0)</f>
        <v>0.12</v>
      </c>
      <c r="X1299" s="24">
        <f>VLOOKUP(J1299, IMPOSTO!$A:$D, 4, 0)</f>
        <v>7.0000000000000007E-2</v>
      </c>
      <c r="Y1299" s="24">
        <f>VLOOKUP(K1299, IMPOSTO!$A:$D, 4, 0)</f>
        <v>0.12</v>
      </c>
      <c r="Z1299" s="24">
        <f>VLOOKUP(L1299, IMPOSTO!$A:$D, 4, 0)</f>
        <v>0.12</v>
      </c>
      <c r="AA1299" s="24">
        <f>VLOOKUP(M1299, IMPOSTO!$A:$D, 4, 0)</f>
        <v>0.12</v>
      </c>
      <c r="AB1299" s="24">
        <f>VLOOKUP(N1299, IMPOSTO!$A:$D, 4, 0)</f>
        <v>7.0000000000000007E-2</v>
      </c>
      <c r="AC1299" s="25">
        <f t="shared" ref="AC1299:AC1362" si="192">($G1299 + O1299 * $AE$5) / (1 - V1299)</f>
        <v>134.55613746862099</v>
      </c>
      <c r="AD1299" s="25">
        <f t="shared" ref="AD1299:AD1362" si="193">($G1299 + P1299 * $AE$5) / (1 - W1299)</f>
        <v>191.97276445939684</v>
      </c>
      <c r="AE1299" s="25">
        <f t="shared" ref="AE1299:AE1362" si="194">($G1299 + Q1299 * $AE$5) / (1 - X1299)</f>
        <v>213.47960507985937</v>
      </c>
      <c r="AF1299" s="25">
        <f t="shared" ref="AF1299:AF1362" si="195">($G1299 + R1299 * $AE$5) / (1 - Y1299)</f>
        <v>205.49549173212412</v>
      </c>
      <c r="AG1299" s="25">
        <f t="shared" ref="AG1299:AG1362" si="196">($G1299 + S1299 * $AE$5) / (1 - Z1299)</f>
        <v>174.13185536848775</v>
      </c>
      <c r="AH1299" s="25">
        <f t="shared" ref="AH1299:AH1362" si="197">($G1299 + T1299 * $AE$5) / (1 - AA1299)</f>
        <v>171.74549173212412</v>
      </c>
      <c r="AI1299" s="25">
        <f t="shared" ref="AI1299:AI1362" si="198">($G1299 + U1299 * $AE$5) / (1 - AB1299)</f>
        <v>545.630142714268</v>
      </c>
    </row>
    <row r="1300" spans="1:35" ht="15.75" customHeight="1">
      <c r="A1300" s="12" t="s">
        <v>681</v>
      </c>
      <c r="B1300" s="12" t="s">
        <v>682</v>
      </c>
      <c r="C1300" s="12" t="s">
        <v>119</v>
      </c>
      <c r="D1300" s="12" t="s">
        <v>33</v>
      </c>
      <c r="E1300" s="12" t="s">
        <v>23</v>
      </c>
      <c r="F1300" s="13">
        <v>20400</v>
      </c>
      <c r="G1300" s="14">
        <v>38384.639999999999</v>
      </c>
      <c r="H1300" s="24" t="str">
        <f t="shared" si="191"/>
        <v>SPSP</v>
      </c>
      <c r="I1300" s="24" t="str">
        <f t="shared" si="190"/>
        <v>SPMG</v>
      </c>
      <c r="J1300" s="24" t="str">
        <f t="shared" si="190"/>
        <v>SPES</v>
      </c>
      <c r="K1300" s="24" t="str">
        <f t="shared" si="190"/>
        <v>SPSC</v>
      </c>
      <c r="L1300" s="24" t="str">
        <f t="shared" si="190"/>
        <v>SPRJ</v>
      </c>
      <c r="M1300" s="24" t="str">
        <f t="shared" ref="I1300:N1363" si="199">$E1300 &amp; M$17</f>
        <v>SPPR</v>
      </c>
      <c r="N1300" s="24" t="str">
        <f t="shared" si="199"/>
        <v>SPAM</v>
      </c>
      <c r="O1300" s="24">
        <f>VLOOKUP(H1300, KM!$A:$E, 5, 0)</f>
        <v>0</v>
      </c>
      <c r="P1300" s="24">
        <f>VLOOKUP(I1300, KM!$A:$E, 5, 0)</f>
        <v>586</v>
      </c>
      <c r="Q1300" s="24">
        <f>VLOOKUP(J1300, KM!$A:$E, 5, 0)</f>
        <v>882</v>
      </c>
      <c r="R1300" s="24">
        <f>VLOOKUP(K1300, KM!$A:$E, 5, 0)</f>
        <v>705</v>
      </c>
      <c r="S1300" s="24">
        <f>VLOOKUP(L1300, KM!$A:$E, 5, 0)</f>
        <v>429</v>
      </c>
      <c r="T1300" s="24">
        <f>VLOOKUP(M1300, KM!$A:$E, 5, 0)</f>
        <v>408</v>
      </c>
      <c r="U1300" s="24">
        <f>VLOOKUP(N1300, KM!$A:$E, 5, 0)</f>
        <v>3971</v>
      </c>
      <c r="V1300" s="24">
        <f>VLOOKUP(H1300, IMPOSTO!$A:$D, 4, 0)</f>
        <v>0.18</v>
      </c>
      <c r="W1300" s="24">
        <f>VLOOKUP(I1300, IMPOSTO!$A:$D, 4, 0)</f>
        <v>0.12</v>
      </c>
      <c r="X1300" s="24">
        <f>VLOOKUP(J1300, IMPOSTO!$A:$D, 4, 0)</f>
        <v>7.0000000000000007E-2</v>
      </c>
      <c r="Y1300" s="24">
        <f>VLOOKUP(K1300, IMPOSTO!$A:$D, 4, 0)</f>
        <v>0.12</v>
      </c>
      <c r="Z1300" s="24">
        <f>VLOOKUP(L1300, IMPOSTO!$A:$D, 4, 0)</f>
        <v>0.12</v>
      </c>
      <c r="AA1300" s="24">
        <f>VLOOKUP(M1300, IMPOSTO!$A:$D, 4, 0)</f>
        <v>0.12</v>
      </c>
      <c r="AB1300" s="24">
        <f>VLOOKUP(N1300, IMPOSTO!$A:$D, 4, 0)</f>
        <v>7.0000000000000007E-2</v>
      </c>
      <c r="AC1300" s="25">
        <f t="shared" si="192"/>
        <v>46810.536585365851</v>
      </c>
      <c r="AD1300" s="25">
        <f t="shared" si="193"/>
        <v>43685.5</v>
      </c>
      <c r="AE1300" s="25">
        <f t="shared" si="194"/>
        <v>41368.645161290318</v>
      </c>
      <c r="AF1300" s="25">
        <f t="shared" si="195"/>
        <v>43699.022727272728</v>
      </c>
      <c r="AG1300" s="25">
        <f t="shared" si="196"/>
        <v>43667.659090909088</v>
      </c>
      <c r="AH1300" s="25">
        <f t="shared" si="197"/>
        <v>43665.272727272728</v>
      </c>
      <c r="AI1300" s="25">
        <f t="shared" si="198"/>
        <v>41700.795698924732</v>
      </c>
    </row>
    <row r="1301" spans="1:35" ht="15.75" customHeight="1">
      <c r="A1301" s="12" t="s">
        <v>994</v>
      </c>
      <c r="B1301" s="12" t="s">
        <v>995</v>
      </c>
      <c r="C1301" s="12" t="s">
        <v>936</v>
      </c>
      <c r="D1301" s="12" t="s">
        <v>50</v>
      </c>
      <c r="E1301" s="12" t="s">
        <v>23</v>
      </c>
      <c r="F1301" s="13">
        <v>11.828750472398788</v>
      </c>
      <c r="G1301" s="14">
        <v>338.6501558562494</v>
      </c>
      <c r="H1301" s="24" t="str">
        <f t="shared" si="191"/>
        <v>SPSP</v>
      </c>
      <c r="I1301" s="24" t="str">
        <f t="shared" si="199"/>
        <v>SPMG</v>
      </c>
      <c r="J1301" s="24" t="str">
        <f t="shared" si="199"/>
        <v>SPES</v>
      </c>
      <c r="K1301" s="24" t="str">
        <f t="shared" si="199"/>
        <v>SPSC</v>
      </c>
      <c r="L1301" s="24" t="str">
        <f t="shared" si="199"/>
        <v>SPRJ</v>
      </c>
      <c r="M1301" s="24" t="str">
        <f t="shared" si="199"/>
        <v>SPPR</v>
      </c>
      <c r="N1301" s="24" t="str">
        <f t="shared" si="199"/>
        <v>SPAM</v>
      </c>
      <c r="O1301" s="24">
        <f>VLOOKUP(H1301, KM!$A:$E, 5, 0)</f>
        <v>0</v>
      </c>
      <c r="P1301" s="24">
        <f>VLOOKUP(I1301, KM!$A:$E, 5, 0)</f>
        <v>586</v>
      </c>
      <c r="Q1301" s="24">
        <f>VLOOKUP(J1301, KM!$A:$E, 5, 0)</f>
        <v>882</v>
      </c>
      <c r="R1301" s="24">
        <f>VLOOKUP(K1301, KM!$A:$E, 5, 0)</f>
        <v>705</v>
      </c>
      <c r="S1301" s="24">
        <f>VLOOKUP(L1301, KM!$A:$E, 5, 0)</f>
        <v>429</v>
      </c>
      <c r="T1301" s="24">
        <f>VLOOKUP(M1301, KM!$A:$E, 5, 0)</f>
        <v>408</v>
      </c>
      <c r="U1301" s="24">
        <f>VLOOKUP(N1301, KM!$A:$E, 5, 0)</f>
        <v>3971</v>
      </c>
      <c r="V1301" s="24">
        <f>VLOOKUP(H1301, IMPOSTO!$A:$D, 4, 0)</f>
        <v>0.18</v>
      </c>
      <c r="W1301" s="24">
        <f>VLOOKUP(I1301, IMPOSTO!$A:$D, 4, 0)</f>
        <v>0.12</v>
      </c>
      <c r="X1301" s="24">
        <f>VLOOKUP(J1301, IMPOSTO!$A:$D, 4, 0)</f>
        <v>7.0000000000000007E-2</v>
      </c>
      <c r="Y1301" s="24">
        <f>VLOOKUP(K1301, IMPOSTO!$A:$D, 4, 0)</f>
        <v>0.12</v>
      </c>
      <c r="Z1301" s="24">
        <f>VLOOKUP(L1301, IMPOSTO!$A:$D, 4, 0)</f>
        <v>0.12</v>
      </c>
      <c r="AA1301" s="24">
        <f>VLOOKUP(M1301, IMPOSTO!$A:$D, 4, 0)</f>
        <v>0.12</v>
      </c>
      <c r="AB1301" s="24">
        <f>VLOOKUP(N1301, IMPOSTO!$A:$D, 4, 0)</f>
        <v>7.0000000000000007E-2</v>
      </c>
      <c r="AC1301" s="25">
        <f t="shared" si="192"/>
        <v>412.98799494664559</v>
      </c>
      <c r="AD1301" s="25">
        <f t="shared" si="193"/>
        <v>451.42063165482887</v>
      </c>
      <c r="AE1301" s="25">
        <f t="shared" si="194"/>
        <v>458.97866221102089</v>
      </c>
      <c r="AF1301" s="25">
        <f t="shared" si="195"/>
        <v>464.94335892755612</v>
      </c>
      <c r="AG1301" s="25">
        <f t="shared" si="196"/>
        <v>433.57972256391974</v>
      </c>
      <c r="AH1301" s="25">
        <f t="shared" si="197"/>
        <v>431.19335892755612</v>
      </c>
      <c r="AI1301" s="25">
        <f t="shared" si="198"/>
        <v>791.12919984542953</v>
      </c>
    </row>
    <row r="1302" spans="1:35" ht="15.75" customHeight="1">
      <c r="A1302" s="12" t="s">
        <v>996</v>
      </c>
      <c r="B1302" s="12" t="s">
        <v>997</v>
      </c>
      <c r="C1302" s="12" t="s">
        <v>169</v>
      </c>
      <c r="D1302" s="12" t="s">
        <v>33</v>
      </c>
      <c r="E1302" s="12" t="s">
        <v>23</v>
      </c>
      <c r="F1302" s="13">
        <v>7565.789600000001</v>
      </c>
      <c r="G1302" s="14">
        <v>4261.0527027200005</v>
      </c>
      <c r="H1302" s="24" t="str">
        <f t="shared" si="191"/>
        <v>SPSP</v>
      </c>
      <c r="I1302" s="24" t="str">
        <f t="shared" si="199"/>
        <v>SPMG</v>
      </c>
      <c r="J1302" s="24" t="str">
        <f t="shared" si="199"/>
        <v>SPES</v>
      </c>
      <c r="K1302" s="24" t="str">
        <f t="shared" si="199"/>
        <v>SPSC</v>
      </c>
      <c r="L1302" s="24" t="str">
        <f t="shared" si="199"/>
        <v>SPRJ</v>
      </c>
      <c r="M1302" s="24" t="str">
        <f t="shared" si="199"/>
        <v>SPPR</v>
      </c>
      <c r="N1302" s="24" t="str">
        <f t="shared" si="199"/>
        <v>SPAM</v>
      </c>
      <c r="O1302" s="24">
        <f>VLOOKUP(H1302, KM!$A:$E, 5, 0)</f>
        <v>0</v>
      </c>
      <c r="P1302" s="24">
        <f>VLOOKUP(I1302, KM!$A:$E, 5, 0)</f>
        <v>586</v>
      </c>
      <c r="Q1302" s="24">
        <f>VLOOKUP(J1302, KM!$A:$E, 5, 0)</f>
        <v>882</v>
      </c>
      <c r="R1302" s="24">
        <f>VLOOKUP(K1302, KM!$A:$E, 5, 0)</f>
        <v>705</v>
      </c>
      <c r="S1302" s="24">
        <f>VLOOKUP(L1302, KM!$A:$E, 5, 0)</f>
        <v>429</v>
      </c>
      <c r="T1302" s="24">
        <f>VLOOKUP(M1302, KM!$A:$E, 5, 0)</f>
        <v>408</v>
      </c>
      <c r="U1302" s="24">
        <f>VLOOKUP(N1302, KM!$A:$E, 5, 0)</f>
        <v>3971</v>
      </c>
      <c r="V1302" s="24">
        <f>VLOOKUP(H1302, IMPOSTO!$A:$D, 4, 0)</f>
        <v>0.18</v>
      </c>
      <c r="W1302" s="24">
        <f>VLOOKUP(I1302, IMPOSTO!$A:$D, 4, 0)</f>
        <v>0.12</v>
      </c>
      <c r="X1302" s="24">
        <f>VLOOKUP(J1302, IMPOSTO!$A:$D, 4, 0)</f>
        <v>7.0000000000000007E-2</v>
      </c>
      <c r="Y1302" s="24">
        <f>VLOOKUP(K1302, IMPOSTO!$A:$D, 4, 0)</f>
        <v>0.12</v>
      </c>
      <c r="Z1302" s="24">
        <f>VLOOKUP(L1302, IMPOSTO!$A:$D, 4, 0)</f>
        <v>0.12</v>
      </c>
      <c r="AA1302" s="24">
        <f>VLOOKUP(M1302, IMPOSTO!$A:$D, 4, 0)</f>
        <v>0.12</v>
      </c>
      <c r="AB1302" s="24">
        <f>VLOOKUP(N1302, IMPOSTO!$A:$D, 4, 0)</f>
        <v>7.0000000000000007E-2</v>
      </c>
      <c r="AC1302" s="25">
        <f t="shared" si="192"/>
        <v>5196.4057350243902</v>
      </c>
      <c r="AD1302" s="25">
        <f t="shared" si="193"/>
        <v>4908.6962530909104</v>
      </c>
      <c r="AE1302" s="25">
        <f t="shared" si="194"/>
        <v>4676.6158093763452</v>
      </c>
      <c r="AF1302" s="25">
        <f t="shared" si="195"/>
        <v>4922.2189803636365</v>
      </c>
      <c r="AG1302" s="25">
        <f t="shared" si="196"/>
        <v>4890.8553440000005</v>
      </c>
      <c r="AH1302" s="25">
        <f t="shared" si="197"/>
        <v>4888.4689803636375</v>
      </c>
      <c r="AI1302" s="25">
        <f t="shared" si="198"/>
        <v>5008.7663470107536</v>
      </c>
    </row>
    <row r="1303" spans="1:35" ht="15.75" customHeight="1">
      <c r="A1303" s="12" t="s">
        <v>72</v>
      </c>
      <c r="B1303" s="12" t="s">
        <v>73</v>
      </c>
      <c r="C1303" s="12" t="s">
        <v>63</v>
      </c>
      <c r="D1303" s="12" t="s">
        <v>33</v>
      </c>
      <c r="E1303" s="12" t="s">
        <v>23</v>
      </c>
      <c r="F1303" s="13">
        <v>0.29526214194030515</v>
      </c>
      <c r="G1303" s="14">
        <v>5.3973547958277841</v>
      </c>
      <c r="H1303" s="24" t="str">
        <f t="shared" si="191"/>
        <v>SPSP</v>
      </c>
      <c r="I1303" s="24" t="str">
        <f t="shared" si="199"/>
        <v>SPMG</v>
      </c>
      <c r="J1303" s="24" t="str">
        <f t="shared" si="199"/>
        <v>SPES</v>
      </c>
      <c r="K1303" s="24" t="str">
        <f t="shared" si="199"/>
        <v>SPSC</v>
      </c>
      <c r="L1303" s="24" t="str">
        <f t="shared" si="199"/>
        <v>SPRJ</v>
      </c>
      <c r="M1303" s="24" t="str">
        <f t="shared" si="199"/>
        <v>SPPR</v>
      </c>
      <c r="N1303" s="24" t="str">
        <f t="shared" si="199"/>
        <v>SPAM</v>
      </c>
      <c r="O1303" s="24">
        <f>VLOOKUP(H1303, KM!$A:$E, 5, 0)</f>
        <v>0</v>
      </c>
      <c r="P1303" s="24">
        <f>VLOOKUP(I1303, KM!$A:$E, 5, 0)</f>
        <v>586</v>
      </c>
      <c r="Q1303" s="24">
        <f>VLOOKUP(J1303, KM!$A:$E, 5, 0)</f>
        <v>882</v>
      </c>
      <c r="R1303" s="24">
        <f>VLOOKUP(K1303, KM!$A:$E, 5, 0)</f>
        <v>705</v>
      </c>
      <c r="S1303" s="24">
        <f>VLOOKUP(L1303, KM!$A:$E, 5, 0)</f>
        <v>429</v>
      </c>
      <c r="T1303" s="24">
        <f>VLOOKUP(M1303, KM!$A:$E, 5, 0)</f>
        <v>408</v>
      </c>
      <c r="U1303" s="24">
        <f>VLOOKUP(N1303, KM!$A:$E, 5, 0)</f>
        <v>3971</v>
      </c>
      <c r="V1303" s="24">
        <f>VLOOKUP(H1303, IMPOSTO!$A:$D, 4, 0)</f>
        <v>0.18</v>
      </c>
      <c r="W1303" s="24">
        <f>VLOOKUP(I1303, IMPOSTO!$A:$D, 4, 0)</f>
        <v>0.12</v>
      </c>
      <c r="X1303" s="24">
        <f>VLOOKUP(J1303, IMPOSTO!$A:$D, 4, 0)</f>
        <v>7.0000000000000007E-2</v>
      </c>
      <c r="Y1303" s="24">
        <f>VLOOKUP(K1303, IMPOSTO!$A:$D, 4, 0)</f>
        <v>0.12</v>
      </c>
      <c r="Z1303" s="24">
        <f>VLOOKUP(L1303, IMPOSTO!$A:$D, 4, 0)</f>
        <v>0.12</v>
      </c>
      <c r="AA1303" s="24">
        <f>VLOOKUP(M1303, IMPOSTO!$A:$D, 4, 0)</f>
        <v>0.12</v>
      </c>
      <c r="AB1303" s="24">
        <f>VLOOKUP(N1303, IMPOSTO!$A:$D, 4, 0)</f>
        <v>7.0000000000000007E-2</v>
      </c>
      <c r="AC1303" s="25">
        <f t="shared" si="192"/>
        <v>6.5821399949119312</v>
      </c>
      <c r="AD1303" s="25">
        <f t="shared" si="193"/>
        <v>72.724266813440664</v>
      </c>
      <c r="AE1303" s="25">
        <f t="shared" si="194"/>
        <v>100.64231698476107</v>
      </c>
      <c r="AF1303" s="25">
        <f t="shared" si="195"/>
        <v>86.246994086167931</v>
      </c>
      <c r="AG1303" s="25">
        <f t="shared" si="196"/>
        <v>54.883357722531578</v>
      </c>
      <c r="AH1303" s="25">
        <f t="shared" si="197"/>
        <v>52.496994086167945</v>
      </c>
      <c r="AI1303" s="25">
        <f t="shared" si="198"/>
        <v>432.7928546191697</v>
      </c>
    </row>
    <row r="1304" spans="1:35" ht="15.75" customHeight="1">
      <c r="A1304" s="12" t="s">
        <v>117</v>
      </c>
      <c r="B1304" s="12" t="s">
        <v>485</v>
      </c>
      <c r="C1304" s="12" t="s">
        <v>119</v>
      </c>
      <c r="D1304" s="12" t="s">
        <v>33</v>
      </c>
      <c r="E1304" s="12" t="s">
        <v>23</v>
      </c>
      <c r="F1304" s="13">
        <v>0</v>
      </c>
      <c r="G1304" s="14">
        <v>0</v>
      </c>
      <c r="H1304" s="24" t="str">
        <f t="shared" si="191"/>
        <v>SPSP</v>
      </c>
      <c r="I1304" s="24" t="str">
        <f t="shared" si="199"/>
        <v>SPMG</v>
      </c>
      <c r="J1304" s="24" t="str">
        <f t="shared" si="199"/>
        <v>SPES</v>
      </c>
      <c r="K1304" s="24" t="str">
        <f t="shared" si="199"/>
        <v>SPSC</v>
      </c>
      <c r="L1304" s="24" t="str">
        <f t="shared" si="199"/>
        <v>SPRJ</v>
      </c>
      <c r="M1304" s="24" t="str">
        <f t="shared" si="199"/>
        <v>SPPR</v>
      </c>
      <c r="N1304" s="24" t="str">
        <f t="shared" si="199"/>
        <v>SPAM</v>
      </c>
      <c r="O1304" s="24">
        <f>VLOOKUP(H1304, KM!$A:$E, 5, 0)</f>
        <v>0</v>
      </c>
      <c r="P1304" s="24">
        <f>VLOOKUP(I1304, KM!$A:$E, 5, 0)</f>
        <v>586</v>
      </c>
      <c r="Q1304" s="24">
        <f>VLOOKUP(J1304, KM!$A:$E, 5, 0)</f>
        <v>882</v>
      </c>
      <c r="R1304" s="24">
        <f>VLOOKUP(K1304, KM!$A:$E, 5, 0)</f>
        <v>705</v>
      </c>
      <c r="S1304" s="24">
        <f>VLOOKUP(L1304, KM!$A:$E, 5, 0)</f>
        <v>429</v>
      </c>
      <c r="T1304" s="24">
        <f>VLOOKUP(M1304, KM!$A:$E, 5, 0)</f>
        <v>408</v>
      </c>
      <c r="U1304" s="24">
        <f>VLOOKUP(N1304, KM!$A:$E, 5, 0)</f>
        <v>3971</v>
      </c>
      <c r="V1304" s="24">
        <f>VLOOKUP(H1304, IMPOSTO!$A:$D, 4, 0)</f>
        <v>0.18</v>
      </c>
      <c r="W1304" s="24">
        <f>VLOOKUP(I1304, IMPOSTO!$A:$D, 4, 0)</f>
        <v>0.12</v>
      </c>
      <c r="X1304" s="24">
        <f>VLOOKUP(J1304, IMPOSTO!$A:$D, 4, 0)</f>
        <v>7.0000000000000007E-2</v>
      </c>
      <c r="Y1304" s="24">
        <f>VLOOKUP(K1304, IMPOSTO!$A:$D, 4, 0)</f>
        <v>0.12</v>
      </c>
      <c r="Z1304" s="24">
        <f>VLOOKUP(L1304, IMPOSTO!$A:$D, 4, 0)</f>
        <v>0.12</v>
      </c>
      <c r="AA1304" s="24">
        <f>VLOOKUP(M1304, IMPOSTO!$A:$D, 4, 0)</f>
        <v>0.12</v>
      </c>
      <c r="AB1304" s="24">
        <f>VLOOKUP(N1304, IMPOSTO!$A:$D, 4, 0)</f>
        <v>7.0000000000000007E-2</v>
      </c>
      <c r="AC1304" s="25">
        <f t="shared" si="192"/>
        <v>0</v>
      </c>
      <c r="AD1304" s="25">
        <f t="shared" si="193"/>
        <v>66.590909090909093</v>
      </c>
      <c r="AE1304" s="25">
        <f t="shared" si="194"/>
        <v>94.838709677419359</v>
      </c>
      <c r="AF1304" s="25">
        <f t="shared" si="195"/>
        <v>80.11363636363636</v>
      </c>
      <c r="AG1304" s="25">
        <f t="shared" si="196"/>
        <v>48.750000000000007</v>
      </c>
      <c r="AH1304" s="25">
        <f t="shared" si="197"/>
        <v>46.363636363636367</v>
      </c>
      <c r="AI1304" s="25">
        <f t="shared" si="198"/>
        <v>426.98924731182802</v>
      </c>
    </row>
    <row r="1305" spans="1:35" ht="15.75" customHeight="1">
      <c r="A1305" s="12" t="s">
        <v>998</v>
      </c>
      <c r="B1305" s="12" t="s">
        <v>999</v>
      </c>
      <c r="C1305" s="12" t="s">
        <v>278</v>
      </c>
      <c r="D1305" s="12" t="s">
        <v>33</v>
      </c>
      <c r="E1305" s="12" t="s">
        <v>23</v>
      </c>
      <c r="F1305" s="13">
        <v>16.286221170904788</v>
      </c>
      <c r="G1305" s="14">
        <v>38.482531046717909</v>
      </c>
      <c r="H1305" s="24" t="str">
        <f t="shared" si="191"/>
        <v>SPSP</v>
      </c>
      <c r="I1305" s="24" t="str">
        <f t="shared" si="199"/>
        <v>SPMG</v>
      </c>
      <c r="J1305" s="24" t="str">
        <f t="shared" si="199"/>
        <v>SPES</v>
      </c>
      <c r="K1305" s="24" t="str">
        <f t="shared" si="199"/>
        <v>SPSC</v>
      </c>
      <c r="L1305" s="24" t="str">
        <f t="shared" si="199"/>
        <v>SPRJ</v>
      </c>
      <c r="M1305" s="24" t="str">
        <f t="shared" si="199"/>
        <v>SPPR</v>
      </c>
      <c r="N1305" s="24" t="str">
        <f t="shared" si="199"/>
        <v>SPAM</v>
      </c>
      <c r="O1305" s="24">
        <f>VLOOKUP(H1305, KM!$A:$E, 5, 0)</f>
        <v>0</v>
      </c>
      <c r="P1305" s="24">
        <f>VLOOKUP(I1305, KM!$A:$E, 5, 0)</f>
        <v>586</v>
      </c>
      <c r="Q1305" s="24">
        <f>VLOOKUP(J1305, KM!$A:$E, 5, 0)</f>
        <v>882</v>
      </c>
      <c r="R1305" s="24">
        <f>VLOOKUP(K1305, KM!$A:$E, 5, 0)</f>
        <v>705</v>
      </c>
      <c r="S1305" s="24">
        <f>VLOOKUP(L1305, KM!$A:$E, 5, 0)</f>
        <v>429</v>
      </c>
      <c r="T1305" s="24">
        <f>VLOOKUP(M1305, KM!$A:$E, 5, 0)</f>
        <v>408</v>
      </c>
      <c r="U1305" s="24">
        <f>VLOOKUP(N1305, KM!$A:$E, 5, 0)</f>
        <v>3971</v>
      </c>
      <c r="V1305" s="24">
        <f>VLOOKUP(H1305, IMPOSTO!$A:$D, 4, 0)</f>
        <v>0.18</v>
      </c>
      <c r="W1305" s="24">
        <f>VLOOKUP(I1305, IMPOSTO!$A:$D, 4, 0)</f>
        <v>0.12</v>
      </c>
      <c r="X1305" s="24">
        <f>VLOOKUP(J1305, IMPOSTO!$A:$D, 4, 0)</f>
        <v>7.0000000000000007E-2</v>
      </c>
      <c r="Y1305" s="24">
        <f>VLOOKUP(K1305, IMPOSTO!$A:$D, 4, 0)</f>
        <v>0.12</v>
      </c>
      <c r="Z1305" s="24">
        <f>VLOOKUP(L1305, IMPOSTO!$A:$D, 4, 0)</f>
        <v>0.12</v>
      </c>
      <c r="AA1305" s="24">
        <f>VLOOKUP(M1305, IMPOSTO!$A:$D, 4, 0)</f>
        <v>0.12</v>
      </c>
      <c r="AB1305" s="24">
        <f>VLOOKUP(N1305, IMPOSTO!$A:$D, 4, 0)</f>
        <v>7.0000000000000007E-2</v>
      </c>
      <c r="AC1305" s="25">
        <f t="shared" si="192"/>
        <v>46.929915910631593</v>
      </c>
      <c r="AD1305" s="25">
        <f t="shared" si="193"/>
        <v>110.32105800763399</v>
      </c>
      <c r="AE1305" s="25">
        <f t="shared" si="194"/>
        <v>136.21777531905153</v>
      </c>
      <c r="AF1305" s="25">
        <f t="shared" si="195"/>
        <v>123.84378528036126</v>
      </c>
      <c r="AG1305" s="25">
        <f t="shared" si="196"/>
        <v>92.4801489167249</v>
      </c>
      <c r="AH1305" s="25">
        <f t="shared" si="197"/>
        <v>90.09378528036126</v>
      </c>
      <c r="AI1305" s="25">
        <f t="shared" si="198"/>
        <v>468.36831295346013</v>
      </c>
    </row>
    <row r="1306" spans="1:35" ht="15.75" customHeight="1">
      <c r="A1306" s="12" t="s">
        <v>263</v>
      </c>
      <c r="B1306" s="12" t="s">
        <v>264</v>
      </c>
      <c r="C1306" s="12" t="s">
        <v>265</v>
      </c>
      <c r="D1306" s="12" t="s">
        <v>50</v>
      </c>
      <c r="E1306" s="12" t="s">
        <v>23</v>
      </c>
      <c r="F1306" s="13">
        <v>0</v>
      </c>
      <c r="G1306" s="14">
        <v>0</v>
      </c>
      <c r="H1306" s="24" t="str">
        <f t="shared" si="191"/>
        <v>SPSP</v>
      </c>
      <c r="I1306" s="24" t="str">
        <f t="shared" si="199"/>
        <v>SPMG</v>
      </c>
      <c r="J1306" s="24" t="str">
        <f t="shared" si="199"/>
        <v>SPES</v>
      </c>
      <c r="K1306" s="24" t="str">
        <f t="shared" si="199"/>
        <v>SPSC</v>
      </c>
      <c r="L1306" s="24" t="str">
        <f t="shared" si="199"/>
        <v>SPRJ</v>
      </c>
      <c r="M1306" s="24" t="str">
        <f t="shared" si="199"/>
        <v>SPPR</v>
      </c>
      <c r="N1306" s="24" t="str">
        <f t="shared" si="199"/>
        <v>SPAM</v>
      </c>
      <c r="O1306" s="24">
        <f>VLOOKUP(H1306, KM!$A:$E, 5, 0)</f>
        <v>0</v>
      </c>
      <c r="P1306" s="24">
        <f>VLOOKUP(I1306, KM!$A:$E, 5, 0)</f>
        <v>586</v>
      </c>
      <c r="Q1306" s="24">
        <f>VLOOKUP(J1306, KM!$A:$E, 5, 0)</f>
        <v>882</v>
      </c>
      <c r="R1306" s="24">
        <f>VLOOKUP(K1306, KM!$A:$E, 5, 0)</f>
        <v>705</v>
      </c>
      <c r="S1306" s="24">
        <f>VLOOKUP(L1306, KM!$A:$E, 5, 0)</f>
        <v>429</v>
      </c>
      <c r="T1306" s="24">
        <f>VLOOKUP(M1306, KM!$A:$E, 5, 0)</f>
        <v>408</v>
      </c>
      <c r="U1306" s="24">
        <f>VLOOKUP(N1306, KM!$A:$E, 5, 0)</f>
        <v>3971</v>
      </c>
      <c r="V1306" s="24">
        <f>VLOOKUP(H1306, IMPOSTO!$A:$D, 4, 0)</f>
        <v>0.18</v>
      </c>
      <c r="W1306" s="24">
        <f>VLOOKUP(I1306, IMPOSTO!$A:$D, 4, 0)</f>
        <v>0.12</v>
      </c>
      <c r="X1306" s="24">
        <f>VLOOKUP(J1306, IMPOSTO!$A:$D, 4, 0)</f>
        <v>7.0000000000000007E-2</v>
      </c>
      <c r="Y1306" s="24">
        <f>VLOOKUP(K1306, IMPOSTO!$A:$D, 4, 0)</f>
        <v>0.12</v>
      </c>
      <c r="Z1306" s="24">
        <f>VLOOKUP(L1306, IMPOSTO!$A:$D, 4, 0)</f>
        <v>0.12</v>
      </c>
      <c r="AA1306" s="24">
        <f>VLOOKUP(M1306, IMPOSTO!$A:$D, 4, 0)</f>
        <v>0.12</v>
      </c>
      <c r="AB1306" s="24">
        <f>VLOOKUP(N1306, IMPOSTO!$A:$D, 4, 0)</f>
        <v>7.0000000000000007E-2</v>
      </c>
      <c r="AC1306" s="25">
        <f t="shared" si="192"/>
        <v>0</v>
      </c>
      <c r="AD1306" s="25">
        <f t="shared" si="193"/>
        <v>66.590909090909093</v>
      </c>
      <c r="AE1306" s="25">
        <f t="shared" si="194"/>
        <v>94.838709677419359</v>
      </c>
      <c r="AF1306" s="25">
        <f t="shared" si="195"/>
        <v>80.11363636363636</v>
      </c>
      <c r="AG1306" s="25">
        <f t="shared" si="196"/>
        <v>48.750000000000007</v>
      </c>
      <c r="AH1306" s="25">
        <f t="shared" si="197"/>
        <v>46.363636363636367</v>
      </c>
      <c r="AI1306" s="25">
        <f t="shared" si="198"/>
        <v>426.98924731182802</v>
      </c>
    </row>
    <row r="1307" spans="1:35" ht="15.75" customHeight="1">
      <c r="A1307" s="12" t="s">
        <v>263</v>
      </c>
      <c r="B1307" s="12" t="s">
        <v>264</v>
      </c>
      <c r="C1307" s="12" t="s">
        <v>265</v>
      </c>
      <c r="D1307" s="12" t="s">
        <v>50</v>
      </c>
      <c r="E1307" s="12" t="s">
        <v>23</v>
      </c>
      <c r="F1307" s="13">
        <v>0</v>
      </c>
      <c r="G1307" s="14">
        <v>0</v>
      </c>
      <c r="H1307" s="24" t="str">
        <f t="shared" si="191"/>
        <v>SPSP</v>
      </c>
      <c r="I1307" s="24" t="str">
        <f t="shared" si="199"/>
        <v>SPMG</v>
      </c>
      <c r="J1307" s="24" t="str">
        <f t="shared" si="199"/>
        <v>SPES</v>
      </c>
      <c r="K1307" s="24" t="str">
        <f t="shared" si="199"/>
        <v>SPSC</v>
      </c>
      <c r="L1307" s="24" t="str">
        <f t="shared" si="199"/>
        <v>SPRJ</v>
      </c>
      <c r="M1307" s="24" t="str">
        <f t="shared" si="199"/>
        <v>SPPR</v>
      </c>
      <c r="N1307" s="24" t="str">
        <f t="shared" si="199"/>
        <v>SPAM</v>
      </c>
      <c r="O1307" s="24">
        <f>VLOOKUP(H1307, KM!$A:$E, 5, 0)</f>
        <v>0</v>
      </c>
      <c r="P1307" s="24">
        <f>VLOOKUP(I1307, KM!$A:$E, 5, 0)</f>
        <v>586</v>
      </c>
      <c r="Q1307" s="24">
        <f>VLOOKUP(J1307, KM!$A:$E, 5, 0)</f>
        <v>882</v>
      </c>
      <c r="R1307" s="24">
        <f>VLOOKUP(K1307, KM!$A:$E, 5, 0)</f>
        <v>705</v>
      </c>
      <c r="S1307" s="24">
        <f>VLOOKUP(L1307, KM!$A:$E, 5, 0)</f>
        <v>429</v>
      </c>
      <c r="T1307" s="24">
        <f>VLOOKUP(M1307, KM!$A:$E, 5, 0)</f>
        <v>408</v>
      </c>
      <c r="U1307" s="24">
        <f>VLOOKUP(N1307, KM!$A:$E, 5, 0)</f>
        <v>3971</v>
      </c>
      <c r="V1307" s="24">
        <f>VLOOKUP(H1307, IMPOSTO!$A:$D, 4, 0)</f>
        <v>0.18</v>
      </c>
      <c r="W1307" s="24">
        <f>VLOOKUP(I1307, IMPOSTO!$A:$D, 4, 0)</f>
        <v>0.12</v>
      </c>
      <c r="X1307" s="24">
        <f>VLOOKUP(J1307, IMPOSTO!$A:$D, 4, 0)</f>
        <v>7.0000000000000007E-2</v>
      </c>
      <c r="Y1307" s="24">
        <f>VLOOKUP(K1307, IMPOSTO!$A:$D, 4, 0)</f>
        <v>0.12</v>
      </c>
      <c r="Z1307" s="24">
        <f>VLOOKUP(L1307, IMPOSTO!$A:$D, 4, 0)</f>
        <v>0.12</v>
      </c>
      <c r="AA1307" s="24">
        <f>VLOOKUP(M1307, IMPOSTO!$A:$D, 4, 0)</f>
        <v>0.12</v>
      </c>
      <c r="AB1307" s="24">
        <f>VLOOKUP(N1307, IMPOSTO!$A:$D, 4, 0)</f>
        <v>7.0000000000000007E-2</v>
      </c>
      <c r="AC1307" s="25">
        <f t="shared" si="192"/>
        <v>0</v>
      </c>
      <c r="AD1307" s="25">
        <f t="shared" si="193"/>
        <v>66.590909090909093</v>
      </c>
      <c r="AE1307" s="25">
        <f t="shared" si="194"/>
        <v>94.838709677419359</v>
      </c>
      <c r="AF1307" s="25">
        <f t="shared" si="195"/>
        <v>80.11363636363636</v>
      </c>
      <c r="AG1307" s="25">
        <f t="shared" si="196"/>
        <v>48.750000000000007</v>
      </c>
      <c r="AH1307" s="25">
        <f t="shared" si="197"/>
        <v>46.363636363636367</v>
      </c>
      <c r="AI1307" s="25">
        <f t="shared" si="198"/>
        <v>426.98924731182802</v>
      </c>
    </row>
    <row r="1308" spans="1:35" ht="15.75" customHeight="1">
      <c r="A1308" s="12" t="s">
        <v>266</v>
      </c>
      <c r="B1308" s="12" t="s">
        <v>267</v>
      </c>
      <c r="C1308" s="12" t="s">
        <v>169</v>
      </c>
      <c r="D1308" s="12" t="s">
        <v>33</v>
      </c>
      <c r="E1308" s="12" t="s">
        <v>23</v>
      </c>
      <c r="F1308" s="13">
        <v>0</v>
      </c>
      <c r="G1308" s="14">
        <v>0</v>
      </c>
      <c r="H1308" s="24" t="str">
        <f t="shared" si="191"/>
        <v>SPSP</v>
      </c>
      <c r="I1308" s="24" t="str">
        <f t="shared" si="199"/>
        <v>SPMG</v>
      </c>
      <c r="J1308" s="24" t="str">
        <f t="shared" si="199"/>
        <v>SPES</v>
      </c>
      <c r="K1308" s="24" t="str">
        <f t="shared" si="199"/>
        <v>SPSC</v>
      </c>
      <c r="L1308" s="24" t="str">
        <f t="shared" si="199"/>
        <v>SPRJ</v>
      </c>
      <c r="M1308" s="24" t="str">
        <f t="shared" si="199"/>
        <v>SPPR</v>
      </c>
      <c r="N1308" s="24" t="str">
        <f t="shared" si="199"/>
        <v>SPAM</v>
      </c>
      <c r="O1308" s="24">
        <f>VLOOKUP(H1308, KM!$A:$E, 5, 0)</f>
        <v>0</v>
      </c>
      <c r="P1308" s="24">
        <f>VLOOKUP(I1308, KM!$A:$E, 5, 0)</f>
        <v>586</v>
      </c>
      <c r="Q1308" s="24">
        <f>VLOOKUP(J1308, KM!$A:$E, 5, 0)</f>
        <v>882</v>
      </c>
      <c r="R1308" s="24">
        <f>VLOOKUP(K1308, KM!$A:$E, 5, 0)</f>
        <v>705</v>
      </c>
      <c r="S1308" s="24">
        <f>VLOOKUP(L1308, KM!$A:$E, 5, 0)</f>
        <v>429</v>
      </c>
      <c r="T1308" s="24">
        <f>VLOOKUP(M1308, KM!$A:$E, 5, 0)</f>
        <v>408</v>
      </c>
      <c r="U1308" s="24">
        <f>VLOOKUP(N1308, KM!$A:$E, 5, 0)</f>
        <v>3971</v>
      </c>
      <c r="V1308" s="24">
        <f>VLOOKUP(H1308, IMPOSTO!$A:$D, 4, 0)</f>
        <v>0.18</v>
      </c>
      <c r="W1308" s="24">
        <f>VLOOKUP(I1308, IMPOSTO!$A:$D, 4, 0)</f>
        <v>0.12</v>
      </c>
      <c r="X1308" s="24">
        <f>VLOOKUP(J1308, IMPOSTO!$A:$D, 4, 0)</f>
        <v>7.0000000000000007E-2</v>
      </c>
      <c r="Y1308" s="24">
        <f>VLOOKUP(K1308, IMPOSTO!$A:$D, 4, 0)</f>
        <v>0.12</v>
      </c>
      <c r="Z1308" s="24">
        <f>VLOOKUP(L1308, IMPOSTO!$A:$D, 4, 0)</f>
        <v>0.12</v>
      </c>
      <c r="AA1308" s="24">
        <f>VLOOKUP(M1308, IMPOSTO!$A:$D, 4, 0)</f>
        <v>0.12</v>
      </c>
      <c r="AB1308" s="24">
        <f>VLOOKUP(N1308, IMPOSTO!$A:$D, 4, 0)</f>
        <v>7.0000000000000007E-2</v>
      </c>
      <c r="AC1308" s="25">
        <f t="shared" si="192"/>
        <v>0</v>
      </c>
      <c r="AD1308" s="25">
        <f t="shared" si="193"/>
        <v>66.590909090909093</v>
      </c>
      <c r="AE1308" s="25">
        <f t="shared" si="194"/>
        <v>94.838709677419359</v>
      </c>
      <c r="AF1308" s="25">
        <f t="shared" si="195"/>
        <v>80.11363636363636</v>
      </c>
      <c r="AG1308" s="25">
        <f t="shared" si="196"/>
        <v>48.750000000000007</v>
      </c>
      <c r="AH1308" s="25">
        <f t="shared" si="197"/>
        <v>46.363636363636367</v>
      </c>
      <c r="AI1308" s="25">
        <f t="shared" si="198"/>
        <v>426.98924731182802</v>
      </c>
    </row>
    <row r="1309" spans="1:35" ht="15.75" customHeight="1">
      <c r="A1309" s="12" t="s">
        <v>945</v>
      </c>
      <c r="B1309" s="12" t="s">
        <v>946</v>
      </c>
      <c r="C1309" s="12" t="s">
        <v>936</v>
      </c>
      <c r="D1309" s="12" t="s">
        <v>50</v>
      </c>
      <c r="E1309" s="12" t="s">
        <v>23</v>
      </c>
      <c r="F1309" s="13">
        <v>5.3350895500000002</v>
      </c>
      <c r="G1309" s="14">
        <v>134.27751000000001</v>
      </c>
      <c r="H1309" s="24" t="str">
        <f t="shared" si="191"/>
        <v>SPSP</v>
      </c>
      <c r="I1309" s="24" t="str">
        <f t="shared" si="199"/>
        <v>SPMG</v>
      </c>
      <c r="J1309" s="24" t="str">
        <f t="shared" si="199"/>
        <v>SPES</v>
      </c>
      <c r="K1309" s="24" t="str">
        <f t="shared" si="199"/>
        <v>SPSC</v>
      </c>
      <c r="L1309" s="24" t="str">
        <f t="shared" si="199"/>
        <v>SPRJ</v>
      </c>
      <c r="M1309" s="24" t="str">
        <f t="shared" si="199"/>
        <v>SPPR</v>
      </c>
      <c r="N1309" s="24" t="str">
        <f t="shared" si="199"/>
        <v>SPAM</v>
      </c>
      <c r="O1309" s="24">
        <f>VLOOKUP(H1309, KM!$A:$E, 5, 0)</f>
        <v>0</v>
      </c>
      <c r="P1309" s="24">
        <f>VLOOKUP(I1309, KM!$A:$E, 5, 0)</f>
        <v>586</v>
      </c>
      <c r="Q1309" s="24">
        <f>VLOOKUP(J1309, KM!$A:$E, 5, 0)</f>
        <v>882</v>
      </c>
      <c r="R1309" s="24">
        <f>VLOOKUP(K1309, KM!$A:$E, 5, 0)</f>
        <v>705</v>
      </c>
      <c r="S1309" s="24">
        <f>VLOOKUP(L1309, KM!$A:$E, 5, 0)</f>
        <v>429</v>
      </c>
      <c r="T1309" s="24">
        <f>VLOOKUP(M1309, KM!$A:$E, 5, 0)</f>
        <v>408</v>
      </c>
      <c r="U1309" s="24">
        <f>VLOOKUP(N1309, KM!$A:$E, 5, 0)</f>
        <v>3971</v>
      </c>
      <c r="V1309" s="24">
        <f>VLOOKUP(H1309, IMPOSTO!$A:$D, 4, 0)</f>
        <v>0.18</v>
      </c>
      <c r="W1309" s="24">
        <f>VLOOKUP(I1309, IMPOSTO!$A:$D, 4, 0)</f>
        <v>0.12</v>
      </c>
      <c r="X1309" s="24">
        <f>VLOOKUP(J1309, IMPOSTO!$A:$D, 4, 0)</f>
        <v>7.0000000000000007E-2</v>
      </c>
      <c r="Y1309" s="24">
        <f>VLOOKUP(K1309, IMPOSTO!$A:$D, 4, 0)</f>
        <v>0.12</v>
      </c>
      <c r="Z1309" s="24">
        <f>VLOOKUP(L1309, IMPOSTO!$A:$D, 4, 0)</f>
        <v>0.12</v>
      </c>
      <c r="AA1309" s="24">
        <f>VLOOKUP(M1309, IMPOSTO!$A:$D, 4, 0)</f>
        <v>0.12</v>
      </c>
      <c r="AB1309" s="24">
        <f>VLOOKUP(N1309, IMPOSTO!$A:$D, 4, 0)</f>
        <v>7.0000000000000007E-2</v>
      </c>
      <c r="AC1309" s="25">
        <f t="shared" si="192"/>
        <v>163.75306097560974</v>
      </c>
      <c r="AD1309" s="25">
        <f t="shared" si="193"/>
        <v>219.17898863636364</v>
      </c>
      <c r="AE1309" s="25">
        <f t="shared" si="194"/>
        <v>239.22312903225807</v>
      </c>
      <c r="AF1309" s="25">
        <f t="shared" si="195"/>
        <v>232.70171590909092</v>
      </c>
      <c r="AG1309" s="25">
        <f t="shared" si="196"/>
        <v>201.33807954545455</v>
      </c>
      <c r="AH1309" s="25">
        <f t="shared" si="197"/>
        <v>198.95171590909092</v>
      </c>
      <c r="AI1309" s="25">
        <f t="shared" si="198"/>
        <v>571.37366666666674</v>
      </c>
    </row>
    <row r="1310" spans="1:35" ht="15.75" customHeight="1">
      <c r="A1310" s="12" t="s">
        <v>294</v>
      </c>
      <c r="B1310" s="12" t="s">
        <v>295</v>
      </c>
      <c r="C1310" s="12" t="s">
        <v>296</v>
      </c>
      <c r="D1310" s="12" t="s">
        <v>33</v>
      </c>
      <c r="E1310" s="12" t="s">
        <v>23</v>
      </c>
      <c r="F1310" s="13">
        <v>174386.15617195488</v>
      </c>
      <c r="G1310" s="14">
        <v>1746232.1879990231</v>
      </c>
      <c r="H1310" s="24" t="str">
        <f t="shared" si="191"/>
        <v>SPSP</v>
      </c>
      <c r="I1310" s="24" t="str">
        <f t="shared" si="199"/>
        <v>SPMG</v>
      </c>
      <c r="J1310" s="24" t="str">
        <f t="shared" si="199"/>
        <v>SPES</v>
      </c>
      <c r="K1310" s="24" t="str">
        <f t="shared" si="199"/>
        <v>SPSC</v>
      </c>
      <c r="L1310" s="24" t="str">
        <f t="shared" si="199"/>
        <v>SPRJ</v>
      </c>
      <c r="M1310" s="24" t="str">
        <f t="shared" si="199"/>
        <v>SPPR</v>
      </c>
      <c r="N1310" s="24" t="str">
        <f t="shared" si="199"/>
        <v>SPAM</v>
      </c>
      <c r="O1310" s="24">
        <f>VLOOKUP(H1310, KM!$A:$E, 5, 0)</f>
        <v>0</v>
      </c>
      <c r="P1310" s="24">
        <f>VLOOKUP(I1310, KM!$A:$E, 5, 0)</f>
        <v>586</v>
      </c>
      <c r="Q1310" s="24">
        <f>VLOOKUP(J1310, KM!$A:$E, 5, 0)</f>
        <v>882</v>
      </c>
      <c r="R1310" s="24">
        <f>VLOOKUP(K1310, KM!$A:$E, 5, 0)</f>
        <v>705</v>
      </c>
      <c r="S1310" s="24">
        <f>VLOOKUP(L1310, KM!$A:$E, 5, 0)</f>
        <v>429</v>
      </c>
      <c r="T1310" s="24">
        <f>VLOOKUP(M1310, KM!$A:$E, 5, 0)</f>
        <v>408</v>
      </c>
      <c r="U1310" s="24">
        <f>VLOOKUP(N1310, KM!$A:$E, 5, 0)</f>
        <v>3971</v>
      </c>
      <c r="V1310" s="24">
        <f>VLOOKUP(H1310, IMPOSTO!$A:$D, 4, 0)</f>
        <v>0.18</v>
      </c>
      <c r="W1310" s="24">
        <f>VLOOKUP(I1310, IMPOSTO!$A:$D, 4, 0)</f>
        <v>0.12</v>
      </c>
      <c r="X1310" s="24">
        <f>VLOOKUP(J1310, IMPOSTO!$A:$D, 4, 0)</f>
        <v>7.0000000000000007E-2</v>
      </c>
      <c r="Y1310" s="24">
        <f>VLOOKUP(K1310, IMPOSTO!$A:$D, 4, 0)</f>
        <v>0.12</v>
      </c>
      <c r="Z1310" s="24">
        <f>VLOOKUP(L1310, IMPOSTO!$A:$D, 4, 0)</f>
        <v>0.12</v>
      </c>
      <c r="AA1310" s="24">
        <f>VLOOKUP(M1310, IMPOSTO!$A:$D, 4, 0)</f>
        <v>0.12</v>
      </c>
      <c r="AB1310" s="24">
        <f>VLOOKUP(N1310, IMPOSTO!$A:$D, 4, 0)</f>
        <v>7.0000000000000007E-2</v>
      </c>
      <c r="AC1310" s="25">
        <f t="shared" si="192"/>
        <v>2129551.4487792961</v>
      </c>
      <c r="AD1310" s="25">
        <f t="shared" si="193"/>
        <v>1984421.34999889</v>
      </c>
      <c r="AE1310" s="25">
        <f t="shared" si="194"/>
        <v>1877763.8580634659</v>
      </c>
      <c r="AF1310" s="25">
        <f t="shared" si="195"/>
        <v>1984434.8727261627</v>
      </c>
      <c r="AG1310" s="25">
        <f t="shared" si="196"/>
        <v>1984403.5090897989</v>
      </c>
      <c r="AH1310" s="25">
        <f t="shared" si="197"/>
        <v>1984401.1227261627</v>
      </c>
      <c r="AI1310" s="25">
        <f t="shared" si="198"/>
        <v>1878096.0086011004</v>
      </c>
    </row>
    <row r="1311" spans="1:35" ht="15.75" customHeight="1">
      <c r="A1311" s="12" t="s">
        <v>117</v>
      </c>
      <c r="B1311" s="12" t="s">
        <v>118</v>
      </c>
      <c r="C1311" s="12" t="s">
        <v>119</v>
      </c>
      <c r="D1311" s="12" t="s">
        <v>33</v>
      </c>
      <c r="E1311" s="12" t="s">
        <v>23</v>
      </c>
      <c r="F1311" s="13">
        <v>5300.04286825892</v>
      </c>
      <c r="G1311" s="14">
        <v>9194.1262195226609</v>
      </c>
      <c r="H1311" s="24" t="str">
        <f t="shared" si="191"/>
        <v>SPSP</v>
      </c>
      <c r="I1311" s="24" t="str">
        <f t="shared" si="199"/>
        <v>SPMG</v>
      </c>
      <c r="J1311" s="24" t="str">
        <f t="shared" si="199"/>
        <v>SPES</v>
      </c>
      <c r="K1311" s="24" t="str">
        <f t="shared" si="199"/>
        <v>SPSC</v>
      </c>
      <c r="L1311" s="24" t="str">
        <f t="shared" si="199"/>
        <v>SPRJ</v>
      </c>
      <c r="M1311" s="24" t="str">
        <f t="shared" si="199"/>
        <v>SPPR</v>
      </c>
      <c r="N1311" s="24" t="str">
        <f t="shared" si="199"/>
        <v>SPAM</v>
      </c>
      <c r="O1311" s="24">
        <f>VLOOKUP(H1311, KM!$A:$E, 5, 0)</f>
        <v>0</v>
      </c>
      <c r="P1311" s="24">
        <f>VLOOKUP(I1311, KM!$A:$E, 5, 0)</f>
        <v>586</v>
      </c>
      <c r="Q1311" s="24">
        <f>VLOOKUP(J1311, KM!$A:$E, 5, 0)</f>
        <v>882</v>
      </c>
      <c r="R1311" s="24">
        <f>VLOOKUP(K1311, KM!$A:$E, 5, 0)</f>
        <v>705</v>
      </c>
      <c r="S1311" s="24">
        <f>VLOOKUP(L1311, KM!$A:$E, 5, 0)</f>
        <v>429</v>
      </c>
      <c r="T1311" s="24">
        <f>VLOOKUP(M1311, KM!$A:$E, 5, 0)</f>
        <v>408</v>
      </c>
      <c r="U1311" s="24">
        <f>VLOOKUP(N1311, KM!$A:$E, 5, 0)</f>
        <v>3971</v>
      </c>
      <c r="V1311" s="24">
        <f>VLOOKUP(H1311, IMPOSTO!$A:$D, 4, 0)</f>
        <v>0.18</v>
      </c>
      <c r="W1311" s="24">
        <f>VLOOKUP(I1311, IMPOSTO!$A:$D, 4, 0)</f>
        <v>0.12</v>
      </c>
      <c r="X1311" s="24">
        <f>VLOOKUP(J1311, IMPOSTO!$A:$D, 4, 0)</f>
        <v>7.0000000000000007E-2</v>
      </c>
      <c r="Y1311" s="24">
        <f>VLOOKUP(K1311, IMPOSTO!$A:$D, 4, 0)</f>
        <v>0.12</v>
      </c>
      <c r="Z1311" s="24">
        <f>VLOOKUP(L1311, IMPOSTO!$A:$D, 4, 0)</f>
        <v>0.12</v>
      </c>
      <c r="AA1311" s="24">
        <f>VLOOKUP(M1311, IMPOSTO!$A:$D, 4, 0)</f>
        <v>0.12</v>
      </c>
      <c r="AB1311" s="24">
        <f>VLOOKUP(N1311, IMPOSTO!$A:$D, 4, 0)</f>
        <v>7.0000000000000007E-2</v>
      </c>
      <c r="AC1311" s="25">
        <f t="shared" si="192"/>
        <v>11212.349048198366</v>
      </c>
      <c r="AD1311" s="25">
        <f t="shared" si="193"/>
        <v>10514.461613093934</v>
      </c>
      <c r="AE1311" s="25">
        <f t="shared" si="194"/>
        <v>9980.9959349706041</v>
      </c>
      <c r="AF1311" s="25">
        <f t="shared" si="195"/>
        <v>10527.98434036666</v>
      </c>
      <c r="AG1311" s="25">
        <f t="shared" si="196"/>
        <v>10496.620704003024</v>
      </c>
      <c r="AH1311" s="25">
        <f t="shared" si="197"/>
        <v>10494.23434036666</v>
      </c>
      <c r="AI1311" s="25">
        <f t="shared" si="198"/>
        <v>10313.146472605013</v>
      </c>
    </row>
    <row r="1312" spans="1:35" ht="15.75" customHeight="1">
      <c r="A1312" s="12" t="s">
        <v>607</v>
      </c>
      <c r="B1312" s="12" t="s">
        <v>608</v>
      </c>
      <c r="C1312" s="12" t="s">
        <v>609</v>
      </c>
      <c r="D1312" s="12" t="s">
        <v>33</v>
      </c>
      <c r="E1312" s="12" t="s">
        <v>23</v>
      </c>
      <c r="F1312" s="13">
        <v>186649.58018699902</v>
      </c>
      <c r="G1312" s="14">
        <v>573387.510334461</v>
      </c>
      <c r="H1312" s="24" t="str">
        <f t="shared" si="191"/>
        <v>SPSP</v>
      </c>
      <c r="I1312" s="24" t="str">
        <f t="shared" si="199"/>
        <v>SPMG</v>
      </c>
      <c r="J1312" s="24" t="str">
        <f t="shared" si="199"/>
        <v>SPES</v>
      </c>
      <c r="K1312" s="24" t="str">
        <f t="shared" si="199"/>
        <v>SPSC</v>
      </c>
      <c r="L1312" s="24" t="str">
        <f t="shared" si="199"/>
        <v>SPRJ</v>
      </c>
      <c r="M1312" s="24" t="str">
        <f t="shared" si="199"/>
        <v>SPPR</v>
      </c>
      <c r="N1312" s="24" t="str">
        <f t="shared" si="199"/>
        <v>SPAM</v>
      </c>
      <c r="O1312" s="24">
        <f>VLOOKUP(H1312, KM!$A:$E, 5, 0)</f>
        <v>0</v>
      </c>
      <c r="P1312" s="24">
        <f>VLOOKUP(I1312, KM!$A:$E, 5, 0)</f>
        <v>586</v>
      </c>
      <c r="Q1312" s="24">
        <f>VLOOKUP(J1312, KM!$A:$E, 5, 0)</f>
        <v>882</v>
      </c>
      <c r="R1312" s="24">
        <f>VLOOKUP(K1312, KM!$A:$E, 5, 0)</f>
        <v>705</v>
      </c>
      <c r="S1312" s="24">
        <f>VLOOKUP(L1312, KM!$A:$E, 5, 0)</f>
        <v>429</v>
      </c>
      <c r="T1312" s="24">
        <f>VLOOKUP(M1312, KM!$A:$E, 5, 0)</f>
        <v>408</v>
      </c>
      <c r="U1312" s="24">
        <f>VLOOKUP(N1312, KM!$A:$E, 5, 0)</f>
        <v>3971</v>
      </c>
      <c r="V1312" s="24">
        <f>VLOOKUP(H1312, IMPOSTO!$A:$D, 4, 0)</f>
        <v>0.18</v>
      </c>
      <c r="W1312" s="24">
        <f>VLOOKUP(I1312, IMPOSTO!$A:$D, 4, 0)</f>
        <v>0.12</v>
      </c>
      <c r="X1312" s="24">
        <f>VLOOKUP(J1312, IMPOSTO!$A:$D, 4, 0)</f>
        <v>7.0000000000000007E-2</v>
      </c>
      <c r="Y1312" s="24">
        <f>VLOOKUP(K1312, IMPOSTO!$A:$D, 4, 0)</f>
        <v>0.12</v>
      </c>
      <c r="Z1312" s="24">
        <f>VLOOKUP(L1312, IMPOSTO!$A:$D, 4, 0)</f>
        <v>0.12</v>
      </c>
      <c r="AA1312" s="24">
        <f>VLOOKUP(M1312, IMPOSTO!$A:$D, 4, 0)</f>
        <v>0.12</v>
      </c>
      <c r="AB1312" s="24">
        <f>VLOOKUP(N1312, IMPOSTO!$A:$D, 4, 0)</f>
        <v>7.0000000000000007E-2</v>
      </c>
      <c r="AC1312" s="25">
        <f t="shared" si="192"/>
        <v>699253.06138348894</v>
      </c>
      <c r="AD1312" s="25">
        <f t="shared" si="193"/>
        <v>651643.30719825113</v>
      </c>
      <c r="AE1312" s="25">
        <f t="shared" si="194"/>
        <v>616640.5487467323</v>
      </c>
      <c r="AF1312" s="25">
        <f t="shared" si="195"/>
        <v>651656.82992552384</v>
      </c>
      <c r="AG1312" s="25">
        <f t="shared" si="196"/>
        <v>651625.46628916019</v>
      </c>
      <c r="AH1312" s="25">
        <f t="shared" si="197"/>
        <v>651623.07992552395</v>
      </c>
      <c r="AI1312" s="25">
        <f t="shared" si="198"/>
        <v>616972.69928436668</v>
      </c>
    </row>
    <row r="1313" spans="1:35" ht="15.75" customHeight="1">
      <c r="A1313" s="12" t="s">
        <v>994</v>
      </c>
      <c r="B1313" s="12" t="s">
        <v>995</v>
      </c>
      <c r="C1313" s="12" t="s">
        <v>936</v>
      </c>
      <c r="D1313" s="12" t="s">
        <v>50</v>
      </c>
      <c r="E1313" s="12" t="s">
        <v>23</v>
      </c>
      <c r="F1313" s="13">
        <v>13983.061652184426</v>
      </c>
      <c r="G1313" s="14">
        <v>400326.81549156888</v>
      </c>
      <c r="H1313" s="24" t="str">
        <f t="shared" si="191"/>
        <v>SPSP</v>
      </c>
      <c r="I1313" s="24" t="str">
        <f t="shared" si="199"/>
        <v>SPMG</v>
      </c>
      <c r="J1313" s="24" t="str">
        <f t="shared" si="199"/>
        <v>SPES</v>
      </c>
      <c r="K1313" s="24" t="str">
        <f t="shared" si="199"/>
        <v>SPSC</v>
      </c>
      <c r="L1313" s="24" t="str">
        <f t="shared" si="199"/>
        <v>SPRJ</v>
      </c>
      <c r="M1313" s="24" t="str">
        <f t="shared" si="199"/>
        <v>SPPR</v>
      </c>
      <c r="N1313" s="24" t="str">
        <f t="shared" si="199"/>
        <v>SPAM</v>
      </c>
      <c r="O1313" s="24">
        <f>VLOOKUP(H1313, KM!$A:$E, 5, 0)</f>
        <v>0</v>
      </c>
      <c r="P1313" s="24">
        <f>VLOOKUP(I1313, KM!$A:$E, 5, 0)</f>
        <v>586</v>
      </c>
      <c r="Q1313" s="24">
        <f>VLOOKUP(J1313, KM!$A:$E, 5, 0)</f>
        <v>882</v>
      </c>
      <c r="R1313" s="24">
        <f>VLOOKUP(K1313, KM!$A:$E, 5, 0)</f>
        <v>705</v>
      </c>
      <c r="S1313" s="24">
        <f>VLOOKUP(L1313, KM!$A:$E, 5, 0)</f>
        <v>429</v>
      </c>
      <c r="T1313" s="24">
        <f>VLOOKUP(M1313, KM!$A:$E, 5, 0)</f>
        <v>408</v>
      </c>
      <c r="U1313" s="24">
        <f>VLOOKUP(N1313, KM!$A:$E, 5, 0)</f>
        <v>3971</v>
      </c>
      <c r="V1313" s="24">
        <f>VLOOKUP(H1313, IMPOSTO!$A:$D, 4, 0)</f>
        <v>0.18</v>
      </c>
      <c r="W1313" s="24">
        <f>VLOOKUP(I1313, IMPOSTO!$A:$D, 4, 0)</f>
        <v>0.12</v>
      </c>
      <c r="X1313" s="24">
        <f>VLOOKUP(J1313, IMPOSTO!$A:$D, 4, 0)</f>
        <v>7.0000000000000007E-2</v>
      </c>
      <c r="Y1313" s="24">
        <f>VLOOKUP(K1313, IMPOSTO!$A:$D, 4, 0)</f>
        <v>0.12</v>
      </c>
      <c r="Z1313" s="24">
        <f>VLOOKUP(L1313, IMPOSTO!$A:$D, 4, 0)</f>
        <v>0.12</v>
      </c>
      <c r="AA1313" s="24">
        <f>VLOOKUP(M1313, IMPOSTO!$A:$D, 4, 0)</f>
        <v>0.12</v>
      </c>
      <c r="AB1313" s="24">
        <f>VLOOKUP(N1313, IMPOSTO!$A:$D, 4, 0)</f>
        <v>7.0000000000000007E-2</v>
      </c>
      <c r="AC1313" s="25">
        <f t="shared" si="192"/>
        <v>488203.4335263035</v>
      </c>
      <c r="AD1313" s="25">
        <f t="shared" si="193"/>
        <v>454983.42669496458</v>
      </c>
      <c r="AE1313" s="25">
        <f t="shared" si="194"/>
        <v>430553.7800984612</v>
      </c>
      <c r="AF1313" s="25">
        <f t="shared" si="195"/>
        <v>454996.94942223735</v>
      </c>
      <c r="AG1313" s="25">
        <f t="shared" si="196"/>
        <v>454965.58578587376</v>
      </c>
      <c r="AH1313" s="25">
        <f t="shared" si="197"/>
        <v>454963.19942223735</v>
      </c>
      <c r="AI1313" s="25">
        <f t="shared" si="198"/>
        <v>430885.93063609558</v>
      </c>
    </row>
    <row r="1314" spans="1:35" ht="15.75" customHeight="1">
      <c r="A1314" s="12" t="s">
        <v>941</v>
      </c>
      <c r="B1314" s="12" t="s">
        <v>942</v>
      </c>
      <c r="C1314" s="12" t="s">
        <v>936</v>
      </c>
      <c r="D1314" s="12" t="s">
        <v>50</v>
      </c>
      <c r="E1314" s="12" t="s">
        <v>23</v>
      </c>
      <c r="F1314" s="13">
        <v>40399.954180061613</v>
      </c>
      <c r="G1314" s="14">
        <v>938180.23557541403</v>
      </c>
      <c r="H1314" s="24" t="str">
        <f t="shared" si="191"/>
        <v>SPSP</v>
      </c>
      <c r="I1314" s="24" t="str">
        <f t="shared" si="199"/>
        <v>SPMG</v>
      </c>
      <c r="J1314" s="24" t="str">
        <f t="shared" si="199"/>
        <v>SPES</v>
      </c>
      <c r="K1314" s="24" t="str">
        <f t="shared" si="199"/>
        <v>SPSC</v>
      </c>
      <c r="L1314" s="24" t="str">
        <f t="shared" si="199"/>
        <v>SPRJ</v>
      </c>
      <c r="M1314" s="24" t="str">
        <f t="shared" si="199"/>
        <v>SPPR</v>
      </c>
      <c r="N1314" s="24" t="str">
        <f t="shared" si="199"/>
        <v>SPAM</v>
      </c>
      <c r="O1314" s="24">
        <f>VLOOKUP(H1314, KM!$A:$E, 5, 0)</f>
        <v>0</v>
      </c>
      <c r="P1314" s="24">
        <f>VLOOKUP(I1314, KM!$A:$E, 5, 0)</f>
        <v>586</v>
      </c>
      <c r="Q1314" s="24">
        <f>VLOOKUP(J1314, KM!$A:$E, 5, 0)</f>
        <v>882</v>
      </c>
      <c r="R1314" s="24">
        <f>VLOOKUP(K1314, KM!$A:$E, 5, 0)</f>
        <v>705</v>
      </c>
      <c r="S1314" s="24">
        <f>VLOOKUP(L1314, KM!$A:$E, 5, 0)</f>
        <v>429</v>
      </c>
      <c r="T1314" s="24">
        <f>VLOOKUP(M1314, KM!$A:$E, 5, 0)</f>
        <v>408</v>
      </c>
      <c r="U1314" s="24">
        <f>VLOOKUP(N1314, KM!$A:$E, 5, 0)</f>
        <v>3971</v>
      </c>
      <c r="V1314" s="24">
        <f>VLOOKUP(H1314, IMPOSTO!$A:$D, 4, 0)</f>
        <v>0.18</v>
      </c>
      <c r="W1314" s="24">
        <f>VLOOKUP(I1314, IMPOSTO!$A:$D, 4, 0)</f>
        <v>0.12</v>
      </c>
      <c r="X1314" s="24">
        <f>VLOOKUP(J1314, IMPOSTO!$A:$D, 4, 0)</f>
        <v>7.0000000000000007E-2</v>
      </c>
      <c r="Y1314" s="24">
        <f>VLOOKUP(K1314, IMPOSTO!$A:$D, 4, 0)</f>
        <v>0.12</v>
      </c>
      <c r="Z1314" s="24">
        <f>VLOOKUP(L1314, IMPOSTO!$A:$D, 4, 0)</f>
        <v>0.12</v>
      </c>
      <c r="AA1314" s="24">
        <f>VLOOKUP(M1314, IMPOSTO!$A:$D, 4, 0)</f>
        <v>0.12</v>
      </c>
      <c r="AB1314" s="24">
        <f>VLOOKUP(N1314, IMPOSTO!$A:$D, 4, 0)</f>
        <v>7.0000000000000007E-2</v>
      </c>
      <c r="AC1314" s="25">
        <f t="shared" si="192"/>
        <v>1144122.2385066024</v>
      </c>
      <c r="AD1314" s="25">
        <f t="shared" si="193"/>
        <v>1066180.4949720614</v>
      </c>
      <c r="AE1314" s="25">
        <f t="shared" si="194"/>
        <v>1008890.7909413055</v>
      </c>
      <c r="AF1314" s="25">
        <f t="shared" si="195"/>
        <v>1066194.0176993341</v>
      </c>
      <c r="AG1314" s="25">
        <f t="shared" si="196"/>
        <v>1066162.6540629705</v>
      </c>
      <c r="AH1314" s="25">
        <f t="shared" si="197"/>
        <v>1066160.2676993341</v>
      </c>
      <c r="AI1314" s="25">
        <f t="shared" si="198"/>
        <v>1009222.9414789398</v>
      </c>
    </row>
    <row r="1315" spans="1:35" ht="15.75" customHeight="1">
      <c r="A1315" s="12" t="s">
        <v>851</v>
      </c>
      <c r="B1315" s="12" t="s">
        <v>852</v>
      </c>
      <c r="C1315" s="12" t="s">
        <v>169</v>
      </c>
      <c r="D1315" s="12" t="s">
        <v>33</v>
      </c>
      <c r="E1315" s="12" t="s">
        <v>23</v>
      </c>
      <c r="F1315" s="13">
        <v>41907.447199999995</v>
      </c>
      <c r="G1315" s="14">
        <v>23431.487548682613</v>
      </c>
      <c r="H1315" s="24" t="str">
        <f t="shared" si="191"/>
        <v>SPSP</v>
      </c>
      <c r="I1315" s="24" t="str">
        <f t="shared" si="199"/>
        <v>SPMG</v>
      </c>
      <c r="J1315" s="24" t="str">
        <f t="shared" si="199"/>
        <v>SPES</v>
      </c>
      <c r="K1315" s="24" t="str">
        <f t="shared" si="199"/>
        <v>SPSC</v>
      </c>
      <c r="L1315" s="24" t="str">
        <f t="shared" si="199"/>
        <v>SPRJ</v>
      </c>
      <c r="M1315" s="24" t="str">
        <f t="shared" si="199"/>
        <v>SPPR</v>
      </c>
      <c r="N1315" s="24" t="str">
        <f t="shared" si="199"/>
        <v>SPAM</v>
      </c>
      <c r="O1315" s="24">
        <f>VLOOKUP(H1315, KM!$A:$E, 5, 0)</f>
        <v>0</v>
      </c>
      <c r="P1315" s="24">
        <f>VLOOKUP(I1315, KM!$A:$E, 5, 0)</f>
        <v>586</v>
      </c>
      <c r="Q1315" s="24">
        <f>VLOOKUP(J1315, KM!$A:$E, 5, 0)</f>
        <v>882</v>
      </c>
      <c r="R1315" s="24">
        <f>VLOOKUP(K1315, KM!$A:$E, 5, 0)</f>
        <v>705</v>
      </c>
      <c r="S1315" s="24">
        <f>VLOOKUP(L1315, KM!$A:$E, 5, 0)</f>
        <v>429</v>
      </c>
      <c r="T1315" s="24">
        <f>VLOOKUP(M1315, KM!$A:$E, 5, 0)</f>
        <v>408</v>
      </c>
      <c r="U1315" s="24">
        <f>VLOOKUP(N1315, KM!$A:$E, 5, 0)</f>
        <v>3971</v>
      </c>
      <c r="V1315" s="24">
        <f>VLOOKUP(H1315, IMPOSTO!$A:$D, 4, 0)</f>
        <v>0.18</v>
      </c>
      <c r="W1315" s="24">
        <f>VLOOKUP(I1315, IMPOSTO!$A:$D, 4, 0)</f>
        <v>0.12</v>
      </c>
      <c r="X1315" s="24">
        <f>VLOOKUP(J1315, IMPOSTO!$A:$D, 4, 0)</f>
        <v>7.0000000000000007E-2</v>
      </c>
      <c r="Y1315" s="24">
        <f>VLOOKUP(K1315, IMPOSTO!$A:$D, 4, 0)</f>
        <v>0.12</v>
      </c>
      <c r="Z1315" s="24">
        <f>VLOOKUP(L1315, IMPOSTO!$A:$D, 4, 0)</f>
        <v>0.12</v>
      </c>
      <c r="AA1315" s="24">
        <f>VLOOKUP(M1315, IMPOSTO!$A:$D, 4, 0)</f>
        <v>0.12</v>
      </c>
      <c r="AB1315" s="24">
        <f>VLOOKUP(N1315, IMPOSTO!$A:$D, 4, 0)</f>
        <v>7.0000000000000007E-2</v>
      </c>
      <c r="AC1315" s="25">
        <f t="shared" si="192"/>
        <v>28574.9848154666</v>
      </c>
      <c r="AD1315" s="25">
        <f t="shared" si="193"/>
        <v>26693.28130532115</v>
      </c>
      <c r="AE1315" s="25">
        <f t="shared" si="194"/>
        <v>25289.986611486682</v>
      </c>
      <c r="AF1315" s="25">
        <f t="shared" si="195"/>
        <v>26706.804032593878</v>
      </c>
      <c r="AG1315" s="25">
        <f t="shared" si="196"/>
        <v>26675.440396230242</v>
      </c>
      <c r="AH1315" s="25">
        <f t="shared" si="197"/>
        <v>26673.054032593878</v>
      </c>
      <c r="AI1315" s="25">
        <f t="shared" si="198"/>
        <v>25622.137149121088</v>
      </c>
    </row>
    <row r="1316" spans="1:35" ht="15.75" customHeight="1">
      <c r="A1316" s="12" t="s">
        <v>996</v>
      </c>
      <c r="B1316" s="12" t="s">
        <v>997</v>
      </c>
      <c r="C1316" s="12" t="s">
        <v>169</v>
      </c>
      <c r="D1316" s="12" t="s">
        <v>33</v>
      </c>
      <c r="E1316" s="12" t="s">
        <v>23</v>
      </c>
      <c r="F1316" s="13">
        <v>1055.2103999999999</v>
      </c>
      <c r="G1316" s="14">
        <v>594.29449728000009</v>
      </c>
      <c r="H1316" s="24" t="str">
        <f t="shared" si="191"/>
        <v>SPSP</v>
      </c>
      <c r="I1316" s="24" t="str">
        <f t="shared" si="199"/>
        <v>SPMG</v>
      </c>
      <c r="J1316" s="24" t="str">
        <f t="shared" si="199"/>
        <v>SPES</v>
      </c>
      <c r="K1316" s="24" t="str">
        <f t="shared" si="199"/>
        <v>SPSC</v>
      </c>
      <c r="L1316" s="24" t="str">
        <f t="shared" si="199"/>
        <v>SPRJ</v>
      </c>
      <c r="M1316" s="24" t="str">
        <f t="shared" si="199"/>
        <v>SPPR</v>
      </c>
      <c r="N1316" s="24" t="str">
        <f t="shared" si="199"/>
        <v>SPAM</v>
      </c>
      <c r="O1316" s="24">
        <f>VLOOKUP(H1316, KM!$A:$E, 5, 0)</f>
        <v>0</v>
      </c>
      <c r="P1316" s="24">
        <f>VLOOKUP(I1316, KM!$A:$E, 5, 0)</f>
        <v>586</v>
      </c>
      <c r="Q1316" s="24">
        <f>VLOOKUP(J1316, KM!$A:$E, 5, 0)</f>
        <v>882</v>
      </c>
      <c r="R1316" s="24">
        <f>VLOOKUP(K1316, KM!$A:$E, 5, 0)</f>
        <v>705</v>
      </c>
      <c r="S1316" s="24">
        <f>VLOOKUP(L1316, KM!$A:$E, 5, 0)</f>
        <v>429</v>
      </c>
      <c r="T1316" s="24">
        <f>VLOOKUP(M1316, KM!$A:$E, 5, 0)</f>
        <v>408</v>
      </c>
      <c r="U1316" s="24">
        <f>VLOOKUP(N1316, KM!$A:$E, 5, 0)</f>
        <v>3971</v>
      </c>
      <c r="V1316" s="24">
        <f>VLOOKUP(H1316, IMPOSTO!$A:$D, 4, 0)</f>
        <v>0.18</v>
      </c>
      <c r="W1316" s="24">
        <f>VLOOKUP(I1316, IMPOSTO!$A:$D, 4, 0)</f>
        <v>0.12</v>
      </c>
      <c r="X1316" s="24">
        <f>VLOOKUP(J1316, IMPOSTO!$A:$D, 4, 0)</f>
        <v>7.0000000000000007E-2</v>
      </c>
      <c r="Y1316" s="24">
        <f>VLOOKUP(K1316, IMPOSTO!$A:$D, 4, 0)</f>
        <v>0.12</v>
      </c>
      <c r="Z1316" s="24">
        <f>VLOOKUP(L1316, IMPOSTO!$A:$D, 4, 0)</f>
        <v>0.12</v>
      </c>
      <c r="AA1316" s="24">
        <f>VLOOKUP(M1316, IMPOSTO!$A:$D, 4, 0)</f>
        <v>0.12</v>
      </c>
      <c r="AB1316" s="24">
        <f>VLOOKUP(N1316, IMPOSTO!$A:$D, 4, 0)</f>
        <v>7.0000000000000007E-2</v>
      </c>
      <c r="AC1316" s="25">
        <f t="shared" si="192"/>
        <v>724.74938692682929</v>
      </c>
      <c r="AD1316" s="25">
        <f t="shared" si="193"/>
        <v>741.92556509090923</v>
      </c>
      <c r="AE1316" s="25">
        <f t="shared" si="194"/>
        <v>733.86505083870986</v>
      </c>
      <c r="AF1316" s="25">
        <f t="shared" si="195"/>
        <v>755.44829236363648</v>
      </c>
      <c r="AG1316" s="25">
        <f t="shared" si="196"/>
        <v>724.08465600000011</v>
      </c>
      <c r="AH1316" s="25">
        <f t="shared" si="197"/>
        <v>721.69829236363637</v>
      </c>
      <c r="AI1316" s="25">
        <f t="shared" si="198"/>
        <v>1066.0155884731184</v>
      </c>
    </row>
    <row r="1317" spans="1:35" ht="15.75" customHeight="1">
      <c r="A1317" s="12" t="s">
        <v>853</v>
      </c>
      <c r="B1317" s="12" t="s">
        <v>854</v>
      </c>
      <c r="C1317" s="12" t="s">
        <v>265</v>
      </c>
      <c r="D1317" s="12" t="s">
        <v>33</v>
      </c>
      <c r="E1317" s="12" t="s">
        <v>23</v>
      </c>
      <c r="F1317" s="13">
        <v>705.51479289940823</v>
      </c>
      <c r="G1317" s="14">
        <v>10357.545088757395</v>
      </c>
      <c r="H1317" s="24" t="str">
        <f t="shared" si="191"/>
        <v>SPSP</v>
      </c>
      <c r="I1317" s="24" t="str">
        <f t="shared" si="199"/>
        <v>SPMG</v>
      </c>
      <c r="J1317" s="24" t="str">
        <f t="shared" si="199"/>
        <v>SPES</v>
      </c>
      <c r="K1317" s="24" t="str">
        <f t="shared" si="199"/>
        <v>SPSC</v>
      </c>
      <c r="L1317" s="24" t="str">
        <f t="shared" si="199"/>
        <v>SPRJ</v>
      </c>
      <c r="M1317" s="24" t="str">
        <f t="shared" si="199"/>
        <v>SPPR</v>
      </c>
      <c r="N1317" s="24" t="str">
        <f t="shared" si="199"/>
        <v>SPAM</v>
      </c>
      <c r="O1317" s="24">
        <f>VLOOKUP(H1317, KM!$A:$E, 5, 0)</f>
        <v>0</v>
      </c>
      <c r="P1317" s="24">
        <f>VLOOKUP(I1317, KM!$A:$E, 5, 0)</f>
        <v>586</v>
      </c>
      <c r="Q1317" s="24">
        <f>VLOOKUP(J1317, KM!$A:$E, 5, 0)</f>
        <v>882</v>
      </c>
      <c r="R1317" s="24">
        <f>VLOOKUP(K1317, KM!$A:$E, 5, 0)</f>
        <v>705</v>
      </c>
      <c r="S1317" s="24">
        <f>VLOOKUP(L1317, KM!$A:$E, 5, 0)</f>
        <v>429</v>
      </c>
      <c r="T1317" s="24">
        <f>VLOOKUP(M1317, KM!$A:$E, 5, 0)</f>
        <v>408</v>
      </c>
      <c r="U1317" s="24">
        <f>VLOOKUP(N1317, KM!$A:$E, 5, 0)</f>
        <v>3971</v>
      </c>
      <c r="V1317" s="24">
        <f>VLOOKUP(H1317, IMPOSTO!$A:$D, 4, 0)</f>
        <v>0.18</v>
      </c>
      <c r="W1317" s="24">
        <f>VLOOKUP(I1317, IMPOSTO!$A:$D, 4, 0)</f>
        <v>0.12</v>
      </c>
      <c r="X1317" s="24">
        <f>VLOOKUP(J1317, IMPOSTO!$A:$D, 4, 0)</f>
        <v>7.0000000000000007E-2</v>
      </c>
      <c r="Y1317" s="24">
        <f>VLOOKUP(K1317, IMPOSTO!$A:$D, 4, 0)</f>
        <v>0.12</v>
      </c>
      <c r="Z1317" s="24">
        <f>VLOOKUP(L1317, IMPOSTO!$A:$D, 4, 0)</f>
        <v>0.12</v>
      </c>
      <c r="AA1317" s="24">
        <f>VLOOKUP(M1317, IMPOSTO!$A:$D, 4, 0)</f>
        <v>0.12</v>
      </c>
      <c r="AB1317" s="24">
        <f>VLOOKUP(N1317, IMPOSTO!$A:$D, 4, 0)</f>
        <v>7.0000000000000007E-2</v>
      </c>
      <c r="AC1317" s="25">
        <f t="shared" si="192"/>
        <v>12631.152547265116</v>
      </c>
      <c r="AD1317" s="25">
        <f t="shared" si="193"/>
        <v>11836.528509951586</v>
      </c>
      <c r="AE1317" s="25">
        <f t="shared" si="194"/>
        <v>11231.983966405804</v>
      </c>
      <c r="AF1317" s="25">
        <f t="shared" si="195"/>
        <v>11850.051237224312</v>
      </c>
      <c r="AG1317" s="25">
        <f t="shared" si="196"/>
        <v>11818.687600860676</v>
      </c>
      <c r="AH1317" s="25">
        <f t="shared" si="197"/>
        <v>11816.301237224312</v>
      </c>
      <c r="AI1317" s="25">
        <f t="shared" si="198"/>
        <v>11564.13450404021</v>
      </c>
    </row>
    <row r="1318" spans="1:35" ht="15.75" customHeight="1">
      <c r="A1318" s="12" t="s">
        <v>953</v>
      </c>
      <c r="B1318" s="12" t="s">
        <v>954</v>
      </c>
      <c r="C1318" s="12" t="s">
        <v>192</v>
      </c>
      <c r="D1318" s="12" t="s">
        <v>33</v>
      </c>
      <c r="E1318" s="12" t="s">
        <v>23</v>
      </c>
      <c r="F1318" s="13">
        <v>175.41935483870967</v>
      </c>
      <c r="G1318" s="14">
        <v>227.2557741935484</v>
      </c>
      <c r="H1318" s="24" t="str">
        <f t="shared" si="191"/>
        <v>SPSP</v>
      </c>
      <c r="I1318" s="24" t="str">
        <f t="shared" si="199"/>
        <v>SPMG</v>
      </c>
      <c r="J1318" s="24" t="str">
        <f t="shared" si="199"/>
        <v>SPES</v>
      </c>
      <c r="K1318" s="24" t="str">
        <f t="shared" si="199"/>
        <v>SPSC</v>
      </c>
      <c r="L1318" s="24" t="str">
        <f t="shared" si="199"/>
        <v>SPRJ</v>
      </c>
      <c r="M1318" s="24" t="str">
        <f t="shared" si="199"/>
        <v>SPPR</v>
      </c>
      <c r="N1318" s="24" t="str">
        <f t="shared" si="199"/>
        <v>SPAM</v>
      </c>
      <c r="O1318" s="24">
        <f>VLOOKUP(H1318, KM!$A:$E, 5, 0)</f>
        <v>0</v>
      </c>
      <c r="P1318" s="24">
        <f>VLOOKUP(I1318, KM!$A:$E, 5, 0)</f>
        <v>586</v>
      </c>
      <c r="Q1318" s="24">
        <f>VLOOKUP(J1318, KM!$A:$E, 5, 0)</f>
        <v>882</v>
      </c>
      <c r="R1318" s="24">
        <f>VLOOKUP(K1318, KM!$A:$E, 5, 0)</f>
        <v>705</v>
      </c>
      <c r="S1318" s="24">
        <f>VLOOKUP(L1318, KM!$A:$E, 5, 0)</f>
        <v>429</v>
      </c>
      <c r="T1318" s="24">
        <f>VLOOKUP(M1318, KM!$A:$E, 5, 0)</f>
        <v>408</v>
      </c>
      <c r="U1318" s="24">
        <f>VLOOKUP(N1318, KM!$A:$E, 5, 0)</f>
        <v>3971</v>
      </c>
      <c r="V1318" s="24">
        <f>VLOOKUP(H1318, IMPOSTO!$A:$D, 4, 0)</f>
        <v>0.18</v>
      </c>
      <c r="W1318" s="24">
        <f>VLOOKUP(I1318, IMPOSTO!$A:$D, 4, 0)</f>
        <v>0.12</v>
      </c>
      <c r="X1318" s="24">
        <f>VLOOKUP(J1318, IMPOSTO!$A:$D, 4, 0)</f>
        <v>7.0000000000000007E-2</v>
      </c>
      <c r="Y1318" s="24">
        <f>VLOOKUP(K1318, IMPOSTO!$A:$D, 4, 0)</f>
        <v>0.12</v>
      </c>
      <c r="Z1318" s="24">
        <f>VLOOKUP(L1318, IMPOSTO!$A:$D, 4, 0)</f>
        <v>0.12</v>
      </c>
      <c r="AA1318" s="24">
        <f>VLOOKUP(M1318, IMPOSTO!$A:$D, 4, 0)</f>
        <v>0.12</v>
      </c>
      <c r="AB1318" s="24">
        <f>VLOOKUP(N1318, IMPOSTO!$A:$D, 4, 0)</f>
        <v>7.0000000000000007E-2</v>
      </c>
      <c r="AC1318" s="25">
        <f t="shared" si="192"/>
        <v>277.14118804091265</v>
      </c>
      <c r="AD1318" s="25">
        <f t="shared" si="193"/>
        <v>324.8361070381232</v>
      </c>
      <c r="AE1318" s="25">
        <f t="shared" si="194"/>
        <v>339.19975719736391</v>
      </c>
      <c r="AF1318" s="25">
        <f t="shared" si="195"/>
        <v>338.35883431085045</v>
      </c>
      <c r="AG1318" s="25">
        <f t="shared" si="196"/>
        <v>306.99519794721408</v>
      </c>
      <c r="AH1318" s="25">
        <f t="shared" si="197"/>
        <v>304.60883431085045</v>
      </c>
      <c r="AI1318" s="25">
        <f t="shared" si="198"/>
        <v>671.35029483177254</v>
      </c>
    </row>
    <row r="1319" spans="1:35" ht="15.75" customHeight="1">
      <c r="A1319" s="12" t="s">
        <v>859</v>
      </c>
      <c r="B1319" s="12" t="s">
        <v>860</v>
      </c>
      <c r="C1319" s="12" t="s">
        <v>192</v>
      </c>
      <c r="D1319" s="12" t="s">
        <v>33</v>
      </c>
      <c r="E1319" s="12" t="s">
        <v>23</v>
      </c>
      <c r="F1319" s="13">
        <v>193.73026315789471</v>
      </c>
      <c r="G1319" s="14">
        <v>2886.6777861842106</v>
      </c>
      <c r="H1319" s="24" t="str">
        <f t="shared" si="191"/>
        <v>SPSP</v>
      </c>
      <c r="I1319" s="24" t="str">
        <f t="shared" si="199"/>
        <v>SPMG</v>
      </c>
      <c r="J1319" s="24" t="str">
        <f t="shared" si="199"/>
        <v>SPES</v>
      </c>
      <c r="K1319" s="24" t="str">
        <f t="shared" si="199"/>
        <v>SPSC</v>
      </c>
      <c r="L1319" s="24" t="str">
        <f t="shared" si="199"/>
        <v>SPRJ</v>
      </c>
      <c r="M1319" s="24" t="str">
        <f t="shared" si="199"/>
        <v>SPPR</v>
      </c>
      <c r="N1319" s="24" t="str">
        <f t="shared" si="199"/>
        <v>SPAM</v>
      </c>
      <c r="O1319" s="24">
        <f>VLOOKUP(H1319, KM!$A:$E, 5, 0)</f>
        <v>0</v>
      </c>
      <c r="P1319" s="24">
        <f>VLOOKUP(I1319, KM!$A:$E, 5, 0)</f>
        <v>586</v>
      </c>
      <c r="Q1319" s="24">
        <f>VLOOKUP(J1319, KM!$A:$E, 5, 0)</f>
        <v>882</v>
      </c>
      <c r="R1319" s="24">
        <f>VLOOKUP(K1319, KM!$A:$E, 5, 0)</f>
        <v>705</v>
      </c>
      <c r="S1319" s="24">
        <f>VLOOKUP(L1319, KM!$A:$E, 5, 0)</f>
        <v>429</v>
      </c>
      <c r="T1319" s="24">
        <f>VLOOKUP(M1319, KM!$A:$E, 5, 0)</f>
        <v>408</v>
      </c>
      <c r="U1319" s="24">
        <f>VLOOKUP(N1319, KM!$A:$E, 5, 0)</f>
        <v>3971</v>
      </c>
      <c r="V1319" s="24">
        <f>VLOOKUP(H1319, IMPOSTO!$A:$D, 4, 0)</f>
        <v>0.18</v>
      </c>
      <c r="W1319" s="24">
        <f>VLOOKUP(I1319, IMPOSTO!$A:$D, 4, 0)</f>
        <v>0.12</v>
      </c>
      <c r="X1319" s="24">
        <f>VLOOKUP(J1319, IMPOSTO!$A:$D, 4, 0)</f>
        <v>7.0000000000000007E-2</v>
      </c>
      <c r="Y1319" s="24">
        <f>VLOOKUP(K1319, IMPOSTO!$A:$D, 4, 0)</f>
        <v>0.12</v>
      </c>
      <c r="Z1319" s="24">
        <f>VLOOKUP(L1319, IMPOSTO!$A:$D, 4, 0)</f>
        <v>0.12</v>
      </c>
      <c r="AA1319" s="24">
        <f>VLOOKUP(M1319, IMPOSTO!$A:$D, 4, 0)</f>
        <v>0.12</v>
      </c>
      <c r="AB1319" s="24">
        <f>VLOOKUP(N1319, IMPOSTO!$A:$D, 4, 0)</f>
        <v>7.0000000000000007E-2</v>
      </c>
      <c r="AC1319" s="25">
        <f t="shared" si="192"/>
        <v>3520.3387636392808</v>
      </c>
      <c r="AD1319" s="25">
        <f t="shared" si="193"/>
        <v>3346.9065752093302</v>
      </c>
      <c r="AE1319" s="25">
        <f t="shared" si="194"/>
        <v>3198.7933184776457</v>
      </c>
      <c r="AF1319" s="25">
        <f t="shared" si="195"/>
        <v>3360.4293024820577</v>
      </c>
      <c r="AG1319" s="25">
        <f t="shared" si="196"/>
        <v>3329.0656661184212</v>
      </c>
      <c r="AH1319" s="25">
        <f t="shared" si="197"/>
        <v>3326.6793024820577</v>
      </c>
      <c r="AI1319" s="25">
        <f t="shared" si="198"/>
        <v>3530.9438561120546</v>
      </c>
    </row>
    <row r="1320" spans="1:35" ht="15.75" customHeight="1">
      <c r="A1320" s="12" t="s">
        <v>859</v>
      </c>
      <c r="B1320" s="12" t="s">
        <v>860</v>
      </c>
      <c r="C1320" s="12" t="s">
        <v>192</v>
      </c>
      <c r="D1320" s="12" t="s">
        <v>33</v>
      </c>
      <c r="E1320" s="12" t="s">
        <v>23</v>
      </c>
      <c r="F1320" s="13">
        <v>1003.875</v>
      </c>
      <c r="G1320" s="14">
        <v>14958.239437499993</v>
      </c>
      <c r="H1320" s="24" t="str">
        <f t="shared" si="191"/>
        <v>SPSP</v>
      </c>
      <c r="I1320" s="24" t="str">
        <f t="shared" si="199"/>
        <v>SPMG</v>
      </c>
      <c r="J1320" s="24" t="str">
        <f t="shared" si="199"/>
        <v>SPES</v>
      </c>
      <c r="K1320" s="24" t="str">
        <f t="shared" si="199"/>
        <v>SPSC</v>
      </c>
      <c r="L1320" s="24" t="str">
        <f t="shared" si="199"/>
        <v>SPRJ</v>
      </c>
      <c r="M1320" s="24" t="str">
        <f t="shared" si="199"/>
        <v>SPPR</v>
      </c>
      <c r="N1320" s="24" t="str">
        <f t="shared" si="199"/>
        <v>SPAM</v>
      </c>
      <c r="O1320" s="24">
        <f>VLOOKUP(H1320, KM!$A:$E, 5, 0)</f>
        <v>0</v>
      </c>
      <c r="P1320" s="24">
        <f>VLOOKUP(I1320, KM!$A:$E, 5, 0)</f>
        <v>586</v>
      </c>
      <c r="Q1320" s="24">
        <f>VLOOKUP(J1320, KM!$A:$E, 5, 0)</f>
        <v>882</v>
      </c>
      <c r="R1320" s="24">
        <f>VLOOKUP(K1320, KM!$A:$E, 5, 0)</f>
        <v>705</v>
      </c>
      <c r="S1320" s="24">
        <f>VLOOKUP(L1320, KM!$A:$E, 5, 0)</f>
        <v>429</v>
      </c>
      <c r="T1320" s="24">
        <f>VLOOKUP(M1320, KM!$A:$E, 5, 0)</f>
        <v>408</v>
      </c>
      <c r="U1320" s="24">
        <f>VLOOKUP(N1320, KM!$A:$E, 5, 0)</f>
        <v>3971</v>
      </c>
      <c r="V1320" s="24">
        <f>VLOOKUP(H1320, IMPOSTO!$A:$D, 4, 0)</f>
        <v>0.18</v>
      </c>
      <c r="W1320" s="24">
        <f>VLOOKUP(I1320, IMPOSTO!$A:$D, 4, 0)</f>
        <v>0.12</v>
      </c>
      <c r="X1320" s="24">
        <f>VLOOKUP(J1320, IMPOSTO!$A:$D, 4, 0)</f>
        <v>7.0000000000000007E-2</v>
      </c>
      <c r="Y1320" s="24">
        <f>VLOOKUP(K1320, IMPOSTO!$A:$D, 4, 0)</f>
        <v>0.12</v>
      </c>
      <c r="Z1320" s="24">
        <f>VLOOKUP(L1320, IMPOSTO!$A:$D, 4, 0)</f>
        <v>0.12</v>
      </c>
      <c r="AA1320" s="24">
        <f>VLOOKUP(M1320, IMPOSTO!$A:$D, 4, 0)</f>
        <v>0.12</v>
      </c>
      <c r="AB1320" s="24">
        <f>VLOOKUP(N1320, IMPOSTO!$A:$D, 4, 0)</f>
        <v>7.0000000000000007E-2</v>
      </c>
      <c r="AC1320" s="25">
        <f t="shared" si="192"/>
        <v>18241.755411585356</v>
      </c>
      <c r="AD1320" s="25">
        <f t="shared" si="193"/>
        <v>17064.590269886357</v>
      </c>
      <c r="AE1320" s="25">
        <f t="shared" si="194"/>
        <v>16178.967137096768</v>
      </c>
      <c r="AF1320" s="25">
        <f t="shared" si="195"/>
        <v>17078.112997159082</v>
      </c>
      <c r="AG1320" s="25">
        <f t="shared" si="196"/>
        <v>17046.749360795446</v>
      </c>
      <c r="AH1320" s="25">
        <f t="shared" si="197"/>
        <v>17044.362997159082</v>
      </c>
      <c r="AI1320" s="25">
        <f t="shared" si="198"/>
        <v>16511.117674731177</v>
      </c>
    </row>
    <row r="1321" spans="1:35" ht="15.75" customHeight="1">
      <c r="A1321" s="12" t="s">
        <v>859</v>
      </c>
      <c r="B1321" s="12" t="s">
        <v>860</v>
      </c>
      <c r="C1321" s="12" t="s">
        <v>192</v>
      </c>
      <c r="D1321" s="12" t="s">
        <v>33</v>
      </c>
      <c r="E1321" s="12" t="s">
        <v>23</v>
      </c>
      <c r="F1321" s="13">
        <v>52.835526315789473</v>
      </c>
      <c r="G1321" s="14">
        <v>780.53923026315795</v>
      </c>
      <c r="H1321" s="24" t="str">
        <f t="shared" si="191"/>
        <v>SPSP</v>
      </c>
      <c r="I1321" s="24" t="str">
        <f t="shared" si="199"/>
        <v>SPMG</v>
      </c>
      <c r="J1321" s="24" t="str">
        <f t="shared" si="199"/>
        <v>SPES</v>
      </c>
      <c r="K1321" s="24" t="str">
        <f t="shared" si="199"/>
        <v>SPSC</v>
      </c>
      <c r="L1321" s="24" t="str">
        <f t="shared" si="199"/>
        <v>SPRJ</v>
      </c>
      <c r="M1321" s="24" t="str">
        <f t="shared" si="199"/>
        <v>SPPR</v>
      </c>
      <c r="N1321" s="24" t="str">
        <f t="shared" si="199"/>
        <v>SPAM</v>
      </c>
      <c r="O1321" s="24">
        <f>VLOOKUP(H1321, KM!$A:$E, 5, 0)</f>
        <v>0</v>
      </c>
      <c r="P1321" s="24">
        <f>VLOOKUP(I1321, KM!$A:$E, 5, 0)</f>
        <v>586</v>
      </c>
      <c r="Q1321" s="24">
        <f>VLOOKUP(J1321, KM!$A:$E, 5, 0)</f>
        <v>882</v>
      </c>
      <c r="R1321" s="24">
        <f>VLOOKUP(K1321, KM!$A:$E, 5, 0)</f>
        <v>705</v>
      </c>
      <c r="S1321" s="24">
        <f>VLOOKUP(L1321, KM!$A:$E, 5, 0)</f>
        <v>429</v>
      </c>
      <c r="T1321" s="24">
        <f>VLOOKUP(M1321, KM!$A:$E, 5, 0)</f>
        <v>408</v>
      </c>
      <c r="U1321" s="24">
        <f>VLOOKUP(N1321, KM!$A:$E, 5, 0)</f>
        <v>3971</v>
      </c>
      <c r="V1321" s="24">
        <f>VLOOKUP(H1321, IMPOSTO!$A:$D, 4, 0)</f>
        <v>0.18</v>
      </c>
      <c r="W1321" s="24">
        <f>VLOOKUP(I1321, IMPOSTO!$A:$D, 4, 0)</f>
        <v>0.12</v>
      </c>
      <c r="X1321" s="24">
        <f>VLOOKUP(J1321, IMPOSTO!$A:$D, 4, 0)</f>
        <v>7.0000000000000007E-2</v>
      </c>
      <c r="Y1321" s="24">
        <f>VLOOKUP(K1321, IMPOSTO!$A:$D, 4, 0)</f>
        <v>0.12</v>
      </c>
      <c r="Z1321" s="24">
        <f>VLOOKUP(L1321, IMPOSTO!$A:$D, 4, 0)</f>
        <v>0.12</v>
      </c>
      <c r="AA1321" s="24">
        <f>VLOOKUP(M1321, IMPOSTO!$A:$D, 4, 0)</f>
        <v>0.12</v>
      </c>
      <c r="AB1321" s="24">
        <f>VLOOKUP(N1321, IMPOSTO!$A:$D, 4, 0)</f>
        <v>7.0000000000000007E-2</v>
      </c>
      <c r="AC1321" s="25">
        <f t="shared" si="192"/>
        <v>951.87711007702183</v>
      </c>
      <c r="AD1321" s="25">
        <f t="shared" si="193"/>
        <v>953.56730711722491</v>
      </c>
      <c r="AE1321" s="25">
        <f t="shared" si="194"/>
        <v>934.12820458404087</v>
      </c>
      <c r="AF1321" s="25">
        <f t="shared" si="195"/>
        <v>967.09003438995217</v>
      </c>
      <c r="AG1321" s="25">
        <f t="shared" si="196"/>
        <v>935.72639802631579</v>
      </c>
      <c r="AH1321" s="25">
        <f t="shared" si="197"/>
        <v>933.34003438995217</v>
      </c>
      <c r="AI1321" s="25">
        <f t="shared" si="198"/>
        <v>1266.2787422184495</v>
      </c>
    </row>
    <row r="1322" spans="1:35" ht="15.75" customHeight="1">
      <c r="A1322" s="12" t="s">
        <v>720</v>
      </c>
      <c r="B1322" s="12" t="s">
        <v>721</v>
      </c>
      <c r="C1322" s="12" t="s">
        <v>192</v>
      </c>
      <c r="D1322" s="12" t="s">
        <v>50</v>
      </c>
      <c r="E1322" s="12" t="s">
        <v>23</v>
      </c>
      <c r="F1322" s="13">
        <v>303.97183098591552</v>
      </c>
      <c r="G1322" s="14">
        <v>3192.0853521126764</v>
      </c>
      <c r="H1322" s="24" t="str">
        <f t="shared" si="191"/>
        <v>SPSP</v>
      </c>
      <c r="I1322" s="24" t="str">
        <f t="shared" si="199"/>
        <v>SPMG</v>
      </c>
      <c r="J1322" s="24" t="str">
        <f t="shared" si="199"/>
        <v>SPES</v>
      </c>
      <c r="K1322" s="24" t="str">
        <f t="shared" si="199"/>
        <v>SPSC</v>
      </c>
      <c r="L1322" s="24" t="str">
        <f t="shared" si="199"/>
        <v>SPRJ</v>
      </c>
      <c r="M1322" s="24" t="str">
        <f t="shared" si="199"/>
        <v>SPPR</v>
      </c>
      <c r="N1322" s="24" t="str">
        <f t="shared" si="199"/>
        <v>SPAM</v>
      </c>
      <c r="O1322" s="24">
        <f>VLOOKUP(H1322, KM!$A:$E, 5, 0)</f>
        <v>0</v>
      </c>
      <c r="P1322" s="24">
        <f>VLOOKUP(I1322, KM!$A:$E, 5, 0)</f>
        <v>586</v>
      </c>
      <c r="Q1322" s="24">
        <f>VLOOKUP(J1322, KM!$A:$E, 5, 0)</f>
        <v>882</v>
      </c>
      <c r="R1322" s="24">
        <f>VLOOKUP(K1322, KM!$A:$E, 5, 0)</f>
        <v>705</v>
      </c>
      <c r="S1322" s="24">
        <f>VLOOKUP(L1322, KM!$A:$E, 5, 0)</f>
        <v>429</v>
      </c>
      <c r="T1322" s="24">
        <f>VLOOKUP(M1322, KM!$A:$E, 5, 0)</f>
        <v>408</v>
      </c>
      <c r="U1322" s="24">
        <f>VLOOKUP(N1322, KM!$A:$E, 5, 0)</f>
        <v>3971</v>
      </c>
      <c r="V1322" s="24">
        <f>VLOOKUP(H1322, IMPOSTO!$A:$D, 4, 0)</f>
        <v>0.18</v>
      </c>
      <c r="W1322" s="24">
        <f>VLOOKUP(I1322, IMPOSTO!$A:$D, 4, 0)</f>
        <v>0.12</v>
      </c>
      <c r="X1322" s="24">
        <f>VLOOKUP(J1322, IMPOSTO!$A:$D, 4, 0)</f>
        <v>7.0000000000000007E-2</v>
      </c>
      <c r="Y1322" s="24">
        <f>VLOOKUP(K1322, IMPOSTO!$A:$D, 4, 0)</f>
        <v>0.12</v>
      </c>
      <c r="Z1322" s="24">
        <f>VLOOKUP(L1322, IMPOSTO!$A:$D, 4, 0)</f>
        <v>0.12</v>
      </c>
      <c r="AA1322" s="24">
        <f>VLOOKUP(M1322, IMPOSTO!$A:$D, 4, 0)</f>
        <v>0.12</v>
      </c>
      <c r="AB1322" s="24">
        <f>VLOOKUP(N1322, IMPOSTO!$A:$D, 4, 0)</f>
        <v>7.0000000000000007E-2</v>
      </c>
      <c r="AC1322" s="25">
        <f t="shared" si="192"/>
        <v>3892.7870147715562</v>
      </c>
      <c r="AD1322" s="25">
        <f t="shared" si="193"/>
        <v>3693.9606274007688</v>
      </c>
      <c r="AE1322" s="25">
        <f t="shared" si="194"/>
        <v>3527.1885506587919</v>
      </c>
      <c r="AF1322" s="25">
        <f t="shared" si="195"/>
        <v>3707.4833546734958</v>
      </c>
      <c r="AG1322" s="25">
        <f t="shared" si="196"/>
        <v>3676.1197183098598</v>
      </c>
      <c r="AH1322" s="25">
        <f t="shared" si="197"/>
        <v>3673.7333546734963</v>
      </c>
      <c r="AI1322" s="25">
        <f t="shared" si="198"/>
        <v>3859.3390882932008</v>
      </c>
    </row>
    <row r="1323" spans="1:35" ht="15.75" customHeight="1">
      <c r="A1323" s="12" t="s">
        <v>720</v>
      </c>
      <c r="B1323" s="12" t="s">
        <v>721</v>
      </c>
      <c r="C1323" s="12" t="s">
        <v>192</v>
      </c>
      <c r="D1323" s="12" t="s">
        <v>50</v>
      </c>
      <c r="E1323" s="12" t="s">
        <v>23</v>
      </c>
      <c r="F1323" s="13">
        <v>234.25352112676055</v>
      </c>
      <c r="G1323" s="14">
        <v>2449.6504225352114</v>
      </c>
      <c r="H1323" s="24" t="str">
        <f t="shared" si="191"/>
        <v>SPSP</v>
      </c>
      <c r="I1323" s="24" t="str">
        <f t="shared" si="199"/>
        <v>SPMG</v>
      </c>
      <c r="J1323" s="24" t="str">
        <f t="shared" si="199"/>
        <v>SPES</v>
      </c>
      <c r="K1323" s="24" t="str">
        <f t="shared" si="199"/>
        <v>SPSC</v>
      </c>
      <c r="L1323" s="24" t="str">
        <f t="shared" si="199"/>
        <v>SPRJ</v>
      </c>
      <c r="M1323" s="24" t="str">
        <f t="shared" si="199"/>
        <v>SPPR</v>
      </c>
      <c r="N1323" s="24" t="str">
        <f t="shared" si="199"/>
        <v>SPAM</v>
      </c>
      <c r="O1323" s="24">
        <f>VLOOKUP(H1323, KM!$A:$E, 5, 0)</f>
        <v>0</v>
      </c>
      <c r="P1323" s="24">
        <f>VLOOKUP(I1323, KM!$A:$E, 5, 0)</f>
        <v>586</v>
      </c>
      <c r="Q1323" s="24">
        <f>VLOOKUP(J1323, KM!$A:$E, 5, 0)</f>
        <v>882</v>
      </c>
      <c r="R1323" s="24">
        <f>VLOOKUP(K1323, KM!$A:$E, 5, 0)</f>
        <v>705</v>
      </c>
      <c r="S1323" s="24">
        <f>VLOOKUP(L1323, KM!$A:$E, 5, 0)</f>
        <v>429</v>
      </c>
      <c r="T1323" s="24">
        <f>VLOOKUP(M1323, KM!$A:$E, 5, 0)</f>
        <v>408</v>
      </c>
      <c r="U1323" s="24">
        <f>VLOOKUP(N1323, KM!$A:$E, 5, 0)</f>
        <v>3971</v>
      </c>
      <c r="V1323" s="24">
        <f>VLOOKUP(H1323, IMPOSTO!$A:$D, 4, 0)</f>
        <v>0.18</v>
      </c>
      <c r="W1323" s="24">
        <f>VLOOKUP(I1323, IMPOSTO!$A:$D, 4, 0)</f>
        <v>0.12</v>
      </c>
      <c r="X1323" s="24">
        <f>VLOOKUP(J1323, IMPOSTO!$A:$D, 4, 0)</f>
        <v>7.0000000000000007E-2</v>
      </c>
      <c r="Y1323" s="24">
        <f>VLOOKUP(K1323, IMPOSTO!$A:$D, 4, 0)</f>
        <v>0.12</v>
      </c>
      <c r="Z1323" s="24">
        <f>VLOOKUP(L1323, IMPOSTO!$A:$D, 4, 0)</f>
        <v>0.12</v>
      </c>
      <c r="AA1323" s="24">
        <f>VLOOKUP(M1323, IMPOSTO!$A:$D, 4, 0)</f>
        <v>0.12</v>
      </c>
      <c r="AB1323" s="24">
        <f>VLOOKUP(N1323, IMPOSTO!$A:$D, 4, 0)</f>
        <v>7.0000000000000007E-2</v>
      </c>
      <c r="AC1323" s="25">
        <f t="shared" si="192"/>
        <v>2987.3785640673309</v>
      </c>
      <c r="AD1323" s="25">
        <f t="shared" si="193"/>
        <v>2850.2845710627403</v>
      </c>
      <c r="AE1323" s="25">
        <f t="shared" si="194"/>
        <v>2728.8714220808724</v>
      </c>
      <c r="AF1323" s="25">
        <f t="shared" si="195"/>
        <v>2863.8072983354673</v>
      </c>
      <c r="AG1323" s="25">
        <f t="shared" si="196"/>
        <v>2832.4436619718313</v>
      </c>
      <c r="AH1323" s="25">
        <f t="shared" si="197"/>
        <v>2830.0572983354677</v>
      </c>
      <c r="AI1323" s="25">
        <f t="shared" si="198"/>
        <v>3061.0219597152814</v>
      </c>
    </row>
    <row r="1324" spans="1:35" ht="15.75" customHeight="1">
      <c r="A1324" s="12" t="s">
        <v>861</v>
      </c>
      <c r="B1324" s="12" t="s">
        <v>862</v>
      </c>
      <c r="C1324" s="12" t="s">
        <v>192</v>
      </c>
      <c r="D1324" s="12" t="s">
        <v>50</v>
      </c>
      <c r="E1324" s="12" t="s">
        <v>23</v>
      </c>
      <c r="F1324" s="13">
        <v>1188.0731425061426</v>
      </c>
      <c r="G1324" s="14">
        <v>16357.79328700983</v>
      </c>
      <c r="H1324" s="24" t="str">
        <f t="shared" si="191"/>
        <v>SPSP</v>
      </c>
      <c r="I1324" s="24" t="str">
        <f t="shared" si="199"/>
        <v>SPMG</v>
      </c>
      <c r="J1324" s="24" t="str">
        <f t="shared" si="199"/>
        <v>SPES</v>
      </c>
      <c r="K1324" s="24" t="str">
        <f t="shared" si="199"/>
        <v>SPSC</v>
      </c>
      <c r="L1324" s="24" t="str">
        <f t="shared" si="199"/>
        <v>SPRJ</v>
      </c>
      <c r="M1324" s="24" t="str">
        <f t="shared" si="199"/>
        <v>SPPR</v>
      </c>
      <c r="N1324" s="24" t="str">
        <f t="shared" si="199"/>
        <v>SPAM</v>
      </c>
      <c r="O1324" s="24">
        <f>VLOOKUP(H1324, KM!$A:$E, 5, 0)</f>
        <v>0</v>
      </c>
      <c r="P1324" s="24">
        <f>VLOOKUP(I1324, KM!$A:$E, 5, 0)</f>
        <v>586</v>
      </c>
      <c r="Q1324" s="24">
        <f>VLOOKUP(J1324, KM!$A:$E, 5, 0)</f>
        <v>882</v>
      </c>
      <c r="R1324" s="24">
        <f>VLOOKUP(K1324, KM!$A:$E, 5, 0)</f>
        <v>705</v>
      </c>
      <c r="S1324" s="24">
        <f>VLOOKUP(L1324, KM!$A:$E, 5, 0)</f>
        <v>429</v>
      </c>
      <c r="T1324" s="24">
        <f>VLOOKUP(M1324, KM!$A:$E, 5, 0)</f>
        <v>408</v>
      </c>
      <c r="U1324" s="24">
        <f>VLOOKUP(N1324, KM!$A:$E, 5, 0)</f>
        <v>3971</v>
      </c>
      <c r="V1324" s="24">
        <f>VLOOKUP(H1324, IMPOSTO!$A:$D, 4, 0)</f>
        <v>0.18</v>
      </c>
      <c r="W1324" s="24">
        <f>VLOOKUP(I1324, IMPOSTO!$A:$D, 4, 0)</f>
        <v>0.12</v>
      </c>
      <c r="X1324" s="24">
        <f>VLOOKUP(J1324, IMPOSTO!$A:$D, 4, 0)</f>
        <v>7.0000000000000007E-2</v>
      </c>
      <c r="Y1324" s="24">
        <f>VLOOKUP(K1324, IMPOSTO!$A:$D, 4, 0)</f>
        <v>0.12</v>
      </c>
      <c r="Z1324" s="24">
        <f>VLOOKUP(L1324, IMPOSTO!$A:$D, 4, 0)</f>
        <v>0.12</v>
      </c>
      <c r="AA1324" s="24">
        <f>VLOOKUP(M1324, IMPOSTO!$A:$D, 4, 0)</f>
        <v>0.12</v>
      </c>
      <c r="AB1324" s="24">
        <f>VLOOKUP(N1324, IMPOSTO!$A:$D, 4, 0)</f>
        <v>7.0000000000000007E-2</v>
      </c>
      <c r="AC1324" s="25">
        <f t="shared" si="192"/>
        <v>19948.528398792474</v>
      </c>
      <c r="AD1324" s="25">
        <f t="shared" si="193"/>
        <v>18654.992371602078</v>
      </c>
      <c r="AE1324" s="25">
        <f t="shared" si="194"/>
        <v>17683.863749472937</v>
      </c>
      <c r="AF1324" s="25">
        <f t="shared" si="195"/>
        <v>18668.515098874806</v>
      </c>
      <c r="AG1324" s="25">
        <f t="shared" si="196"/>
        <v>18637.151462511174</v>
      </c>
      <c r="AH1324" s="25">
        <f t="shared" si="197"/>
        <v>18634.765098874806</v>
      </c>
      <c r="AI1324" s="25">
        <f t="shared" si="198"/>
        <v>18016.014287107344</v>
      </c>
    </row>
    <row r="1325" spans="1:35" ht="15.75" customHeight="1">
      <c r="A1325" s="12" t="s">
        <v>861</v>
      </c>
      <c r="B1325" s="12" t="s">
        <v>862</v>
      </c>
      <c r="C1325" s="12" t="s">
        <v>192</v>
      </c>
      <c r="D1325" s="12" t="s">
        <v>50</v>
      </c>
      <c r="E1325" s="12" t="s">
        <v>23</v>
      </c>
      <c r="F1325" s="13">
        <v>785.81215724815718</v>
      </c>
      <c r="G1325" s="14">
        <v>10940.750406486488</v>
      </c>
      <c r="H1325" s="24" t="str">
        <f t="shared" si="191"/>
        <v>SPSP</v>
      </c>
      <c r="I1325" s="24" t="str">
        <f t="shared" si="199"/>
        <v>SPMG</v>
      </c>
      <c r="J1325" s="24" t="str">
        <f t="shared" si="199"/>
        <v>SPES</v>
      </c>
      <c r="K1325" s="24" t="str">
        <f t="shared" si="199"/>
        <v>SPSC</v>
      </c>
      <c r="L1325" s="24" t="str">
        <f t="shared" si="199"/>
        <v>SPRJ</v>
      </c>
      <c r="M1325" s="24" t="str">
        <f t="shared" si="199"/>
        <v>SPPR</v>
      </c>
      <c r="N1325" s="24" t="str">
        <f t="shared" si="199"/>
        <v>SPAM</v>
      </c>
      <c r="O1325" s="24">
        <f>VLOOKUP(H1325, KM!$A:$E, 5, 0)</f>
        <v>0</v>
      </c>
      <c r="P1325" s="24">
        <f>VLOOKUP(I1325, KM!$A:$E, 5, 0)</f>
        <v>586</v>
      </c>
      <c r="Q1325" s="24">
        <f>VLOOKUP(J1325, KM!$A:$E, 5, 0)</f>
        <v>882</v>
      </c>
      <c r="R1325" s="24">
        <f>VLOOKUP(K1325, KM!$A:$E, 5, 0)</f>
        <v>705</v>
      </c>
      <c r="S1325" s="24">
        <f>VLOOKUP(L1325, KM!$A:$E, 5, 0)</f>
        <v>429</v>
      </c>
      <c r="T1325" s="24">
        <f>VLOOKUP(M1325, KM!$A:$E, 5, 0)</f>
        <v>408</v>
      </c>
      <c r="U1325" s="24">
        <f>VLOOKUP(N1325, KM!$A:$E, 5, 0)</f>
        <v>3971</v>
      </c>
      <c r="V1325" s="24">
        <f>VLOOKUP(H1325, IMPOSTO!$A:$D, 4, 0)</f>
        <v>0.18</v>
      </c>
      <c r="W1325" s="24">
        <f>VLOOKUP(I1325, IMPOSTO!$A:$D, 4, 0)</f>
        <v>0.12</v>
      </c>
      <c r="X1325" s="24">
        <f>VLOOKUP(J1325, IMPOSTO!$A:$D, 4, 0)</f>
        <v>7.0000000000000007E-2</v>
      </c>
      <c r="Y1325" s="24">
        <f>VLOOKUP(K1325, IMPOSTO!$A:$D, 4, 0)</f>
        <v>0.12</v>
      </c>
      <c r="Z1325" s="24">
        <f>VLOOKUP(L1325, IMPOSTO!$A:$D, 4, 0)</f>
        <v>0.12</v>
      </c>
      <c r="AA1325" s="24">
        <f>VLOOKUP(M1325, IMPOSTO!$A:$D, 4, 0)</f>
        <v>0.12</v>
      </c>
      <c r="AB1325" s="24">
        <f>VLOOKUP(N1325, IMPOSTO!$A:$D, 4, 0)</f>
        <v>7.0000000000000007E-2</v>
      </c>
      <c r="AC1325" s="25">
        <f t="shared" si="192"/>
        <v>13342.378544495716</v>
      </c>
      <c r="AD1325" s="25">
        <f t="shared" si="193"/>
        <v>12499.261825552827</v>
      </c>
      <c r="AE1325" s="25">
        <f t="shared" si="194"/>
        <v>11859.086458587622</v>
      </c>
      <c r="AF1325" s="25">
        <f t="shared" si="195"/>
        <v>12512.784552825555</v>
      </c>
      <c r="AG1325" s="25">
        <f t="shared" si="196"/>
        <v>12481.420916461917</v>
      </c>
      <c r="AH1325" s="25">
        <f t="shared" si="197"/>
        <v>12479.034552825553</v>
      </c>
      <c r="AI1325" s="25">
        <f t="shared" si="198"/>
        <v>12191.236996222031</v>
      </c>
    </row>
    <row r="1326" spans="1:35" ht="15.75" customHeight="1">
      <c r="A1326" s="12" t="s">
        <v>1000</v>
      </c>
      <c r="B1326" s="12" t="s">
        <v>1001</v>
      </c>
      <c r="C1326" s="12" t="s">
        <v>314</v>
      </c>
      <c r="D1326" s="12" t="s">
        <v>33</v>
      </c>
      <c r="E1326" s="12" t="s">
        <v>23</v>
      </c>
      <c r="F1326" s="13">
        <v>5581.9999999999973</v>
      </c>
      <c r="G1326" s="14">
        <v>169244.15925448027</v>
      </c>
      <c r="H1326" s="24" t="str">
        <f t="shared" si="191"/>
        <v>SPSP</v>
      </c>
      <c r="I1326" s="24" t="str">
        <f t="shared" si="199"/>
        <v>SPMG</v>
      </c>
      <c r="J1326" s="24" t="str">
        <f t="shared" si="199"/>
        <v>SPES</v>
      </c>
      <c r="K1326" s="24" t="str">
        <f t="shared" si="199"/>
        <v>SPSC</v>
      </c>
      <c r="L1326" s="24" t="str">
        <f t="shared" si="199"/>
        <v>SPRJ</v>
      </c>
      <c r="M1326" s="24" t="str">
        <f t="shared" si="199"/>
        <v>SPPR</v>
      </c>
      <c r="N1326" s="24" t="str">
        <f t="shared" si="199"/>
        <v>SPAM</v>
      </c>
      <c r="O1326" s="24">
        <f>VLOOKUP(H1326, KM!$A:$E, 5, 0)</f>
        <v>0</v>
      </c>
      <c r="P1326" s="24">
        <f>VLOOKUP(I1326, KM!$A:$E, 5, 0)</f>
        <v>586</v>
      </c>
      <c r="Q1326" s="24">
        <f>VLOOKUP(J1326, KM!$A:$E, 5, 0)</f>
        <v>882</v>
      </c>
      <c r="R1326" s="24">
        <f>VLOOKUP(K1326, KM!$A:$E, 5, 0)</f>
        <v>705</v>
      </c>
      <c r="S1326" s="24">
        <f>VLOOKUP(L1326, KM!$A:$E, 5, 0)</f>
        <v>429</v>
      </c>
      <c r="T1326" s="24">
        <f>VLOOKUP(M1326, KM!$A:$E, 5, 0)</f>
        <v>408</v>
      </c>
      <c r="U1326" s="24">
        <f>VLOOKUP(N1326, KM!$A:$E, 5, 0)</f>
        <v>3971</v>
      </c>
      <c r="V1326" s="24">
        <f>VLOOKUP(H1326, IMPOSTO!$A:$D, 4, 0)</f>
        <v>0.18</v>
      </c>
      <c r="W1326" s="24">
        <f>VLOOKUP(I1326, IMPOSTO!$A:$D, 4, 0)</f>
        <v>0.12</v>
      </c>
      <c r="X1326" s="24">
        <f>VLOOKUP(J1326, IMPOSTO!$A:$D, 4, 0)</f>
        <v>7.0000000000000007E-2</v>
      </c>
      <c r="Y1326" s="24">
        <f>VLOOKUP(K1326, IMPOSTO!$A:$D, 4, 0)</f>
        <v>0.12</v>
      </c>
      <c r="Z1326" s="24">
        <f>VLOOKUP(L1326, IMPOSTO!$A:$D, 4, 0)</f>
        <v>0.12</v>
      </c>
      <c r="AA1326" s="24">
        <f>VLOOKUP(M1326, IMPOSTO!$A:$D, 4, 0)</f>
        <v>0.12</v>
      </c>
      <c r="AB1326" s="24">
        <f>VLOOKUP(N1326, IMPOSTO!$A:$D, 4, 0)</f>
        <v>7.0000000000000007E-2</v>
      </c>
      <c r="AC1326" s="25">
        <f t="shared" si="192"/>
        <v>206395.31616400031</v>
      </c>
      <c r="AD1326" s="25">
        <f t="shared" si="193"/>
        <v>192389.49915281849</v>
      </c>
      <c r="AE1326" s="25">
        <f t="shared" si="194"/>
        <v>182077.80564997881</v>
      </c>
      <c r="AF1326" s="25">
        <f t="shared" si="195"/>
        <v>192403.02188009123</v>
      </c>
      <c r="AG1326" s="25">
        <f t="shared" si="196"/>
        <v>192371.65824372758</v>
      </c>
      <c r="AH1326" s="25">
        <f t="shared" si="197"/>
        <v>192369.2718800912</v>
      </c>
      <c r="AI1326" s="25">
        <f t="shared" si="198"/>
        <v>182409.95618761322</v>
      </c>
    </row>
    <row r="1327" spans="1:35" ht="15.75" customHeight="1">
      <c r="A1327" s="12" t="s">
        <v>1002</v>
      </c>
      <c r="B1327" s="12" t="s">
        <v>1003</v>
      </c>
      <c r="C1327" s="12" t="s">
        <v>192</v>
      </c>
      <c r="D1327" s="12" t="s">
        <v>33</v>
      </c>
      <c r="E1327" s="12" t="s">
        <v>23</v>
      </c>
      <c r="F1327" s="13">
        <v>112</v>
      </c>
      <c r="G1327" s="14">
        <v>10459.68</v>
      </c>
      <c r="H1327" s="24" t="str">
        <f t="shared" si="191"/>
        <v>SPSP</v>
      </c>
      <c r="I1327" s="24" t="str">
        <f t="shared" si="199"/>
        <v>SPMG</v>
      </c>
      <c r="J1327" s="24" t="str">
        <f t="shared" si="199"/>
        <v>SPES</v>
      </c>
      <c r="K1327" s="24" t="str">
        <f t="shared" si="199"/>
        <v>SPSC</v>
      </c>
      <c r="L1327" s="24" t="str">
        <f t="shared" si="199"/>
        <v>SPRJ</v>
      </c>
      <c r="M1327" s="24" t="str">
        <f t="shared" si="199"/>
        <v>SPPR</v>
      </c>
      <c r="N1327" s="24" t="str">
        <f t="shared" si="199"/>
        <v>SPAM</v>
      </c>
      <c r="O1327" s="24">
        <f>VLOOKUP(H1327, KM!$A:$E, 5, 0)</f>
        <v>0</v>
      </c>
      <c r="P1327" s="24">
        <f>VLOOKUP(I1327, KM!$A:$E, 5, 0)</f>
        <v>586</v>
      </c>
      <c r="Q1327" s="24">
        <f>VLOOKUP(J1327, KM!$A:$E, 5, 0)</f>
        <v>882</v>
      </c>
      <c r="R1327" s="24">
        <f>VLOOKUP(K1327, KM!$A:$E, 5, 0)</f>
        <v>705</v>
      </c>
      <c r="S1327" s="24">
        <f>VLOOKUP(L1327, KM!$A:$E, 5, 0)</f>
        <v>429</v>
      </c>
      <c r="T1327" s="24">
        <f>VLOOKUP(M1327, KM!$A:$E, 5, 0)</f>
        <v>408</v>
      </c>
      <c r="U1327" s="24">
        <f>VLOOKUP(N1327, KM!$A:$E, 5, 0)</f>
        <v>3971</v>
      </c>
      <c r="V1327" s="24">
        <f>VLOOKUP(H1327, IMPOSTO!$A:$D, 4, 0)</f>
        <v>0.18</v>
      </c>
      <c r="W1327" s="24">
        <f>VLOOKUP(I1327, IMPOSTO!$A:$D, 4, 0)</f>
        <v>0.12</v>
      </c>
      <c r="X1327" s="24">
        <f>VLOOKUP(J1327, IMPOSTO!$A:$D, 4, 0)</f>
        <v>7.0000000000000007E-2</v>
      </c>
      <c r="Y1327" s="24">
        <f>VLOOKUP(K1327, IMPOSTO!$A:$D, 4, 0)</f>
        <v>0.12</v>
      </c>
      <c r="Z1327" s="24">
        <f>VLOOKUP(L1327, IMPOSTO!$A:$D, 4, 0)</f>
        <v>0.12</v>
      </c>
      <c r="AA1327" s="24">
        <f>VLOOKUP(M1327, IMPOSTO!$A:$D, 4, 0)</f>
        <v>0.12</v>
      </c>
      <c r="AB1327" s="24">
        <f>VLOOKUP(N1327, IMPOSTO!$A:$D, 4, 0)</f>
        <v>7.0000000000000007E-2</v>
      </c>
      <c r="AC1327" s="25">
        <f t="shared" si="192"/>
        <v>12755.707317073171</v>
      </c>
      <c r="AD1327" s="25">
        <f t="shared" si="193"/>
        <v>11952.59090909091</v>
      </c>
      <c r="AE1327" s="25">
        <f t="shared" si="194"/>
        <v>11341.806451612905</v>
      </c>
      <c r="AF1327" s="25">
        <f t="shared" si="195"/>
        <v>11966.113636363636</v>
      </c>
      <c r="AG1327" s="25">
        <f t="shared" si="196"/>
        <v>11934.75</v>
      </c>
      <c r="AH1327" s="25">
        <f t="shared" si="197"/>
        <v>11932.363636363636</v>
      </c>
      <c r="AI1327" s="25">
        <f t="shared" si="198"/>
        <v>11673.956989247314</v>
      </c>
    </row>
    <row r="1328" spans="1:35" ht="15.75" customHeight="1">
      <c r="A1328" s="12" t="s">
        <v>1004</v>
      </c>
      <c r="B1328" s="12" t="s">
        <v>1005</v>
      </c>
      <c r="C1328" s="12" t="s">
        <v>217</v>
      </c>
      <c r="D1328" s="12" t="s">
        <v>33</v>
      </c>
      <c r="E1328" s="12" t="s">
        <v>23</v>
      </c>
      <c r="F1328" s="13">
        <v>12</v>
      </c>
      <c r="G1328" s="14">
        <v>422.75400000000002</v>
      </c>
      <c r="H1328" s="24" t="str">
        <f t="shared" si="191"/>
        <v>SPSP</v>
      </c>
      <c r="I1328" s="24" t="str">
        <f t="shared" si="199"/>
        <v>SPMG</v>
      </c>
      <c r="J1328" s="24" t="str">
        <f t="shared" si="199"/>
        <v>SPES</v>
      </c>
      <c r="K1328" s="24" t="str">
        <f t="shared" si="199"/>
        <v>SPSC</v>
      </c>
      <c r="L1328" s="24" t="str">
        <f t="shared" si="199"/>
        <v>SPRJ</v>
      </c>
      <c r="M1328" s="24" t="str">
        <f t="shared" si="199"/>
        <v>SPPR</v>
      </c>
      <c r="N1328" s="24" t="str">
        <f t="shared" si="199"/>
        <v>SPAM</v>
      </c>
      <c r="O1328" s="24">
        <f>VLOOKUP(H1328, KM!$A:$E, 5, 0)</f>
        <v>0</v>
      </c>
      <c r="P1328" s="24">
        <f>VLOOKUP(I1328, KM!$A:$E, 5, 0)</f>
        <v>586</v>
      </c>
      <c r="Q1328" s="24">
        <f>VLOOKUP(J1328, KM!$A:$E, 5, 0)</f>
        <v>882</v>
      </c>
      <c r="R1328" s="24">
        <f>VLOOKUP(K1328, KM!$A:$E, 5, 0)</f>
        <v>705</v>
      </c>
      <c r="S1328" s="24">
        <f>VLOOKUP(L1328, KM!$A:$E, 5, 0)</f>
        <v>429</v>
      </c>
      <c r="T1328" s="24">
        <f>VLOOKUP(M1328, KM!$A:$E, 5, 0)</f>
        <v>408</v>
      </c>
      <c r="U1328" s="24">
        <f>VLOOKUP(N1328, KM!$A:$E, 5, 0)</f>
        <v>3971</v>
      </c>
      <c r="V1328" s="24">
        <f>VLOOKUP(H1328, IMPOSTO!$A:$D, 4, 0)</f>
        <v>0.18</v>
      </c>
      <c r="W1328" s="24">
        <f>VLOOKUP(I1328, IMPOSTO!$A:$D, 4, 0)</f>
        <v>0.12</v>
      </c>
      <c r="X1328" s="24">
        <f>VLOOKUP(J1328, IMPOSTO!$A:$D, 4, 0)</f>
        <v>7.0000000000000007E-2</v>
      </c>
      <c r="Y1328" s="24">
        <f>VLOOKUP(K1328, IMPOSTO!$A:$D, 4, 0)</f>
        <v>0.12</v>
      </c>
      <c r="Z1328" s="24">
        <f>VLOOKUP(L1328, IMPOSTO!$A:$D, 4, 0)</f>
        <v>0.12</v>
      </c>
      <c r="AA1328" s="24">
        <f>VLOOKUP(M1328, IMPOSTO!$A:$D, 4, 0)</f>
        <v>0.12</v>
      </c>
      <c r="AB1328" s="24">
        <f>VLOOKUP(N1328, IMPOSTO!$A:$D, 4, 0)</f>
        <v>7.0000000000000007E-2</v>
      </c>
      <c r="AC1328" s="25">
        <f t="shared" si="192"/>
        <v>515.55365853658532</v>
      </c>
      <c r="AD1328" s="25">
        <f t="shared" si="193"/>
        <v>546.99318181818182</v>
      </c>
      <c r="AE1328" s="25">
        <f t="shared" si="194"/>
        <v>549.41290322580653</v>
      </c>
      <c r="AF1328" s="25">
        <f t="shared" si="195"/>
        <v>560.51590909090908</v>
      </c>
      <c r="AG1328" s="25">
        <f t="shared" si="196"/>
        <v>529.1522727272727</v>
      </c>
      <c r="AH1328" s="25">
        <f t="shared" si="197"/>
        <v>526.76590909090908</v>
      </c>
      <c r="AI1328" s="25">
        <f t="shared" si="198"/>
        <v>881.56344086021511</v>
      </c>
    </row>
    <row r="1329" spans="1:35" ht="15.75" customHeight="1">
      <c r="A1329" s="12" t="s">
        <v>1006</v>
      </c>
      <c r="B1329" s="12" t="s">
        <v>1007</v>
      </c>
      <c r="C1329" s="12" t="s">
        <v>135</v>
      </c>
      <c r="D1329" s="12" t="s">
        <v>33</v>
      </c>
      <c r="E1329" s="12" t="s">
        <v>23</v>
      </c>
      <c r="F1329" s="13">
        <v>605.99999999999989</v>
      </c>
      <c r="G1329" s="14">
        <v>16064.750289608173</v>
      </c>
      <c r="H1329" s="24" t="str">
        <f t="shared" si="191"/>
        <v>SPSP</v>
      </c>
      <c r="I1329" s="24" t="str">
        <f t="shared" si="199"/>
        <v>SPMG</v>
      </c>
      <c r="J1329" s="24" t="str">
        <f t="shared" si="199"/>
        <v>SPES</v>
      </c>
      <c r="K1329" s="24" t="str">
        <f t="shared" si="199"/>
        <v>SPSC</v>
      </c>
      <c r="L1329" s="24" t="str">
        <f t="shared" si="199"/>
        <v>SPRJ</v>
      </c>
      <c r="M1329" s="24" t="str">
        <f t="shared" si="199"/>
        <v>SPPR</v>
      </c>
      <c r="N1329" s="24" t="str">
        <f t="shared" si="199"/>
        <v>SPAM</v>
      </c>
      <c r="O1329" s="24">
        <f>VLOOKUP(H1329, KM!$A:$E, 5, 0)</f>
        <v>0</v>
      </c>
      <c r="P1329" s="24">
        <f>VLOOKUP(I1329, KM!$A:$E, 5, 0)</f>
        <v>586</v>
      </c>
      <c r="Q1329" s="24">
        <f>VLOOKUP(J1329, KM!$A:$E, 5, 0)</f>
        <v>882</v>
      </c>
      <c r="R1329" s="24">
        <f>VLOOKUP(K1329, KM!$A:$E, 5, 0)</f>
        <v>705</v>
      </c>
      <c r="S1329" s="24">
        <f>VLOOKUP(L1329, KM!$A:$E, 5, 0)</f>
        <v>429</v>
      </c>
      <c r="T1329" s="24">
        <f>VLOOKUP(M1329, KM!$A:$E, 5, 0)</f>
        <v>408</v>
      </c>
      <c r="U1329" s="24">
        <f>VLOOKUP(N1329, KM!$A:$E, 5, 0)</f>
        <v>3971</v>
      </c>
      <c r="V1329" s="24">
        <f>VLOOKUP(H1329, IMPOSTO!$A:$D, 4, 0)</f>
        <v>0.18</v>
      </c>
      <c r="W1329" s="24">
        <f>VLOOKUP(I1329, IMPOSTO!$A:$D, 4, 0)</f>
        <v>0.12</v>
      </c>
      <c r="X1329" s="24">
        <f>VLOOKUP(J1329, IMPOSTO!$A:$D, 4, 0)</f>
        <v>7.0000000000000007E-2</v>
      </c>
      <c r="Y1329" s="24">
        <f>VLOOKUP(K1329, IMPOSTO!$A:$D, 4, 0)</f>
        <v>0.12</v>
      </c>
      <c r="Z1329" s="24">
        <f>VLOOKUP(L1329, IMPOSTO!$A:$D, 4, 0)</f>
        <v>0.12</v>
      </c>
      <c r="AA1329" s="24">
        <f>VLOOKUP(M1329, IMPOSTO!$A:$D, 4, 0)</f>
        <v>0.12</v>
      </c>
      <c r="AB1329" s="24">
        <f>VLOOKUP(N1329, IMPOSTO!$A:$D, 4, 0)</f>
        <v>7.0000000000000007E-2</v>
      </c>
      <c r="AC1329" s="25">
        <f t="shared" si="192"/>
        <v>19591.158889766062</v>
      </c>
      <c r="AD1329" s="25">
        <f t="shared" si="193"/>
        <v>18321.988965463832</v>
      </c>
      <c r="AE1329" s="25">
        <f t="shared" si="194"/>
        <v>17368.763752266856</v>
      </c>
      <c r="AF1329" s="25">
        <f t="shared" si="195"/>
        <v>18335.51169273656</v>
      </c>
      <c r="AG1329" s="25">
        <f t="shared" si="196"/>
        <v>18304.148056372924</v>
      </c>
      <c r="AH1329" s="25">
        <f t="shared" si="197"/>
        <v>18301.76169273656</v>
      </c>
      <c r="AI1329" s="25">
        <f t="shared" si="198"/>
        <v>17700.914289901262</v>
      </c>
    </row>
    <row r="1330" spans="1:35" ht="15.75" customHeight="1">
      <c r="A1330" s="12" t="s">
        <v>274</v>
      </c>
      <c r="B1330" s="12" t="s">
        <v>275</v>
      </c>
      <c r="C1330" s="12" t="s">
        <v>192</v>
      </c>
      <c r="D1330" s="12" t="s">
        <v>50</v>
      </c>
      <c r="E1330" s="12" t="s">
        <v>23</v>
      </c>
      <c r="F1330" s="13">
        <v>25.922962962962966</v>
      </c>
      <c r="G1330" s="14">
        <v>1547.0658389333332</v>
      </c>
      <c r="H1330" s="24" t="str">
        <f t="shared" si="191"/>
        <v>SPSP</v>
      </c>
      <c r="I1330" s="24" t="str">
        <f t="shared" si="199"/>
        <v>SPMG</v>
      </c>
      <c r="J1330" s="24" t="str">
        <f t="shared" si="199"/>
        <v>SPES</v>
      </c>
      <c r="K1330" s="24" t="str">
        <f t="shared" si="199"/>
        <v>SPSC</v>
      </c>
      <c r="L1330" s="24" t="str">
        <f t="shared" si="199"/>
        <v>SPRJ</v>
      </c>
      <c r="M1330" s="24" t="str">
        <f t="shared" si="199"/>
        <v>SPPR</v>
      </c>
      <c r="N1330" s="24" t="str">
        <f t="shared" si="199"/>
        <v>SPAM</v>
      </c>
      <c r="O1330" s="24">
        <f>VLOOKUP(H1330, KM!$A:$E, 5, 0)</f>
        <v>0</v>
      </c>
      <c r="P1330" s="24">
        <f>VLOOKUP(I1330, KM!$A:$E, 5, 0)</f>
        <v>586</v>
      </c>
      <c r="Q1330" s="24">
        <f>VLOOKUP(J1330, KM!$A:$E, 5, 0)</f>
        <v>882</v>
      </c>
      <c r="R1330" s="24">
        <f>VLOOKUP(K1330, KM!$A:$E, 5, 0)</f>
        <v>705</v>
      </c>
      <c r="S1330" s="24">
        <f>VLOOKUP(L1330, KM!$A:$E, 5, 0)</f>
        <v>429</v>
      </c>
      <c r="T1330" s="24">
        <f>VLOOKUP(M1330, KM!$A:$E, 5, 0)</f>
        <v>408</v>
      </c>
      <c r="U1330" s="24">
        <f>VLOOKUP(N1330, KM!$A:$E, 5, 0)</f>
        <v>3971</v>
      </c>
      <c r="V1330" s="24">
        <f>VLOOKUP(H1330, IMPOSTO!$A:$D, 4, 0)</f>
        <v>0.18</v>
      </c>
      <c r="W1330" s="24">
        <f>VLOOKUP(I1330, IMPOSTO!$A:$D, 4, 0)</f>
        <v>0.12</v>
      </c>
      <c r="X1330" s="24">
        <f>VLOOKUP(J1330, IMPOSTO!$A:$D, 4, 0)</f>
        <v>7.0000000000000007E-2</v>
      </c>
      <c r="Y1330" s="24">
        <f>VLOOKUP(K1330, IMPOSTO!$A:$D, 4, 0)</f>
        <v>0.12</v>
      </c>
      <c r="Z1330" s="24">
        <f>VLOOKUP(L1330, IMPOSTO!$A:$D, 4, 0)</f>
        <v>0.12</v>
      </c>
      <c r="AA1330" s="24">
        <f>VLOOKUP(M1330, IMPOSTO!$A:$D, 4, 0)</f>
        <v>0.12</v>
      </c>
      <c r="AB1330" s="24">
        <f>VLOOKUP(N1330, IMPOSTO!$A:$D, 4, 0)</f>
        <v>7.0000000000000007E-2</v>
      </c>
      <c r="AC1330" s="25">
        <f t="shared" si="192"/>
        <v>1886.6656572357722</v>
      </c>
      <c r="AD1330" s="25">
        <f t="shared" si="193"/>
        <v>1824.6202715151512</v>
      </c>
      <c r="AE1330" s="25">
        <f t="shared" si="194"/>
        <v>1758.3503644444445</v>
      </c>
      <c r="AF1330" s="25">
        <f t="shared" si="195"/>
        <v>1838.1429987878787</v>
      </c>
      <c r="AG1330" s="25">
        <f t="shared" si="196"/>
        <v>1806.7793624242424</v>
      </c>
      <c r="AH1330" s="25">
        <f t="shared" si="197"/>
        <v>1804.3929987878787</v>
      </c>
      <c r="AI1330" s="25">
        <f t="shared" si="198"/>
        <v>2090.5009020788534</v>
      </c>
    </row>
    <row r="1331" spans="1:35" ht="15.75" customHeight="1">
      <c r="A1331" s="12" t="s">
        <v>620</v>
      </c>
      <c r="B1331" s="12" t="s">
        <v>621</v>
      </c>
      <c r="C1331" s="12" t="s">
        <v>265</v>
      </c>
      <c r="D1331" s="12" t="s">
        <v>50</v>
      </c>
      <c r="E1331" s="12" t="s">
        <v>23</v>
      </c>
      <c r="F1331" s="13">
        <v>8.2387999999999995</v>
      </c>
      <c r="G1331" s="14">
        <v>249.01661221214428</v>
      </c>
      <c r="H1331" s="24" t="str">
        <f t="shared" si="191"/>
        <v>SPSP</v>
      </c>
      <c r="I1331" s="24" t="str">
        <f t="shared" si="199"/>
        <v>SPMG</v>
      </c>
      <c r="J1331" s="24" t="str">
        <f t="shared" si="199"/>
        <v>SPES</v>
      </c>
      <c r="K1331" s="24" t="str">
        <f t="shared" si="199"/>
        <v>SPSC</v>
      </c>
      <c r="L1331" s="24" t="str">
        <f t="shared" si="199"/>
        <v>SPRJ</v>
      </c>
      <c r="M1331" s="24" t="str">
        <f t="shared" si="199"/>
        <v>SPPR</v>
      </c>
      <c r="N1331" s="24" t="str">
        <f t="shared" si="199"/>
        <v>SPAM</v>
      </c>
      <c r="O1331" s="24">
        <f>VLOOKUP(H1331, KM!$A:$E, 5, 0)</f>
        <v>0</v>
      </c>
      <c r="P1331" s="24">
        <f>VLOOKUP(I1331, KM!$A:$E, 5, 0)</f>
        <v>586</v>
      </c>
      <c r="Q1331" s="24">
        <f>VLOOKUP(J1331, KM!$A:$E, 5, 0)</f>
        <v>882</v>
      </c>
      <c r="R1331" s="24">
        <f>VLOOKUP(K1331, KM!$A:$E, 5, 0)</f>
        <v>705</v>
      </c>
      <c r="S1331" s="24">
        <f>VLOOKUP(L1331, KM!$A:$E, 5, 0)</f>
        <v>429</v>
      </c>
      <c r="T1331" s="24">
        <f>VLOOKUP(M1331, KM!$A:$E, 5, 0)</f>
        <v>408</v>
      </c>
      <c r="U1331" s="24">
        <f>VLOOKUP(N1331, KM!$A:$E, 5, 0)</f>
        <v>3971</v>
      </c>
      <c r="V1331" s="24">
        <f>VLOOKUP(H1331, IMPOSTO!$A:$D, 4, 0)</f>
        <v>0.18</v>
      </c>
      <c r="W1331" s="24">
        <f>VLOOKUP(I1331, IMPOSTO!$A:$D, 4, 0)</f>
        <v>0.12</v>
      </c>
      <c r="X1331" s="24">
        <f>VLOOKUP(J1331, IMPOSTO!$A:$D, 4, 0)</f>
        <v>7.0000000000000007E-2</v>
      </c>
      <c r="Y1331" s="24">
        <f>VLOOKUP(K1331, IMPOSTO!$A:$D, 4, 0)</f>
        <v>0.12</v>
      </c>
      <c r="Z1331" s="24">
        <f>VLOOKUP(L1331, IMPOSTO!$A:$D, 4, 0)</f>
        <v>0.12</v>
      </c>
      <c r="AA1331" s="24">
        <f>VLOOKUP(M1331, IMPOSTO!$A:$D, 4, 0)</f>
        <v>0.12</v>
      </c>
      <c r="AB1331" s="24">
        <f>VLOOKUP(N1331, IMPOSTO!$A:$D, 4, 0)</f>
        <v>7.0000000000000007E-2</v>
      </c>
      <c r="AC1331" s="25">
        <f t="shared" si="192"/>
        <v>303.67879538066376</v>
      </c>
      <c r="AD1331" s="25">
        <f t="shared" si="193"/>
        <v>349.56433205925487</v>
      </c>
      <c r="AE1331" s="25">
        <f t="shared" si="194"/>
        <v>362.59850775499388</v>
      </c>
      <c r="AF1331" s="25">
        <f t="shared" si="195"/>
        <v>363.08705933198218</v>
      </c>
      <c r="AG1331" s="25">
        <f t="shared" si="196"/>
        <v>331.7234229683458</v>
      </c>
      <c r="AH1331" s="25">
        <f t="shared" si="197"/>
        <v>329.33705933198212</v>
      </c>
      <c r="AI1331" s="25">
        <f t="shared" si="198"/>
        <v>694.74904538940257</v>
      </c>
    </row>
    <row r="1332" spans="1:35" ht="15.75" customHeight="1">
      <c r="A1332" s="12" t="s">
        <v>52</v>
      </c>
      <c r="B1332" s="12" t="s">
        <v>53</v>
      </c>
      <c r="C1332" s="12" t="s">
        <v>54</v>
      </c>
      <c r="D1332" s="12" t="s">
        <v>33</v>
      </c>
      <c r="E1332" s="12" t="s">
        <v>23</v>
      </c>
      <c r="F1332" s="13">
        <v>3272.2826957779412</v>
      </c>
      <c r="G1332" s="14">
        <v>43288.4619927495</v>
      </c>
      <c r="H1332" s="24" t="str">
        <f t="shared" si="191"/>
        <v>SPSP</v>
      </c>
      <c r="I1332" s="24" t="str">
        <f t="shared" si="199"/>
        <v>SPMG</v>
      </c>
      <c r="J1332" s="24" t="str">
        <f t="shared" si="199"/>
        <v>SPES</v>
      </c>
      <c r="K1332" s="24" t="str">
        <f t="shared" si="199"/>
        <v>SPSC</v>
      </c>
      <c r="L1332" s="24" t="str">
        <f t="shared" si="199"/>
        <v>SPRJ</v>
      </c>
      <c r="M1332" s="24" t="str">
        <f t="shared" si="199"/>
        <v>SPPR</v>
      </c>
      <c r="N1332" s="24" t="str">
        <f t="shared" si="199"/>
        <v>SPAM</v>
      </c>
      <c r="O1332" s="24">
        <f>VLOOKUP(H1332, KM!$A:$E, 5, 0)</f>
        <v>0</v>
      </c>
      <c r="P1332" s="24">
        <f>VLOOKUP(I1332, KM!$A:$E, 5, 0)</f>
        <v>586</v>
      </c>
      <c r="Q1332" s="24">
        <f>VLOOKUP(J1332, KM!$A:$E, 5, 0)</f>
        <v>882</v>
      </c>
      <c r="R1332" s="24">
        <f>VLOOKUP(K1332, KM!$A:$E, 5, 0)</f>
        <v>705</v>
      </c>
      <c r="S1332" s="24">
        <f>VLOOKUP(L1332, KM!$A:$E, 5, 0)</f>
        <v>429</v>
      </c>
      <c r="T1332" s="24">
        <f>VLOOKUP(M1332, KM!$A:$E, 5, 0)</f>
        <v>408</v>
      </c>
      <c r="U1332" s="24">
        <f>VLOOKUP(N1332, KM!$A:$E, 5, 0)</f>
        <v>3971</v>
      </c>
      <c r="V1332" s="24">
        <f>VLOOKUP(H1332, IMPOSTO!$A:$D, 4, 0)</f>
        <v>0.18</v>
      </c>
      <c r="W1332" s="24">
        <f>VLOOKUP(I1332, IMPOSTO!$A:$D, 4, 0)</f>
        <v>0.12</v>
      </c>
      <c r="X1332" s="24">
        <f>VLOOKUP(J1332, IMPOSTO!$A:$D, 4, 0)</f>
        <v>7.0000000000000007E-2</v>
      </c>
      <c r="Y1332" s="24">
        <f>VLOOKUP(K1332, IMPOSTO!$A:$D, 4, 0)</f>
        <v>0.12</v>
      </c>
      <c r="Z1332" s="24">
        <f>VLOOKUP(L1332, IMPOSTO!$A:$D, 4, 0)</f>
        <v>0.12</v>
      </c>
      <c r="AA1332" s="24">
        <f>VLOOKUP(M1332, IMPOSTO!$A:$D, 4, 0)</f>
        <v>0.12</v>
      </c>
      <c r="AB1332" s="24">
        <f>VLOOKUP(N1332, IMPOSTO!$A:$D, 4, 0)</f>
        <v>7.0000000000000007E-2</v>
      </c>
      <c r="AC1332" s="25">
        <f t="shared" si="192"/>
        <v>52790.807308231095</v>
      </c>
      <c r="AD1332" s="25">
        <f t="shared" si="193"/>
        <v>49258.024991760794</v>
      </c>
      <c r="AE1332" s="25">
        <f t="shared" si="194"/>
        <v>46641.572035214514</v>
      </c>
      <c r="AF1332" s="25">
        <f t="shared" si="195"/>
        <v>49271.547719033522</v>
      </c>
      <c r="AG1332" s="25">
        <f t="shared" si="196"/>
        <v>49240.18408266989</v>
      </c>
      <c r="AH1332" s="25">
        <f t="shared" si="197"/>
        <v>49237.79771903353</v>
      </c>
      <c r="AI1332" s="25">
        <f t="shared" si="198"/>
        <v>46973.722572848928</v>
      </c>
    </row>
    <row r="1333" spans="1:35" ht="15.75" customHeight="1">
      <c r="A1333" s="12" t="s">
        <v>986</v>
      </c>
      <c r="B1333" s="12" t="s">
        <v>987</v>
      </c>
      <c r="C1333" s="12" t="s">
        <v>217</v>
      </c>
      <c r="D1333" s="12" t="s">
        <v>50</v>
      </c>
      <c r="E1333" s="12" t="s">
        <v>23</v>
      </c>
      <c r="F1333" s="13">
        <v>20.020800000000001</v>
      </c>
      <c r="G1333" s="14">
        <v>156.05982336633662</v>
      </c>
      <c r="H1333" s="24" t="str">
        <f t="shared" si="191"/>
        <v>SPSP</v>
      </c>
      <c r="I1333" s="24" t="str">
        <f t="shared" si="199"/>
        <v>SPMG</v>
      </c>
      <c r="J1333" s="24" t="str">
        <f t="shared" si="199"/>
        <v>SPES</v>
      </c>
      <c r="K1333" s="24" t="str">
        <f t="shared" si="199"/>
        <v>SPSC</v>
      </c>
      <c r="L1333" s="24" t="str">
        <f t="shared" si="199"/>
        <v>SPRJ</v>
      </c>
      <c r="M1333" s="24" t="str">
        <f t="shared" si="199"/>
        <v>SPPR</v>
      </c>
      <c r="N1333" s="24" t="str">
        <f t="shared" si="199"/>
        <v>SPAM</v>
      </c>
      <c r="O1333" s="24">
        <f>VLOOKUP(H1333, KM!$A:$E, 5, 0)</f>
        <v>0</v>
      </c>
      <c r="P1333" s="24">
        <f>VLOOKUP(I1333, KM!$A:$E, 5, 0)</f>
        <v>586</v>
      </c>
      <c r="Q1333" s="24">
        <f>VLOOKUP(J1333, KM!$A:$E, 5, 0)</f>
        <v>882</v>
      </c>
      <c r="R1333" s="24">
        <f>VLOOKUP(K1333, KM!$A:$E, 5, 0)</f>
        <v>705</v>
      </c>
      <c r="S1333" s="24">
        <f>VLOOKUP(L1333, KM!$A:$E, 5, 0)</f>
        <v>429</v>
      </c>
      <c r="T1333" s="24">
        <f>VLOOKUP(M1333, KM!$A:$E, 5, 0)</f>
        <v>408</v>
      </c>
      <c r="U1333" s="24">
        <f>VLOOKUP(N1333, KM!$A:$E, 5, 0)</f>
        <v>3971</v>
      </c>
      <c r="V1333" s="24">
        <f>VLOOKUP(H1333, IMPOSTO!$A:$D, 4, 0)</f>
        <v>0.18</v>
      </c>
      <c r="W1333" s="24">
        <f>VLOOKUP(I1333, IMPOSTO!$A:$D, 4, 0)</f>
        <v>0.12</v>
      </c>
      <c r="X1333" s="24">
        <f>VLOOKUP(J1333, IMPOSTO!$A:$D, 4, 0)</f>
        <v>7.0000000000000007E-2</v>
      </c>
      <c r="Y1333" s="24">
        <f>VLOOKUP(K1333, IMPOSTO!$A:$D, 4, 0)</f>
        <v>0.12</v>
      </c>
      <c r="Z1333" s="24">
        <f>VLOOKUP(L1333, IMPOSTO!$A:$D, 4, 0)</f>
        <v>0.12</v>
      </c>
      <c r="AA1333" s="24">
        <f>VLOOKUP(M1333, IMPOSTO!$A:$D, 4, 0)</f>
        <v>0.12</v>
      </c>
      <c r="AB1333" s="24">
        <f>VLOOKUP(N1333, IMPOSTO!$A:$D, 4, 0)</f>
        <v>7.0000000000000007E-2</v>
      </c>
      <c r="AC1333" s="25">
        <f t="shared" si="192"/>
        <v>190.31685776382514</v>
      </c>
      <c r="AD1333" s="25">
        <f t="shared" si="193"/>
        <v>243.93161746174616</v>
      </c>
      <c r="AE1333" s="25">
        <f t="shared" si="194"/>
        <v>262.64497136165227</v>
      </c>
      <c r="AF1333" s="25">
        <f t="shared" si="195"/>
        <v>257.45434473447341</v>
      </c>
      <c r="AG1333" s="25">
        <f t="shared" si="196"/>
        <v>226.09070837083706</v>
      </c>
      <c r="AH1333" s="25">
        <f t="shared" si="197"/>
        <v>223.70434473447344</v>
      </c>
      <c r="AI1333" s="25">
        <f t="shared" si="198"/>
        <v>594.79550899606102</v>
      </c>
    </row>
    <row r="1334" spans="1:35" ht="15.75" customHeight="1">
      <c r="A1334" s="12" t="s">
        <v>907</v>
      </c>
      <c r="B1334" s="12" t="s">
        <v>908</v>
      </c>
      <c r="C1334" s="12" t="s">
        <v>160</v>
      </c>
      <c r="D1334" s="12" t="s">
        <v>33</v>
      </c>
      <c r="E1334" s="12" t="s">
        <v>23</v>
      </c>
      <c r="F1334" s="13">
        <v>7.0667999999999997</v>
      </c>
      <c r="G1334" s="14">
        <v>53.72829149999999</v>
      </c>
      <c r="H1334" s="24" t="str">
        <f t="shared" si="191"/>
        <v>SPSP</v>
      </c>
      <c r="I1334" s="24" t="str">
        <f t="shared" si="199"/>
        <v>SPMG</v>
      </c>
      <c r="J1334" s="24" t="str">
        <f t="shared" si="199"/>
        <v>SPES</v>
      </c>
      <c r="K1334" s="24" t="str">
        <f t="shared" si="199"/>
        <v>SPSC</v>
      </c>
      <c r="L1334" s="24" t="str">
        <f t="shared" si="199"/>
        <v>SPRJ</v>
      </c>
      <c r="M1334" s="24" t="str">
        <f t="shared" si="199"/>
        <v>SPPR</v>
      </c>
      <c r="N1334" s="24" t="str">
        <f t="shared" si="199"/>
        <v>SPAM</v>
      </c>
      <c r="O1334" s="24">
        <f>VLOOKUP(H1334, KM!$A:$E, 5, 0)</f>
        <v>0</v>
      </c>
      <c r="P1334" s="24">
        <f>VLOOKUP(I1334, KM!$A:$E, 5, 0)</f>
        <v>586</v>
      </c>
      <c r="Q1334" s="24">
        <f>VLOOKUP(J1334, KM!$A:$E, 5, 0)</f>
        <v>882</v>
      </c>
      <c r="R1334" s="24">
        <f>VLOOKUP(K1334, KM!$A:$E, 5, 0)</f>
        <v>705</v>
      </c>
      <c r="S1334" s="24">
        <f>VLOOKUP(L1334, KM!$A:$E, 5, 0)</f>
        <v>429</v>
      </c>
      <c r="T1334" s="24">
        <f>VLOOKUP(M1334, KM!$A:$E, 5, 0)</f>
        <v>408</v>
      </c>
      <c r="U1334" s="24">
        <f>VLOOKUP(N1334, KM!$A:$E, 5, 0)</f>
        <v>3971</v>
      </c>
      <c r="V1334" s="24">
        <f>VLOOKUP(H1334, IMPOSTO!$A:$D, 4, 0)</f>
        <v>0.18</v>
      </c>
      <c r="W1334" s="24">
        <f>VLOOKUP(I1334, IMPOSTO!$A:$D, 4, 0)</f>
        <v>0.12</v>
      </c>
      <c r="X1334" s="24">
        <f>VLOOKUP(J1334, IMPOSTO!$A:$D, 4, 0)</f>
        <v>7.0000000000000007E-2</v>
      </c>
      <c r="Y1334" s="24">
        <f>VLOOKUP(K1334, IMPOSTO!$A:$D, 4, 0)</f>
        <v>0.12</v>
      </c>
      <c r="Z1334" s="24">
        <f>VLOOKUP(L1334, IMPOSTO!$A:$D, 4, 0)</f>
        <v>0.12</v>
      </c>
      <c r="AA1334" s="24">
        <f>VLOOKUP(M1334, IMPOSTO!$A:$D, 4, 0)</f>
        <v>0.12</v>
      </c>
      <c r="AB1334" s="24">
        <f>VLOOKUP(N1334, IMPOSTO!$A:$D, 4, 0)</f>
        <v>7.0000000000000007E-2</v>
      </c>
      <c r="AC1334" s="25">
        <f t="shared" si="192"/>
        <v>65.522306707317057</v>
      </c>
      <c r="AD1334" s="25">
        <f t="shared" si="193"/>
        <v>127.64578579545453</v>
      </c>
      <c r="AE1334" s="25">
        <f t="shared" si="194"/>
        <v>152.61106612903228</v>
      </c>
      <c r="AF1334" s="25">
        <f t="shared" si="195"/>
        <v>141.1685130681818</v>
      </c>
      <c r="AG1334" s="25">
        <f t="shared" si="196"/>
        <v>109.80487670454544</v>
      </c>
      <c r="AH1334" s="25">
        <f t="shared" si="197"/>
        <v>107.41851306818181</v>
      </c>
      <c r="AI1334" s="25">
        <f t="shared" si="198"/>
        <v>484.76160376344092</v>
      </c>
    </row>
    <row r="1335" spans="1:35" ht="15.75" customHeight="1">
      <c r="A1335" s="12" t="s">
        <v>824</v>
      </c>
      <c r="B1335" s="12" t="s">
        <v>825</v>
      </c>
      <c r="C1335" s="12" t="s">
        <v>160</v>
      </c>
      <c r="D1335" s="12" t="s">
        <v>33</v>
      </c>
      <c r="E1335" s="12" t="s">
        <v>23</v>
      </c>
      <c r="F1335" s="13">
        <v>1.0692068965517243</v>
      </c>
      <c r="G1335" s="14">
        <v>4.9504279310344836</v>
      </c>
      <c r="H1335" s="24" t="str">
        <f t="shared" si="191"/>
        <v>SPSP</v>
      </c>
      <c r="I1335" s="24" t="str">
        <f t="shared" si="199"/>
        <v>SPMG</v>
      </c>
      <c r="J1335" s="24" t="str">
        <f t="shared" si="199"/>
        <v>SPES</v>
      </c>
      <c r="K1335" s="24" t="str">
        <f t="shared" si="199"/>
        <v>SPSC</v>
      </c>
      <c r="L1335" s="24" t="str">
        <f t="shared" si="199"/>
        <v>SPRJ</v>
      </c>
      <c r="M1335" s="24" t="str">
        <f t="shared" si="199"/>
        <v>SPPR</v>
      </c>
      <c r="N1335" s="24" t="str">
        <f t="shared" si="199"/>
        <v>SPAM</v>
      </c>
      <c r="O1335" s="24">
        <f>VLOOKUP(H1335, KM!$A:$E, 5, 0)</f>
        <v>0</v>
      </c>
      <c r="P1335" s="24">
        <f>VLOOKUP(I1335, KM!$A:$E, 5, 0)</f>
        <v>586</v>
      </c>
      <c r="Q1335" s="24">
        <f>VLOOKUP(J1335, KM!$A:$E, 5, 0)</f>
        <v>882</v>
      </c>
      <c r="R1335" s="24">
        <f>VLOOKUP(K1335, KM!$A:$E, 5, 0)</f>
        <v>705</v>
      </c>
      <c r="S1335" s="24">
        <f>VLOOKUP(L1335, KM!$A:$E, 5, 0)</f>
        <v>429</v>
      </c>
      <c r="T1335" s="24">
        <f>VLOOKUP(M1335, KM!$A:$E, 5, 0)</f>
        <v>408</v>
      </c>
      <c r="U1335" s="24">
        <f>VLOOKUP(N1335, KM!$A:$E, 5, 0)</f>
        <v>3971</v>
      </c>
      <c r="V1335" s="24">
        <f>VLOOKUP(H1335, IMPOSTO!$A:$D, 4, 0)</f>
        <v>0.18</v>
      </c>
      <c r="W1335" s="24">
        <f>VLOOKUP(I1335, IMPOSTO!$A:$D, 4, 0)</f>
        <v>0.12</v>
      </c>
      <c r="X1335" s="24">
        <f>VLOOKUP(J1335, IMPOSTO!$A:$D, 4, 0)</f>
        <v>7.0000000000000007E-2</v>
      </c>
      <c r="Y1335" s="24">
        <f>VLOOKUP(K1335, IMPOSTO!$A:$D, 4, 0)</f>
        <v>0.12</v>
      </c>
      <c r="Z1335" s="24">
        <f>VLOOKUP(L1335, IMPOSTO!$A:$D, 4, 0)</f>
        <v>0.12</v>
      </c>
      <c r="AA1335" s="24">
        <f>VLOOKUP(M1335, IMPOSTO!$A:$D, 4, 0)</f>
        <v>0.12</v>
      </c>
      <c r="AB1335" s="24">
        <f>VLOOKUP(N1335, IMPOSTO!$A:$D, 4, 0)</f>
        <v>7.0000000000000007E-2</v>
      </c>
      <c r="AC1335" s="25">
        <f t="shared" si="192"/>
        <v>6.0371072329688822</v>
      </c>
      <c r="AD1335" s="25">
        <f t="shared" si="193"/>
        <v>72.216395376175555</v>
      </c>
      <c r="AE1335" s="25">
        <f t="shared" si="194"/>
        <v>100.16175046347794</v>
      </c>
      <c r="AF1335" s="25">
        <f t="shared" si="195"/>
        <v>85.739122648902821</v>
      </c>
      <c r="AG1335" s="25">
        <f t="shared" si="196"/>
        <v>54.375486285266462</v>
      </c>
      <c r="AH1335" s="25">
        <f t="shared" si="197"/>
        <v>51.989122648902828</v>
      </c>
      <c r="AI1335" s="25">
        <f t="shared" si="198"/>
        <v>432.31228809788661</v>
      </c>
    </row>
    <row r="1336" spans="1:35" ht="15.75" customHeight="1">
      <c r="A1336" s="12" t="s">
        <v>877</v>
      </c>
      <c r="B1336" s="12" t="s">
        <v>878</v>
      </c>
      <c r="C1336" s="12" t="s">
        <v>876</v>
      </c>
      <c r="D1336" s="12" t="s">
        <v>33</v>
      </c>
      <c r="E1336" s="12" t="s">
        <v>23</v>
      </c>
      <c r="F1336" s="13">
        <v>6307.4505000000017</v>
      </c>
      <c r="G1336" s="14">
        <v>127818.71404104386</v>
      </c>
      <c r="H1336" s="24" t="str">
        <f t="shared" si="191"/>
        <v>SPSP</v>
      </c>
      <c r="I1336" s="24" t="str">
        <f t="shared" si="199"/>
        <v>SPMG</v>
      </c>
      <c r="J1336" s="24" t="str">
        <f t="shared" si="199"/>
        <v>SPES</v>
      </c>
      <c r="K1336" s="24" t="str">
        <f t="shared" si="199"/>
        <v>SPSC</v>
      </c>
      <c r="L1336" s="24" t="str">
        <f t="shared" si="199"/>
        <v>SPRJ</v>
      </c>
      <c r="M1336" s="24" t="str">
        <f t="shared" si="199"/>
        <v>SPPR</v>
      </c>
      <c r="N1336" s="24" t="str">
        <f t="shared" si="199"/>
        <v>SPAM</v>
      </c>
      <c r="O1336" s="24">
        <f>VLOOKUP(H1336, KM!$A:$E, 5, 0)</f>
        <v>0</v>
      </c>
      <c r="P1336" s="24">
        <f>VLOOKUP(I1336, KM!$A:$E, 5, 0)</f>
        <v>586</v>
      </c>
      <c r="Q1336" s="24">
        <f>VLOOKUP(J1336, KM!$A:$E, 5, 0)</f>
        <v>882</v>
      </c>
      <c r="R1336" s="24">
        <f>VLOOKUP(K1336, KM!$A:$E, 5, 0)</f>
        <v>705</v>
      </c>
      <c r="S1336" s="24">
        <f>VLOOKUP(L1336, KM!$A:$E, 5, 0)</f>
        <v>429</v>
      </c>
      <c r="T1336" s="24">
        <f>VLOOKUP(M1336, KM!$A:$E, 5, 0)</f>
        <v>408</v>
      </c>
      <c r="U1336" s="24">
        <f>VLOOKUP(N1336, KM!$A:$E, 5, 0)</f>
        <v>3971</v>
      </c>
      <c r="V1336" s="24">
        <f>VLOOKUP(H1336, IMPOSTO!$A:$D, 4, 0)</f>
        <v>0.18</v>
      </c>
      <c r="W1336" s="24">
        <f>VLOOKUP(I1336, IMPOSTO!$A:$D, 4, 0)</f>
        <v>0.12</v>
      </c>
      <c r="X1336" s="24">
        <f>VLOOKUP(J1336, IMPOSTO!$A:$D, 4, 0)</f>
        <v>7.0000000000000007E-2</v>
      </c>
      <c r="Y1336" s="24">
        <f>VLOOKUP(K1336, IMPOSTO!$A:$D, 4, 0)</f>
        <v>0.12</v>
      </c>
      <c r="Z1336" s="24">
        <f>VLOOKUP(L1336, IMPOSTO!$A:$D, 4, 0)</f>
        <v>0.12</v>
      </c>
      <c r="AA1336" s="24">
        <f>VLOOKUP(M1336, IMPOSTO!$A:$D, 4, 0)</f>
        <v>0.12</v>
      </c>
      <c r="AB1336" s="24">
        <f>VLOOKUP(N1336, IMPOSTO!$A:$D, 4, 0)</f>
        <v>7.0000000000000007E-2</v>
      </c>
      <c r="AC1336" s="25">
        <f t="shared" si="192"/>
        <v>155876.48053785836</v>
      </c>
      <c r="AD1336" s="25">
        <f t="shared" si="193"/>
        <v>145315.1295920953</v>
      </c>
      <c r="AE1336" s="25">
        <f t="shared" si="194"/>
        <v>137534.31617316545</v>
      </c>
      <c r="AF1336" s="25">
        <f t="shared" si="195"/>
        <v>145328.65231936803</v>
      </c>
      <c r="AG1336" s="25">
        <f t="shared" si="196"/>
        <v>145297.28868300439</v>
      </c>
      <c r="AH1336" s="25">
        <f t="shared" si="197"/>
        <v>145294.90231936803</v>
      </c>
      <c r="AI1336" s="25">
        <f t="shared" si="198"/>
        <v>137866.46671079987</v>
      </c>
    </row>
    <row r="1337" spans="1:35" ht="15.75" customHeight="1">
      <c r="A1337" s="12" t="s">
        <v>284</v>
      </c>
      <c r="B1337" s="12" t="s">
        <v>285</v>
      </c>
      <c r="C1337" s="12" t="s">
        <v>140</v>
      </c>
      <c r="D1337" s="12" t="s">
        <v>33</v>
      </c>
      <c r="E1337" s="12" t="s">
        <v>23</v>
      </c>
      <c r="F1337" s="13">
        <v>28.127000000000006</v>
      </c>
      <c r="G1337" s="14">
        <v>277.95130627844355</v>
      </c>
      <c r="H1337" s="24" t="str">
        <f t="shared" si="191"/>
        <v>SPSP</v>
      </c>
      <c r="I1337" s="24" t="str">
        <f t="shared" si="199"/>
        <v>SPMG</v>
      </c>
      <c r="J1337" s="24" t="str">
        <f t="shared" si="199"/>
        <v>SPES</v>
      </c>
      <c r="K1337" s="24" t="str">
        <f t="shared" si="199"/>
        <v>SPSC</v>
      </c>
      <c r="L1337" s="24" t="str">
        <f t="shared" si="199"/>
        <v>SPRJ</v>
      </c>
      <c r="M1337" s="24" t="str">
        <f t="shared" si="199"/>
        <v>SPPR</v>
      </c>
      <c r="N1337" s="24" t="str">
        <f t="shared" si="199"/>
        <v>SPAM</v>
      </c>
      <c r="O1337" s="24">
        <f>VLOOKUP(H1337, KM!$A:$E, 5, 0)</f>
        <v>0</v>
      </c>
      <c r="P1337" s="24">
        <f>VLOOKUP(I1337, KM!$A:$E, 5, 0)</f>
        <v>586</v>
      </c>
      <c r="Q1337" s="24">
        <f>VLOOKUP(J1337, KM!$A:$E, 5, 0)</f>
        <v>882</v>
      </c>
      <c r="R1337" s="24">
        <f>VLOOKUP(K1337, KM!$A:$E, 5, 0)</f>
        <v>705</v>
      </c>
      <c r="S1337" s="24">
        <f>VLOOKUP(L1337, KM!$A:$E, 5, 0)</f>
        <v>429</v>
      </c>
      <c r="T1337" s="24">
        <f>VLOOKUP(M1337, KM!$A:$E, 5, 0)</f>
        <v>408</v>
      </c>
      <c r="U1337" s="24">
        <f>VLOOKUP(N1337, KM!$A:$E, 5, 0)</f>
        <v>3971</v>
      </c>
      <c r="V1337" s="24">
        <f>VLOOKUP(H1337, IMPOSTO!$A:$D, 4, 0)</f>
        <v>0.18</v>
      </c>
      <c r="W1337" s="24">
        <f>VLOOKUP(I1337, IMPOSTO!$A:$D, 4, 0)</f>
        <v>0.12</v>
      </c>
      <c r="X1337" s="24">
        <f>VLOOKUP(J1337, IMPOSTO!$A:$D, 4, 0)</f>
        <v>7.0000000000000007E-2</v>
      </c>
      <c r="Y1337" s="24">
        <f>VLOOKUP(K1337, IMPOSTO!$A:$D, 4, 0)</f>
        <v>0.12</v>
      </c>
      <c r="Z1337" s="24">
        <f>VLOOKUP(L1337, IMPOSTO!$A:$D, 4, 0)</f>
        <v>0.12</v>
      </c>
      <c r="AA1337" s="24">
        <f>VLOOKUP(M1337, IMPOSTO!$A:$D, 4, 0)</f>
        <v>0.12</v>
      </c>
      <c r="AB1337" s="24">
        <f>VLOOKUP(N1337, IMPOSTO!$A:$D, 4, 0)</f>
        <v>7.0000000000000007E-2</v>
      </c>
      <c r="AC1337" s="25">
        <f t="shared" si="192"/>
        <v>338.96500765663848</v>
      </c>
      <c r="AD1337" s="25">
        <f t="shared" si="193"/>
        <v>382.44466622550408</v>
      </c>
      <c r="AE1337" s="25">
        <f t="shared" si="194"/>
        <v>393.71108201983179</v>
      </c>
      <c r="AF1337" s="25">
        <f t="shared" si="195"/>
        <v>395.96739349823133</v>
      </c>
      <c r="AG1337" s="25">
        <f t="shared" si="196"/>
        <v>364.6037571345949</v>
      </c>
      <c r="AH1337" s="25">
        <f t="shared" si="197"/>
        <v>362.21739349823133</v>
      </c>
      <c r="AI1337" s="25">
        <f t="shared" si="198"/>
        <v>725.86161965424049</v>
      </c>
    </row>
    <row r="1338" spans="1:35" ht="15.75" customHeight="1">
      <c r="A1338" s="12" t="s">
        <v>918</v>
      </c>
      <c r="B1338" s="12" t="s">
        <v>919</v>
      </c>
      <c r="C1338" s="12" t="s">
        <v>89</v>
      </c>
      <c r="D1338" s="12" t="s">
        <v>33</v>
      </c>
      <c r="E1338" s="12" t="s">
        <v>23</v>
      </c>
      <c r="F1338" s="13">
        <v>1.4997359197324411</v>
      </c>
      <c r="G1338" s="14">
        <v>87.066523703678925</v>
      </c>
      <c r="H1338" s="24" t="str">
        <f t="shared" si="191"/>
        <v>SPSP</v>
      </c>
      <c r="I1338" s="24" t="str">
        <f t="shared" si="199"/>
        <v>SPMG</v>
      </c>
      <c r="J1338" s="24" t="str">
        <f t="shared" si="199"/>
        <v>SPES</v>
      </c>
      <c r="K1338" s="24" t="str">
        <f t="shared" si="199"/>
        <v>SPSC</v>
      </c>
      <c r="L1338" s="24" t="str">
        <f t="shared" si="199"/>
        <v>SPRJ</v>
      </c>
      <c r="M1338" s="24" t="str">
        <f t="shared" si="199"/>
        <v>SPPR</v>
      </c>
      <c r="N1338" s="24" t="str">
        <f t="shared" si="199"/>
        <v>SPAM</v>
      </c>
      <c r="O1338" s="24">
        <f>VLOOKUP(H1338, KM!$A:$E, 5, 0)</f>
        <v>0</v>
      </c>
      <c r="P1338" s="24">
        <f>VLOOKUP(I1338, KM!$A:$E, 5, 0)</f>
        <v>586</v>
      </c>
      <c r="Q1338" s="24">
        <f>VLOOKUP(J1338, KM!$A:$E, 5, 0)</f>
        <v>882</v>
      </c>
      <c r="R1338" s="24">
        <f>VLOOKUP(K1338, KM!$A:$E, 5, 0)</f>
        <v>705</v>
      </c>
      <c r="S1338" s="24">
        <f>VLOOKUP(L1338, KM!$A:$E, 5, 0)</f>
        <v>429</v>
      </c>
      <c r="T1338" s="24">
        <f>VLOOKUP(M1338, KM!$A:$E, 5, 0)</f>
        <v>408</v>
      </c>
      <c r="U1338" s="24">
        <f>VLOOKUP(N1338, KM!$A:$E, 5, 0)</f>
        <v>3971</v>
      </c>
      <c r="V1338" s="24">
        <f>VLOOKUP(H1338, IMPOSTO!$A:$D, 4, 0)</f>
        <v>0.18</v>
      </c>
      <c r="W1338" s="24">
        <f>VLOOKUP(I1338, IMPOSTO!$A:$D, 4, 0)</f>
        <v>0.12</v>
      </c>
      <c r="X1338" s="24">
        <f>VLOOKUP(J1338, IMPOSTO!$A:$D, 4, 0)</f>
        <v>7.0000000000000007E-2</v>
      </c>
      <c r="Y1338" s="24">
        <f>VLOOKUP(K1338, IMPOSTO!$A:$D, 4, 0)</f>
        <v>0.12</v>
      </c>
      <c r="Z1338" s="24">
        <f>VLOOKUP(L1338, IMPOSTO!$A:$D, 4, 0)</f>
        <v>0.12</v>
      </c>
      <c r="AA1338" s="24">
        <f>VLOOKUP(M1338, IMPOSTO!$A:$D, 4, 0)</f>
        <v>0.12</v>
      </c>
      <c r="AB1338" s="24">
        <f>VLOOKUP(N1338, IMPOSTO!$A:$D, 4, 0)</f>
        <v>7.0000000000000007E-2</v>
      </c>
      <c r="AC1338" s="25">
        <f t="shared" si="192"/>
        <v>106.17868744351088</v>
      </c>
      <c r="AD1338" s="25">
        <f t="shared" si="193"/>
        <v>165.53014057236243</v>
      </c>
      <c r="AE1338" s="25">
        <f t="shared" si="194"/>
        <v>188.45862763836445</v>
      </c>
      <c r="AF1338" s="25">
        <f t="shared" si="195"/>
        <v>179.05286784508968</v>
      </c>
      <c r="AG1338" s="25">
        <f t="shared" si="196"/>
        <v>147.68923148145333</v>
      </c>
      <c r="AH1338" s="25">
        <f t="shared" si="197"/>
        <v>145.30286784508968</v>
      </c>
      <c r="AI1338" s="25">
        <f t="shared" si="198"/>
        <v>520.60916527277311</v>
      </c>
    </row>
    <row r="1339" spans="1:35" ht="15.75" customHeight="1">
      <c r="A1339" s="12" t="s">
        <v>922</v>
      </c>
      <c r="B1339" s="12" t="s">
        <v>923</v>
      </c>
      <c r="C1339" s="12" t="s">
        <v>60</v>
      </c>
      <c r="D1339" s="12" t="s">
        <v>50</v>
      </c>
      <c r="E1339" s="12" t="s">
        <v>23</v>
      </c>
      <c r="F1339" s="13">
        <v>1.9907999999999999</v>
      </c>
      <c r="G1339" s="14">
        <v>46.594972619999993</v>
      </c>
      <c r="H1339" s="24" t="str">
        <f t="shared" si="191"/>
        <v>SPSP</v>
      </c>
      <c r="I1339" s="24" t="str">
        <f t="shared" si="199"/>
        <v>SPMG</v>
      </c>
      <c r="J1339" s="24" t="str">
        <f t="shared" si="199"/>
        <v>SPES</v>
      </c>
      <c r="K1339" s="24" t="str">
        <f t="shared" si="199"/>
        <v>SPSC</v>
      </c>
      <c r="L1339" s="24" t="str">
        <f t="shared" si="199"/>
        <v>SPRJ</v>
      </c>
      <c r="M1339" s="24" t="str">
        <f t="shared" si="199"/>
        <v>SPPR</v>
      </c>
      <c r="N1339" s="24" t="str">
        <f t="shared" si="199"/>
        <v>SPAM</v>
      </c>
      <c r="O1339" s="24">
        <f>VLOOKUP(H1339, KM!$A:$E, 5, 0)</f>
        <v>0</v>
      </c>
      <c r="P1339" s="24">
        <f>VLOOKUP(I1339, KM!$A:$E, 5, 0)</f>
        <v>586</v>
      </c>
      <c r="Q1339" s="24">
        <f>VLOOKUP(J1339, KM!$A:$E, 5, 0)</f>
        <v>882</v>
      </c>
      <c r="R1339" s="24">
        <f>VLOOKUP(K1339, KM!$A:$E, 5, 0)</f>
        <v>705</v>
      </c>
      <c r="S1339" s="24">
        <f>VLOOKUP(L1339, KM!$A:$E, 5, 0)</f>
        <v>429</v>
      </c>
      <c r="T1339" s="24">
        <f>VLOOKUP(M1339, KM!$A:$E, 5, 0)</f>
        <v>408</v>
      </c>
      <c r="U1339" s="24">
        <f>VLOOKUP(N1339, KM!$A:$E, 5, 0)</f>
        <v>3971</v>
      </c>
      <c r="V1339" s="24">
        <f>VLOOKUP(H1339, IMPOSTO!$A:$D, 4, 0)</f>
        <v>0.18</v>
      </c>
      <c r="W1339" s="24">
        <f>VLOOKUP(I1339, IMPOSTO!$A:$D, 4, 0)</f>
        <v>0.12</v>
      </c>
      <c r="X1339" s="24">
        <f>VLOOKUP(J1339, IMPOSTO!$A:$D, 4, 0)</f>
        <v>7.0000000000000007E-2</v>
      </c>
      <c r="Y1339" s="24">
        <f>VLOOKUP(K1339, IMPOSTO!$A:$D, 4, 0)</f>
        <v>0.12</v>
      </c>
      <c r="Z1339" s="24">
        <f>VLOOKUP(L1339, IMPOSTO!$A:$D, 4, 0)</f>
        <v>0.12</v>
      </c>
      <c r="AA1339" s="24">
        <f>VLOOKUP(M1339, IMPOSTO!$A:$D, 4, 0)</f>
        <v>0.12</v>
      </c>
      <c r="AB1339" s="24">
        <f>VLOOKUP(N1339, IMPOSTO!$A:$D, 4, 0)</f>
        <v>7.0000000000000007E-2</v>
      </c>
      <c r="AC1339" s="25">
        <f t="shared" si="192"/>
        <v>56.823137341463401</v>
      </c>
      <c r="AD1339" s="25">
        <f t="shared" si="193"/>
        <v>119.53974161363635</v>
      </c>
      <c r="AE1339" s="25">
        <f t="shared" si="194"/>
        <v>144.94083077419356</v>
      </c>
      <c r="AF1339" s="25">
        <f t="shared" si="195"/>
        <v>133.06246888636363</v>
      </c>
      <c r="AG1339" s="25">
        <f t="shared" si="196"/>
        <v>101.69883252272727</v>
      </c>
      <c r="AH1339" s="25">
        <f t="shared" si="197"/>
        <v>99.312468886363646</v>
      </c>
      <c r="AI1339" s="25">
        <f t="shared" si="198"/>
        <v>477.09136840860225</v>
      </c>
    </row>
    <row r="1340" spans="1:35" ht="15.75" customHeight="1">
      <c r="A1340" s="12" t="s">
        <v>417</v>
      </c>
      <c r="B1340" s="12" t="s">
        <v>418</v>
      </c>
      <c r="C1340" s="12" t="s">
        <v>192</v>
      </c>
      <c r="D1340" s="12" t="s">
        <v>33</v>
      </c>
      <c r="E1340" s="12" t="s">
        <v>23</v>
      </c>
      <c r="F1340" s="13">
        <v>443.7848702653248</v>
      </c>
      <c r="G1340" s="14">
        <v>2051.7473434913086</v>
      </c>
      <c r="H1340" s="24" t="str">
        <f t="shared" si="191"/>
        <v>SPSP</v>
      </c>
      <c r="I1340" s="24" t="str">
        <f t="shared" si="199"/>
        <v>SPMG</v>
      </c>
      <c r="J1340" s="24" t="str">
        <f t="shared" si="199"/>
        <v>SPES</v>
      </c>
      <c r="K1340" s="24" t="str">
        <f t="shared" si="199"/>
        <v>SPSC</v>
      </c>
      <c r="L1340" s="24" t="str">
        <f t="shared" si="199"/>
        <v>SPRJ</v>
      </c>
      <c r="M1340" s="24" t="str">
        <f t="shared" si="199"/>
        <v>SPPR</v>
      </c>
      <c r="N1340" s="24" t="str">
        <f t="shared" si="199"/>
        <v>SPAM</v>
      </c>
      <c r="O1340" s="24">
        <f>VLOOKUP(H1340, KM!$A:$E, 5, 0)</f>
        <v>0</v>
      </c>
      <c r="P1340" s="24">
        <f>VLOOKUP(I1340, KM!$A:$E, 5, 0)</f>
        <v>586</v>
      </c>
      <c r="Q1340" s="24">
        <f>VLOOKUP(J1340, KM!$A:$E, 5, 0)</f>
        <v>882</v>
      </c>
      <c r="R1340" s="24">
        <f>VLOOKUP(K1340, KM!$A:$E, 5, 0)</f>
        <v>705</v>
      </c>
      <c r="S1340" s="24">
        <f>VLOOKUP(L1340, KM!$A:$E, 5, 0)</f>
        <v>429</v>
      </c>
      <c r="T1340" s="24">
        <f>VLOOKUP(M1340, KM!$A:$E, 5, 0)</f>
        <v>408</v>
      </c>
      <c r="U1340" s="24">
        <f>VLOOKUP(N1340, KM!$A:$E, 5, 0)</f>
        <v>3971</v>
      </c>
      <c r="V1340" s="24">
        <f>VLOOKUP(H1340, IMPOSTO!$A:$D, 4, 0)</f>
        <v>0.18</v>
      </c>
      <c r="W1340" s="24">
        <f>VLOOKUP(I1340, IMPOSTO!$A:$D, 4, 0)</f>
        <v>0.12</v>
      </c>
      <c r="X1340" s="24">
        <f>VLOOKUP(J1340, IMPOSTO!$A:$D, 4, 0)</f>
        <v>7.0000000000000007E-2</v>
      </c>
      <c r="Y1340" s="24">
        <f>VLOOKUP(K1340, IMPOSTO!$A:$D, 4, 0)</f>
        <v>0.12</v>
      </c>
      <c r="Z1340" s="24">
        <f>VLOOKUP(L1340, IMPOSTO!$A:$D, 4, 0)</f>
        <v>0.12</v>
      </c>
      <c r="AA1340" s="24">
        <f>VLOOKUP(M1340, IMPOSTO!$A:$D, 4, 0)</f>
        <v>0.12</v>
      </c>
      <c r="AB1340" s="24">
        <f>VLOOKUP(N1340, IMPOSTO!$A:$D, 4, 0)</f>
        <v>7.0000000000000007E-2</v>
      </c>
      <c r="AC1340" s="25">
        <f t="shared" si="192"/>
        <v>2502.1309066967174</v>
      </c>
      <c r="AD1340" s="25">
        <f t="shared" si="193"/>
        <v>2398.1219812401232</v>
      </c>
      <c r="AE1340" s="25">
        <f t="shared" si="194"/>
        <v>2301.0186489153857</v>
      </c>
      <c r="AF1340" s="25">
        <f t="shared" si="195"/>
        <v>2411.6447085128507</v>
      </c>
      <c r="AG1340" s="25">
        <f t="shared" si="196"/>
        <v>2380.2810721492142</v>
      </c>
      <c r="AH1340" s="25">
        <f t="shared" si="197"/>
        <v>2377.8947085128507</v>
      </c>
      <c r="AI1340" s="25">
        <f t="shared" si="198"/>
        <v>2633.1691865497942</v>
      </c>
    </row>
    <row r="1341" spans="1:35" ht="15.75" customHeight="1">
      <c r="A1341" s="12" t="s">
        <v>907</v>
      </c>
      <c r="B1341" s="12" t="s">
        <v>908</v>
      </c>
      <c r="C1341" s="12" t="s">
        <v>160</v>
      </c>
      <c r="D1341" s="12" t="s">
        <v>33</v>
      </c>
      <c r="E1341" s="12" t="s">
        <v>23</v>
      </c>
      <c r="F1341" s="13">
        <v>6.0339600000000004</v>
      </c>
      <c r="G1341" s="14">
        <v>45.87569504999999</v>
      </c>
      <c r="H1341" s="24" t="str">
        <f t="shared" si="191"/>
        <v>SPSP</v>
      </c>
      <c r="I1341" s="24" t="str">
        <f t="shared" si="199"/>
        <v>SPMG</v>
      </c>
      <c r="J1341" s="24" t="str">
        <f t="shared" si="199"/>
        <v>SPES</v>
      </c>
      <c r="K1341" s="24" t="str">
        <f t="shared" si="199"/>
        <v>SPSC</v>
      </c>
      <c r="L1341" s="24" t="str">
        <f t="shared" si="199"/>
        <v>SPRJ</v>
      </c>
      <c r="M1341" s="24" t="str">
        <f t="shared" si="199"/>
        <v>SPPR</v>
      </c>
      <c r="N1341" s="24" t="str">
        <f t="shared" si="199"/>
        <v>SPAM</v>
      </c>
      <c r="O1341" s="24">
        <f>VLOOKUP(H1341, KM!$A:$E, 5, 0)</f>
        <v>0</v>
      </c>
      <c r="P1341" s="24">
        <f>VLOOKUP(I1341, KM!$A:$E, 5, 0)</f>
        <v>586</v>
      </c>
      <c r="Q1341" s="24">
        <f>VLOOKUP(J1341, KM!$A:$E, 5, 0)</f>
        <v>882</v>
      </c>
      <c r="R1341" s="24">
        <f>VLOOKUP(K1341, KM!$A:$E, 5, 0)</f>
        <v>705</v>
      </c>
      <c r="S1341" s="24">
        <f>VLOOKUP(L1341, KM!$A:$E, 5, 0)</f>
        <v>429</v>
      </c>
      <c r="T1341" s="24">
        <f>VLOOKUP(M1341, KM!$A:$E, 5, 0)</f>
        <v>408</v>
      </c>
      <c r="U1341" s="24">
        <f>VLOOKUP(N1341, KM!$A:$E, 5, 0)</f>
        <v>3971</v>
      </c>
      <c r="V1341" s="24">
        <f>VLOOKUP(H1341, IMPOSTO!$A:$D, 4, 0)</f>
        <v>0.18</v>
      </c>
      <c r="W1341" s="24">
        <f>VLOOKUP(I1341, IMPOSTO!$A:$D, 4, 0)</f>
        <v>0.12</v>
      </c>
      <c r="X1341" s="24">
        <f>VLOOKUP(J1341, IMPOSTO!$A:$D, 4, 0)</f>
        <v>7.0000000000000007E-2</v>
      </c>
      <c r="Y1341" s="24">
        <f>VLOOKUP(K1341, IMPOSTO!$A:$D, 4, 0)</f>
        <v>0.12</v>
      </c>
      <c r="Z1341" s="24">
        <f>VLOOKUP(L1341, IMPOSTO!$A:$D, 4, 0)</f>
        <v>0.12</v>
      </c>
      <c r="AA1341" s="24">
        <f>VLOOKUP(M1341, IMPOSTO!$A:$D, 4, 0)</f>
        <v>0.12</v>
      </c>
      <c r="AB1341" s="24">
        <f>VLOOKUP(N1341, IMPOSTO!$A:$D, 4, 0)</f>
        <v>7.0000000000000007E-2</v>
      </c>
      <c r="AC1341" s="25">
        <f t="shared" si="192"/>
        <v>55.945969573170714</v>
      </c>
      <c r="AD1341" s="25">
        <f t="shared" si="193"/>
        <v>118.72238073863635</v>
      </c>
      <c r="AE1341" s="25">
        <f t="shared" si="194"/>
        <v>144.16741403225805</v>
      </c>
      <c r="AF1341" s="25">
        <f t="shared" si="195"/>
        <v>132.24510801136361</v>
      </c>
      <c r="AG1341" s="25">
        <f t="shared" si="196"/>
        <v>100.88147164772727</v>
      </c>
      <c r="AH1341" s="25">
        <f t="shared" si="197"/>
        <v>98.495108011363641</v>
      </c>
      <c r="AI1341" s="25">
        <f t="shared" si="198"/>
        <v>476.31795166666672</v>
      </c>
    </row>
    <row r="1342" spans="1:35" ht="15.75" customHeight="1">
      <c r="A1342" s="12" t="s">
        <v>909</v>
      </c>
      <c r="B1342" s="12" t="s">
        <v>910</v>
      </c>
      <c r="C1342" s="12" t="s">
        <v>160</v>
      </c>
      <c r="D1342" s="12" t="s">
        <v>33</v>
      </c>
      <c r="E1342" s="12" t="s">
        <v>23</v>
      </c>
      <c r="F1342" s="13">
        <v>93.014800000000022</v>
      </c>
      <c r="G1342" s="14">
        <v>1765.60316272973</v>
      </c>
      <c r="H1342" s="24" t="str">
        <f t="shared" si="191"/>
        <v>SPSP</v>
      </c>
      <c r="I1342" s="24" t="str">
        <f t="shared" si="199"/>
        <v>SPMG</v>
      </c>
      <c r="J1342" s="24" t="str">
        <f t="shared" si="199"/>
        <v>SPES</v>
      </c>
      <c r="K1342" s="24" t="str">
        <f t="shared" si="199"/>
        <v>SPSC</v>
      </c>
      <c r="L1342" s="24" t="str">
        <f t="shared" si="199"/>
        <v>SPRJ</v>
      </c>
      <c r="M1342" s="24" t="str">
        <f t="shared" si="199"/>
        <v>SPPR</v>
      </c>
      <c r="N1342" s="24" t="str">
        <f t="shared" si="199"/>
        <v>SPAM</v>
      </c>
      <c r="O1342" s="24">
        <f>VLOOKUP(H1342, KM!$A:$E, 5, 0)</f>
        <v>0</v>
      </c>
      <c r="P1342" s="24">
        <f>VLOOKUP(I1342, KM!$A:$E, 5, 0)</f>
        <v>586</v>
      </c>
      <c r="Q1342" s="24">
        <f>VLOOKUP(J1342, KM!$A:$E, 5, 0)</f>
        <v>882</v>
      </c>
      <c r="R1342" s="24">
        <f>VLOOKUP(K1342, KM!$A:$E, 5, 0)</f>
        <v>705</v>
      </c>
      <c r="S1342" s="24">
        <f>VLOOKUP(L1342, KM!$A:$E, 5, 0)</f>
        <v>429</v>
      </c>
      <c r="T1342" s="24">
        <f>VLOOKUP(M1342, KM!$A:$E, 5, 0)</f>
        <v>408</v>
      </c>
      <c r="U1342" s="24">
        <f>VLOOKUP(N1342, KM!$A:$E, 5, 0)</f>
        <v>3971</v>
      </c>
      <c r="V1342" s="24">
        <f>VLOOKUP(H1342, IMPOSTO!$A:$D, 4, 0)</f>
        <v>0.18</v>
      </c>
      <c r="W1342" s="24">
        <f>VLOOKUP(I1342, IMPOSTO!$A:$D, 4, 0)</f>
        <v>0.12</v>
      </c>
      <c r="X1342" s="24">
        <f>VLOOKUP(J1342, IMPOSTO!$A:$D, 4, 0)</f>
        <v>7.0000000000000007E-2</v>
      </c>
      <c r="Y1342" s="24">
        <f>VLOOKUP(K1342, IMPOSTO!$A:$D, 4, 0)</f>
        <v>0.12</v>
      </c>
      <c r="Z1342" s="24">
        <f>VLOOKUP(L1342, IMPOSTO!$A:$D, 4, 0)</f>
        <v>0.12</v>
      </c>
      <c r="AA1342" s="24">
        <f>VLOOKUP(M1342, IMPOSTO!$A:$D, 4, 0)</f>
        <v>0.12</v>
      </c>
      <c r="AB1342" s="24">
        <f>VLOOKUP(N1342, IMPOSTO!$A:$D, 4, 0)</f>
        <v>7.0000000000000007E-2</v>
      </c>
      <c r="AC1342" s="25">
        <f t="shared" si="192"/>
        <v>2153.1745886947924</v>
      </c>
      <c r="AD1342" s="25">
        <f t="shared" si="193"/>
        <v>2072.958139465602</v>
      </c>
      <c r="AE1342" s="25">
        <f t="shared" si="194"/>
        <v>1993.3367341179894</v>
      </c>
      <c r="AF1342" s="25">
        <f t="shared" si="195"/>
        <v>2086.4808667383295</v>
      </c>
      <c r="AG1342" s="25">
        <f t="shared" si="196"/>
        <v>2055.1172303746935</v>
      </c>
      <c r="AH1342" s="25">
        <f t="shared" si="197"/>
        <v>2052.7308667383295</v>
      </c>
      <c r="AI1342" s="25">
        <f t="shared" si="198"/>
        <v>2325.4872717523981</v>
      </c>
    </row>
    <row r="1343" spans="1:35" ht="15.75" customHeight="1">
      <c r="A1343" s="12" t="s">
        <v>961</v>
      </c>
      <c r="B1343" s="12" t="s">
        <v>962</v>
      </c>
      <c r="C1343" s="12" t="s">
        <v>876</v>
      </c>
      <c r="D1343" s="12" t="s">
        <v>50</v>
      </c>
      <c r="E1343" s="12" t="s">
        <v>23</v>
      </c>
      <c r="F1343" s="13">
        <v>14.547619047619049</v>
      </c>
      <c r="G1343" s="14">
        <v>2008.0635714285715</v>
      </c>
      <c r="H1343" s="24" t="str">
        <f t="shared" si="191"/>
        <v>SPSP</v>
      </c>
      <c r="I1343" s="24" t="str">
        <f t="shared" si="199"/>
        <v>SPMG</v>
      </c>
      <c r="J1343" s="24" t="str">
        <f t="shared" ref="I1343:N1406" si="200">$E1343 &amp; J$17</f>
        <v>SPES</v>
      </c>
      <c r="K1343" s="24" t="str">
        <f t="shared" si="200"/>
        <v>SPSC</v>
      </c>
      <c r="L1343" s="24" t="str">
        <f t="shared" si="200"/>
        <v>SPRJ</v>
      </c>
      <c r="M1343" s="24" t="str">
        <f t="shared" si="200"/>
        <v>SPPR</v>
      </c>
      <c r="N1343" s="24" t="str">
        <f t="shared" si="200"/>
        <v>SPAM</v>
      </c>
      <c r="O1343" s="24">
        <f>VLOOKUP(H1343, KM!$A:$E, 5, 0)</f>
        <v>0</v>
      </c>
      <c r="P1343" s="24">
        <f>VLOOKUP(I1343, KM!$A:$E, 5, 0)</f>
        <v>586</v>
      </c>
      <c r="Q1343" s="24">
        <f>VLOOKUP(J1343, KM!$A:$E, 5, 0)</f>
        <v>882</v>
      </c>
      <c r="R1343" s="24">
        <f>VLOOKUP(K1343, KM!$A:$E, 5, 0)</f>
        <v>705</v>
      </c>
      <c r="S1343" s="24">
        <f>VLOOKUP(L1343, KM!$A:$E, 5, 0)</f>
        <v>429</v>
      </c>
      <c r="T1343" s="24">
        <f>VLOOKUP(M1343, KM!$A:$E, 5, 0)</f>
        <v>408</v>
      </c>
      <c r="U1343" s="24">
        <f>VLOOKUP(N1343, KM!$A:$E, 5, 0)</f>
        <v>3971</v>
      </c>
      <c r="V1343" s="24">
        <f>VLOOKUP(H1343, IMPOSTO!$A:$D, 4, 0)</f>
        <v>0.18</v>
      </c>
      <c r="W1343" s="24">
        <f>VLOOKUP(I1343, IMPOSTO!$A:$D, 4, 0)</f>
        <v>0.12</v>
      </c>
      <c r="X1343" s="24">
        <f>VLOOKUP(J1343, IMPOSTO!$A:$D, 4, 0)</f>
        <v>7.0000000000000007E-2</v>
      </c>
      <c r="Y1343" s="24">
        <f>VLOOKUP(K1343, IMPOSTO!$A:$D, 4, 0)</f>
        <v>0.12</v>
      </c>
      <c r="Z1343" s="24">
        <f>VLOOKUP(L1343, IMPOSTO!$A:$D, 4, 0)</f>
        <v>0.12</v>
      </c>
      <c r="AA1343" s="24">
        <f>VLOOKUP(M1343, IMPOSTO!$A:$D, 4, 0)</f>
        <v>0.12</v>
      </c>
      <c r="AB1343" s="24">
        <f>VLOOKUP(N1343, IMPOSTO!$A:$D, 4, 0)</f>
        <v>7.0000000000000007E-2</v>
      </c>
      <c r="AC1343" s="25">
        <f t="shared" si="192"/>
        <v>2448.8580139372821</v>
      </c>
      <c r="AD1343" s="25">
        <f t="shared" si="193"/>
        <v>2348.4813311688313</v>
      </c>
      <c r="AE1343" s="25">
        <f t="shared" si="194"/>
        <v>2254.0468509984644</v>
      </c>
      <c r="AF1343" s="25">
        <f t="shared" si="195"/>
        <v>2362.0040584415588</v>
      </c>
      <c r="AG1343" s="25">
        <f t="shared" si="196"/>
        <v>2330.6404220779223</v>
      </c>
      <c r="AH1343" s="25">
        <f t="shared" si="197"/>
        <v>2328.2540584415583</v>
      </c>
      <c r="AI1343" s="25">
        <f t="shared" si="198"/>
        <v>2586.1973886328728</v>
      </c>
    </row>
    <row r="1344" spans="1:35" ht="15.75" customHeight="1">
      <c r="A1344" s="12" t="s">
        <v>961</v>
      </c>
      <c r="B1344" s="12" t="s">
        <v>962</v>
      </c>
      <c r="C1344" s="12" t="s">
        <v>876</v>
      </c>
      <c r="D1344" s="12" t="s">
        <v>50</v>
      </c>
      <c r="E1344" s="12" t="s">
        <v>23</v>
      </c>
      <c r="F1344" s="13">
        <v>11.452380952380956</v>
      </c>
      <c r="G1344" s="14">
        <v>1549.6433333333334</v>
      </c>
      <c r="H1344" s="24" t="str">
        <f t="shared" si="191"/>
        <v>SPSP</v>
      </c>
      <c r="I1344" s="24" t="str">
        <f t="shared" si="200"/>
        <v>SPMG</v>
      </c>
      <c r="J1344" s="24" t="str">
        <f t="shared" si="200"/>
        <v>SPES</v>
      </c>
      <c r="K1344" s="24" t="str">
        <f t="shared" si="200"/>
        <v>SPSC</v>
      </c>
      <c r="L1344" s="24" t="str">
        <f t="shared" si="200"/>
        <v>SPRJ</v>
      </c>
      <c r="M1344" s="24" t="str">
        <f t="shared" si="200"/>
        <v>SPPR</v>
      </c>
      <c r="N1344" s="24" t="str">
        <f t="shared" si="200"/>
        <v>SPAM</v>
      </c>
      <c r="O1344" s="24">
        <f>VLOOKUP(H1344, KM!$A:$E, 5, 0)</f>
        <v>0</v>
      </c>
      <c r="P1344" s="24">
        <f>VLOOKUP(I1344, KM!$A:$E, 5, 0)</f>
        <v>586</v>
      </c>
      <c r="Q1344" s="24">
        <f>VLOOKUP(J1344, KM!$A:$E, 5, 0)</f>
        <v>882</v>
      </c>
      <c r="R1344" s="24">
        <f>VLOOKUP(K1344, KM!$A:$E, 5, 0)</f>
        <v>705</v>
      </c>
      <c r="S1344" s="24">
        <f>VLOOKUP(L1344, KM!$A:$E, 5, 0)</f>
        <v>429</v>
      </c>
      <c r="T1344" s="24">
        <f>VLOOKUP(M1344, KM!$A:$E, 5, 0)</f>
        <v>408</v>
      </c>
      <c r="U1344" s="24">
        <f>VLOOKUP(N1344, KM!$A:$E, 5, 0)</f>
        <v>3971</v>
      </c>
      <c r="V1344" s="24">
        <f>VLOOKUP(H1344, IMPOSTO!$A:$D, 4, 0)</f>
        <v>0.18</v>
      </c>
      <c r="W1344" s="24">
        <f>VLOOKUP(I1344, IMPOSTO!$A:$D, 4, 0)</f>
        <v>0.12</v>
      </c>
      <c r="X1344" s="24">
        <f>VLOOKUP(J1344, IMPOSTO!$A:$D, 4, 0)</f>
        <v>7.0000000000000007E-2</v>
      </c>
      <c r="Y1344" s="24">
        <f>VLOOKUP(K1344, IMPOSTO!$A:$D, 4, 0)</f>
        <v>0.12</v>
      </c>
      <c r="Z1344" s="24">
        <f>VLOOKUP(L1344, IMPOSTO!$A:$D, 4, 0)</f>
        <v>0.12</v>
      </c>
      <c r="AA1344" s="24">
        <f>VLOOKUP(M1344, IMPOSTO!$A:$D, 4, 0)</f>
        <v>0.12</v>
      </c>
      <c r="AB1344" s="24">
        <f>VLOOKUP(N1344, IMPOSTO!$A:$D, 4, 0)</f>
        <v>7.0000000000000007E-2</v>
      </c>
      <c r="AC1344" s="25">
        <f t="shared" si="192"/>
        <v>1889.8089430894308</v>
      </c>
      <c r="AD1344" s="25">
        <f t="shared" si="193"/>
        <v>1827.5492424242425</v>
      </c>
      <c r="AE1344" s="25">
        <f t="shared" si="194"/>
        <v>1761.1218637992833</v>
      </c>
      <c r="AF1344" s="25">
        <f t="shared" si="195"/>
        <v>1841.0719696969697</v>
      </c>
      <c r="AG1344" s="25">
        <f t="shared" si="196"/>
        <v>1809.7083333333335</v>
      </c>
      <c r="AH1344" s="25">
        <f t="shared" si="197"/>
        <v>1807.3219696969697</v>
      </c>
      <c r="AI1344" s="25">
        <f t="shared" si="198"/>
        <v>2093.2724014336918</v>
      </c>
    </row>
    <row r="1345" spans="1:35" ht="15.75" customHeight="1">
      <c r="A1345" s="12" t="s">
        <v>30</v>
      </c>
      <c r="B1345" s="12" t="s">
        <v>31</v>
      </c>
      <c r="C1345" s="12" t="s">
        <v>32</v>
      </c>
      <c r="D1345" s="12" t="s">
        <v>33</v>
      </c>
      <c r="E1345" s="12" t="s">
        <v>23</v>
      </c>
      <c r="F1345" s="13">
        <v>776.47258356164389</v>
      </c>
      <c r="G1345" s="14">
        <v>24397.736179803283</v>
      </c>
      <c r="H1345" s="24" t="str">
        <f t="shared" si="191"/>
        <v>SPSP</v>
      </c>
      <c r="I1345" s="24" t="str">
        <f t="shared" si="200"/>
        <v>SPMG</v>
      </c>
      <c r="J1345" s="24" t="str">
        <f t="shared" si="200"/>
        <v>SPES</v>
      </c>
      <c r="K1345" s="24" t="str">
        <f t="shared" si="200"/>
        <v>SPSC</v>
      </c>
      <c r="L1345" s="24" t="str">
        <f t="shared" si="200"/>
        <v>SPRJ</v>
      </c>
      <c r="M1345" s="24" t="str">
        <f t="shared" si="200"/>
        <v>SPPR</v>
      </c>
      <c r="N1345" s="24" t="str">
        <f t="shared" si="200"/>
        <v>SPAM</v>
      </c>
      <c r="O1345" s="24">
        <f>VLOOKUP(H1345, KM!$A:$E, 5, 0)</f>
        <v>0</v>
      </c>
      <c r="P1345" s="24">
        <f>VLOOKUP(I1345, KM!$A:$E, 5, 0)</f>
        <v>586</v>
      </c>
      <c r="Q1345" s="24">
        <f>VLOOKUP(J1345, KM!$A:$E, 5, 0)</f>
        <v>882</v>
      </c>
      <c r="R1345" s="24">
        <f>VLOOKUP(K1345, KM!$A:$E, 5, 0)</f>
        <v>705</v>
      </c>
      <c r="S1345" s="24">
        <f>VLOOKUP(L1345, KM!$A:$E, 5, 0)</f>
        <v>429</v>
      </c>
      <c r="T1345" s="24">
        <f>VLOOKUP(M1345, KM!$A:$E, 5, 0)</f>
        <v>408</v>
      </c>
      <c r="U1345" s="24">
        <f>VLOOKUP(N1345, KM!$A:$E, 5, 0)</f>
        <v>3971</v>
      </c>
      <c r="V1345" s="24">
        <f>VLOOKUP(H1345, IMPOSTO!$A:$D, 4, 0)</f>
        <v>0.18</v>
      </c>
      <c r="W1345" s="24">
        <f>VLOOKUP(I1345, IMPOSTO!$A:$D, 4, 0)</f>
        <v>0.12</v>
      </c>
      <c r="X1345" s="24">
        <f>VLOOKUP(J1345, IMPOSTO!$A:$D, 4, 0)</f>
        <v>7.0000000000000007E-2</v>
      </c>
      <c r="Y1345" s="24">
        <f>VLOOKUP(K1345, IMPOSTO!$A:$D, 4, 0)</f>
        <v>0.12</v>
      </c>
      <c r="Z1345" s="24">
        <f>VLOOKUP(L1345, IMPOSTO!$A:$D, 4, 0)</f>
        <v>0.12</v>
      </c>
      <c r="AA1345" s="24">
        <f>VLOOKUP(M1345, IMPOSTO!$A:$D, 4, 0)</f>
        <v>0.12</v>
      </c>
      <c r="AB1345" s="24">
        <f>VLOOKUP(N1345, IMPOSTO!$A:$D, 4, 0)</f>
        <v>7.0000000000000007E-2</v>
      </c>
      <c r="AC1345" s="25">
        <f t="shared" si="192"/>
        <v>29753.336804638147</v>
      </c>
      <c r="AD1345" s="25">
        <f t="shared" si="193"/>
        <v>27791.291113412819</v>
      </c>
      <c r="AE1345" s="25">
        <f t="shared" si="194"/>
        <v>26328.96363419708</v>
      </c>
      <c r="AF1345" s="25">
        <f t="shared" si="195"/>
        <v>27804.813840685551</v>
      </c>
      <c r="AG1345" s="25">
        <f t="shared" si="196"/>
        <v>27773.450204321914</v>
      </c>
      <c r="AH1345" s="25">
        <f t="shared" si="197"/>
        <v>27771.063840685547</v>
      </c>
      <c r="AI1345" s="25">
        <f t="shared" si="198"/>
        <v>26661.114171831487</v>
      </c>
    </row>
    <row r="1346" spans="1:35" ht="15.75" customHeight="1">
      <c r="A1346" s="12" t="s">
        <v>463</v>
      </c>
      <c r="B1346" s="12" t="s">
        <v>464</v>
      </c>
      <c r="C1346" s="12" t="s">
        <v>217</v>
      </c>
      <c r="D1346" s="12" t="s">
        <v>33</v>
      </c>
      <c r="E1346" s="12" t="s">
        <v>23</v>
      </c>
      <c r="F1346" s="13">
        <v>13.914782608695653</v>
      </c>
      <c r="G1346" s="14">
        <v>579.08455043478261</v>
      </c>
      <c r="H1346" s="24" t="str">
        <f t="shared" si="191"/>
        <v>SPSP</v>
      </c>
      <c r="I1346" s="24" t="str">
        <f t="shared" si="200"/>
        <v>SPMG</v>
      </c>
      <c r="J1346" s="24" t="str">
        <f t="shared" si="200"/>
        <v>SPES</v>
      </c>
      <c r="K1346" s="24" t="str">
        <f t="shared" si="200"/>
        <v>SPSC</v>
      </c>
      <c r="L1346" s="24" t="str">
        <f t="shared" si="200"/>
        <v>SPRJ</v>
      </c>
      <c r="M1346" s="24" t="str">
        <f t="shared" si="200"/>
        <v>SPPR</v>
      </c>
      <c r="N1346" s="24" t="str">
        <f t="shared" si="200"/>
        <v>SPAM</v>
      </c>
      <c r="O1346" s="24">
        <f>VLOOKUP(H1346, KM!$A:$E, 5, 0)</f>
        <v>0</v>
      </c>
      <c r="P1346" s="24">
        <f>VLOOKUP(I1346, KM!$A:$E, 5, 0)</f>
        <v>586</v>
      </c>
      <c r="Q1346" s="24">
        <f>VLOOKUP(J1346, KM!$A:$E, 5, 0)</f>
        <v>882</v>
      </c>
      <c r="R1346" s="24">
        <f>VLOOKUP(K1346, KM!$A:$E, 5, 0)</f>
        <v>705</v>
      </c>
      <c r="S1346" s="24">
        <f>VLOOKUP(L1346, KM!$A:$E, 5, 0)</f>
        <v>429</v>
      </c>
      <c r="T1346" s="24">
        <f>VLOOKUP(M1346, KM!$A:$E, 5, 0)</f>
        <v>408</v>
      </c>
      <c r="U1346" s="24">
        <f>VLOOKUP(N1346, KM!$A:$E, 5, 0)</f>
        <v>3971</v>
      </c>
      <c r="V1346" s="24">
        <f>VLOOKUP(H1346, IMPOSTO!$A:$D, 4, 0)</f>
        <v>0.18</v>
      </c>
      <c r="W1346" s="24">
        <f>VLOOKUP(I1346, IMPOSTO!$A:$D, 4, 0)</f>
        <v>0.12</v>
      </c>
      <c r="X1346" s="24">
        <f>VLOOKUP(J1346, IMPOSTO!$A:$D, 4, 0)</f>
        <v>7.0000000000000007E-2</v>
      </c>
      <c r="Y1346" s="24">
        <f>VLOOKUP(K1346, IMPOSTO!$A:$D, 4, 0)</f>
        <v>0.12</v>
      </c>
      <c r="Z1346" s="24">
        <f>VLOOKUP(L1346, IMPOSTO!$A:$D, 4, 0)</f>
        <v>0.12</v>
      </c>
      <c r="AA1346" s="24">
        <f>VLOOKUP(M1346, IMPOSTO!$A:$D, 4, 0)</f>
        <v>0.12</v>
      </c>
      <c r="AB1346" s="24">
        <f>VLOOKUP(N1346, IMPOSTO!$A:$D, 4, 0)</f>
        <v>7.0000000000000007E-2</v>
      </c>
      <c r="AC1346" s="25">
        <f t="shared" si="192"/>
        <v>706.20067126192998</v>
      </c>
      <c r="AD1346" s="25">
        <f t="shared" si="193"/>
        <v>724.64153458498026</v>
      </c>
      <c r="AE1346" s="25">
        <f t="shared" si="194"/>
        <v>717.51026928471254</v>
      </c>
      <c r="AF1346" s="25">
        <f t="shared" si="195"/>
        <v>738.16426185770752</v>
      </c>
      <c r="AG1346" s="25">
        <f t="shared" si="196"/>
        <v>706.80062549407114</v>
      </c>
      <c r="AH1346" s="25">
        <f t="shared" si="197"/>
        <v>704.41426185770752</v>
      </c>
      <c r="AI1346" s="25">
        <f t="shared" si="198"/>
        <v>1049.6608069191211</v>
      </c>
    </row>
    <row r="1347" spans="1:35" ht="15.75" customHeight="1">
      <c r="A1347" s="12" t="s">
        <v>1008</v>
      </c>
      <c r="B1347" s="12" t="s">
        <v>1009</v>
      </c>
      <c r="C1347" s="12" t="s">
        <v>116</v>
      </c>
      <c r="D1347" s="12" t="s">
        <v>50</v>
      </c>
      <c r="E1347" s="12" t="s">
        <v>23</v>
      </c>
      <c r="F1347" s="13">
        <v>50.686341798215508</v>
      </c>
      <c r="G1347" s="14">
        <v>13269.400439258749</v>
      </c>
      <c r="H1347" s="24" t="str">
        <f t="shared" si="191"/>
        <v>SPSP</v>
      </c>
      <c r="I1347" s="24" t="str">
        <f t="shared" si="200"/>
        <v>SPMG</v>
      </c>
      <c r="J1347" s="24" t="str">
        <f t="shared" si="200"/>
        <v>SPES</v>
      </c>
      <c r="K1347" s="24" t="str">
        <f t="shared" si="200"/>
        <v>SPSC</v>
      </c>
      <c r="L1347" s="24" t="str">
        <f t="shared" si="200"/>
        <v>SPRJ</v>
      </c>
      <c r="M1347" s="24" t="str">
        <f t="shared" si="200"/>
        <v>SPPR</v>
      </c>
      <c r="N1347" s="24" t="str">
        <f t="shared" si="200"/>
        <v>SPAM</v>
      </c>
      <c r="O1347" s="24">
        <f>VLOOKUP(H1347, KM!$A:$E, 5, 0)</f>
        <v>0</v>
      </c>
      <c r="P1347" s="24">
        <f>VLOOKUP(I1347, KM!$A:$E, 5, 0)</f>
        <v>586</v>
      </c>
      <c r="Q1347" s="24">
        <f>VLOOKUP(J1347, KM!$A:$E, 5, 0)</f>
        <v>882</v>
      </c>
      <c r="R1347" s="24">
        <f>VLOOKUP(K1347, KM!$A:$E, 5, 0)</f>
        <v>705</v>
      </c>
      <c r="S1347" s="24">
        <f>VLOOKUP(L1347, KM!$A:$E, 5, 0)</f>
        <v>429</v>
      </c>
      <c r="T1347" s="24">
        <f>VLOOKUP(M1347, KM!$A:$E, 5, 0)</f>
        <v>408</v>
      </c>
      <c r="U1347" s="24">
        <f>VLOOKUP(N1347, KM!$A:$E, 5, 0)</f>
        <v>3971</v>
      </c>
      <c r="V1347" s="24">
        <f>VLOOKUP(H1347, IMPOSTO!$A:$D, 4, 0)</f>
        <v>0.18</v>
      </c>
      <c r="W1347" s="24">
        <f>VLOOKUP(I1347, IMPOSTO!$A:$D, 4, 0)</f>
        <v>0.12</v>
      </c>
      <c r="X1347" s="24">
        <f>VLOOKUP(J1347, IMPOSTO!$A:$D, 4, 0)</f>
        <v>7.0000000000000007E-2</v>
      </c>
      <c r="Y1347" s="24">
        <f>VLOOKUP(K1347, IMPOSTO!$A:$D, 4, 0)</f>
        <v>0.12</v>
      </c>
      <c r="Z1347" s="24">
        <f>VLOOKUP(L1347, IMPOSTO!$A:$D, 4, 0)</f>
        <v>0.12</v>
      </c>
      <c r="AA1347" s="24">
        <f>VLOOKUP(M1347, IMPOSTO!$A:$D, 4, 0)</f>
        <v>0.12</v>
      </c>
      <c r="AB1347" s="24">
        <f>VLOOKUP(N1347, IMPOSTO!$A:$D, 4, 0)</f>
        <v>7.0000000000000007E-2</v>
      </c>
      <c r="AC1347" s="25">
        <f t="shared" si="192"/>
        <v>16182.195657632619</v>
      </c>
      <c r="AD1347" s="25">
        <f t="shared" si="193"/>
        <v>15145.455044612214</v>
      </c>
      <c r="AE1347" s="25">
        <f t="shared" si="194"/>
        <v>14363.011225009408</v>
      </c>
      <c r="AF1347" s="25">
        <f t="shared" si="195"/>
        <v>15158.977771884942</v>
      </c>
      <c r="AG1347" s="25">
        <f t="shared" si="196"/>
        <v>15127.614135521304</v>
      </c>
      <c r="AH1347" s="25">
        <f t="shared" si="197"/>
        <v>15125.22777188494</v>
      </c>
      <c r="AI1347" s="25">
        <f t="shared" si="198"/>
        <v>14695.161762643816</v>
      </c>
    </row>
    <row r="1348" spans="1:35" ht="15.75" customHeight="1">
      <c r="A1348" s="12" t="s">
        <v>1010</v>
      </c>
      <c r="B1348" s="12" t="s">
        <v>1011</v>
      </c>
      <c r="C1348" s="12" t="s">
        <v>259</v>
      </c>
      <c r="D1348" s="12" t="s">
        <v>50</v>
      </c>
      <c r="E1348" s="12" t="s">
        <v>23</v>
      </c>
      <c r="F1348" s="13">
        <v>1242</v>
      </c>
      <c r="G1348" s="14">
        <v>5925.880079999999</v>
      </c>
      <c r="H1348" s="24" t="str">
        <f t="shared" si="191"/>
        <v>SPSP</v>
      </c>
      <c r="I1348" s="24" t="str">
        <f t="shared" si="200"/>
        <v>SPMG</v>
      </c>
      <c r="J1348" s="24" t="str">
        <f t="shared" si="200"/>
        <v>SPES</v>
      </c>
      <c r="K1348" s="24" t="str">
        <f t="shared" si="200"/>
        <v>SPSC</v>
      </c>
      <c r="L1348" s="24" t="str">
        <f t="shared" si="200"/>
        <v>SPRJ</v>
      </c>
      <c r="M1348" s="24" t="str">
        <f t="shared" si="200"/>
        <v>SPPR</v>
      </c>
      <c r="N1348" s="24" t="str">
        <f t="shared" si="200"/>
        <v>SPAM</v>
      </c>
      <c r="O1348" s="24">
        <f>VLOOKUP(H1348, KM!$A:$E, 5, 0)</f>
        <v>0</v>
      </c>
      <c r="P1348" s="24">
        <f>VLOOKUP(I1348, KM!$A:$E, 5, 0)</f>
        <v>586</v>
      </c>
      <c r="Q1348" s="24">
        <f>VLOOKUP(J1348, KM!$A:$E, 5, 0)</f>
        <v>882</v>
      </c>
      <c r="R1348" s="24">
        <f>VLOOKUP(K1348, KM!$A:$E, 5, 0)</f>
        <v>705</v>
      </c>
      <c r="S1348" s="24">
        <f>VLOOKUP(L1348, KM!$A:$E, 5, 0)</f>
        <v>429</v>
      </c>
      <c r="T1348" s="24">
        <f>VLOOKUP(M1348, KM!$A:$E, 5, 0)</f>
        <v>408</v>
      </c>
      <c r="U1348" s="24">
        <f>VLOOKUP(N1348, KM!$A:$E, 5, 0)</f>
        <v>3971</v>
      </c>
      <c r="V1348" s="24">
        <f>VLOOKUP(H1348, IMPOSTO!$A:$D, 4, 0)</f>
        <v>0.18</v>
      </c>
      <c r="W1348" s="24">
        <f>VLOOKUP(I1348, IMPOSTO!$A:$D, 4, 0)</f>
        <v>0.12</v>
      </c>
      <c r="X1348" s="24">
        <f>VLOOKUP(J1348, IMPOSTO!$A:$D, 4, 0)</f>
        <v>7.0000000000000007E-2</v>
      </c>
      <c r="Y1348" s="24">
        <f>VLOOKUP(K1348, IMPOSTO!$A:$D, 4, 0)</f>
        <v>0.12</v>
      </c>
      <c r="Z1348" s="24">
        <f>VLOOKUP(L1348, IMPOSTO!$A:$D, 4, 0)</f>
        <v>0.12</v>
      </c>
      <c r="AA1348" s="24">
        <f>VLOOKUP(M1348, IMPOSTO!$A:$D, 4, 0)</f>
        <v>0.12</v>
      </c>
      <c r="AB1348" s="24">
        <f>VLOOKUP(N1348, IMPOSTO!$A:$D, 4, 0)</f>
        <v>7.0000000000000007E-2</v>
      </c>
      <c r="AC1348" s="25">
        <f t="shared" si="192"/>
        <v>7226.6830243902423</v>
      </c>
      <c r="AD1348" s="25">
        <f t="shared" si="193"/>
        <v>6800.5455454545445</v>
      </c>
      <c r="AE1348" s="25">
        <f t="shared" si="194"/>
        <v>6466.7527741935473</v>
      </c>
      <c r="AF1348" s="25">
        <f t="shared" si="195"/>
        <v>6814.0682727272715</v>
      </c>
      <c r="AG1348" s="25">
        <f t="shared" si="196"/>
        <v>6782.7046363636346</v>
      </c>
      <c r="AH1348" s="25">
        <f t="shared" si="197"/>
        <v>6780.3182727272715</v>
      </c>
      <c r="AI1348" s="25">
        <f t="shared" si="198"/>
        <v>6798.9033118279567</v>
      </c>
    </row>
    <row r="1349" spans="1:35" ht="15.75" customHeight="1">
      <c r="A1349" s="12" t="s">
        <v>687</v>
      </c>
      <c r="B1349" s="12" t="s">
        <v>688</v>
      </c>
      <c r="C1349" s="12" t="s">
        <v>689</v>
      </c>
      <c r="D1349" s="12" t="s">
        <v>50</v>
      </c>
      <c r="E1349" s="12" t="s">
        <v>23</v>
      </c>
      <c r="F1349" s="13">
        <v>16248.914348063283</v>
      </c>
      <c r="G1349" s="14">
        <v>124121.39447626846</v>
      </c>
      <c r="H1349" s="24" t="str">
        <f t="shared" ref="H1349:H1412" si="201">$E1349 &amp; H$17</f>
        <v>SPSP</v>
      </c>
      <c r="I1349" s="24" t="str">
        <f t="shared" si="200"/>
        <v>SPMG</v>
      </c>
      <c r="J1349" s="24" t="str">
        <f t="shared" si="200"/>
        <v>SPES</v>
      </c>
      <c r="K1349" s="24" t="str">
        <f t="shared" si="200"/>
        <v>SPSC</v>
      </c>
      <c r="L1349" s="24" t="str">
        <f t="shared" si="200"/>
        <v>SPRJ</v>
      </c>
      <c r="M1349" s="24" t="str">
        <f t="shared" si="200"/>
        <v>SPPR</v>
      </c>
      <c r="N1349" s="24" t="str">
        <f t="shared" si="200"/>
        <v>SPAM</v>
      </c>
      <c r="O1349" s="24">
        <f>VLOOKUP(H1349, KM!$A:$E, 5, 0)</f>
        <v>0</v>
      </c>
      <c r="P1349" s="24">
        <f>VLOOKUP(I1349, KM!$A:$E, 5, 0)</f>
        <v>586</v>
      </c>
      <c r="Q1349" s="24">
        <f>VLOOKUP(J1349, KM!$A:$E, 5, 0)</f>
        <v>882</v>
      </c>
      <c r="R1349" s="24">
        <f>VLOOKUP(K1349, KM!$A:$E, 5, 0)</f>
        <v>705</v>
      </c>
      <c r="S1349" s="24">
        <f>VLOOKUP(L1349, KM!$A:$E, 5, 0)</f>
        <v>429</v>
      </c>
      <c r="T1349" s="24">
        <f>VLOOKUP(M1349, KM!$A:$E, 5, 0)</f>
        <v>408</v>
      </c>
      <c r="U1349" s="24">
        <f>VLOOKUP(N1349, KM!$A:$E, 5, 0)</f>
        <v>3971</v>
      </c>
      <c r="V1349" s="24">
        <f>VLOOKUP(H1349, IMPOSTO!$A:$D, 4, 0)</f>
        <v>0.18</v>
      </c>
      <c r="W1349" s="24">
        <f>VLOOKUP(I1349, IMPOSTO!$A:$D, 4, 0)</f>
        <v>0.12</v>
      </c>
      <c r="X1349" s="24">
        <f>VLOOKUP(J1349, IMPOSTO!$A:$D, 4, 0)</f>
        <v>7.0000000000000007E-2</v>
      </c>
      <c r="Y1349" s="24">
        <f>VLOOKUP(K1349, IMPOSTO!$A:$D, 4, 0)</f>
        <v>0.12</v>
      </c>
      <c r="Z1349" s="24">
        <f>VLOOKUP(L1349, IMPOSTO!$A:$D, 4, 0)</f>
        <v>0.12</v>
      </c>
      <c r="AA1349" s="24">
        <f>VLOOKUP(M1349, IMPOSTO!$A:$D, 4, 0)</f>
        <v>0.12</v>
      </c>
      <c r="AB1349" s="24">
        <f>VLOOKUP(N1349, IMPOSTO!$A:$D, 4, 0)</f>
        <v>7.0000000000000007E-2</v>
      </c>
      <c r="AC1349" s="25">
        <f t="shared" si="192"/>
        <v>151367.55423935177</v>
      </c>
      <c r="AD1349" s="25">
        <f t="shared" si="193"/>
        <v>141113.63008666871</v>
      </c>
      <c r="AE1349" s="25">
        <f t="shared" si="194"/>
        <v>133558.70373792309</v>
      </c>
      <c r="AF1349" s="25">
        <f t="shared" si="195"/>
        <v>141127.15281394141</v>
      </c>
      <c r="AG1349" s="25">
        <f t="shared" si="196"/>
        <v>141095.78917757777</v>
      </c>
      <c r="AH1349" s="25">
        <f t="shared" si="197"/>
        <v>141093.40281394141</v>
      </c>
      <c r="AI1349" s="25">
        <f t="shared" si="198"/>
        <v>133890.8542755575</v>
      </c>
    </row>
    <row r="1350" spans="1:35" ht="15.75" customHeight="1">
      <c r="A1350" s="12" t="s">
        <v>1012</v>
      </c>
      <c r="B1350" s="12" t="s">
        <v>1013</v>
      </c>
      <c r="C1350" s="12" t="s">
        <v>337</v>
      </c>
      <c r="D1350" s="12" t="s">
        <v>33</v>
      </c>
      <c r="E1350" s="12" t="s">
        <v>23</v>
      </c>
      <c r="F1350" s="13">
        <v>134.00000000000006</v>
      </c>
      <c r="G1350" s="14">
        <v>3683.3707913669068</v>
      </c>
      <c r="H1350" s="24" t="str">
        <f t="shared" si="201"/>
        <v>SPSP</v>
      </c>
      <c r="I1350" s="24" t="str">
        <f t="shared" si="200"/>
        <v>SPMG</v>
      </c>
      <c r="J1350" s="24" t="str">
        <f t="shared" si="200"/>
        <v>SPES</v>
      </c>
      <c r="K1350" s="24" t="str">
        <f t="shared" si="200"/>
        <v>SPSC</v>
      </c>
      <c r="L1350" s="24" t="str">
        <f t="shared" si="200"/>
        <v>SPRJ</v>
      </c>
      <c r="M1350" s="24" t="str">
        <f t="shared" si="200"/>
        <v>SPPR</v>
      </c>
      <c r="N1350" s="24" t="str">
        <f t="shared" si="200"/>
        <v>SPAM</v>
      </c>
      <c r="O1350" s="24">
        <f>VLOOKUP(H1350, KM!$A:$E, 5, 0)</f>
        <v>0</v>
      </c>
      <c r="P1350" s="24">
        <f>VLOOKUP(I1350, KM!$A:$E, 5, 0)</f>
        <v>586</v>
      </c>
      <c r="Q1350" s="24">
        <f>VLOOKUP(J1350, KM!$A:$E, 5, 0)</f>
        <v>882</v>
      </c>
      <c r="R1350" s="24">
        <f>VLOOKUP(K1350, KM!$A:$E, 5, 0)</f>
        <v>705</v>
      </c>
      <c r="S1350" s="24">
        <f>VLOOKUP(L1350, KM!$A:$E, 5, 0)</f>
        <v>429</v>
      </c>
      <c r="T1350" s="24">
        <f>VLOOKUP(M1350, KM!$A:$E, 5, 0)</f>
        <v>408</v>
      </c>
      <c r="U1350" s="24">
        <f>VLOOKUP(N1350, KM!$A:$E, 5, 0)</f>
        <v>3971</v>
      </c>
      <c r="V1350" s="24">
        <f>VLOOKUP(H1350, IMPOSTO!$A:$D, 4, 0)</f>
        <v>0.18</v>
      </c>
      <c r="W1350" s="24">
        <f>VLOOKUP(I1350, IMPOSTO!$A:$D, 4, 0)</f>
        <v>0.12</v>
      </c>
      <c r="X1350" s="24">
        <f>VLOOKUP(J1350, IMPOSTO!$A:$D, 4, 0)</f>
        <v>7.0000000000000007E-2</v>
      </c>
      <c r="Y1350" s="24">
        <f>VLOOKUP(K1350, IMPOSTO!$A:$D, 4, 0)</f>
        <v>0.12</v>
      </c>
      <c r="Z1350" s="24">
        <f>VLOOKUP(L1350, IMPOSTO!$A:$D, 4, 0)</f>
        <v>0.12</v>
      </c>
      <c r="AA1350" s="24">
        <f>VLOOKUP(M1350, IMPOSTO!$A:$D, 4, 0)</f>
        <v>0.12</v>
      </c>
      <c r="AB1350" s="24">
        <f>VLOOKUP(N1350, IMPOSTO!$A:$D, 4, 0)</f>
        <v>7.0000000000000007E-2</v>
      </c>
      <c r="AC1350" s="25">
        <f t="shared" si="192"/>
        <v>4491.9155992279348</v>
      </c>
      <c r="AD1350" s="25">
        <f t="shared" si="193"/>
        <v>4252.2395356442121</v>
      </c>
      <c r="AE1350" s="25">
        <f t="shared" si="194"/>
        <v>4055.4524638353837</v>
      </c>
      <c r="AF1350" s="25">
        <f t="shared" si="195"/>
        <v>4265.7622629169391</v>
      </c>
      <c r="AG1350" s="25">
        <f t="shared" si="196"/>
        <v>4234.3986265533031</v>
      </c>
      <c r="AH1350" s="25">
        <f t="shared" si="197"/>
        <v>4232.01226291694</v>
      </c>
      <c r="AI1350" s="25">
        <f t="shared" si="198"/>
        <v>4387.6030014697926</v>
      </c>
    </row>
    <row r="1351" spans="1:35" ht="15.75" customHeight="1">
      <c r="A1351" s="12" t="s">
        <v>656</v>
      </c>
      <c r="B1351" s="12" t="s">
        <v>657</v>
      </c>
      <c r="C1351" s="12" t="s">
        <v>442</v>
      </c>
      <c r="D1351" s="12" t="s">
        <v>33</v>
      </c>
      <c r="E1351" s="12" t="s">
        <v>23</v>
      </c>
      <c r="F1351" s="13">
        <v>15566.72279742138</v>
      </c>
      <c r="G1351" s="14">
        <v>469453.50404115405</v>
      </c>
      <c r="H1351" s="24" t="str">
        <f t="shared" si="201"/>
        <v>SPSP</v>
      </c>
      <c r="I1351" s="24" t="str">
        <f t="shared" si="200"/>
        <v>SPMG</v>
      </c>
      <c r="J1351" s="24" t="str">
        <f t="shared" si="200"/>
        <v>SPES</v>
      </c>
      <c r="K1351" s="24" t="str">
        <f t="shared" si="200"/>
        <v>SPSC</v>
      </c>
      <c r="L1351" s="24" t="str">
        <f t="shared" si="200"/>
        <v>SPRJ</v>
      </c>
      <c r="M1351" s="24" t="str">
        <f t="shared" si="200"/>
        <v>SPPR</v>
      </c>
      <c r="N1351" s="24" t="str">
        <f t="shared" si="200"/>
        <v>SPAM</v>
      </c>
      <c r="O1351" s="24">
        <f>VLOOKUP(H1351, KM!$A:$E, 5, 0)</f>
        <v>0</v>
      </c>
      <c r="P1351" s="24">
        <f>VLOOKUP(I1351, KM!$A:$E, 5, 0)</f>
        <v>586</v>
      </c>
      <c r="Q1351" s="24">
        <f>VLOOKUP(J1351, KM!$A:$E, 5, 0)</f>
        <v>882</v>
      </c>
      <c r="R1351" s="24">
        <f>VLOOKUP(K1351, KM!$A:$E, 5, 0)</f>
        <v>705</v>
      </c>
      <c r="S1351" s="24">
        <f>VLOOKUP(L1351, KM!$A:$E, 5, 0)</f>
        <v>429</v>
      </c>
      <c r="T1351" s="24">
        <f>VLOOKUP(M1351, KM!$A:$E, 5, 0)</f>
        <v>408</v>
      </c>
      <c r="U1351" s="24">
        <f>VLOOKUP(N1351, KM!$A:$E, 5, 0)</f>
        <v>3971</v>
      </c>
      <c r="V1351" s="24">
        <f>VLOOKUP(H1351, IMPOSTO!$A:$D, 4, 0)</f>
        <v>0.18</v>
      </c>
      <c r="W1351" s="24">
        <f>VLOOKUP(I1351, IMPOSTO!$A:$D, 4, 0)</f>
        <v>0.12</v>
      </c>
      <c r="X1351" s="24">
        <f>VLOOKUP(J1351, IMPOSTO!$A:$D, 4, 0)</f>
        <v>7.0000000000000007E-2</v>
      </c>
      <c r="Y1351" s="24">
        <f>VLOOKUP(K1351, IMPOSTO!$A:$D, 4, 0)</f>
        <v>0.12</v>
      </c>
      <c r="Z1351" s="24">
        <f>VLOOKUP(L1351, IMPOSTO!$A:$D, 4, 0)</f>
        <v>0.12</v>
      </c>
      <c r="AA1351" s="24">
        <f>VLOOKUP(M1351, IMPOSTO!$A:$D, 4, 0)</f>
        <v>0.12</v>
      </c>
      <c r="AB1351" s="24">
        <f>VLOOKUP(N1351, IMPOSTO!$A:$D, 4, 0)</f>
        <v>7.0000000000000007E-2</v>
      </c>
      <c r="AC1351" s="25">
        <f t="shared" si="192"/>
        <v>572504.27322091954</v>
      </c>
      <c r="AD1351" s="25">
        <f t="shared" si="193"/>
        <v>533536.48186494771</v>
      </c>
      <c r="AE1351" s="25">
        <f t="shared" si="194"/>
        <v>504883.55273242376</v>
      </c>
      <c r="AF1351" s="25">
        <f t="shared" si="195"/>
        <v>533550.00459222053</v>
      </c>
      <c r="AG1351" s="25">
        <f t="shared" si="196"/>
        <v>533518.64095585688</v>
      </c>
      <c r="AH1351" s="25">
        <f t="shared" si="197"/>
        <v>533516.25459222053</v>
      </c>
      <c r="AI1351" s="25">
        <f t="shared" si="198"/>
        <v>505215.70327005815</v>
      </c>
    </row>
    <row r="1352" spans="1:35" ht="15.75" customHeight="1">
      <c r="A1352" s="12" t="s">
        <v>888</v>
      </c>
      <c r="B1352" s="12" t="s">
        <v>889</v>
      </c>
      <c r="C1352" s="12" t="s">
        <v>223</v>
      </c>
      <c r="D1352" s="12" t="s">
        <v>50</v>
      </c>
      <c r="E1352" s="12" t="s">
        <v>23</v>
      </c>
      <c r="F1352" s="13">
        <v>944.73326015367729</v>
      </c>
      <c r="G1352" s="14">
        <v>15170.548896816686</v>
      </c>
      <c r="H1352" s="24" t="str">
        <f t="shared" si="201"/>
        <v>SPSP</v>
      </c>
      <c r="I1352" s="24" t="str">
        <f t="shared" si="200"/>
        <v>SPMG</v>
      </c>
      <c r="J1352" s="24" t="str">
        <f t="shared" si="200"/>
        <v>SPES</v>
      </c>
      <c r="K1352" s="24" t="str">
        <f t="shared" si="200"/>
        <v>SPSC</v>
      </c>
      <c r="L1352" s="24" t="str">
        <f t="shared" si="200"/>
        <v>SPRJ</v>
      </c>
      <c r="M1352" s="24" t="str">
        <f t="shared" si="200"/>
        <v>SPPR</v>
      </c>
      <c r="N1352" s="24" t="str">
        <f t="shared" si="200"/>
        <v>SPAM</v>
      </c>
      <c r="O1352" s="24">
        <f>VLOOKUP(H1352, KM!$A:$E, 5, 0)</f>
        <v>0</v>
      </c>
      <c r="P1352" s="24">
        <f>VLOOKUP(I1352, KM!$A:$E, 5, 0)</f>
        <v>586</v>
      </c>
      <c r="Q1352" s="24">
        <f>VLOOKUP(J1352, KM!$A:$E, 5, 0)</f>
        <v>882</v>
      </c>
      <c r="R1352" s="24">
        <f>VLOOKUP(K1352, KM!$A:$E, 5, 0)</f>
        <v>705</v>
      </c>
      <c r="S1352" s="24">
        <f>VLOOKUP(L1352, KM!$A:$E, 5, 0)</f>
        <v>429</v>
      </c>
      <c r="T1352" s="24">
        <f>VLOOKUP(M1352, KM!$A:$E, 5, 0)</f>
        <v>408</v>
      </c>
      <c r="U1352" s="24">
        <f>VLOOKUP(N1352, KM!$A:$E, 5, 0)</f>
        <v>3971</v>
      </c>
      <c r="V1352" s="24">
        <f>VLOOKUP(H1352, IMPOSTO!$A:$D, 4, 0)</f>
        <v>0.18</v>
      </c>
      <c r="W1352" s="24">
        <f>VLOOKUP(I1352, IMPOSTO!$A:$D, 4, 0)</f>
        <v>0.12</v>
      </c>
      <c r="X1352" s="24">
        <f>VLOOKUP(J1352, IMPOSTO!$A:$D, 4, 0)</f>
        <v>7.0000000000000007E-2</v>
      </c>
      <c r="Y1352" s="24">
        <f>VLOOKUP(K1352, IMPOSTO!$A:$D, 4, 0)</f>
        <v>0.12</v>
      </c>
      <c r="Z1352" s="24">
        <f>VLOOKUP(L1352, IMPOSTO!$A:$D, 4, 0)</f>
        <v>0.12</v>
      </c>
      <c r="AA1352" s="24">
        <f>VLOOKUP(M1352, IMPOSTO!$A:$D, 4, 0)</f>
        <v>0.12</v>
      </c>
      <c r="AB1352" s="24">
        <f>VLOOKUP(N1352, IMPOSTO!$A:$D, 4, 0)</f>
        <v>7.0000000000000007E-2</v>
      </c>
      <c r="AC1352" s="25">
        <f t="shared" si="192"/>
        <v>18500.669386361813</v>
      </c>
      <c r="AD1352" s="25">
        <f t="shared" si="193"/>
        <v>17305.851019109872</v>
      </c>
      <c r="AE1352" s="25">
        <f t="shared" si="194"/>
        <v>16407.256878297514</v>
      </c>
      <c r="AF1352" s="25">
        <f t="shared" si="195"/>
        <v>17319.373746382596</v>
      </c>
      <c r="AG1352" s="25">
        <f t="shared" si="196"/>
        <v>17288.01011001896</v>
      </c>
      <c r="AH1352" s="25">
        <f t="shared" si="197"/>
        <v>17285.623746382596</v>
      </c>
      <c r="AI1352" s="25">
        <f t="shared" si="198"/>
        <v>16739.407415931921</v>
      </c>
    </row>
    <row r="1353" spans="1:35" ht="15.75" customHeight="1">
      <c r="A1353" s="12" t="s">
        <v>977</v>
      </c>
      <c r="B1353" s="12" t="s">
        <v>978</v>
      </c>
      <c r="C1353" s="12" t="s">
        <v>979</v>
      </c>
      <c r="D1353" s="12" t="s">
        <v>50</v>
      </c>
      <c r="E1353" s="12" t="s">
        <v>23</v>
      </c>
      <c r="F1353" s="13">
        <v>667.48249027237364</v>
      </c>
      <c r="G1353" s="14">
        <v>694849.27237354079</v>
      </c>
      <c r="H1353" s="24" t="str">
        <f t="shared" si="201"/>
        <v>SPSP</v>
      </c>
      <c r="I1353" s="24" t="str">
        <f t="shared" si="200"/>
        <v>SPMG</v>
      </c>
      <c r="J1353" s="24" t="str">
        <f t="shared" si="200"/>
        <v>SPES</v>
      </c>
      <c r="K1353" s="24" t="str">
        <f t="shared" si="200"/>
        <v>SPSC</v>
      </c>
      <c r="L1353" s="24" t="str">
        <f t="shared" si="200"/>
        <v>SPRJ</v>
      </c>
      <c r="M1353" s="24" t="str">
        <f t="shared" si="200"/>
        <v>SPPR</v>
      </c>
      <c r="N1353" s="24" t="str">
        <f t="shared" si="200"/>
        <v>SPAM</v>
      </c>
      <c r="O1353" s="24">
        <f>VLOOKUP(H1353, KM!$A:$E, 5, 0)</f>
        <v>0</v>
      </c>
      <c r="P1353" s="24">
        <f>VLOOKUP(I1353, KM!$A:$E, 5, 0)</f>
        <v>586</v>
      </c>
      <c r="Q1353" s="24">
        <f>VLOOKUP(J1353, KM!$A:$E, 5, 0)</f>
        <v>882</v>
      </c>
      <c r="R1353" s="24">
        <f>VLOOKUP(K1353, KM!$A:$E, 5, 0)</f>
        <v>705</v>
      </c>
      <c r="S1353" s="24">
        <f>VLOOKUP(L1353, KM!$A:$E, 5, 0)</f>
        <v>429</v>
      </c>
      <c r="T1353" s="24">
        <f>VLOOKUP(M1353, KM!$A:$E, 5, 0)</f>
        <v>408</v>
      </c>
      <c r="U1353" s="24">
        <f>VLOOKUP(N1353, KM!$A:$E, 5, 0)</f>
        <v>3971</v>
      </c>
      <c r="V1353" s="24">
        <f>VLOOKUP(H1353, IMPOSTO!$A:$D, 4, 0)</f>
        <v>0.18</v>
      </c>
      <c r="W1353" s="24">
        <f>VLOOKUP(I1353, IMPOSTO!$A:$D, 4, 0)</f>
        <v>0.12</v>
      </c>
      <c r="X1353" s="24">
        <f>VLOOKUP(J1353, IMPOSTO!$A:$D, 4, 0)</f>
        <v>7.0000000000000007E-2</v>
      </c>
      <c r="Y1353" s="24">
        <f>VLOOKUP(K1353, IMPOSTO!$A:$D, 4, 0)</f>
        <v>0.12</v>
      </c>
      <c r="Z1353" s="24">
        <f>VLOOKUP(L1353, IMPOSTO!$A:$D, 4, 0)</f>
        <v>0.12</v>
      </c>
      <c r="AA1353" s="24">
        <f>VLOOKUP(M1353, IMPOSTO!$A:$D, 4, 0)</f>
        <v>0.12</v>
      </c>
      <c r="AB1353" s="24">
        <f>VLOOKUP(N1353, IMPOSTO!$A:$D, 4, 0)</f>
        <v>7.0000000000000007E-2</v>
      </c>
      <c r="AC1353" s="25">
        <f t="shared" si="192"/>
        <v>847377.16143114725</v>
      </c>
      <c r="AD1353" s="25">
        <f t="shared" si="193"/>
        <v>789668.03678811446</v>
      </c>
      <c r="AE1353" s="25">
        <f t="shared" si="194"/>
        <v>747244.5939500439</v>
      </c>
      <c r="AF1353" s="25">
        <f t="shared" si="195"/>
        <v>789681.55951538729</v>
      </c>
      <c r="AG1353" s="25">
        <f t="shared" si="196"/>
        <v>789650.19587902364</v>
      </c>
      <c r="AH1353" s="25">
        <f t="shared" si="197"/>
        <v>789647.80951538729</v>
      </c>
      <c r="AI1353" s="25">
        <f t="shared" si="198"/>
        <v>747576.74448767828</v>
      </c>
    </row>
    <row r="1354" spans="1:35" ht="15.75" customHeight="1">
      <c r="A1354" s="12" t="s">
        <v>1014</v>
      </c>
      <c r="B1354" s="12" t="s">
        <v>1015</v>
      </c>
      <c r="C1354" s="12" t="s">
        <v>217</v>
      </c>
      <c r="D1354" s="12" t="s">
        <v>33</v>
      </c>
      <c r="E1354" s="12" t="s">
        <v>23</v>
      </c>
      <c r="F1354" s="13">
        <v>20.318725099601593</v>
      </c>
      <c r="G1354" s="14">
        <v>1950.4147410358567</v>
      </c>
      <c r="H1354" s="24" t="str">
        <f t="shared" si="201"/>
        <v>SPSP</v>
      </c>
      <c r="I1354" s="24" t="str">
        <f t="shared" si="200"/>
        <v>SPMG</v>
      </c>
      <c r="J1354" s="24" t="str">
        <f t="shared" si="200"/>
        <v>SPES</v>
      </c>
      <c r="K1354" s="24" t="str">
        <f t="shared" si="200"/>
        <v>SPSC</v>
      </c>
      <c r="L1354" s="24" t="str">
        <f t="shared" si="200"/>
        <v>SPRJ</v>
      </c>
      <c r="M1354" s="24" t="str">
        <f t="shared" si="200"/>
        <v>SPPR</v>
      </c>
      <c r="N1354" s="24" t="str">
        <f t="shared" si="200"/>
        <v>SPAM</v>
      </c>
      <c r="O1354" s="24">
        <f>VLOOKUP(H1354, KM!$A:$E, 5, 0)</f>
        <v>0</v>
      </c>
      <c r="P1354" s="24">
        <f>VLOOKUP(I1354, KM!$A:$E, 5, 0)</f>
        <v>586</v>
      </c>
      <c r="Q1354" s="24">
        <f>VLOOKUP(J1354, KM!$A:$E, 5, 0)</f>
        <v>882</v>
      </c>
      <c r="R1354" s="24">
        <f>VLOOKUP(K1354, KM!$A:$E, 5, 0)</f>
        <v>705</v>
      </c>
      <c r="S1354" s="24">
        <f>VLOOKUP(L1354, KM!$A:$E, 5, 0)</f>
        <v>429</v>
      </c>
      <c r="T1354" s="24">
        <f>VLOOKUP(M1354, KM!$A:$E, 5, 0)</f>
        <v>408</v>
      </c>
      <c r="U1354" s="24">
        <f>VLOOKUP(N1354, KM!$A:$E, 5, 0)</f>
        <v>3971</v>
      </c>
      <c r="V1354" s="24">
        <f>VLOOKUP(H1354, IMPOSTO!$A:$D, 4, 0)</f>
        <v>0.18</v>
      </c>
      <c r="W1354" s="24">
        <f>VLOOKUP(I1354, IMPOSTO!$A:$D, 4, 0)</f>
        <v>0.12</v>
      </c>
      <c r="X1354" s="24">
        <f>VLOOKUP(J1354, IMPOSTO!$A:$D, 4, 0)</f>
        <v>7.0000000000000007E-2</v>
      </c>
      <c r="Y1354" s="24">
        <f>VLOOKUP(K1354, IMPOSTO!$A:$D, 4, 0)</f>
        <v>0.12</v>
      </c>
      <c r="Z1354" s="24">
        <f>VLOOKUP(L1354, IMPOSTO!$A:$D, 4, 0)</f>
        <v>0.12</v>
      </c>
      <c r="AA1354" s="24">
        <f>VLOOKUP(M1354, IMPOSTO!$A:$D, 4, 0)</f>
        <v>0.12</v>
      </c>
      <c r="AB1354" s="24">
        <f>VLOOKUP(N1354, IMPOSTO!$A:$D, 4, 0)</f>
        <v>7.0000000000000007E-2</v>
      </c>
      <c r="AC1354" s="25">
        <f t="shared" si="192"/>
        <v>2378.5545622388495</v>
      </c>
      <c r="AD1354" s="25">
        <f t="shared" si="193"/>
        <v>2282.9712966316552</v>
      </c>
      <c r="AE1354" s="25">
        <f t="shared" si="194"/>
        <v>2192.0588613288783</v>
      </c>
      <c r="AF1354" s="25">
        <f t="shared" si="195"/>
        <v>2296.4940239043826</v>
      </c>
      <c r="AG1354" s="25">
        <f t="shared" si="196"/>
        <v>2265.1303875407461</v>
      </c>
      <c r="AH1354" s="25">
        <f t="shared" si="197"/>
        <v>2262.7440239043826</v>
      </c>
      <c r="AI1354" s="25">
        <f t="shared" si="198"/>
        <v>2524.2093989632872</v>
      </c>
    </row>
    <row r="1355" spans="1:35" ht="15.75" customHeight="1">
      <c r="A1355" s="12" t="s">
        <v>980</v>
      </c>
      <c r="B1355" s="12" t="s">
        <v>981</v>
      </c>
      <c r="C1355" s="12" t="s">
        <v>176</v>
      </c>
      <c r="D1355" s="12" t="s">
        <v>50</v>
      </c>
      <c r="E1355" s="12" t="s">
        <v>23</v>
      </c>
      <c r="F1355" s="13">
        <v>43.761061946902657</v>
      </c>
      <c r="G1355" s="14">
        <v>2521.8889380530977</v>
      </c>
      <c r="H1355" s="24" t="str">
        <f t="shared" si="201"/>
        <v>SPSP</v>
      </c>
      <c r="I1355" s="24" t="str">
        <f t="shared" si="200"/>
        <v>SPMG</v>
      </c>
      <c r="J1355" s="24" t="str">
        <f t="shared" si="200"/>
        <v>SPES</v>
      </c>
      <c r="K1355" s="24" t="str">
        <f t="shared" si="200"/>
        <v>SPSC</v>
      </c>
      <c r="L1355" s="24" t="str">
        <f t="shared" si="200"/>
        <v>SPRJ</v>
      </c>
      <c r="M1355" s="24" t="str">
        <f t="shared" si="200"/>
        <v>SPPR</v>
      </c>
      <c r="N1355" s="24" t="str">
        <f t="shared" si="200"/>
        <v>SPAM</v>
      </c>
      <c r="O1355" s="24">
        <f>VLOOKUP(H1355, KM!$A:$E, 5, 0)</f>
        <v>0</v>
      </c>
      <c r="P1355" s="24">
        <f>VLOOKUP(I1355, KM!$A:$E, 5, 0)</f>
        <v>586</v>
      </c>
      <c r="Q1355" s="24">
        <f>VLOOKUP(J1355, KM!$A:$E, 5, 0)</f>
        <v>882</v>
      </c>
      <c r="R1355" s="24">
        <f>VLOOKUP(K1355, KM!$A:$E, 5, 0)</f>
        <v>705</v>
      </c>
      <c r="S1355" s="24">
        <f>VLOOKUP(L1355, KM!$A:$E, 5, 0)</f>
        <v>429</v>
      </c>
      <c r="T1355" s="24">
        <f>VLOOKUP(M1355, KM!$A:$E, 5, 0)</f>
        <v>408</v>
      </c>
      <c r="U1355" s="24">
        <f>VLOOKUP(N1355, KM!$A:$E, 5, 0)</f>
        <v>3971</v>
      </c>
      <c r="V1355" s="24">
        <f>VLOOKUP(H1355, IMPOSTO!$A:$D, 4, 0)</f>
        <v>0.18</v>
      </c>
      <c r="W1355" s="24">
        <f>VLOOKUP(I1355, IMPOSTO!$A:$D, 4, 0)</f>
        <v>0.12</v>
      </c>
      <c r="X1355" s="24">
        <f>VLOOKUP(J1355, IMPOSTO!$A:$D, 4, 0)</f>
        <v>7.0000000000000007E-2</v>
      </c>
      <c r="Y1355" s="24">
        <f>VLOOKUP(K1355, IMPOSTO!$A:$D, 4, 0)</f>
        <v>0.12</v>
      </c>
      <c r="Z1355" s="24">
        <f>VLOOKUP(L1355, IMPOSTO!$A:$D, 4, 0)</f>
        <v>0.12</v>
      </c>
      <c r="AA1355" s="24">
        <f>VLOOKUP(M1355, IMPOSTO!$A:$D, 4, 0)</f>
        <v>0.12</v>
      </c>
      <c r="AB1355" s="24">
        <f>VLOOKUP(N1355, IMPOSTO!$A:$D, 4, 0)</f>
        <v>7.0000000000000007E-2</v>
      </c>
      <c r="AC1355" s="25">
        <f t="shared" si="192"/>
        <v>3075.4743146988994</v>
      </c>
      <c r="AD1355" s="25">
        <f t="shared" si="193"/>
        <v>2932.3737932421564</v>
      </c>
      <c r="AE1355" s="25">
        <f t="shared" si="194"/>
        <v>2806.5472452183844</v>
      </c>
      <c r="AF1355" s="25">
        <f t="shared" si="195"/>
        <v>2945.8965205148838</v>
      </c>
      <c r="AG1355" s="25">
        <f t="shared" si="196"/>
        <v>2914.5328841512473</v>
      </c>
      <c r="AH1355" s="25">
        <f t="shared" si="197"/>
        <v>2912.1465205148838</v>
      </c>
      <c r="AI1355" s="25">
        <f t="shared" si="198"/>
        <v>3138.6977828527934</v>
      </c>
    </row>
    <row r="1356" spans="1:35" ht="15.75" customHeight="1">
      <c r="A1356" s="12" t="s">
        <v>1016</v>
      </c>
      <c r="B1356" s="12" t="s">
        <v>1017</v>
      </c>
      <c r="C1356" s="12" t="s">
        <v>1018</v>
      </c>
      <c r="D1356" s="12" t="s">
        <v>33</v>
      </c>
      <c r="E1356" s="12" t="s">
        <v>23</v>
      </c>
      <c r="F1356" s="13">
        <v>3704.9999999999995</v>
      </c>
      <c r="G1356" s="14">
        <v>241885.60725221591</v>
      </c>
      <c r="H1356" s="24" t="str">
        <f t="shared" si="201"/>
        <v>SPSP</v>
      </c>
      <c r="I1356" s="24" t="str">
        <f t="shared" si="200"/>
        <v>SPMG</v>
      </c>
      <c r="J1356" s="24" t="str">
        <f t="shared" si="200"/>
        <v>SPES</v>
      </c>
      <c r="K1356" s="24" t="str">
        <f t="shared" si="200"/>
        <v>SPSC</v>
      </c>
      <c r="L1356" s="24" t="str">
        <f t="shared" si="200"/>
        <v>SPRJ</v>
      </c>
      <c r="M1356" s="24" t="str">
        <f t="shared" si="200"/>
        <v>SPPR</v>
      </c>
      <c r="N1356" s="24" t="str">
        <f t="shared" si="200"/>
        <v>SPAM</v>
      </c>
      <c r="O1356" s="24">
        <f>VLOOKUP(H1356, KM!$A:$E, 5, 0)</f>
        <v>0</v>
      </c>
      <c r="P1356" s="24">
        <f>VLOOKUP(I1356, KM!$A:$E, 5, 0)</f>
        <v>586</v>
      </c>
      <c r="Q1356" s="24">
        <f>VLOOKUP(J1356, KM!$A:$E, 5, 0)</f>
        <v>882</v>
      </c>
      <c r="R1356" s="24">
        <f>VLOOKUP(K1356, KM!$A:$E, 5, 0)</f>
        <v>705</v>
      </c>
      <c r="S1356" s="24">
        <f>VLOOKUP(L1356, KM!$A:$E, 5, 0)</f>
        <v>429</v>
      </c>
      <c r="T1356" s="24">
        <f>VLOOKUP(M1356, KM!$A:$E, 5, 0)</f>
        <v>408</v>
      </c>
      <c r="U1356" s="24">
        <f>VLOOKUP(N1356, KM!$A:$E, 5, 0)</f>
        <v>3971</v>
      </c>
      <c r="V1356" s="24">
        <f>VLOOKUP(H1356, IMPOSTO!$A:$D, 4, 0)</f>
        <v>0.18</v>
      </c>
      <c r="W1356" s="24">
        <f>VLOOKUP(I1356, IMPOSTO!$A:$D, 4, 0)</f>
        <v>0.12</v>
      </c>
      <c r="X1356" s="24">
        <f>VLOOKUP(J1356, IMPOSTO!$A:$D, 4, 0)</f>
        <v>7.0000000000000007E-2</v>
      </c>
      <c r="Y1356" s="24">
        <f>VLOOKUP(K1356, IMPOSTO!$A:$D, 4, 0)</f>
        <v>0.12</v>
      </c>
      <c r="Z1356" s="24">
        <f>VLOOKUP(L1356, IMPOSTO!$A:$D, 4, 0)</f>
        <v>0.12</v>
      </c>
      <c r="AA1356" s="24">
        <f>VLOOKUP(M1356, IMPOSTO!$A:$D, 4, 0)</f>
        <v>0.12</v>
      </c>
      <c r="AB1356" s="24">
        <f>VLOOKUP(N1356, IMPOSTO!$A:$D, 4, 0)</f>
        <v>7.0000000000000007E-2</v>
      </c>
      <c r="AC1356" s="25">
        <f t="shared" si="192"/>
        <v>294982.44786855596</v>
      </c>
      <c r="AD1356" s="25">
        <f t="shared" si="193"/>
        <v>274936.59915024537</v>
      </c>
      <c r="AE1356" s="25">
        <f t="shared" si="194"/>
        <v>260186.88951851177</v>
      </c>
      <c r="AF1356" s="25">
        <f t="shared" si="195"/>
        <v>274950.12187751808</v>
      </c>
      <c r="AG1356" s="25">
        <f t="shared" si="196"/>
        <v>274918.75824115443</v>
      </c>
      <c r="AH1356" s="25">
        <f t="shared" si="197"/>
        <v>274916.37187751808</v>
      </c>
      <c r="AI1356" s="25">
        <f t="shared" si="198"/>
        <v>260519.04005614616</v>
      </c>
    </row>
    <row r="1357" spans="1:35" ht="15.75" customHeight="1">
      <c r="A1357" s="12" t="s">
        <v>1019</v>
      </c>
      <c r="B1357" s="12" t="s">
        <v>1020</v>
      </c>
      <c r="C1357" s="12" t="s">
        <v>232</v>
      </c>
      <c r="D1357" s="12" t="s">
        <v>50</v>
      </c>
      <c r="E1357" s="12" t="s">
        <v>23</v>
      </c>
      <c r="F1357" s="13">
        <v>283.00000000000006</v>
      </c>
      <c r="G1357" s="14">
        <v>10331.031529411764</v>
      </c>
      <c r="H1357" s="24" t="str">
        <f t="shared" si="201"/>
        <v>SPSP</v>
      </c>
      <c r="I1357" s="24" t="str">
        <f t="shared" si="200"/>
        <v>SPMG</v>
      </c>
      <c r="J1357" s="24" t="str">
        <f t="shared" si="200"/>
        <v>SPES</v>
      </c>
      <c r="K1357" s="24" t="str">
        <f t="shared" si="200"/>
        <v>SPSC</v>
      </c>
      <c r="L1357" s="24" t="str">
        <f t="shared" si="200"/>
        <v>SPRJ</v>
      </c>
      <c r="M1357" s="24" t="str">
        <f t="shared" si="200"/>
        <v>SPPR</v>
      </c>
      <c r="N1357" s="24" t="str">
        <f t="shared" si="200"/>
        <v>SPAM</v>
      </c>
      <c r="O1357" s="24">
        <f>VLOOKUP(H1357, KM!$A:$E, 5, 0)</f>
        <v>0</v>
      </c>
      <c r="P1357" s="24">
        <f>VLOOKUP(I1357, KM!$A:$E, 5, 0)</f>
        <v>586</v>
      </c>
      <c r="Q1357" s="24">
        <f>VLOOKUP(J1357, KM!$A:$E, 5, 0)</f>
        <v>882</v>
      </c>
      <c r="R1357" s="24">
        <f>VLOOKUP(K1357, KM!$A:$E, 5, 0)</f>
        <v>705</v>
      </c>
      <c r="S1357" s="24">
        <f>VLOOKUP(L1357, KM!$A:$E, 5, 0)</f>
        <v>429</v>
      </c>
      <c r="T1357" s="24">
        <f>VLOOKUP(M1357, KM!$A:$E, 5, 0)</f>
        <v>408</v>
      </c>
      <c r="U1357" s="24">
        <f>VLOOKUP(N1357, KM!$A:$E, 5, 0)</f>
        <v>3971</v>
      </c>
      <c r="V1357" s="24">
        <f>VLOOKUP(H1357, IMPOSTO!$A:$D, 4, 0)</f>
        <v>0.18</v>
      </c>
      <c r="W1357" s="24">
        <f>VLOOKUP(I1357, IMPOSTO!$A:$D, 4, 0)</f>
        <v>0.12</v>
      </c>
      <c r="X1357" s="24">
        <f>VLOOKUP(J1357, IMPOSTO!$A:$D, 4, 0)</f>
        <v>7.0000000000000007E-2</v>
      </c>
      <c r="Y1357" s="24">
        <f>VLOOKUP(K1357, IMPOSTO!$A:$D, 4, 0)</f>
        <v>0.12</v>
      </c>
      <c r="Z1357" s="24">
        <f>VLOOKUP(L1357, IMPOSTO!$A:$D, 4, 0)</f>
        <v>0.12</v>
      </c>
      <c r="AA1357" s="24">
        <f>VLOOKUP(M1357, IMPOSTO!$A:$D, 4, 0)</f>
        <v>0.12</v>
      </c>
      <c r="AB1357" s="24">
        <f>VLOOKUP(N1357, IMPOSTO!$A:$D, 4, 0)</f>
        <v>7.0000000000000007E-2</v>
      </c>
      <c r="AC1357" s="25">
        <f t="shared" si="192"/>
        <v>12598.818938307029</v>
      </c>
      <c r="AD1357" s="25">
        <f t="shared" si="193"/>
        <v>11806.399465240642</v>
      </c>
      <c r="AE1357" s="25">
        <f t="shared" si="194"/>
        <v>11203.47476280835</v>
      </c>
      <c r="AF1357" s="25">
        <f t="shared" si="195"/>
        <v>11819.922192513368</v>
      </c>
      <c r="AG1357" s="25">
        <f t="shared" si="196"/>
        <v>11788.558556149732</v>
      </c>
      <c r="AH1357" s="25">
        <f t="shared" si="197"/>
        <v>11786.172192513368</v>
      </c>
      <c r="AI1357" s="25">
        <f t="shared" si="198"/>
        <v>11535.625300442758</v>
      </c>
    </row>
    <row r="1358" spans="1:35" ht="15.75" customHeight="1">
      <c r="A1358" s="12" t="s">
        <v>1021</v>
      </c>
      <c r="B1358" s="12" t="s">
        <v>1022</v>
      </c>
      <c r="C1358" s="12" t="s">
        <v>337</v>
      </c>
      <c r="D1358" s="12" t="s">
        <v>33</v>
      </c>
      <c r="E1358" s="12" t="s">
        <v>23</v>
      </c>
      <c r="F1358" s="13">
        <v>206</v>
      </c>
      <c r="G1358" s="14">
        <v>18805.740000000002</v>
      </c>
      <c r="H1358" s="24" t="str">
        <f t="shared" si="201"/>
        <v>SPSP</v>
      </c>
      <c r="I1358" s="24" t="str">
        <f t="shared" si="200"/>
        <v>SPMG</v>
      </c>
      <c r="J1358" s="24" t="str">
        <f t="shared" si="200"/>
        <v>SPES</v>
      </c>
      <c r="K1358" s="24" t="str">
        <f t="shared" si="200"/>
        <v>SPSC</v>
      </c>
      <c r="L1358" s="24" t="str">
        <f t="shared" si="200"/>
        <v>SPRJ</v>
      </c>
      <c r="M1358" s="24" t="str">
        <f t="shared" si="200"/>
        <v>SPPR</v>
      </c>
      <c r="N1358" s="24" t="str">
        <f t="shared" si="200"/>
        <v>SPAM</v>
      </c>
      <c r="O1358" s="24">
        <f>VLOOKUP(H1358, KM!$A:$E, 5, 0)</f>
        <v>0</v>
      </c>
      <c r="P1358" s="24">
        <f>VLOOKUP(I1358, KM!$A:$E, 5, 0)</f>
        <v>586</v>
      </c>
      <c r="Q1358" s="24">
        <f>VLOOKUP(J1358, KM!$A:$E, 5, 0)</f>
        <v>882</v>
      </c>
      <c r="R1358" s="24">
        <f>VLOOKUP(K1358, KM!$A:$E, 5, 0)</f>
        <v>705</v>
      </c>
      <c r="S1358" s="24">
        <f>VLOOKUP(L1358, KM!$A:$E, 5, 0)</f>
        <v>429</v>
      </c>
      <c r="T1358" s="24">
        <f>VLOOKUP(M1358, KM!$A:$E, 5, 0)</f>
        <v>408</v>
      </c>
      <c r="U1358" s="24">
        <f>VLOOKUP(N1358, KM!$A:$E, 5, 0)</f>
        <v>3971</v>
      </c>
      <c r="V1358" s="24">
        <f>VLOOKUP(H1358, IMPOSTO!$A:$D, 4, 0)</f>
        <v>0.18</v>
      </c>
      <c r="W1358" s="24">
        <f>VLOOKUP(I1358, IMPOSTO!$A:$D, 4, 0)</f>
        <v>0.12</v>
      </c>
      <c r="X1358" s="24">
        <f>VLOOKUP(J1358, IMPOSTO!$A:$D, 4, 0)</f>
        <v>7.0000000000000007E-2</v>
      </c>
      <c r="Y1358" s="24">
        <f>VLOOKUP(K1358, IMPOSTO!$A:$D, 4, 0)</f>
        <v>0.12</v>
      </c>
      <c r="Z1358" s="24">
        <f>VLOOKUP(L1358, IMPOSTO!$A:$D, 4, 0)</f>
        <v>0.12</v>
      </c>
      <c r="AA1358" s="24">
        <f>VLOOKUP(M1358, IMPOSTO!$A:$D, 4, 0)</f>
        <v>0.12</v>
      </c>
      <c r="AB1358" s="24">
        <f>VLOOKUP(N1358, IMPOSTO!$A:$D, 4, 0)</f>
        <v>7.0000000000000007E-2</v>
      </c>
      <c r="AC1358" s="25">
        <f t="shared" si="192"/>
        <v>22933.829268292684</v>
      </c>
      <c r="AD1358" s="25">
        <f t="shared" si="193"/>
        <v>21436.75</v>
      </c>
      <c r="AE1358" s="25">
        <f t="shared" si="194"/>
        <v>20316.064516129038</v>
      </c>
      <c r="AF1358" s="25">
        <f t="shared" si="195"/>
        <v>21450.272727272728</v>
      </c>
      <c r="AG1358" s="25">
        <f t="shared" si="196"/>
        <v>21418.909090909096</v>
      </c>
      <c r="AH1358" s="25">
        <f t="shared" si="197"/>
        <v>21416.522727272728</v>
      </c>
      <c r="AI1358" s="25">
        <f t="shared" si="198"/>
        <v>20648.215053763441</v>
      </c>
    </row>
    <row r="1359" spans="1:35" ht="15.75" customHeight="1">
      <c r="A1359" s="12" t="s">
        <v>1023</v>
      </c>
      <c r="B1359" s="12" t="s">
        <v>1024</v>
      </c>
      <c r="C1359" s="12" t="s">
        <v>192</v>
      </c>
      <c r="D1359" s="12" t="s">
        <v>50</v>
      </c>
      <c r="E1359" s="12" t="s">
        <v>23</v>
      </c>
      <c r="F1359" s="13">
        <v>82</v>
      </c>
      <c r="G1359" s="14">
        <v>962.0300000000002</v>
      </c>
      <c r="H1359" s="24" t="str">
        <f t="shared" si="201"/>
        <v>SPSP</v>
      </c>
      <c r="I1359" s="24" t="str">
        <f t="shared" si="200"/>
        <v>SPMG</v>
      </c>
      <c r="J1359" s="24" t="str">
        <f t="shared" si="200"/>
        <v>SPES</v>
      </c>
      <c r="K1359" s="24" t="str">
        <f t="shared" si="200"/>
        <v>SPSC</v>
      </c>
      <c r="L1359" s="24" t="str">
        <f t="shared" si="200"/>
        <v>SPRJ</v>
      </c>
      <c r="M1359" s="24" t="str">
        <f t="shared" si="200"/>
        <v>SPPR</v>
      </c>
      <c r="N1359" s="24" t="str">
        <f t="shared" si="200"/>
        <v>SPAM</v>
      </c>
      <c r="O1359" s="24">
        <f>VLOOKUP(H1359, KM!$A:$E, 5, 0)</f>
        <v>0</v>
      </c>
      <c r="P1359" s="24">
        <f>VLOOKUP(I1359, KM!$A:$E, 5, 0)</f>
        <v>586</v>
      </c>
      <c r="Q1359" s="24">
        <f>VLOOKUP(J1359, KM!$A:$E, 5, 0)</f>
        <v>882</v>
      </c>
      <c r="R1359" s="24">
        <f>VLOOKUP(K1359, KM!$A:$E, 5, 0)</f>
        <v>705</v>
      </c>
      <c r="S1359" s="24">
        <f>VLOOKUP(L1359, KM!$A:$E, 5, 0)</f>
        <v>429</v>
      </c>
      <c r="T1359" s="24">
        <f>VLOOKUP(M1359, KM!$A:$E, 5, 0)</f>
        <v>408</v>
      </c>
      <c r="U1359" s="24">
        <f>VLOOKUP(N1359, KM!$A:$E, 5, 0)</f>
        <v>3971</v>
      </c>
      <c r="V1359" s="24">
        <f>VLOOKUP(H1359, IMPOSTO!$A:$D, 4, 0)</f>
        <v>0.18</v>
      </c>
      <c r="W1359" s="24">
        <f>VLOOKUP(I1359, IMPOSTO!$A:$D, 4, 0)</f>
        <v>0.12</v>
      </c>
      <c r="X1359" s="24">
        <f>VLOOKUP(J1359, IMPOSTO!$A:$D, 4, 0)</f>
        <v>7.0000000000000007E-2</v>
      </c>
      <c r="Y1359" s="24">
        <f>VLOOKUP(K1359, IMPOSTO!$A:$D, 4, 0)</f>
        <v>0.12</v>
      </c>
      <c r="Z1359" s="24">
        <f>VLOOKUP(L1359, IMPOSTO!$A:$D, 4, 0)</f>
        <v>0.12</v>
      </c>
      <c r="AA1359" s="24">
        <f>VLOOKUP(M1359, IMPOSTO!$A:$D, 4, 0)</f>
        <v>0.12</v>
      </c>
      <c r="AB1359" s="24">
        <f>VLOOKUP(N1359, IMPOSTO!$A:$D, 4, 0)</f>
        <v>7.0000000000000007E-2</v>
      </c>
      <c r="AC1359" s="25">
        <f t="shared" si="192"/>
        <v>1173.207317073171</v>
      </c>
      <c r="AD1359" s="25">
        <f t="shared" si="193"/>
        <v>1159.8068181818185</v>
      </c>
      <c r="AE1359" s="25">
        <f t="shared" si="194"/>
        <v>1129.2795698924735</v>
      </c>
      <c r="AF1359" s="25">
        <f t="shared" si="195"/>
        <v>1173.3295454545457</v>
      </c>
      <c r="AG1359" s="25">
        <f t="shared" si="196"/>
        <v>1141.9659090909092</v>
      </c>
      <c r="AH1359" s="25">
        <f t="shared" si="197"/>
        <v>1139.5795454545457</v>
      </c>
      <c r="AI1359" s="25">
        <f t="shared" si="198"/>
        <v>1461.430107526882</v>
      </c>
    </row>
    <row r="1360" spans="1:35" ht="15.75" customHeight="1">
      <c r="A1360" s="12" t="s">
        <v>1025</v>
      </c>
      <c r="B1360" s="12" t="s">
        <v>1026</v>
      </c>
      <c r="C1360" s="12" t="s">
        <v>192</v>
      </c>
      <c r="D1360" s="12" t="s">
        <v>50</v>
      </c>
      <c r="E1360" s="12" t="s">
        <v>23</v>
      </c>
      <c r="F1360" s="13">
        <v>20</v>
      </c>
      <c r="G1360" s="14">
        <v>283.23243243243246</v>
      </c>
      <c r="H1360" s="24" t="str">
        <f t="shared" si="201"/>
        <v>SPSP</v>
      </c>
      <c r="I1360" s="24" t="str">
        <f t="shared" si="200"/>
        <v>SPMG</v>
      </c>
      <c r="J1360" s="24" t="str">
        <f t="shared" si="200"/>
        <v>SPES</v>
      </c>
      <c r="K1360" s="24" t="str">
        <f t="shared" si="200"/>
        <v>SPSC</v>
      </c>
      <c r="L1360" s="24" t="str">
        <f t="shared" si="200"/>
        <v>SPRJ</v>
      </c>
      <c r="M1360" s="24" t="str">
        <f t="shared" si="200"/>
        <v>SPPR</v>
      </c>
      <c r="N1360" s="24" t="str">
        <f t="shared" si="200"/>
        <v>SPAM</v>
      </c>
      <c r="O1360" s="24">
        <f>VLOOKUP(H1360, KM!$A:$E, 5, 0)</f>
        <v>0</v>
      </c>
      <c r="P1360" s="24">
        <f>VLOOKUP(I1360, KM!$A:$E, 5, 0)</f>
        <v>586</v>
      </c>
      <c r="Q1360" s="24">
        <f>VLOOKUP(J1360, KM!$A:$E, 5, 0)</f>
        <v>882</v>
      </c>
      <c r="R1360" s="24">
        <f>VLOOKUP(K1360, KM!$A:$E, 5, 0)</f>
        <v>705</v>
      </c>
      <c r="S1360" s="24">
        <f>VLOOKUP(L1360, KM!$A:$E, 5, 0)</f>
        <v>429</v>
      </c>
      <c r="T1360" s="24">
        <f>VLOOKUP(M1360, KM!$A:$E, 5, 0)</f>
        <v>408</v>
      </c>
      <c r="U1360" s="24">
        <f>VLOOKUP(N1360, KM!$A:$E, 5, 0)</f>
        <v>3971</v>
      </c>
      <c r="V1360" s="24">
        <f>VLOOKUP(H1360, IMPOSTO!$A:$D, 4, 0)</f>
        <v>0.18</v>
      </c>
      <c r="W1360" s="24">
        <f>VLOOKUP(I1360, IMPOSTO!$A:$D, 4, 0)</f>
        <v>0.12</v>
      </c>
      <c r="X1360" s="24">
        <f>VLOOKUP(J1360, IMPOSTO!$A:$D, 4, 0)</f>
        <v>7.0000000000000007E-2</v>
      </c>
      <c r="Y1360" s="24">
        <f>VLOOKUP(K1360, IMPOSTO!$A:$D, 4, 0)</f>
        <v>0.12</v>
      </c>
      <c r="Z1360" s="24">
        <f>VLOOKUP(L1360, IMPOSTO!$A:$D, 4, 0)</f>
        <v>0.12</v>
      </c>
      <c r="AA1360" s="24">
        <f>VLOOKUP(M1360, IMPOSTO!$A:$D, 4, 0)</f>
        <v>0.12</v>
      </c>
      <c r="AB1360" s="24">
        <f>VLOOKUP(N1360, IMPOSTO!$A:$D, 4, 0)</f>
        <v>7.0000000000000007E-2</v>
      </c>
      <c r="AC1360" s="25">
        <f t="shared" si="192"/>
        <v>345.40540540540542</v>
      </c>
      <c r="AD1360" s="25">
        <f t="shared" si="193"/>
        <v>388.44594594594599</v>
      </c>
      <c r="AE1360" s="25">
        <f t="shared" si="194"/>
        <v>399.38971229293816</v>
      </c>
      <c r="AF1360" s="25">
        <f t="shared" si="195"/>
        <v>401.96867321867325</v>
      </c>
      <c r="AG1360" s="25">
        <f t="shared" si="196"/>
        <v>370.60503685503687</v>
      </c>
      <c r="AH1360" s="25">
        <f t="shared" si="197"/>
        <v>368.21867321867325</v>
      </c>
      <c r="AI1360" s="25">
        <f t="shared" si="198"/>
        <v>731.54024992734685</v>
      </c>
    </row>
    <row r="1361" spans="1:35" ht="15.75" customHeight="1">
      <c r="A1361" s="12" t="s">
        <v>616</v>
      </c>
      <c r="B1361" s="12" t="s">
        <v>617</v>
      </c>
      <c r="C1361" s="12" t="s">
        <v>135</v>
      </c>
      <c r="D1361" s="12" t="s">
        <v>33</v>
      </c>
      <c r="E1361" s="12" t="s">
        <v>23</v>
      </c>
      <c r="F1361" s="13">
        <v>5.0547000000000013</v>
      </c>
      <c r="G1361" s="14">
        <v>114.36363064087196</v>
      </c>
      <c r="H1361" s="24" t="str">
        <f t="shared" si="201"/>
        <v>SPSP</v>
      </c>
      <c r="I1361" s="24" t="str">
        <f t="shared" si="200"/>
        <v>SPMG</v>
      </c>
      <c r="J1361" s="24" t="str">
        <f t="shared" si="200"/>
        <v>SPES</v>
      </c>
      <c r="K1361" s="24" t="str">
        <f t="shared" si="200"/>
        <v>SPSC</v>
      </c>
      <c r="L1361" s="24" t="str">
        <f t="shared" si="200"/>
        <v>SPRJ</v>
      </c>
      <c r="M1361" s="24" t="str">
        <f t="shared" si="200"/>
        <v>SPPR</v>
      </c>
      <c r="N1361" s="24" t="str">
        <f t="shared" si="200"/>
        <v>SPAM</v>
      </c>
      <c r="O1361" s="24">
        <f>VLOOKUP(H1361, KM!$A:$E, 5, 0)</f>
        <v>0</v>
      </c>
      <c r="P1361" s="24">
        <f>VLOOKUP(I1361, KM!$A:$E, 5, 0)</f>
        <v>586</v>
      </c>
      <c r="Q1361" s="24">
        <f>VLOOKUP(J1361, KM!$A:$E, 5, 0)</f>
        <v>882</v>
      </c>
      <c r="R1361" s="24">
        <f>VLOOKUP(K1361, KM!$A:$E, 5, 0)</f>
        <v>705</v>
      </c>
      <c r="S1361" s="24">
        <f>VLOOKUP(L1361, KM!$A:$E, 5, 0)</f>
        <v>429</v>
      </c>
      <c r="T1361" s="24">
        <f>VLOOKUP(M1361, KM!$A:$E, 5, 0)</f>
        <v>408</v>
      </c>
      <c r="U1361" s="24">
        <f>VLOOKUP(N1361, KM!$A:$E, 5, 0)</f>
        <v>3971</v>
      </c>
      <c r="V1361" s="24">
        <f>VLOOKUP(H1361, IMPOSTO!$A:$D, 4, 0)</f>
        <v>0.18</v>
      </c>
      <c r="W1361" s="24">
        <f>VLOOKUP(I1361, IMPOSTO!$A:$D, 4, 0)</f>
        <v>0.12</v>
      </c>
      <c r="X1361" s="24">
        <f>VLOOKUP(J1361, IMPOSTO!$A:$D, 4, 0)</f>
        <v>7.0000000000000007E-2</v>
      </c>
      <c r="Y1361" s="24">
        <f>VLOOKUP(K1361, IMPOSTO!$A:$D, 4, 0)</f>
        <v>0.12</v>
      </c>
      <c r="Z1361" s="24">
        <f>VLOOKUP(L1361, IMPOSTO!$A:$D, 4, 0)</f>
        <v>0.12</v>
      </c>
      <c r="AA1361" s="24">
        <f>VLOOKUP(M1361, IMPOSTO!$A:$D, 4, 0)</f>
        <v>0.12</v>
      </c>
      <c r="AB1361" s="24">
        <f>VLOOKUP(N1361, IMPOSTO!$A:$D, 4, 0)</f>
        <v>7.0000000000000007E-2</v>
      </c>
      <c r="AC1361" s="25">
        <f t="shared" si="192"/>
        <v>139.46784224496579</v>
      </c>
      <c r="AD1361" s="25">
        <f t="shared" si="193"/>
        <v>196.54958027371814</v>
      </c>
      <c r="AE1361" s="25">
        <f t="shared" si="194"/>
        <v>217.81035552781933</v>
      </c>
      <c r="AF1361" s="25">
        <f t="shared" si="195"/>
        <v>210.07230754644542</v>
      </c>
      <c r="AG1361" s="25">
        <f t="shared" si="196"/>
        <v>178.70867118280904</v>
      </c>
      <c r="AH1361" s="25">
        <f t="shared" si="197"/>
        <v>176.32230754644542</v>
      </c>
      <c r="AI1361" s="25">
        <f t="shared" si="198"/>
        <v>549.96089316222799</v>
      </c>
    </row>
    <row r="1362" spans="1:35" ht="15.75" customHeight="1">
      <c r="A1362" s="12" t="s">
        <v>949</v>
      </c>
      <c r="B1362" s="12" t="s">
        <v>950</v>
      </c>
      <c r="C1362" s="12" t="s">
        <v>122</v>
      </c>
      <c r="D1362" s="12" t="s">
        <v>33</v>
      </c>
      <c r="E1362" s="12" t="s">
        <v>23</v>
      </c>
      <c r="F1362" s="13">
        <v>5.2245999999999997</v>
      </c>
      <c r="G1362" s="14">
        <v>145.94979568264188</v>
      </c>
      <c r="H1362" s="24" t="str">
        <f t="shared" si="201"/>
        <v>SPSP</v>
      </c>
      <c r="I1362" s="24" t="str">
        <f t="shared" si="200"/>
        <v>SPMG</v>
      </c>
      <c r="J1362" s="24" t="str">
        <f t="shared" si="200"/>
        <v>SPES</v>
      </c>
      <c r="K1362" s="24" t="str">
        <f t="shared" si="200"/>
        <v>SPSC</v>
      </c>
      <c r="L1362" s="24" t="str">
        <f t="shared" si="200"/>
        <v>SPRJ</v>
      </c>
      <c r="M1362" s="24" t="str">
        <f t="shared" si="200"/>
        <v>SPPR</v>
      </c>
      <c r="N1362" s="24" t="str">
        <f t="shared" si="200"/>
        <v>SPAM</v>
      </c>
      <c r="O1362" s="24">
        <f>VLOOKUP(H1362, KM!$A:$E, 5, 0)</f>
        <v>0</v>
      </c>
      <c r="P1362" s="24">
        <f>VLOOKUP(I1362, KM!$A:$E, 5, 0)</f>
        <v>586</v>
      </c>
      <c r="Q1362" s="24">
        <f>VLOOKUP(J1362, KM!$A:$E, 5, 0)</f>
        <v>882</v>
      </c>
      <c r="R1362" s="24">
        <f>VLOOKUP(K1362, KM!$A:$E, 5, 0)</f>
        <v>705</v>
      </c>
      <c r="S1362" s="24">
        <f>VLOOKUP(L1362, KM!$A:$E, 5, 0)</f>
        <v>429</v>
      </c>
      <c r="T1362" s="24">
        <f>VLOOKUP(M1362, KM!$A:$E, 5, 0)</f>
        <v>408</v>
      </c>
      <c r="U1362" s="24">
        <f>VLOOKUP(N1362, KM!$A:$E, 5, 0)</f>
        <v>3971</v>
      </c>
      <c r="V1362" s="24">
        <f>VLOOKUP(H1362, IMPOSTO!$A:$D, 4, 0)</f>
        <v>0.18</v>
      </c>
      <c r="W1362" s="24">
        <f>VLOOKUP(I1362, IMPOSTO!$A:$D, 4, 0)</f>
        <v>0.12</v>
      </c>
      <c r="X1362" s="24">
        <f>VLOOKUP(J1362, IMPOSTO!$A:$D, 4, 0)</f>
        <v>7.0000000000000007E-2</v>
      </c>
      <c r="Y1362" s="24">
        <f>VLOOKUP(K1362, IMPOSTO!$A:$D, 4, 0)</f>
        <v>0.12</v>
      </c>
      <c r="Z1362" s="24">
        <f>VLOOKUP(L1362, IMPOSTO!$A:$D, 4, 0)</f>
        <v>0.12</v>
      </c>
      <c r="AA1362" s="24">
        <f>VLOOKUP(M1362, IMPOSTO!$A:$D, 4, 0)</f>
        <v>0.12</v>
      </c>
      <c r="AB1362" s="24">
        <f>VLOOKUP(N1362, IMPOSTO!$A:$D, 4, 0)</f>
        <v>7.0000000000000007E-2</v>
      </c>
      <c r="AC1362" s="25">
        <f t="shared" si="192"/>
        <v>177.98755571053886</v>
      </c>
      <c r="AD1362" s="25">
        <f t="shared" si="193"/>
        <v>232.44294963936576</v>
      </c>
      <c r="AE1362" s="25">
        <f t="shared" si="194"/>
        <v>251.7739738523031</v>
      </c>
      <c r="AF1362" s="25">
        <f t="shared" si="195"/>
        <v>245.96567691209304</v>
      </c>
      <c r="AG1362" s="25">
        <f t="shared" si="196"/>
        <v>214.60204054845667</v>
      </c>
      <c r="AH1362" s="25">
        <f t="shared" si="197"/>
        <v>212.21567691209304</v>
      </c>
      <c r="AI1362" s="25">
        <f t="shared" si="198"/>
        <v>583.92451148671171</v>
      </c>
    </row>
    <row r="1363" spans="1:35" ht="15.75" customHeight="1">
      <c r="A1363" s="12" t="s">
        <v>1027</v>
      </c>
      <c r="B1363" s="12" t="s">
        <v>1028</v>
      </c>
      <c r="C1363" s="12" t="s">
        <v>192</v>
      </c>
      <c r="D1363" s="12" t="s">
        <v>33</v>
      </c>
      <c r="E1363" s="12" t="s">
        <v>23</v>
      </c>
      <c r="F1363" s="13">
        <v>217</v>
      </c>
      <c r="G1363" s="14">
        <v>1374.7311666666671</v>
      </c>
      <c r="H1363" s="24" t="str">
        <f t="shared" si="201"/>
        <v>SPSP</v>
      </c>
      <c r="I1363" s="24" t="str">
        <f t="shared" si="200"/>
        <v>SPMG</v>
      </c>
      <c r="J1363" s="24" t="str">
        <f t="shared" si="200"/>
        <v>SPES</v>
      </c>
      <c r="K1363" s="24" t="str">
        <f t="shared" si="200"/>
        <v>SPSC</v>
      </c>
      <c r="L1363" s="24" t="str">
        <f t="shared" si="200"/>
        <v>SPRJ</v>
      </c>
      <c r="M1363" s="24" t="str">
        <f t="shared" si="200"/>
        <v>SPPR</v>
      </c>
      <c r="N1363" s="24" t="str">
        <f t="shared" si="200"/>
        <v>SPAM</v>
      </c>
      <c r="O1363" s="24">
        <f>VLOOKUP(H1363, KM!$A:$E, 5, 0)</f>
        <v>0</v>
      </c>
      <c r="P1363" s="24">
        <f>VLOOKUP(I1363, KM!$A:$E, 5, 0)</f>
        <v>586</v>
      </c>
      <c r="Q1363" s="24">
        <f>VLOOKUP(J1363, KM!$A:$E, 5, 0)</f>
        <v>882</v>
      </c>
      <c r="R1363" s="24">
        <f>VLOOKUP(K1363, KM!$A:$E, 5, 0)</f>
        <v>705</v>
      </c>
      <c r="S1363" s="24">
        <f>VLOOKUP(L1363, KM!$A:$E, 5, 0)</f>
        <v>429</v>
      </c>
      <c r="T1363" s="24">
        <f>VLOOKUP(M1363, KM!$A:$E, 5, 0)</f>
        <v>408</v>
      </c>
      <c r="U1363" s="24">
        <f>VLOOKUP(N1363, KM!$A:$E, 5, 0)</f>
        <v>3971</v>
      </c>
      <c r="V1363" s="24">
        <f>VLOOKUP(H1363, IMPOSTO!$A:$D, 4, 0)</f>
        <v>0.18</v>
      </c>
      <c r="W1363" s="24">
        <f>VLOOKUP(I1363, IMPOSTO!$A:$D, 4, 0)</f>
        <v>0.12</v>
      </c>
      <c r="X1363" s="24">
        <f>VLOOKUP(J1363, IMPOSTO!$A:$D, 4, 0)</f>
        <v>7.0000000000000007E-2</v>
      </c>
      <c r="Y1363" s="24">
        <f>VLOOKUP(K1363, IMPOSTO!$A:$D, 4, 0)</f>
        <v>0.12</v>
      </c>
      <c r="Z1363" s="24">
        <f>VLOOKUP(L1363, IMPOSTO!$A:$D, 4, 0)</f>
        <v>0.12</v>
      </c>
      <c r="AA1363" s="24">
        <f>VLOOKUP(M1363, IMPOSTO!$A:$D, 4, 0)</f>
        <v>0.12</v>
      </c>
      <c r="AB1363" s="24">
        <f>VLOOKUP(N1363, IMPOSTO!$A:$D, 4, 0)</f>
        <v>7.0000000000000007E-2</v>
      </c>
      <c r="AC1363" s="25">
        <f t="shared" ref="AC1363:AC1426" si="202">($G1363 + O1363 * $AE$5) / (1 - V1363)</f>
        <v>1676.5014227642282</v>
      </c>
      <c r="AD1363" s="25">
        <f t="shared" ref="AD1363:AD1426" si="203">($G1363 + P1363 * $AE$5) / (1 - W1363)</f>
        <v>1628.7854166666671</v>
      </c>
      <c r="AE1363" s="25">
        <f t="shared" ref="AE1363:AE1426" si="204">($G1363 + Q1363 * $AE$5) / (1 - X1363)</f>
        <v>1573.0442652329755</v>
      </c>
      <c r="AF1363" s="25">
        <f t="shared" ref="AF1363:AF1426" si="205">($G1363 + R1363 * $AE$5) / (1 - Y1363)</f>
        <v>1642.3081439393945</v>
      </c>
      <c r="AG1363" s="25">
        <f t="shared" ref="AG1363:AG1426" si="206">($G1363 + S1363 * $AE$5) / (1 - Z1363)</f>
        <v>1610.9445075757583</v>
      </c>
      <c r="AH1363" s="25">
        <f t="shared" ref="AH1363:AH1426" si="207">($G1363 + T1363 * $AE$5) / (1 - AA1363)</f>
        <v>1608.5581439393945</v>
      </c>
      <c r="AI1363" s="25">
        <f t="shared" ref="AI1363:AI1426" si="208">($G1363 + U1363 * $AE$5) / (1 - AB1363)</f>
        <v>1905.1948028673844</v>
      </c>
    </row>
    <row r="1364" spans="1:35" ht="15.75" customHeight="1">
      <c r="A1364" s="12" t="s">
        <v>417</v>
      </c>
      <c r="B1364" s="12" t="s">
        <v>418</v>
      </c>
      <c r="C1364" s="12" t="s">
        <v>192</v>
      </c>
      <c r="D1364" s="12" t="s">
        <v>33</v>
      </c>
      <c r="E1364" s="12" t="s">
        <v>23</v>
      </c>
      <c r="F1364" s="13">
        <v>2310.4946290942366</v>
      </c>
      <c r="G1364" s="14">
        <v>10682.092912633121</v>
      </c>
      <c r="H1364" s="24" t="str">
        <f t="shared" si="201"/>
        <v>SPSP</v>
      </c>
      <c r="I1364" s="24" t="str">
        <f t="shared" si="200"/>
        <v>SPMG</v>
      </c>
      <c r="J1364" s="24" t="str">
        <f t="shared" si="200"/>
        <v>SPES</v>
      </c>
      <c r="K1364" s="24" t="str">
        <f t="shared" si="200"/>
        <v>SPSC</v>
      </c>
      <c r="L1364" s="24" t="str">
        <f t="shared" si="200"/>
        <v>SPRJ</v>
      </c>
      <c r="M1364" s="24" t="str">
        <f t="shared" si="200"/>
        <v>SPPR</v>
      </c>
      <c r="N1364" s="24" t="str">
        <f t="shared" si="200"/>
        <v>SPAM</v>
      </c>
      <c r="O1364" s="24">
        <f>VLOOKUP(H1364, KM!$A:$E, 5, 0)</f>
        <v>0</v>
      </c>
      <c r="P1364" s="24">
        <f>VLOOKUP(I1364, KM!$A:$E, 5, 0)</f>
        <v>586</v>
      </c>
      <c r="Q1364" s="24">
        <f>VLOOKUP(J1364, KM!$A:$E, 5, 0)</f>
        <v>882</v>
      </c>
      <c r="R1364" s="24">
        <f>VLOOKUP(K1364, KM!$A:$E, 5, 0)</f>
        <v>705</v>
      </c>
      <c r="S1364" s="24">
        <f>VLOOKUP(L1364, KM!$A:$E, 5, 0)</f>
        <v>429</v>
      </c>
      <c r="T1364" s="24">
        <f>VLOOKUP(M1364, KM!$A:$E, 5, 0)</f>
        <v>408</v>
      </c>
      <c r="U1364" s="24">
        <f>VLOOKUP(N1364, KM!$A:$E, 5, 0)</f>
        <v>3971</v>
      </c>
      <c r="V1364" s="24">
        <f>VLOOKUP(H1364, IMPOSTO!$A:$D, 4, 0)</f>
        <v>0.18</v>
      </c>
      <c r="W1364" s="24">
        <f>VLOOKUP(I1364, IMPOSTO!$A:$D, 4, 0)</f>
        <v>0.12</v>
      </c>
      <c r="X1364" s="24">
        <f>VLOOKUP(J1364, IMPOSTO!$A:$D, 4, 0)</f>
        <v>7.0000000000000007E-2</v>
      </c>
      <c r="Y1364" s="24">
        <f>VLOOKUP(K1364, IMPOSTO!$A:$D, 4, 0)</f>
        <v>0.12</v>
      </c>
      <c r="Z1364" s="24">
        <f>VLOOKUP(L1364, IMPOSTO!$A:$D, 4, 0)</f>
        <v>0.12</v>
      </c>
      <c r="AA1364" s="24">
        <f>VLOOKUP(M1364, IMPOSTO!$A:$D, 4, 0)</f>
        <v>0.12</v>
      </c>
      <c r="AB1364" s="24">
        <f>VLOOKUP(N1364, IMPOSTO!$A:$D, 4, 0)</f>
        <v>7.0000000000000007E-2</v>
      </c>
      <c r="AC1364" s="25">
        <f t="shared" si="202"/>
        <v>13026.942576381854</v>
      </c>
      <c r="AD1364" s="25">
        <f t="shared" si="203"/>
        <v>12205.332855264911</v>
      </c>
      <c r="AE1364" s="25">
        <f t="shared" si="204"/>
        <v>11580.960121110884</v>
      </c>
      <c r="AF1364" s="25">
        <f t="shared" si="205"/>
        <v>12218.855582537637</v>
      </c>
      <c r="AG1364" s="25">
        <f t="shared" si="206"/>
        <v>12187.491946174001</v>
      </c>
      <c r="AH1364" s="25">
        <f t="shared" si="207"/>
        <v>12185.105582537637</v>
      </c>
      <c r="AI1364" s="25">
        <f t="shared" si="208"/>
        <v>11913.110658745292</v>
      </c>
    </row>
    <row r="1365" spans="1:35" ht="15.75" customHeight="1">
      <c r="A1365" s="12" t="s">
        <v>504</v>
      </c>
      <c r="B1365" s="12" t="s">
        <v>505</v>
      </c>
      <c r="C1365" s="12" t="s">
        <v>135</v>
      </c>
      <c r="D1365" s="12" t="s">
        <v>33</v>
      </c>
      <c r="E1365" s="12" t="s">
        <v>23</v>
      </c>
      <c r="F1365" s="13">
        <v>23771.747700000004</v>
      </c>
      <c r="G1365" s="14">
        <v>237049.90525015528</v>
      </c>
      <c r="H1365" s="24" t="str">
        <f t="shared" si="201"/>
        <v>SPSP</v>
      </c>
      <c r="I1365" s="24" t="str">
        <f t="shared" si="200"/>
        <v>SPMG</v>
      </c>
      <c r="J1365" s="24" t="str">
        <f t="shared" si="200"/>
        <v>SPES</v>
      </c>
      <c r="K1365" s="24" t="str">
        <f t="shared" si="200"/>
        <v>SPSC</v>
      </c>
      <c r="L1365" s="24" t="str">
        <f t="shared" si="200"/>
        <v>SPRJ</v>
      </c>
      <c r="M1365" s="24" t="str">
        <f t="shared" si="200"/>
        <v>SPPR</v>
      </c>
      <c r="N1365" s="24" t="str">
        <f t="shared" si="200"/>
        <v>SPAM</v>
      </c>
      <c r="O1365" s="24">
        <f>VLOOKUP(H1365, KM!$A:$E, 5, 0)</f>
        <v>0</v>
      </c>
      <c r="P1365" s="24">
        <f>VLOOKUP(I1365, KM!$A:$E, 5, 0)</f>
        <v>586</v>
      </c>
      <c r="Q1365" s="24">
        <f>VLOOKUP(J1365, KM!$A:$E, 5, 0)</f>
        <v>882</v>
      </c>
      <c r="R1365" s="24">
        <f>VLOOKUP(K1365, KM!$A:$E, 5, 0)</f>
        <v>705</v>
      </c>
      <c r="S1365" s="24">
        <f>VLOOKUP(L1365, KM!$A:$E, 5, 0)</f>
        <v>429</v>
      </c>
      <c r="T1365" s="24">
        <f>VLOOKUP(M1365, KM!$A:$E, 5, 0)</f>
        <v>408</v>
      </c>
      <c r="U1365" s="24">
        <f>VLOOKUP(N1365, KM!$A:$E, 5, 0)</f>
        <v>3971</v>
      </c>
      <c r="V1365" s="24">
        <f>VLOOKUP(H1365, IMPOSTO!$A:$D, 4, 0)</f>
        <v>0.18</v>
      </c>
      <c r="W1365" s="24">
        <f>VLOOKUP(I1365, IMPOSTO!$A:$D, 4, 0)</f>
        <v>0.12</v>
      </c>
      <c r="X1365" s="24">
        <f>VLOOKUP(J1365, IMPOSTO!$A:$D, 4, 0)</f>
        <v>7.0000000000000007E-2</v>
      </c>
      <c r="Y1365" s="24">
        <f>VLOOKUP(K1365, IMPOSTO!$A:$D, 4, 0)</f>
        <v>0.12</v>
      </c>
      <c r="Z1365" s="24">
        <f>VLOOKUP(L1365, IMPOSTO!$A:$D, 4, 0)</f>
        <v>0.12</v>
      </c>
      <c r="AA1365" s="24">
        <f>VLOOKUP(M1365, IMPOSTO!$A:$D, 4, 0)</f>
        <v>0.12</v>
      </c>
      <c r="AB1365" s="24">
        <f>VLOOKUP(N1365, IMPOSTO!$A:$D, 4, 0)</f>
        <v>7.0000000000000007E-2</v>
      </c>
      <c r="AC1365" s="25">
        <f t="shared" si="202"/>
        <v>289085.2503050674</v>
      </c>
      <c r="AD1365" s="25">
        <f t="shared" si="203"/>
        <v>269441.48323881283</v>
      </c>
      <c r="AE1365" s="25">
        <f t="shared" si="204"/>
        <v>254987.20994640354</v>
      </c>
      <c r="AF1365" s="25">
        <f t="shared" si="205"/>
        <v>269455.00596608553</v>
      </c>
      <c r="AG1365" s="25">
        <f t="shared" si="206"/>
        <v>269423.64232972189</v>
      </c>
      <c r="AH1365" s="25">
        <f t="shared" si="207"/>
        <v>269421.25596608553</v>
      </c>
      <c r="AI1365" s="25">
        <f t="shared" si="208"/>
        <v>255319.36048403796</v>
      </c>
    </row>
    <row r="1366" spans="1:35" ht="15.75" customHeight="1">
      <c r="A1366" s="12" t="s">
        <v>58</v>
      </c>
      <c r="B1366" s="12" t="s">
        <v>59</v>
      </c>
      <c r="C1366" s="12" t="s">
        <v>60</v>
      </c>
      <c r="D1366" s="12" t="s">
        <v>50</v>
      </c>
      <c r="E1366" s="12" t="s">
        <v>23</v>
      </c>
      <c r="F1366" s="13">
        <v>499.83845601285384</v>
      </c>
      <c r="G1366" s="14">
        <v>20820.831594339634</v>
      </c>
      <c r="H1366" s="24" t="str">
        <f t="shared" si="201"/>
        <v>SPSP</v>
      </c>
      <c r="I1366" s="24" t="str">
        <f t="shared" si="200"/>
        <v>SPMG</v>
      </c>
      <c r="J1366" s="24" t="str">
        <f t="shared" si="200"/>
        <v>SPES</v>
      </c>
      <c r="K1366" s="24" t="str">
        <f t="shared" si="200"/>
        <v>SPSC</v>
      </c>
      <c r="L1366" s="24" t="str">
        <f t="shared" si="200"/>
        <v>SPRJ</v>
      </c>
      <c r="M1366" s="24" t="str">
        <f t="shared" si="200"/>
        <v>SPPR</v>
      </c>
      <c r="N1366" s="24" t="str">
        <f t="shared" si="200"/>
        <v>SPAM</v>
      </c>
      <c r="O1366" s="24">
        <f>VLOOKUP(H1366, KM!$A:$E, 5, 0)</f>
        <v>0</v>
      </c>
      <c r="P1366" s="24">
        <f>VLOOKUP(I1366, KM!$A:$E, 5, 0)</f>
        <v>586</v>
      </c>
      <c r="Q1366" s="24">
        <f>VLOOKUP(J1366, KM!$A:$E, 5, 0)</f>
        <v>882</v>
      </c>
      <c r="R1366" s="24">
        <f>VLOOKUP(K1366, KM!$A:$E, 5, 0)</f>
        <v>705</v>
      </c>
      <c r="S1366" s="24">
        <f>VLOOKUP(L1366, KM!$A:$E, 5, 0)</f>
        <v>429</v>
      </c>
      <c r="T1366" s="24">
        <f>VLOOKUP(M1366, KM!$A:$E, 5, 0)</f>
        <v>408</v>
      </c>
      <c r="U1366" s="24">
        <f>VLOOKUP(N1366, KM!$A:$E, 5, 0)</f>
        <v>3971</v>
      </c>
      <c r="V1366" s="24">
        <f>VLOOKUP(H1366, IMPOSTO!$A:$D, 4, 0)</f>
        <v>0.18</v>
      </c>
      <c r="W1366" s="24">
        <f>VLOOKUP(I1366, IMPOSTO!$A:$D, 4, 0)</f>
        <v>0.12</v>
      </c>
      <c r="X1366" s="24">
        <f>VLOOKUP(J1366, IMPOSTO!$A:$D, 4, 0)</f>
        <v>7.0000000000000007E-2</v>
      </c>
      <c r="Y1366" s="24">
        <f>VLOOKUP(K1366, IMPOSTO!$A:$D, 4, 0)</f>
        <v>0.12</v>
      </c>
      <c r="Z1366" s="24">
        <f>VLOOKUP(L1366, IMPOSTO!$A:$D, 4, 0)</f>
        <v>0.12</v>
      </c>
      <c r="AA1366" s="24">
        <f>VLOOKUP(M1366, IMPOSTO!$A:$D, 4, 0)</f>
        <v>0.12</v>
      </c>
      <c r="AB1366" s="24">
        <f>VLOOKUP(N1366, IMPOSTO!$A:$D, 4, 0)</f>
        <v>7.0000000000000007E-2</v>
      </c>
      <c r="AC1366" s="25">
        <f t="shared" si="202"/>
        <v>25391.258041877601</v>
      </c>
      <c r="AD1366" s="25">
        <f t="shared" si="203"/>
        <v>23726.626811749582</v>
      </c>
      <c r="AE1366" s="25">
        <f t="shared" si="204"/>
        <v>22482.82967133294</v>
      </c>
      <c r="AF1366" s="25">
        <f t="shared" si="205"/>
        <v>23740.14953902231</v>
      </c>
      <c r="AG1366" s="25">
        <f t="shared" si="206"/>
        <v>23708.785902658678</v>
      </c>
      <c r="AH1366" s="25">
        <f t="shared" si="207"/>
        <v>23706.39953902231</v>
      </c>
      <c r="AI1366" s="25">
        <f t="shared" si="208"/>
        <v>22814.980208967347</v>
      </c>
    </row>
    <row r="1367" spans="1:35" ht="15.75" customHeight="1">
      <c r="A1367" s="12" t="s">
        <v>58</v>
      </c>
      <c r="B1367" s="12" t="s">
        <v>59</v>
      </c>
      <c r="C1367" s="12" t="s">
        <v>60</v>
      </c>
      <c r="D1367" s="12" t="s">
        <v>50</v>
      </c>
      <c r="E1367" s="12" t="s">
        <v>23</v>
      </c>
      <c r="F1367" s="13">
        <v>5486.0811912989775</v>
      </c>
      <c r="G1367" s="14">
        <v>236918.08574716205</v>
      </c>
      <c r="H1367" s="24" t="str">
        <f t="shared" si="201"/>
        <v>SPSP</v>
      </c>
      <c r="I1367" s="24" t="str">
        <f t="shared" si="200"/>
        <v>SPMG</v>
      </c>
      <c r="J1367" s="24" t="str">
        <f t="shared" si="200"/>
        <v>SPES</v>
      </c>
      <c r="K1367" s="24" t="str">
        <f t="shared" si="200"/>
        <v>SPSC</v>
      </c>
      <c r="L1367" s="24" t="str">
        <f t="shared" si="200"/>
        <v>SPRJ</v>
      </c>
      <c r="M1367" s="24" t="str">
        <f t="shared" si="200"/>
        <v>SPPR</v>
      </c>
      <c r="N1367" s="24" t="str">
        <f t="shared" si="200"/>
        <v>SPAM</v>
      </c>
      <c r="O1367" s="24">
        <f>VLOOKUP(H1367, KM!$A:$E, 5, 0)</f>
        <v>0</v>
      </c>
      <c r="P1367" s="24">
        <f>VLOOKUP(I1367, KM!$A:$E, 5, 0)</f>
        <v>586</v>
      </c>
      <c r="Q1367" s="24">
        <f>VLOOKUP(J1367, KM!$A:$E, 5, 0)</f>
        <v>882</v>
      </c>
      <c r="R1367" s="24">
        <f>VLOOKUP(K1367, KM!$A:$E, 5, 0)</f>
        <v>705</v>
      </c>
      <c r="S1367" s="24">
        <f>VLOOKUP(L1367, KM!$A:$E, 5, 0)</f>
        <v>429</v>
      </c>
      <c r="T1367" s="24">
        <f>VLOOKUP(M1367, KM!$A:$E, 5, 0)</f>
        <v>408</v>
      </c>
      <c r="U1367" s="24">
        <f>VLOOKUP(N1367, KM!$A:$E, 5, 0)</f>
        <v>3971</v>
      </c>
      <c r="V1367" s="24">
        <f>VLOOKUP(H1367, IMPOSTO!$A:$D, 4, 0)</f>
        <v>0.18</v>
      </c>
      <c r="W1367" s="24">
        <f>VLOOKUP(I1367, IMPOSTO!$A:$D, 4, 0)</f>
        <v>0.12</v>
      </c>
      <c r="X1367" s="24">
        <f>VLOOKUP(J1367, IMPOSTO!$A:$D, 4, 0)</f>
        <v>7.0000000000000007E-2</v>
      </c>
      <c r="Y1367" s="24">
        <f>VLOOKUP(K1367, IMPOSTO!$A:$D, 4, 0)</f>
        <v>0.12</v>
      </c>
      <c r="Z1367" s="24">
        <f>VLOOKUP(L1367, IMPOSTO!$A:$D, 4, 0)</f>
        <v>0.12</v>
      </c>
      <c r="AA1367" s="24">
        <f>VLOOKUP(M1367, IMPOSTO!$A:$D, 4, 0)</f>
        <v>0.12</v>
      </c>
      <c r="AB1367" s="24">
        <f>VLOOKUP(N1367, IMPOSTO!$A:$D, 4, 0)</f>
        <v>7.0000000000000007E-2</v>
      </c>
      <c r="AC1367" s="25">
        <f t="shared" si="202"/>
        <v>288924.49481361225</v>
      </c>
      <c r="AD1367" s="25">
        <f t="shared" si="203"/>
        <v>269291.68834904779</v>
      </c>
      <c r="AE1367" s="25">
        <f t="shared" si="204"/>
        <v>254845.46854533558</v>
      </c>
      <c r="AF1367" s="25">
        <f t="shared" si="205"/>
        <v>269305.2110763205</v>
      </c>
      <c r="AG1367" s="25">
        <f t="shared" si="206"/>
        <v>269273.84743995685</v>
      </c>
      <c r="AH1367" s="25">
        <f t="shared" si="207"/>
        <v>269271.4610763205</v>
      </c>
      <c r="AI1367" s="25">
        <f t="shared" si="208"/>
        <v>255177.61908296996</v>
      </c>
    </row>
    <row r="1368" spans="1:35" ht="15.75" customHeight="1">
      <c r="A1368" s="12" t="s">
        <v>866</v>
      </c>
      <c r="B1368" s="12" t="s">
        <v>867</v>
      </c>
      <c r="C1368" s="12" t="s">
        <v>205</v>
      </c>
      <c r="D1368" s="12" t="s">
        <v>33</v>
      </c>
      <c r="E1368" s="12" t="s">
        <v>23</v>
      </c>
      <c r="F1368" s="13">
        <v>7827.7255333266648</v>
      </c>
      <c r="G1368" s="14">
        <v>508226.01234066888</v>
      </c>
      <c r="H1368" s="24" t="str">
        <f t="shared" si="201"/>
        <v>SPSP</v>
      </c>
      <c r="I1368" s="24" t="str">
        <f t="shared" si="200"/>
        <v>SPMG</v>
      </c>
      <c r="J1368" s="24" t="str">
        <f t="shared" si="200"/>
        <v>SPES</v>
      </c>
      <c r="K1368" s="24" t="str">
        <f t="shared" si="200"/>
        <v>SPSC</v>
      </c>
      <c r="L1368" s="24" t="str">
        <f t="shared" si="200"/>
        <v>SPRJ</v>
      </c>
      <c r="M1368" s="24" t="str">
        <f t="shared" si="200"/>
        <v>SPPR</v>
      </c>
      <c r="N1368" s="24" t="str">
        <f t="shared" si="200"/>
        <v>SPAM</v>
      </c>
      <c r="O1368" s="24">
        <f>VLOOKUP(H1368, KM!$A:$E, 5, 0)</f>
        <v>0</v>
      </c>
      <c r="P1368" s="24">
        <f>VLOOKUP(I1368, KM!$A:$E, 5, 0)</f>
        <v>586</v>
      </c>
      <c r="Q1368" s="24">
        <f>VLOOKUP(J1368, KM!$A:$E, 5, 0)</f>
        <v>882</v>
      </c>
      <c r="R1368" s="24">
        <f>VLOOKUP(K1368, KM!$A:$E, 5, 0)</f>
        <v>705</v>
      </c>
      <c r="S1368" s="24">
        <f>VLOOKUP(L1368, KM!$A:$E, 5, 0)</f>
        <v>429</v>
      </c>
      <c r="T1368" s="24">
        <f>VLOOKUP(M1368, KM!$A:$E, 5, 0)</f>
        <v>408</v>
      </c>
      <c r="U1368" s="24">
        <f>VLOOKUP(N1368, KM!$A:$E, 5, 0)</f>
        <v>3971</v>
      </c>
      <c r="V1368" s="24">
        <f>VLOOKUP(H1368, IMPOSTO!$A:$D, 4, 0)</f>
        <v>0.18</v>
      </c>
      <c r="W1368" s="24">
        <f>VLOOKUP(I1368, IMPOSTO!$A:$D, 4, 0)</f>
        <v>0.12</v>
      </c>
      <c r="X1368" s="24">
        <f>VLOOKUP(J1368, IMPOSTO!$A:$D, 4, 0)</f>
        <v>7.0000000000000007E-2</v>
      </c>
      <c r="Y1368" s="24">
        <f>VLOOKUP(K1368, IMPOSTO!$A:$D, 4, 0)</f>
        <v>0.12</v>
      </c>
      <c r="Z1368" s="24">
        <f>VLOOKUP(L1368, IMPOSTO!$A:$D, 4, 0)</f>
        <v>0.12</v>
      </c>
      <c r="AA1368" s="24">
        <f>VLOOKUP(M1368, IMPOSTO!$A:$D, 4, 0)</f>
        <v>0.12</v>
      </c>
      <c r="AB1368" s="24">
        <f>VLOOKUP(N1368, IMPOSTO!$A:$D, 4, 0)</f>
        <v>7.0000000000000007E-2</v>
      </c>
      <c r="AC1368" s="25">
        <f t="shared" si="202"/>
        <v>619787.81992764492</v>
      </c>
      <c r="AD1368" s="25">
        <f t="shared" si="203"/>
        <v>577596.15038712369</v>
      </c>
      <c r="AE1368" s="25">
        <f t="shared" si="204"/>
        <v>546574.42187168705</v>
      </c>
      <c r="AF1368" s="25">
        <f t="shared" si="205"/>
        <v>577609.6731143964</v>
      </c>
      <c r="AG1368" s="25">
        <f t="shared" si="206"/>
        <v>577578.30947803287</v>
      </c>
      <c r="AH1368" s="25">
        <f t="shared" si="207"/>
        <v>577575.9231143964</v>
      </c>
      <c r="AI1368" s="25">
        <f t="shared" si="208"/>
        <v>546906.57240932144</v>
      </c>
    </row>
    <row r="1369" spans="1:35" ht="15.75" customHeight="1">
      <c r="A1369" s="12" t="s">
        <v>824</v>
      </c>
      <c r="B1369" s="12" t="s">
        <v>825</v>
      </c>
      <c r="C1369" s="12" t="s">
        <v>160</v>
      </c>
      <c r="D1369" s="12" t="s">
        <v>33</v>
      </c>
      <c r="E1369" s="12" t="s">
        <v>23</v>
      </c>
      <c r="F1369" s="13">
        <v>2.9482586206896557</v>
      </c>
      <c r="G1369" s="14">
        <v>13.650437413793107</v>
      </c>
      <c r="H1369" s="24" t="str">
        <f t="shared" si="201"/>
        <v>SPSP</v>
      </c>
      <c r="I1369" s="24" t="str">
        <f t="shared" si="200"/>
        <v>SPMG</v>
      </c>
      <c r="J1369" s="24" t="str">
        <f t="shared" si="200"/>
        <v>SPES</v>
      </c>
      <c r="K1369" s="24" t="str">
        <f t="shared" si="200"/>
        <v>SPSC</v>
      </c>
      <c r="L1369" s="24" t="str">
        <f t="shared" si="200"/>
        <v>SPRJ</v>
      </c>
      <c r="M1369" s="24" t="str">
        <f t="shared" si="200"/>
        <v>SPPR</v>
      </c>
      <c r="N1369" s="24" t="str">
        <f t="shared" si="200"/>
        <v>SPAM</v>
      </c>
      <c r="O1369" s="24">
        <f>VLOOKUP(H1369, KM!$A:$E, 5, 0)</f>
        <v>0</v>
      </c>
      <c r="P1369" s="24">
        <f>VLOOKUP(I1369, KM!$A:$E, 5, 0)</f>
        <v>586</v>
      </c>
      <c r="Q1369" s="24">
        <f>VLOOKUP(J1369, KM!$A:$E, 5, 0)</f>
        <v>882</v>
      </c>
      <c r="R1369" s="24">
        <f>VLOOKUP(K1369, KM!$A:$E, 5, 0)</f>
        <v>705</v>
      </c>
      <c r="S1369" s="24">
        <f>VLOOKUP(L1369, KM!$A:$E, 5, 0)</f>
        <v>429</v>
      </c>
      <c r="T1369" s="24">
        <f>VLOOKUP(M1369, KM!$A:$E, 5, 0)</f>
        <v>408</v>
      </c>
      <c r="U1369" s="24">
        <f>VLOOKUP(N1369, KM!$A:$E, 5, 0)</f>
        <v>3971</v>
      </c>
      <c r="V1369" s="24">
        <f>VLOOKUP(H1369, IMPOSTO!$A:$D, 4, 0)</f>
        <v>0.18</v>
      </c>
      <c r="W1369" s="24">
        <f>VLOOKUP(I1369, IMPOSTO!$A:$D, 4, 0)</f>
        <v>0.12</v>
      </c>
      <c r="X1369" s="24">
        <f>VLOOKUP(J1369, IMPOSTO!$A:$D, 4, 0)</f>
        <v>7.0000000000000007E-2</v>
      </c>
      <c r="Y1369" s="24">
        <f>VLOOKUP(K1369, IMPOSTO!$A:$D, 4, 0)</f>
        <v>0.12</v>
      </c>
      <c r="Z1369" s="24">
        <f>VLOOKUP(L1369, IMPOSTO!$A:$D, 4, 0)</f>
        <v>0.12</v>
      </c>
      <c r="AA1369" s="24">
        <f>VLOOKUP(M1369, IMPOSTO!$A:$D, 4, 0)</f>
        <v>0.12</v>
      </c>
      <c r="AB1369" s="24">
        <f>VLOOKUP(N1369, IMPOSTO!$A:$D, 4, 0)</f>
        <v>7.0000000000000007E-2</v>
      </c>
      <c r="AC1369" s="25">
        <f t="shared" si="202"/>
        <v>16.64687489486964</v>
      </c>
      <c r="AD1369" s="25">
        <f t="shared" si="203"/>
        <v>82.102769788401261</v>
      </c>
      <c r="AE1369" s="25">
        <f t="shared" si="204"/>
        <v>109.51659936967002</v>
      </c>
      <c r="AF1369" s="25">
        <f t="shared" si="205"/>
        <v>95.625497061128527</v>
      </c>
      <c r="AG1369" s="25">
        <f t="shared" si="206"/>
        <v>64.261860697492168</v>
      </c>
      <c r="AH1369" s="25">
        <f t="shared" si="207"/>
        <v>61.875497061128534</v>
      </c>
      <c r="AI1369" s="25">
        <f t="shared" si="208"/>
        <v>441.66713700407865</v>
      </c>
    </row>
    <row r="1370" spans="1:35" ht="15.75" customHeight="1">
      <c r="A1370" s="12" t="s">
        <v>961</v>
      </c>
      <c r="B1370" s="12" t="s">
        <v>962</v>
      </c>
      <c r="C1370" s="12" t="s">
        <v>876</v>
      </c>
      <c r="D1370" s="12" t="s">
        <v>50</v>
      </c>
      <c r="E1370" s="12" t="s">
        <v>23</v>
      </c>
      <c r="F1370" s="13">
        <v>5.7261904761904763</v>
      </c>
      <c r="G1370" s="14">
        <v>774.82166666666672</v>
      </c>
      <c r="H1370" s="24" t="str">
        <f t="shared" si="201"/>
        <v>SPSP</v>
      </c>
      <c r="I1370" s="24" t="str">
        <f t="shared" si="200"/>
        <v>SPMG</v>
      </c>
      <c r="J1370" s="24" t="str">
        <f t="shared" si="200"/>
        <v>SPES</v>
      </c>
      <c r="K1370" s="24" t="str">
        <f t="shared" si="200"/>
        <v>SPSC</v>
      </c>
      <c r="L1370" s="24" t="str">
        <f t="shared" si="200"/>
        <v>SPRJ</v>
      </c>
      <c r="M1370" s="24" t="str">
        <f t="shared" si="200"/>
        <v>SPPR</v>
      </c>
      <c r="N1370" s="24" t="str">
        <f t="shared" si="200"/>
        <v>SPAM</v>
      </c>
      <c r="O1370" s="24">
        <f>VLOOKUP(H1370, KM!$A:$E, 5, 0)</f>
        <v>0</v>
      </c>
      <c r="P1370" s="24">
        <f>VLOOKUP(I1370, KM!$A:$E, 5, 0)</f>
        <v>586</v>
      </c>
      <c r="Q1370" s="24">
        <f>VLOOKUP(J1370, KM!$A:$E, 5, 0)</f>
        <v>882</v>
      </c>
      <c r="R1370" s="24">
        <f>VLOOKUP(K1370, KM!$A:$E, 5, 0)</f>
        <v>705</v>
      </c>
      <c r="S1370" s="24">
        <f>VLOOKUP(L1370, KM!$A:$E, 5, 0)</f>
        <v>429</v>
      </c>
      <c r="T1370" s="24">
        <f>VLOOKUP(M1370, KM!$A:$E, 5, 0)</f>
        <v>408</v>
      </c>
      <c r="U1370" s="24">
        <f>VLOOKUP(N1370, KM!$A:$E, 5, 0)</f>
        <v>3971</v>
      </c>
      <c r="V1370" s="24">
        <f>VLOOKUP(H1370, IMPOSTO!$A:$D, 4, 0)</f>
        <v>0.18</v>
      </c>
      <c r="W1370" s="24">
        <f>VLOOKUP(I1370, IMPOSTO!$A:$D, 4, 0)</f>
        <v>0.12</v>
      </c>
      <c r="X1370" s="24">
        <f>VLOOKUP(J1370, IMPOSTO!$A:$D, 4, 0)</f>
        <v>7.0000000000000007E-2</v>
      </c>
      <c r="Y1370" s="24">
        <f>VLOOKUP(K1370, IMPOSTO!$A:$D, 4, 0)</f>
        <v>0.12</v>
      </c>
      <c r="Z1370" s="24">
        <f>VLOOKUP(L1370, IMPOSTO!$A:$D, 4, 0)</f>
        <v>0.12</v>
      </c>
      <c r="AA1370" s="24">
        <f>VLOOKUP(M1370, IMPOSTO!$A:$D, 4, 0)</f>
        <v>0.12</v>
      </c>
      <c r="AB1370" s="24">
        <f>VLOOKUP(N1370, IMPOSTO!$A:$D, 4, 0)</f>
        <v>7.0000000000000007E-2</v>
      </c>
      <c r="AC1370" s="25">
        <f t="shared" si="202"/>
        <v>944.90447154471542</v>
      </c>
      <c r="AD1370" s="25">
        <f t="shared" si="203"/>
        <v>947.07007575757586</v>
      </c>
      <c r="AE1370" s="25">
        <f t="shared" si="204"/>
        <v>927.98028673835142</v>
      </c>
      <c r="AF1370" s="25">
        <f t="shared" si="205"/>
        <v>960.59280303030312</v>
      </c>
      <c r="AG1370" s="25">
        <f t="shared" si="206"/>
        <v>929.22916666666674</v>
      </c>
      <c r="AH1370" s="25">
        <f t="shared" si="207"/>
        <v>926.842803030303</v>
      </c>
      <c r="AI1370" s="25">
        <f t="shared" si="208"/>
        <v>1260.1308243727599</v>
      </c>
    </row>
    <row r="1371" spans="1:35" ht="15.75" customHeight="1">
      <c r="A1371" s="12" t="s">
        <v>963</v>
      </c>
      <c r="B1371" s="12" t="s">
        <v>964</v>
      </c>
      <c r="C1371" s="12" t="s">
        <v>876</v>
      </c>
      <c r="D1371" s="12" t="s">
        <v>33</v>
      </c>
      <c r="E1371" s="12" t="s">
        <v>23</v>
      </c>
      <c r="F1371" s="13">
        <v>1393.0796000000005</v>
      </c>
      <c r="G1371" s="14">
        <v>77525.721711186809</v>
      </c>
      <c r="H1371" s="24" t="str">
        <f t="shared" si="201"/>
        <v>SPSP</v>
      </c>
      <c r="I1371" s="24" t="str">
        <f t="shared" si="200"/>
        <v>SPMG</v>
      </c>
      <c r="J1371" s="24" t="str">
        <f t="shared" si="200"/>
        <v>SPES</v>
      </c>
      <c r="K1371" s="24" t="str">
        <f t="shared" si="200"/>
        <v>SPSC</v>
      </c>
      <c r="L1371" s="24" t="str">
        <f t="shared" si="200"/>
        <v>SPRJ</v>
      </c>
      <c r="M1371" s="24" t="str">
        <f t="shared" si="200"/>
        <v>SPPR</v>
      </c>
      <c r="N1371" s="24" t="str">
        <f t="shared" si="200"/>
        <v>SPAM</v>
      </c>
      <c r="O1371" s="24">
        <f>VLOOKUP(H1371, KM!$A:$E, 5, 0)</f>
        <v>0</v>
      </c>
      <c r="P1371" s="24">
        <f>VLOOKUP(I1371, KM!$A:$E, 5, 0)</f>
        <v>586</v>
      </c>
      <c r="Q1371" s="24">
        <f>VLOOKUP(J1371, KM!$A:$E, 5, 0)</f>
        <v>882</v>
      </c>
      <c r="R1371" s="24">
        <f>VLOOKUP(K1371, KM!$A:$E, 5, 0)</f>
        <v>705</v>
      </c>
      <c r="S1371" s="24">
        <f>VLOOKUP(L1371, KM!$A:$E, 5, 0)</f>
        <v>429</v>
      </c>
      <c r="T1371" s="24">
        <f>VLOOKUP(M1371, KM!$A:$E, 5, 0)</f>
        <v>408</v>
      </c>
      <c r="U1371" s="24">
        <f>VLOOKUP(N1371, KM!$A:$E, 5, 0)</f>
        <v>3971</v>
      </c>
      <c r="V1371" s="24">
        <f>VLOOKUP(H1371, IMPOSTO!$A:$D, 4, 0)</f>
        <v>0.18</v>
      </c>
      <c r="W1371" s="24">
        <f>VLOOKUP(I1371, IMPOSTO!$A:$D, 4, 0)</f>
        <v>0.12</v>
      </c>
      <c r="X1371" s="24">
        <f>VLOOKUP(J1371, IMPOSTO!$A:$D, 4, 0)</f>
        <v>7.0000000000000007E-2</v>
      </c>
      <c r="Y1371" s="24">
        <f>VLOOKUP(K1371, IMPOSTO!$A:$D, 4, 0)</f>
        <v>0.12</v>
      </c>
      <c r="Z1371" s="24">
        <f>VLOOKUP(L1371, IMPOSTO!$A:$D, 4, 0)</f>
        <v>0.12</v>
      </c>
      <c r="AA1371" s="24">
        <f>VLOOKUP(M1371, IMPOSTO!$A:$D, 4, 0)</f>
        <v>0.12</v>
      </c>
      <c r="AB1371" s="24">
        <f>VLOOKUP(N1371, IMPOSTO!$A:$D, 4, 0)</f>
        <v>7.0000000000000007E-2</v>
      </c>
      <c r="AC1371" s="25">
        <f t="shared" si="202"/>
        <v>94543.563062422923</v>
      </c>
      <c r="AD1371" s="25">
        <f t="shared" si="203"/>
        <v>88164.001944530464</v>
      </c>
      <c r="AE1371" s="25">
        <f t="shared" si="204"/>
        <v>83455.829796975071</v>
      </c>
      <c r="AF1371" s="25">
        <f t="shared" si="205"/>
        <v>88177.524671803185</v>
      </c>
      <c r="AG1371" s="25">
        <f t="shared" si="206"/>
        <v>88146.161035439553</v>
      </c>
      <c r="AH1371" s="25">
        <f t="shared" si="207"/>
        <v>88143.774671803199</v>
      </c>
      <c r="AI1371" s="25">
        <f t="shared" si="208"/>
        <v>83787.980334609485</v>
      </c>
    </row>
    <row r="1372" spans="1:35" ht="15.75" customHeight="1">
      <c r="A1372" s="12" t="s">
        <v>965</v>
      </c>
      <c r="B1372" s="12" t="s">
        <v>966</v>
      </c>
      <c r="C1372" s="12" t="s">
        <v>217</v>
      </c>
      <c r="D1372" s="12" t="s">
        <v>33</v>
      </c>
      <c r="E1372" s="12" t="s">
        <v>23</v>
      </c>
      <c r="F1372" s="13">
        <v>420.95840000000004</v>
      </c>
      <c r="G1372" s="14">
        <v>9481.1060369464267</v>
      </c>
      <c r="H1372" s="24" t="str">
        <f t="shared" si="201"/>
        <v>SPSP</v>
      </c>
      <c r="I1372" s="24" t="str">
        <f t="shared" si="200"/>
        <v>SPMG</v>
      </c>
      <c r="J1372" s="24" t="str">
        <f t="shared" si="200"/>
        <v>SPES</v>
      </c>
      <c r="K1372" s="24" t="str">
        <f t="shared" si="200"/>
        <v>SPSC</v>
      </c>
      <c r="L1372" s="24" t="str">
        <f t="shared" si="200"/>
        <v>SPRJ</v>
      </c>
      <c r="M1372" s="24" t="str">
        <f t="shared" si="200"/>
        <v>SPPR</v>
      </c>
      <c r="N1372" s="24" t="str">
        <f t="shared" si="200"/>
        <v>SPAM</v>
      </c>
      <c r="O1372" s="24">
        <f>VLOOKUP(H1372, KM!$A:$E, 5, 0)</f>
        <v>0</v>
      </c>
      <c r="P1372" s="24">
        <f>VLOOKUP(I1372, KM!$A:$E, 5, 0)</f>
        <v>586</v>
      </c>
      <c r="Q1372" s="24">
        <f>VLOOKUP(J1372, KM!$A:$E, 5, 0)</f>
        <v>882</v>
      </c>
      <c r="R1372" s="24">
        <f>VLOOKUP(K1372, KM!$A:$E, 5, 0)</f>
        <v>705</v>
      </c>
      <c r="S1372" s="24">
        <f>VLOOKUP(L1372, KM!$A:$E, 5, 0)</f>
        <v>429</v>
      </c>
      <c r="T1372" s="24">
        <f>VLOOKUP(M1372, KM!$A:$E, 5, 0)</f>
        <v>408</v>
      </c>
      <c r="U1372" s="24">
        <f>VLOOKUP(N1372, KM!$A:$E, 5, 0)</f>
        <v>3971</v>
      </c>
      <c r="V1372" s="24">
        <f>VLOOKUP(H1372, IMPOSTO!$A:$D, 4, 0)</f>
        <v>0.18</v>
      </c>
      <c r="W1372" s="24">
        <f>VLOOKUP(I1372, IMPOSTO!$A:$D, 4, 0)</f>
        <v>0.12</v>
      </c>
      <c r="X1372" s="24">
        <f>VLOOKUP(J1372, IMPOSTO!$A:$D, 4, 0)</f>
        <v>7.0000000000000007E-2</v>
      </c>
      <c r="Y1372" s="24">
        <f>VLOOKUP(K1372, IMPOSTO!$A:$D, 4, 0)</f>
        <v>0.12</v>
      </c>
      <c r="Z1372" s="24">
        <f>VLOOKUP(L1372, IMPOSTO!$A:$D, 4, 0)</f>
        <v>0.12</v>
      </c>
      <c r="AA1372" s="24">
        <f>VLOOKUP(M1372, IMPOSTO!$A:$D, 4, 0)</f>
        <v>0.12</v>
      </c>
      <c r="AB1372" s="24">
        <f>VLOOKUP(N1372, IMPOSTO!$A:$D, 4, 0)</f>
        <v>7.0000000000000007E-2</v>
      </c>
      <c r="AC1372" s="25">
        <f t="shared" si="202"/>
        <v>11562.324435300519</v>
      </c>
      <c r="AD1372" s="25">
        <f t="shared" si="203"/>
        <v>10840.575041984575</v>
      </c>
      <c r="AE1372" s="25">
        <f t="shared" si="204"/>
        <v>10289.576383813364</v>
      </c>
      <c r="AF1372" s="25">
        <f t="shared" si="205"/>
        <v>10854.097769257303</v>
      </c>
      <c r="AG1372" s="25">
        <f t="shared" si="206"/>
        <v>10822.734132893665</v>
      </c>
      <c r="AH1372" s="25">
        <f t="shared" si="207"/>
        <v>10820.347769257301</v>
      </c>
      <c r="AI1372" s="25">
        <f t="shared" si="208"/>
        <v>10621.726921447771</v>
      </c>
    </row>
    <row r="1373" spans="1:35" ht="15.75" customHeight="1">
      <c r="A1373" s="12" t="s">
        <v>879</v>
      </c>
      <c r="B1373" s="12" t="s">
        <v>880</v>
      </c>
      <c r="C1373" s="12" t="s">
        <v>143</v>
      </c>
      <c r="D1373" s="12" t="s">
        <v>33</v>
      </c>
      <c r="E1373" s="12" t="s">
        <v>23</v>
      </c>
      <c r="F1373" s="13">
        <v>48833.033599999981</v>
      </c>
      <c r="G1373" s="14">
        <v>1083576.5821732215</v>
      </c>
      <c r="H1373" s="24" t="str">
        <f t="shared" si="201"/>
        <v>SPSP</v>
      </c>
      <c r="I1373" s="24" t="str">
        <f t="shared" si="200"/>
        <v>SPMG</v>
      </c>
      <c r="J1373" s="24" t="str">
        <f t="shared" si="200"/>
        <v>SPES</v>
      </c>
      <c r="K1373" s="24" t="str">
        <f t="shared" si="200"/>
        <v>SPSC</v>
      </c>
      <c r="L1373" s="24" t="str">
        <f t="shared" si="200"/>
        <v>SPRJ</v>
      </c>
      <c r="M1373" s="24" t="str">
        <f t="shared" si="200"/>
        <v>SPPR</v>
      </c>
      <c r="N1373" s="24" t="str">
        <f t="shared" si="200"/>
        <v>SPAM</v>
      </c>
      <c r="O1373" s="24">
        <f>VLOOKUP(H1373, KM!$A:$E, 5, 0)</f>
        <v>0</v>
      </c>
      <c r="P1373" s="24">
        <f>VLOOKUP(I1373, KM!$A:$E, 5, 0)</f>
        <v>586</v>
      </c>
      <c r="Q1373" s="24">
        <f>VLOOKUP(J1373, KM!$A:$E, 5, 0)</f>
        <v>882</v>
      </c>
      <c r="R1373" s="24">
        <f>VLOOKUP(K1373, KM!$A:$E, 5, 0)</f>
        <v>705</v>
      </c>
      <c r="S1373" s="24">
        <f>VLOOKUP(L1373, KM!$A:$E, 5, 0)</f>
        <v>429</v>
      </c>
      <c r="T1373" s="24">
        <f>VLOOKUP(M1373, KM!$A:$E, 5, 0)</f>
        <v>408</v>
      </c>
      <c r="U1373" s="24">
        <f>VLOOKUP(N1373, KM!$A:$E, 5, 0)</f>
        <v>3971</v>
      </c>
      <c r="V1373" s="24">
        <f>VLOOKUP(H1373, IMPOSTO!$A:$D, 4, 0)</f>
        <v>0.18</v>
      </c>
      <c r="W1373" s="24">
        <f>VLOOKUP(I1373, IMPOSTO!$A:$D, 4, 0)</f>
        <v>0.12</v>
      </c>
      <c r="X1373" s="24">
        <f>VLOOKUP(J1373, IMPOSTO!$A:$D, 4, 0)</f>
        <v>7.0000000000000007E-2</v>
      </c>
      <c r="Y1373" s="24">
        <f>VLOOKUP(K1373, IMPOSTO!$A:$D, 4, 0)</f>
        <v>0.12</v>
      </c>
      <c r="Z1373" s="24">
        <f>VLOOKUP(L1373, IMPOSTO!$A:$D, 4, 0)</f>
        <v>0.12</v>
      </c>
      <c r="AA1373" s="24">
        <f>VLOOKUP(M1373, IMPOSTO!$A:$D, 4, 0)</f>
        <v>0.12</v>
      </c>
      <c r="AB1373" s="24">
        <f>VLOOKUP(N1373, IMPOSTO!$A:$D, 4, 0)</f>
        <v>7.0000000000000007E-2</v>
      </c>
      <c r="AC1373" s="25">
        <f t="shared" si="202"/>
        <v>1321434.8563088067</v>
      </c>
      <c r="AD1373" s="25">
        <f t="shared" si="203"/>
        <v>1231403.6161059337</v>
      </c>
      <c r="AE1373" s="25">
        <f t="shared" si="204"/>
        <v>1165230.9485733565</v>
      </c>
      <c r="AF1373" s="25">
        <f t="shared" si="205"/>
        <v>1231417.1388332061</v>
      </c>
      <c r="AG1373" s="25">
        <f t="shared" si="206"/>
        <v>1231385.7751968426</v>
      </c>
      <c r="AH1373" s="25">
        <f t="shared" si="207"/>
        <v>1231383.3888332064</v>
      </c>
      <c r="AI1373" s="25">
        <f t="shared" si="208"/>
        <v>1165563.099110991</v>
      </c>
    </row>
    <row r="1374" spans="1:35" ht="15.75" customHeight="1">
      <c r="A1374" s="12" t="s">
        <v>918</v>
      </c>
      <c r="B1374" s="12" t="s">
        <v>970</v>
      </c>
      <c r="C1374" s="12" t="s">
        <v>89</v>
      </c>
      <c r="D1374" s="12" t="s">
        <v>33</v>
      </c>
      <c r="E1374" s="12" t="s">
        <v>23</v>
      </c>
      <c r="F1374" s="13">
        <v>683.03006969899661</v>
      </c>
      <c r="G1374" s="14">
        <v>42534.22939502808</v>
      </c>
      <c r="H1374" s="24" t="str">
        <f t="shared" si="201"/>
        <v>SPSP</v>
      </c>
      <c r="I1374" s="24" t="str">
        <f t="shared" si="200"/>
        <v>SPMG</v>
      </c>
      <c r="J1374" s="24" t="str">
        <f t="shared" si="200"/>
        <v>SPES</v>
      </c>
      <c r="K1374" s="24" t="str">
        <f t="shared" si="200"/>
        <v>SPSC</v>
      </c>
      <c r="L1374" s="24" t="str">
        <f t="shared" si="200"/>
        <v>SPRJ</v>
      </c>
      <c r="M1374" s="24" t="str">
        <f t="shared" si="200"/>
        <v>SPPR</v>
      </c>
      <c r="N1374" s="24" t="str">
        <f t="shared" si="200"/>
        <v>SPAM</v>
      </c>
      <c r="O1374" s="24">
        <f>VLOOKUP(H1374, KM!$A:$E, 5, 0)</f>
        <v>0</v>
      </c>
      <c r="P1374" s="24">
        <f>VLOOKUP(I1374, KM!$A:$E, 5, 0)</f>
        <v>586</v>
      </c>
      <c r="Q1374" s="24">
        <f>VLOOKUP(J1374, KM!$A:$E, 5, 0)</f>
        <v>882</v>
      </c>
      <c r="R1374" s="24">
        <f>VLOOKUP(K1374, KM!$A:$E, 5, 0)</f>
        <v>705</v>
      </c>
      <c r="S1374" s="24">
        <f>VLOOKUP(L1374, KM!$A:$E, 5, 0)</f>
        <v>429</v>
      </c>
      <c r="T1374" s="24">
        <f>VLOOKUP(M1374, KM!$A:$E, 5, 0)</f>
        <v>408</v>
      </c>
      <c r="U1374" s="24">
        <f>VLOOKUP(N1374, KM!$A:$E, 5, 0)</f>
        <v>3971</v>
      </c>
      <c r="V1374" s="24">
        <f>VLOOKUP(H1374, IMPOSTO!$A:$D, 4, 0)</f>
        <v>0.18</v>
      </c>
      <c r="W1374" s="24">
        <f>VLOOKUP(I1374, IMPOSTO!$A:$D, 4, 0)</f>
        <v>0.12</v>
      </c>
      <c r="X1374" s="24">
        <f>VLOOKUP(J1374, IMPOSTO!$A:$D, 4, 0)</f>
        <v>7.0000000000000007E-2</v>
      </c>
      <c r="Y1374" s="24">
        <f>VLOOKUP(K1374, IMPOSTO!$A:$D, 4, 0)</f>
        <v>0.12</v>
      </c>
      <c r="Z1374" s="24">
        <f>VLOOKUP(L1374, IMPOSTO!$A:$D, 4, 0)</f>
        <v>0.12</v>
      </c>
      <c r="AA1374" s="24">
        <f>VLOOKUP(M1374, IMPOSTO!$A:$D, 4, 0)</f>
        <v>0.12</v>
      </c>
      <c r="AB1374" s="24">
        <f>VLOOKUP(N1374, IMPOSTO!$A:$D, 4, 0)</f>
        <v>7.0000000000000007E-2</v>
      </c>
      <c r="AC1374" s="25">
        <f t="shared" si="202"/>
        <v>51871.011457351313</v>
      </c>
      <c r="AD1374" s="25">
        <f t="shared" si="203"/>
        <v>48400.942494350093</v>
      </c>
      <c r="AE1374" s="25">
        <f t="shared" si="204"/>
        <v>45830.569241965677</v>
      </c>
      <c r="AF1374" s="25">
        <f t="shared" si="205"/>
        <v>48414.465221622821</v>
      </c>
      <c r="AG1374" s="25">
        <f t="shared" si="206"/>
        <v>48383.101585259181</v>
      </c>
      <c r="AH1374" s="25">
        <f t="shared" si="207"/>
        <v>48380.715221622821</v>
      </c>
      <c r="AI1374" s="25">
        <f t="shared" si="208"/>
        <v>46162.719779600091</v>
      </c>
    </row>
    <row r="1375" spans="1:35" ht="15.75" customHeight="1">
      <c r="A1375" s="12" t="s">
        <v>412</v>
      </c>
      <c r="B1375" s="12" t="s">
        <v>413</v>
      </c>
      <c r="C1375" s="12" t="s">
        <v>414</v>
      </c>
      <c r="D1375" s="12" t="s">
        <v>33</v>
      </c>
      <c r="E1375" s="12" t="s">
        <v>23</v>
      </c>
      <c r="F1375" s="13">
        <v>8314.8187715934328</v>
      </c>
      <c r="G1375" s="14">
        <v>794454.28629011801</v>
      </c>
      <c r="H1375" s="24" t="str">
        <f t="shared" si="201"/>
        <v>SPSP</v>
      </c>
      <c r="I1375" s="24" t="str">
        <f t="shared" si="200"/>
        <v>SPMG</v>
      </c>
      <c r="J1375" s="24" t="str">
        <f t="shared" si="200"/>
        <v>SPES</v>
      </c>
      <c r="K1375" s="24" t="str">
        <f t="shared" si="200"/>
        <v>SPSC</v>
      </c>
      <c r="L1375" s="24" t="str">
        <f t="shared" si="200"/>
        <v>SPRJ</v>
      </c>
      <c r="M1375" s="24" t="str">
        <f t="shared" si="200"/>
        <v>SPPR</v>
      </c>
      <c r="N1375" s="24" t="str">
        <f t="shared" si="200"/>
        <v>SPAM</v>
      </c>
      <c r="O1375" s="24">
        <f>VLOOKUP(H1375, KM!$A:$E, 5, 0)</f>
        <v>0</v>
      </c>
      <c r="P1375" s="24">
        <f>VLOOKUP(I1375, KM!$A:$E, 5, 0)</f>
        <v>586</v>
      </c>
      <c r="Q1375" s="24">
        <f>VLOOKUP(J1375, KM!$A:$E, 5, 0)</f>
        <v>882</v>
      </c>
      <c r="R1375" s="24">
        <f>VLOOKUP(K1375, KM!$A:$E, 5, 0)</f>
        <v>705</v>
      </c>
      <c r="S1375" s="24">
        <f>VLOOKUP(L1375, KM!$A:$E, 5, 0)</f>
        <v>429</v>
      </c>
      <c r="T1375" s="24">
        <f>VLOOKUP(M1375, KM!$A:$E, 5, 0)</f>
        <v>408</v>
      </c>
      <c r="U1375" s="24">
        <f>VLOOKUP(N1375, KM!$A:$E, 5, 0)</f>
        <v>3971</v>
      </c>
      <c r="V1375" s="24">
        <f>VLOOKUP(H1375, IMPOSTO!$A:$D, 4, 0)</f>
        <v>0.18</v>
      </c>
      <c r="W1375" s="24">
        <f>VLOOKUP(I1375, IMPOSTO!$A:$D, 4, 0)</f>
        <v>0.12</v>
      </c>
      <c r="X1375" s="24">
        <f>VLOOKUP(J1375, IMPOSTO!$A:$D, 4, 0)</f>
        <v>7.0000000000000007E-2</v>
      </c>
      <c r="Y1375" s="24">
        <f>VLOOKUP(K1375, IMPOSTO!$A:$D, 4, 0)</f>
        <v>0.12</v>
      </c>
      <c r="Z1375" s="24">
        <f>VLOOKUP(L1375, IMPOSTO!$A:$D, 4, 0)</f>
        <v>0.12</v>
      </c>
      <c r="AA1375" s="24">
        <f>VLOOKUP(M1375, IMPOSTO!$A:$D, 4, 0)</f>
        <v>0.12</v>
      </c>
      <c r="AB1375" s="24">
        <f>VLOOKUP(N1375, IMPOSTO!$A:$D, 4, 0)</f>
        <v>7.0000000000000007E-2</v>
      </c>
      <c r="AC1375" s="25">
        <f t="shared" si="202"/>
        <v>968846.69059770484</v>
      </c>
      <c r="AD1375" s="25">
        <f t="shared" si="203"/>
        <v>902855.55260240682</v>
      </c>
      <c r="AE1375" s="25">
        <f t="shared" si="204"/>
        <v>854346.75945173984</v>
      </c>
      <c r="AF1375" s="25">
        <f t="shared" si="205"/>
        <v>902869.07532967953</v>
      </c>
      <c r="AG1375" s="25">
        <f t="shared" si="206"/>
        <v>902837.71169331588</v>
      </c>
      <c r="AH1375" s="25">
        <f t="shared" si="207"/>
        <v>902835.32532967965</v>
      </c>
      <c r="AI1375" s="25">
        <f t="shared" si="208"/>
        <v>854678.90998937422</v>
      </c>
    </row>
    <row r="1376" spans="1:35" ht="15.75" customHeight="1">
      <c r="A1376" s="12" t="s">
        <v>1029</v>
      </c>
      <c r="B1376" s="12" t="s">
        <v>1030</v>
      </c>
      <c r="C1376" s="12" t="s">
        <v>135</v>
      </c>
      <c r="D1376" s="12" t="s">
        <v>33</v>
      </c>
      <c r="E1376" s="12" t="s">
        <v>23</v>
      </c>
      <c r="F1376" s="13">
        <v>121</v>
      </c>
      <c r="G1376" s="14">
        <v>3253.1141719077568</v>
      </c>
      <c r="H1376" s="24" t="str">
        <f t="shared" si="201"/>
        <v>SPSP</v>
      </c>
      <c r="I1376" s="24" t="str">
        <f t="shared" si="200"/>
        <v>SPMG</v>
      </c>
      <c r="J1376" s="24" t="str">
        <f t="shared" si="200"/>
        <v>SPES</v>
      </c>
      <c r="K1376" s="24" t="str">
        <f t="shared" si="200"/>
        <v>SPSC</v>
      </c>
      <c r="L1376" s="24" t="str">
        <f t="shared" si="200"/>
        <v>SPRJ</v>
      </c>
      <c r="M1376" s="24" t="str">
        <f t="shared" si="200"/>
        <v>SPPR</v>
      </c>
      <c r="N1376" s="24" t="str">
        <f t="shared" si="200"/>
        <v>SPAM</v>
      </c>
      <c r="O1376" s="24">
        <f>VLOOKUP(H1376, KM!$A:$E, 5, 0)</f>
        <v>0</v>
      </c>
      <c r="P1376" s="24">
        <f>VLOOKUP(I1376, KM!$A:$E, 5, 0)</f>
        <v>586</v>
      </c>
      <c r="Q1376" s="24">
        <f>VLOOKUP(J1376, KM!$A:$E, 5, 0)</f>
        <v>882</v>
      </c>
      <c r="R1376" s="24">
        <f>VLOOKUP(K1376, KM!$A:$E, 5, 0)</f>
        <v>705</v>
      </c>
      <c r="S1376" s="24">
        <f>VLOOKUP(L1376, KM!$A:$E, 5, 0)</f>
        <v>429</v>
      </c>
      <c r="T1376" s="24">
        <f>VLOOKUP(M1376, KM!$A:$E, 5, 0)</f>
        <v>408</v>
      </c>
      <c r="U1376" s="24">
        <f>VLOOKUP(N1376, KM!$A:$E, 5, 0)</f>
        <v>3971</v>
      </c>
      <c r="V1376" s="24">
        <f>VLOOKUP(H1376, IMPOSTO!$A:$D, 4, 0)</f>
        <v>0.18</v>
      </c>
      <c r="W1376" s="24">
        <f>VLOOKUP(I1376, IMPOSTO!$A:$D, 4, 0)</f>
        <v>0.12</v>
      </c>
      <c r="X1376" s="24">
        <f>VLOOKUP(J1376, IMPOSTO!$A:$D, 4, 0)</f>
        <v>7.0000000000000007E-2</v>
      </c>
      <c r="Y1376" s="24">
        <f>VLOOKUP(K1376, IMPOSTO!$A:$D, 4, 0)</f>
        <v>0.12</v>
      </c>
      <c r="Z1376" s="24">
        <f>VLOOKUP(L1376, IMPOSTO!$A:$D, 4, 0)</f>
        <v>0.12</v>
      </c>
      <c r="AA1376" s="24">
        <f>VLOOKUP(M1376, IMPOSTO!$A:$D, 4, 0)</f>
        <v>0.12</v>
      </c>
      <c r="AB1376" s="24">
        <f>VLOOKUP(N1376, IMPOSTO!$A:$D, 4, 0)</f>
        <v>7.0000000000000007E-2</v>
      </c>
      <c r="AC1376" s="25">
        <f t="shared" si="202"/>
        <v>3967.2124047655566</v>
      </c>
      <c r="AD1376" s="25">
        <f t="shared" si="203"/>
        <v>3763.3115589860872</v>
      </c>
      <c r="AE1376" s="25">
        <f t="shared" si="204"/>
        <v>3592.8109375352224</v>
      </c>
      <c r="AF1376" s="25">
        <f t="shared" si="205"/>
        <v>3776.8342862588147</v>
      </c>
      <c r="AG1376" s="25">
        <f t="shared" si="206"/>
        <v>3745.4706498951782</v>
      </c>
      <c r="AH1376" s="25">
        <f t="shared" si="207"/>
        <v>3743.0842862588147</v>
      </c>
      <c r="AI1376" s="25">
        <f t="shared" si="208"/>
        <v>3924.9614751696313</v>
      </c>
    </row>
    <row r="1377" spans="1:35" ht="15.75" customHeight="1">
      <c r="A1377" s="12" t="s">
        <v>930</v>
      </c>
      <c r="B1377" s="12" t="s">
        <v>1031</v>
      </c>
      <c r="C1377" s="12" t="s">
        <v>81</v>
      </c>
      <c r="D1377" s="12" t="s">
        <v>50</v>
      </c>
      <c r="E1377" s="12" t="s">
        <v>23</v>
      </c>
      <c r="F1377" s="13">
        <v>2.9743589743589745</v>
      </c>
      <c r="G1377" s="14">
        <v>262.35333333333335</v>
      </c>
      <c r="H1377" s="24" t="str">
        <f t="shared" si="201"/>
        <v>SPSP</v>
      </c>
      <c r="I1377" s="24" t="str">
        <f t="shared" si="200"/>
        <v>SPMG</v>
      </c>
      <c r="J1377" s="24" t="str">
        <f t="shared" si="200"/>
        <v>SPES</v>
      </c>
      <c r="K1377" s="24" t="str">
        <f t="shared" si="200"/>
        <v>SPSC</v>
      </c>
      <c r="L1377" s="24" t="str">
        <f t="shared" si="200"/>
        <v>SPRJ</v>
      </c>
      <c r="M1377" s="24" t="str">
        <f t="shared" si="200"/>
        <v>SPPR</v>
      </c>
      <c r="N1377" s="24" t="str">
        <f t="shared" si="200"/>
        <v>SPAM</v>
      </c>
      <c r="O1377" s="24">
        <f>VLOOKUP(H1377, KM!$A:$E, 5, 0)</f>
        <v>0</v>
      </c>
      <c r="P1377" s="24">
        <f>VLOOKUP(I1377, KM!$A:$E, 5, 0)</f>
        <v>586</v>
      </c>
      <c r="Q1377" s="24">
        <f>VLOOKUP(J1377, KM!$A:$E, 5, 0)</f>
        <v>882</v>
      </c>
      <c r="R1377" s="24">
        <f>VLOOKUP(K1377, KM!$A:$E, 5, 0)</f>
        <v>705</v>
      </c>
      <c r="S1377" s="24">
        <f>VLOOKUP(L1377, KM!$A:$E, 5, 0)</f>
        <v>429</v>
      </c>
      <c r="T1377" s="24">
        <f>VLOOKUP(M1377, KM!$A:$E, 5, 0)</f>
        <v>408</v>
      </c>
      <c r="U1377" s="24">
        <f>VLOOKUP(N1377, KM!$A:$E, 5, 0)</f>
        <v>3971</v>
      </c>
      <c r="V1377" s="24">
        <f>VLOOKUP(H1377, IMPOSTO!$A:$D, 4, 0)</f>
        <v>0.18</v>
      </c>
      <c r="W1377" s="24">
        <f>VLOOKUP(I1377, IMPOSTO!$A:$D, 4, 0)</f>
        <v>0.12</v>
      </c>
      <c r="X1377" s="24">
        <f>VLOOKUP(J1377, IMPOSTO!$A:$D, 4, 0)</f>
        <v>7.0000000000000007E-2</v>
      </c>
      <c r="Y1377" s="24">
        <f>VLOOKUP(K1377, IMPOSTO!$A:$D, 4, 0)</f>
        <v>0.12</v>
      </c>
      <c r="Z1377" s="24">
        <f>VLOOKUP(L1377, IMPOSTO!$A:$D, 4, 0)</f>
        <v>0.12</v>
      </c>
      <c r="AA1377" s="24">
        <f>VLOOKUP(M1377, IMPOSTO!$A:$D, 4, 0)</f>
        <v>0.12</v>
      </c>
      <c r="AB1377" s="24">
        <f>VLOOKUP(N1377, IMPOSTO!$A:$D, 4, 0)</f>
        <v>7.0000000000000007E-2</v>
      </c>
      <c r="AC1377" s="25">
        <f t="shared" si="202"/>
        <v>319.9430894308943</v>
      </c>
      <c r="AD1377" s="25">
        <f t="shared" si="203"/>
        <v>364.719696969697</v>
      </c>
      <c r="AE1377" s="25">
        <f t="shared" si="204"/>
        <v>376.93906810035844</v>
      </c>
      <c r="AF1377" s="25">
        <f t="shared" si="205"/>
        <v>378.24242424242425</v>
      </c>
      <c r="AG1377" s="25">
        <f t="shared" si="206"/>
        <v>346.87878787878788</v>
      </c>
      <c r="AH1377" s="25">
        <f t="shared" si="207"/>
        <v>344.49242424242425</v>
      </c>
      <c r="AI1377" s="25">
        <f t="shared" si="208"/>
        <v>709.08960573476713</v>
      </c>
    </row>
    <row r="1378" spans="1:35" ht="15.75" customHeight="1">
      <c r="A1378" s="12" t="s">
        <v>837</v>
      </c>
      <c r="B1378" s="12" t="s">
        <v>838</v>
      </c>
      <c r="C1378" s="12" t="s">
        <v>223</v>
      </c>
      <c r="D1378" s="12" t="s">
        <v>50</v>
      </c>
      <c r="E1378" s="12" t="s">
        <v>23</v>
      </c>
      <c r="F1378" s="13">
        <v>9</v>
      </c>
      <c r="G1378" s="14">
        <v>1504.5350000000001</v>
      </c>
      <c r="H1378" s="24" t="str">
        <f t="shared" si="201"/>
        <v>SPSP</v>
      </c>
      <c r="I1378" s="24" t="str">
        <f t="shared" si="200"/>
        <v>SPMG</v>
      </c>
      <c r="J1378" s="24" t="str">
        <f t="shared" si="200"/>
        <v>SPES</v>
      </c>
      <c r="K1378" s="24" t="str">
        <f t="shared" si="200"/>
        <v>SPSC</v>
      </c>
      <c r="L1378" s="24" t="str">
        <f t="shared" si="200"/>
        <v>SPRJ</v>
      </c>
      <c r="M1378" s="24" t="str">
        <f t="shared" si="200"/>
        <v>SPPR</v>
      </c>
      <c r="N1378" s="24" t="str">
        <f t="shared" si="200"/>
        <v>SPAM</v>
      </c>
      <c r="O1378" s="24">
        <f>VLOOKUP(H1378, KM!$A:$E, 5, 0)</f>
        <v>0</v>
      </c>
      <c r="P1378" s="24">
        <f>VLOOKUP(I1378, KM!$A:$E, 5, 0)</f>
        <v>586</v>
      </c>
      <c r="Q1378" s="24">
        <f>VLOOKUP(J1378, KM!$A:$E, 5, 0)</f>
        <v>882</v>
      </c>
      <c r="R1378" s="24">
        <f>VLOOKUP(K1378, KM!$A:$E, 5, 0)</f>
        <v>705</v>
      </c>
      <c r="S1378" s="24">
        <f>VLOOKUP(L1378, KM!$A:$E, 5, 0)</f>
        <v>429</v>
      </c>
      <c r="T1378" s="24">
        <f>VLOOKUP(M1378, KM!$A:$E, 5, 0)</f>
        <v>408</v>
      </c>
      <c r="U1378" s="24">
        <f>VLOOKUP(N1378, KM!$A:$E, 5, 0)</f>
        <v>3971</v>
      </c>
      <c r="V1378" s="24">
        <f>VLOOKUP(H1378, IMPOSTO!$A:$D, 4, 0)</f>
        <v>0.18</v>
      </c>
      <c r="W1378" s="24">
        <f>VLOOKUP(I1378, IMPOSTO!$A:$D, 4, 0)</f>
        <v>0.12</v>
      </c>
      <c r="X1378" s="24">
        <f>VLOOKUP(J1378, IMPOSTO!$A:$D, 4, 0)</f>
        <v>7.0000000000000007E-2</v>
      </c>
      <c r="Y1378" s="24">
        <f>VLOOKUP(K1378, IMPOSTO!$A:$D, 4, 0)</f>
        <v>0.12</v>
      </c>
      <c r="Z1378" s="24">
        <f>VLOOKUP(L1378, IMPOSTO!$A:$D, 4, 0)</f>
        <v>0.12</v>
      </c>
      <c r="AA1378" s="24">
        <f>VLOOKUP(M1378, IMPOSTO!$A:$D, 4, 0)</f>
        <v>0.12</v>
      </c>
      <c r="AB1378" s="24">
        <f>VLOOKUP(N1378, IMPOSTO!$A:$D, 4, 0)</f>
        <v>7.0000000000000007E-2</v>
      </c>
      <c r="AC1378" s="25">
        <f t="shared" si="202"/>
        <v>1834.7987804878048</v>
      </c>
      <c r="AD1378" s="25">
        <f t="shared" si="203"/>
        <v>1776.2897727272727</v>
      </c>
      <c r="AE1378" s="25">
        <f t="shared" si="204"/>
        <v>1712.6182795698928</v>
      </c>
      <c r="AF1378" s="25">
        <f t="shared" si="205"/>
        <v>1789.8125</v>
      </c>
      <c r="AG1378" s="25">
        <f t="shared" si="206"/>
        <v>1758.4488636363637</v>
      </c>
      <c r="AH1378" s="25">
        <f t="shared" si="207"/>
        <v>1756.0625</v>
      </c>
      <c r="AI1378" s="25">
        <f t="shared" si="208"/>
        <v>2044.7688172043015</v>
      </c>
    </row>
    <row r="1379" spans="1:35" ht="15.75" customHeight="1">
      <c r="A1379" s="12" t="s">
        <v>1032</v>
      </c>
      <c r="B1379" s="12" t="s">
        <v>1033</v>
      </c>
      <c r="C1379" s="12" t="s">
        <v>192</v>
      </c>
      <c r="D1379" s="12" t="s">
        <v>50</v>
      </c>
      <c r="E1379" s="12" t="s">
        <v>23</v>
      </c>
      <c r="F1379" s="13">
        <v>8</v>
      </c>
      <c r="G1379" s="14">
        <v>458.11200000000002</v>
      </c>
      <c r="H1379" s="24" t="str">
        <f t="shared" si="201"/>
        <v>SPSP</v>
      </c>
      <c r="I1379" s="24" t="str">
        <f t="shared" si="200"/>
        <v>SPMG</v>
      </c>
      <c r="J1379" s="24" t="str">
        <f t="shared" si="200"/>
        <v>SPES</v>
      </c>
      <c r="K1379" s="24" t="str">
        <f t="shared" si="200"/>
        <v>SPSC</v>
      </c>
      <c r="L1379" s="24" t="str">
        <f t="shared" si="200"/>
        <v>SPRJ</v>
      </c>
      <c r="M1379" s="24" t="str">
        <f t="shared" si="200"/>
        <v>SPPR</v>
      </c>
      <c r="N1379" s="24" t="str">
        <f t="shared" si="200"/>
        <v>SPAM</v>
      </c>
      <c r="O1379" s="24">
        <f>VLOOKUP(H1379, KM!$A:$E, 5, 0)</f>
        <v>0</v>
      </c>
      <c r="P1379" s="24">
        <f>VLOOKUP(I1379, KM!$A:$E, 5, 0)</f>
        <v>586</v>
      </c>
      <c r="Q1379" s="24">
        <f>VLOOKUP(J1379, KM!$A:$E, 5, 0)</f>
        <v>882</v>
      </c>
      <c r="R1379" s="24">
        <f>VLOOKUP(K1379, KM!$A:$E, 5, 0)</f>
        <v>705</v>
      </c>
      <c r="S1379" s="24">
        <f>VLOOKUP(L1379, KM!$A:$E, 5, 0)</f>
        <v>429</v>
      </c>
      <c r="T1379" s="24">
        <f>VLOOKUP(M1379, KM!$A:$E, 5, 0)</f>
        <v>408</v>
      </c>
      <c r="U1379" s="24">
        <f>VLOOKUP(N1379, KM!$A:$E, 5, 0)</f>
        <v>3971</v>
      </c>
      <c r="V1379" s="24">
        <f>VLOOKUP(H1379, IMPOSTO!$A:$D, 4, 0)</f>
        <v>0.18</v>
      </c>
      <c r="W1379" s="24">
        <f>VLOOKUP(I1379, IMPOSTO!$A:$D, 4, 0)</f>
        <v>0.12</v>
      </c>
      <c r="X1379" s="24">
        <f>VLOOKUP(J1379, IMPOSTO!$A:$D, 4, 0)</f>
        <v>7.0000000000000007E-2</v>
      </c>
      <c r="Y1379" s="24">
        <f>VLOOKUP(K1379, IMPOSTO!$A:$D, 4, 0)</f>
        <v>0.12</v>
      </c>
      <c r="Z1379" s="24">
        <f>VLOOKUP(L1379, IMPOSTO!$A:$D, 4, 0)</f>
        <v>0.12</v>
      </c>
      <c r="AA1379" s="24">
        <f>VLOOKUP(M1379, IMPOSTO!$A:$D, 4, 0)</f>
        <v>0.12</v>
      </c>
      <c r="AB1379" s="24">
        <f>VLOOKUP(N1379, IMPOSTO!$A:$D, 4, 0)</f>
        <v>7.0000000000000007E-2</v>
      </c>
      <c r="AC1379" s="25">
        <f t="shared" si="202"/>
        <v>558.67317073170727</v>
      </c>
      <c r="AD1379" s="25">
        <f t="shared" si="203"/>
        <v>587.17272727272723</v>
      </c>
      <c r="AE1379" s="25">
        <f t="shared" si="204"/>
        <v>587.43225806451619</v>
      </c>
      <c r="AF1379" s="25">
        <f t="shared" si="205"/>
        <v>600.6954545454546</v>
      </c>
      <c r="AG1379" s="25">
        <f t="shared" si="206"/>
        <v>569.33181818181822</v>
      </c>
      <c r="AH1379" s="25">
        <f t="shared" si="207"/>
        <v>566.9454545454546</v>
      </c>
      <c r="AI1379" s="25">
        <f t="shared" si="208"/>
        <v>919.58279569892477</v>
      </c>
    </row>
    <row r="1380" spans="1:35" ht="15.75" customHeight="1">
      <c r="A1380" s="12" t="s">
        <v>1034</v>
      </c>
      <c r="B1380" s="12" t="s">
        <v>1035</v>
      </c>
      <c r="C1380" s="12" t="s">
        <v>192</v>
      </c>
      <c r="D1380" s="12" t="s">
        <v>50</v>
      </c>
      <c r="E1380" s="12" t="s">
        <v>23</v>
      </c>
      <c r="F1380" s="13">
        <v>2004</v>
      </c>
      <c r="G1380" s="14">
        <v>45753.788238993708</v>
      </c>
      <c r="H1380" s="24" t="str">
        <f t="shared" si="201"/>
        <v>SPSP</v>
      </c>
      <c r="I1380" s="24" t="str">
        <f t="shared" si="200"/>
        <v>SPMG</v>
      </c>
      <c r="J1380" s="24" t="str">
        <f t="shared" si="200"/>
        <v>SPES</v>
      </c>
      <c r="K1380" s="24" t="str">
        <f t="shared" si="200"/>
        <v>SPSC</v>
      </c>
      <c r="L1380" s="24" t="str">
        <f t="shared" si="200"/>
        <v>SPRJ</v>
      </c>
      <c r="M1380" s="24" t="str">
        <f t="shared" si="200"/>
        <v>SPPR</v>
      </c>
      <c r="N1380" s="24" t="str">
        <f t="shared" si="200"/>
        <v>SPAM</v>
      </c>
      <c r="O1380" s="24">
        <f>VLOOKUP(H1380, KM!$A:$E, 5, 0)</f>
        <v>0</v>
      </c>
      <c r="P1380" s="24">
        <f>VLOOKUP(I1380, KM!$A:$E, 5, 0)</f>
        <v>586</v>
      </c>
      <c r="Q1380" s="24">
        <f>VLOOKUP(J1380, KM!$A:$E, 5, 0)</f>
        <v>882</v>
      </c>
      <c r="R1380" s="24">
        <f>VLOOKUP(K1380, KM!$A:$E, 5, 0)</f>
        <v>705</v>
      </c>
      <c r="S1380" s="24">
        <f>VLOOKUP(L1380, KM!$A:$E, 5, 0)</f>
        <v>429</v>
      </c>
      <c r="T1380" s="24">
        <f>VLOOKUP(M1380, KM!$A:$E, 5, 0)</f>
        <v>408</v>
      </c>
      <c r="U1380" s="24">
        <f>VLOOKUP(N1380, KM!$A:$E, 5, 0)</f>
        <v>3971</v>
      </c>
      <c r="V1380" s="24">
        <f>VLOOKUP(H1380, IMPOSTO!$A:$D, 4, 0)</f>
        <v>0.18</v>
      </c>
      <c r="W1380" s="24">
        <f>VLOOKUP(I1380, IMPOSTO!$A:$D, 4, 0)</f>
        <v>0.12</v>
      </c>
      <c r="X1380" s="24">
        <f>VLOOKUP(J1380, IMPOSTO!$A:$D, 4, 0)</f>
        <v>7.0000000000000007E-2</v>
      </c>
      <c r="Y1380" s="24">
        <f>VLOOKUP(K1380, IMPOSTO!$A:$D, 4, 0)</f>
        <v>0.12</v>
      </c>
      <c r="Z1380" s="24">
        <f>VLOOKUP(L1380, IMPOSTO!$A:$D, 4, 0)</f>
        <v>0.12</v>
      </c>
      <c r="AA1380" s="24">
        <f>VLOOKUP(M1380, IMPOSTO!$A:$D, 4, 0)</f>
        <v>0.12</v>
      </c>
      <c r="AB1380" s="24">
        <f>VLOOKUP(N1380, IMPOSTO!$A:$D, 4, 0)</f>
        <v>7.0000000000000007E-2</v>
      </c>
      <c r="AC1380" s="25">
        <f t="shared" si="202"/>
        <v>55797.302730480129</v>
      </c>
      <c r="AD1380" s="25">
        <f t="shared" si="203"/>
        <v>52059.532089765577</v>
      </c>
      <c r="AE1380" s="25">
        <f t="shared" si="204"/>
        <v>49292.460472036248</v>
      </c>
      <c r="AF1380" s="25">
        <f t="shared" si="205"/>
        <v>52073.054817038304</v>
      </c>
      <c r="AG1380" s="25">
        <f t="shared" si="206"/>
        <v>52041.691180674672</v>
      </c>
      <c r="AH1380" s="25">
        <f t="shared" si="207"/>
        <v>52039.304817038304</v>
      </c>
      <c r="AI1380" s="25">
        <f t="shared" si="208"/>
        <v>49624.611009670654</v>
      </c>
    </row>
    <row r="1381" spans="1:35" ht="15.75" customHeight="1">
      <c r="A1381" s="12" t="s">
        <v>294</v>
      </c>
      <c r="B1381" s="12" t="s">
        <v>295</v>
      </c>
      <c r="C1381" s="12" t="s">
        <v>296</v>
      </c>
      <c r="D1381" s="12" t="s">
        <v>33</v>
      </c>
      <c r="E1381" s="12" t="s">
        <v>23</v>
      </c>
      <c r="F1381" s="13">
        <v>209.51480517255283</v>
      </c>
      <c r="G1381" s="14">
        <v>2097.9962210641042</v>
      </c>
      <c r="H1381" s="24" t="str">
        <f t="shared" si="201"/>
        <v>SPSP</v>
      </c>
      <c r="I1381" s="24" t="str">
        <f t="shared" si="200"/>
        <v>SPMG</v>
      </c>
      <c r="J1381" s="24" t="str">
        <f t="shared" si="200"/>
        <v>SPES</v>
      </c>
      <c r="K1381" s="24" t="str">
        <f t="shared" si="200"/>
        <v>SPSC</v>
      </c>
      <c r="L1381" s="24" t="str">
        <f t="shared" si="200"/>
        <v>SPRJ</v>
      </c>
      <c r="M1381" s="24" t="str">
        <f t="shared" si="200"/>
        <v>SPPR</v>
      </c>
      <c r="N1381" s="24" t="str">
        <f t="shared" si="200"/>
        <v>SPAM</v>
      </c>
      <c r="O1381" s="24">
        <f>VLOOKUP(H1381, KM!$A:$E, 5, 0)</f>
        <v>0</v>
      </c>
      <c r="P1381" s="24">
        <f>VLOOKUP(I1381, KM!$A:$E, 5, 0)</f>
        <v>586</v>
      </c>
      <c r="Q1381" s="24">
        <f>VLOOKUP(J1381, KM!$A:$E, 5, 0)</f>
        <v>882</v>
      </c>
      <c r="R1381" s="24">
        <f>VLOOKUP(K1381, KM!$A:$E, 5, 0)</f>
        <v>705</v>
      </c>
      <c r="S1381" s="24">
        <f>VLOOKUP(L1381, KM!$A:$E, 5, 0)</f>
        <v>429</v>
      </c>
      <c r="T1381" s="24">
        <f>VLOOKUP(M1381, KM!$A:$E, 5, 0)</f>
        <v>408</v>
      </c>
      <c r="U1381" s="24">
        <f>VLOOKUP(N1381, KM!$A:$E, 5, 0)</f>
        <v>3971</v>
      </c>
      <c r="V1381" s="24">
        <f>VLOOKUP(H1381, IMPOSTO!$A:$D, 4, 0)</f>
        <v>0.18</v>
      </c>
      <c r="W1381" s="24">
        <f>VLOOKUP(I1381, IMPOSTO!$A:$D, 4, 0)</f>
        <v>0.12</v>
      </c>
      <c r="X1381" s="24">
        <f>VLOOKUP(J1381, IMPOSTO!$A:$D, 4, 0)</f>
        <v>7.0000000000000007E-2</v>
      </c>
      <c r="Y1381" s="24">
        <f>VLOOKUP(K1381, IMPOSTO!$A:$D, 4, 0)</f>
        <v>0.12</v>
      </c>
      <c r="Z1381" s="24">
        <f>VLOOKUP(L1381, IMPOSTO!$A:$D, 4, 0)</f>
        <v>0.12</v>
      </c>
      <c r="AA1381" s="24">
        <f>VLOOKUP(M1381, IMPOSTO!$A:$D, 4, 0)</f>
        <v>0.12</v>
      </c>
      <c r="AB1381" s="24">
        <f>VLOOKUP(N1381, IMPOSTO!$A:$D, 4, 0)</f>
        <v>7.0000000000000007E-2</v>
      </c>
      <c r="AC1381" s="25">
        <f t="shared" si="202"/>
        <v>2558.531976907444</v>
      </c>
      <c r="AD1381" s="25">
        <f t="shared" si="203"/>
        <v>2450.677523936482</v>
      </c>
      <c r="AE1381" s="25">
        <f t="shared" si="204"/>
        <v>2350.7486248001119</v>
      </c>
      <c r="AF1381" s="25">
        <f t="shared" si="205"/>
        <v>2464.2002512092095</v>
      </c>
      <c r="AG1381" s="25">
        <f t="shared" si="206"/>
        <v>2432.836614845573</v>
      </c>
      <c r="AH1381" s="25">
        <f t="shared" si="207"/>
        <v>2430.4502512092095</v>
      </c>
      <c r="AI1381" s="25">
        <f t="shared" si="208"/>
        <v>2682.8991624345208</v>
      </c>
    </row>
    <row r="1382" spans="1:35" ht="15.75" customHeight="1">
      <c r="A1382" s="12" t="s">
        <v>294</v>
      </c>
      <c r="B1382" s="12" t="s">
        <v>295</v>
      </c>
      <c r="C1382" s="12" t="s">
        <v>296</v>
      </c>
      <c r="D1382" s="12" t="s">
        <v>33</v>
      </c>
      <c r="E1382" s="12" t="s">
        <v>23</v>
      </c>
      <c r="F1382" s="13">
        <v>2.223478806342299E-3</v>
      </c>
      <c r="G1382" s="14">
        <v>2.1675945796588294E-2</v>
      </c>
      <c r="H1382" s="24" t="str">
        <f t="shared" si="201"/>
        <v>SPSP</v>
      </c>
      <c r="I1382" s="24" t="str">
        <f t="shared" si="200"/>
        <v>SPMG</v>
      </c>
      <c r="J1382" s="24" t="str">
        <f t="shared" si="200"/>
        <v>SPES</v>
      </c>
      <c r="K1382" s="24" t="str">
        <f t="shared" si="200"/>
        <v>SPSC</v>
      </c>
      <c r="L1382" s="24" t="str">
        <f t="shared" si="200"/>
        <v>SPRJ</v>
      </c>
      <c r="M1382" s="24" t="str">
        <f t="shared" si="200"/>
        <v>SPPR</v>
      </c>
      <c r="N1382" s="24" t="str">
        <f t="shared" si="200"/>
        <v>SPAM</v>
      </c>
      <c r="O1382" s="24">
        <f>VLOOKUP(H1382, KM!$A:$E, 5, 0)</f>
        <v>0</v>
      </c>
      <c r="P1382" s="24">
        <f>VLOOKUP(I1382, KM!$A:$E, 5, 0)</f>
        <v>586</v>
      </c>
      <c r="Q1382" s="24">
        <f>VLOOKUP(J1382, KM!$A:$E, 5, 0)</f>
        <v>882</v>
      </c>
      <c r="R1382" s="24">
        <f>VLOOKUP(K1382, KM!$A:$E, 5, 0)</f>
        <v>705</v>
      </c>
      <c r="S1382" s="24">
        <f>VLOOKUP(L1382, KM!$A:$E, 5, 0)</f>
        <v>429</v>
      </c>
      <c r="T1382" s="24">
        <f>VLOOKUP(M1382, KM!$A:$E, 5, 0)</f>
        <v>408</v>
      </c>
      <c r="U1382" s="24">
        <f>VLOOKUP(N1382, KM!$A:$E, 5, 0)</f>
        <v>3971</v>
      </c>
      <c r="V1382" s="24">
        <f>VLOOKUP(H1382, IMPOSTO!$A:$D, 4, 0)</f>
        <v>0.18</v>
      </c>
      <c r="W1382" s="24">
        <f>VLOOKUP(I1382, IMPOSTO!$A:$D, 4, 0)</f>
        <v>0.12</v>
      </c>
      <c r="X1382" s="24">
        <f>VLOOKUP(J1382, IMPOSTO!$A:$D, 4, 0)</f>
        <v>7.0000000000000007E-2</v>
      </c>
      <c r="Y1382" s="24">
        <f>VLOOKUP(K1382, IMPOSTO!$A:$D, 4, 0)</f>
        <v>0.12</v>
      </c>
      <c r="Z1382" s="24">
        <f>VLOOKUP(L1382, IMPOSTO!$A:$D, 4, 0)</f>
        <v>0.12</v>
      </c>
      <c r="AA1382" s="24">
        <f>VLOOKUP(M1382, IMPOSTO!$A:$D, 4, 0)</f>
        <v>0.12</v>
      </c>
      <c r="AB1382" s="24">
        <f>VLOOKUP(N1382, IMPOSTO!$A:$D, 4, 0)</f>
        <v>7.0000000000000007E-2</v>
      </c>
      <c r="AC1382" s="25">
        <f t="shared" si="202"/>
        <v>2.6434080239741819E-2</v>
      </c>
      <c r="AD1382" s="25">
        <f t="shared" si="203"/>
        <v>66.615540847496121</v>
      </c>
      <c r="AE1382" s="25">
        <f t="shared" si="204"/>
        <v>94.862017146017848</v>
      </c>
      <c r="AF1382" s="25">
        <f t="shared" si="205"/>
        <v>80.138268120223401</v>
      </c>
      <c r="AG1382" s="25">
        <f t="shared" si="206"/>
        <v>48.774631756587041</v>
      </c>
      <c r="AH1382" s="25">
        <f t="shared" si="207"/>
        <v>46.388268120223401</v>
      </c>
      <c r="AI1382" s="25">
        <f t="shared" si="208"/>
        <v>427.01255478042646</v>
      </c>
    </row>
    <row r="1383" spans="1:35" ht="15.75" customHeight="1">
      <c r="A1383" s="12" t="s">
        <v>845</v>
      </c>
      <c r="B1383" s="12" t="s">
        <v>846</v>
      </c>
      <c r="C1383" s="12" t="s">
        <v>296</v>
      </c>
      <c r="D1383" s="12" t="s">
        <v>33</v>
      </c>
      <c r="E1383" s="12" t="s">
        <v>23</v>
      </c>
      <c r="F1383" s="13">
        <v>1.5900817088556858</v>
      </c>
      <c r="G1383" s="14">
        <v>32.632409386891723</v>
      </c>
      <c r="H1383" s="24" t="str">
        <f t="shared" si="201"/>
        <v>SPSP</v>
      </c>
      <c r="I1383" s="24" t="str">
        <f t="shared" si="200"/>
        <v>SPMG</v>
      </c>
      <c r="J1383" s="24" t="str">
        <f t="shared" si="200"/>
        <v>SPES</v>
      </c>
      <c r="K1383" s="24" t="str">
        <f t="shared" si="200"/>
        <v>SPSC</v>
      </c>
      <c r="L1383" s="24" t="str">
        <f t="shared" si="200"/>
        <v>SPRJ</v>
      </c>
      <c r="M1383" s="24" t="str">
        <f t="shared" si="200"/>
        <v>SPPR</v>
      </c>
      <c r="N1383" s="24" t="str">
        <f t="shared" si="200"/>
        <v>SPAM</v>
      </c>
      <c r="O1383" s="24">
        <f>VLOOKUP(H1383, KM!$A:$E, 5, 0)</f>
        <v>0</v>
      </c>
      <c r="P1383" s="24">
        <f>VLOOKUP(I1383, KM!$A:$E, 5, 0)</f>
        <v>586</v>
      </c>
      <c r="Q1383" s="24">
        <f>VLOOKUP(J1383, KM!$A:$E, 5, 0)</f>
        <v>882</v>
      </c>
      <c r="R1383" s="24">
        <f>VLOOKUP(K1383, KM!$A:$E, 5, 0)</f>
        <v>705</v>
      </c>
      <c r="S1383" s="24">
        <f>VLOOKUP(L1383, KM!$A:$E, 5, 0)</f>
        <v>429</v>
      </c>
      <c r="T1383" s="24">
        <f>VLOOKUP(M1383, KM!$A:$E, 5, 0)</f>
        <v>408</v>
      </c>
      <c r="U1383" s="24">
        <f>VLOOKUP(N1383, KM!$A:$E, 5, 0)</f>
        <v>3971</v>
      </c>
      <c r="V1383" s="24">
        <f>VLOOKUP(H1383, IMPOSTO!$A:$D, 4, 0)</f>
        <v>0.18</v>
      </c>
      <c r="W1383" s="24">
        <f>VLOOKUP(I1383, IMPOSTO!$A:$D, 4, 0)</f>
        <v>0.12</v>
      </c>
      <c r="X1383" s="24">
        <f>VLOOKUP(J1383, IMPOSTO!$A:$D, 4, 0)</f>
        <v>7.0000000000000007E-2</v>
      </c>
      <c r="Y1383" s="24">
        <f>VLOOKUP(K1383, IMPOSTO!$A:$D, 4, 0)</f>
        <v>0.12</v>
      </c>
      <c r="Z1383" s="24">
        <f>VLOOKUP(L1383, IMPOSTO!$A:$D, 4, 0)</f>
        <v>0.12</v>
      </c>
      <c r="AA1383" s="24">
        <f>VLOOKUP(M1383, IMPOSTO!$A:$D, 4, 0)</f>
        <v>0.12</v>
      </c>
      <c r="AB1383" s="24">
        <f>VLOOKUP(N1383, IMPOSTO!$A:$D, 4, 0)</f>
        <v>7.0000000000000007E-2</v>
      </c>
      <c r="AC1383" s="25">
        <f t="shared" si="202"/>
        <v>39.795621203526487</v>
      </c>
      <c r="AD1383" s="25">
        <f t="shared" si="203"/>
        <v>103.67319248510424</v>
      </c>
      <c r="AE1383" s="25">
        <f t="shared" si="204"/>
        <v>129.92732192138897</v>
      </c>
      <c r="AF1383" s="25">
        <f t="shared" si="205"/>
        <v>117.1959197578315</v>
      </c>
      <c r="AG1383" s="25">
        <f t="shared" si="206"/>
        <v>85.832283394195144</v>
      </c>
      <c r="AH1383" s="25">
        <f t="shared" si="207"/>
        <v>83.445919757831504</v>
      </c>
      <c r="AI1383" s="25">
        <f t="shared" si="208"/>
        <v>462.0778595557976</v>
      </c>
    </row>
    <row r="1384" spans="1:35" ht="15.75" customHeight="1">
      <c r="A1384" s="12" t="s">
        <v>72</v>
      </c>
      <c r="B1384" s="12" t="s">
        <v>73</v>
      </c>
      <c r="C1384" s="12" t="s">
        <v>63</v>
      </c>
      <c r="D1384" s="12" t="s">
        <v>33</v>
      </c>
      <c r="E1384" s="12" t="s">
        <v>23</v>
      </c>
      <c r="F1384" s="13">
        <v>1.4763107097015253</v>
      </c>
      <c r="G1384" s="14">
        <v>26.986773979138924</v>
      </c>
      <c r="H1384" s="24" t="str">
        <f t="shared" si="201"/>
        <v>SPSP</v>
      </c>
      <c r="I1384" s="24" t="str">
        <f t="shared" si="200"/>
        <v>SPMG</v>
      </c>
      <c r="J1384" s="24" t="str">
        <f t="shared" si="200"/>
        <v>SPES</v>
      </c>
      <c r="K1384" s="24" t="str">
        <f t="shared" si="200"/>
        <v>SPSC</v>
      </c>
      <c r="L1384" s="24" t="str">
        <f t="shared" si="200"/>
        <v>SPRJ</v>
      </c>
      <c r="M1384" s="24" t="str">
        <f t="shared" si="200"/>
        <v>SPPR</v>
      </c>
      <c r="N1384" s="24" t="str">
        <f t="shared" si="200"/>
        <v>SPAM</v>
      </c>
      <c r="O1384" s="24">
        <f>VLOOKUP(H1384, KM!$A:$E, 5, 0)</f>
        <v>0</v>
      </c>
      <c r="P1384" s="24">
        <f>VLOOKUP(I1384, KM!$A:$E, 5, 0)</f>
        <v>586</v>
      </c>
      <c r="Q1384" s="24">
        <f>VLOOKUP(J1384, KM!$A:$E, 5, 0)</f>
        <v>882</v>
      </c>
      <c r="R1384" s="24">
        <f>VLOOKUP(K1384, KM!$A:$E, 5, 0)</f>
        <v>705</v>
      </c>
      <c r="S1384" s="24">
        <f>VLOOKUP(L1384, KM!$A:$E, 5, 0)</f>
        <v>429</v>
      </c>
      <c r="T1384" s="24">
        <f>VLOOKUP(M1384, KM!$A:$E, 5, 0)</f>
        <v>408</v>
      </c>
      <c r="U1384" s="24">
        <f>VLOOKUP(N1384, KM!$A:$E, 5, 0)</f>
        <v>3971</v>
      </c>
      <c r="V1384" s="24">
        <f>VLOOKUP(H1384, IMPOSTO!$A:$D, 4, 0)</f>
        <v>0.18</v>
      </c>
      <c r="W1384" s="24">
        <f>VLOOKUP(I1384, IMPOSTO!$A:$D, 4, 0)</f>
        <v>0.12</v>
      </c>
      <c r="X1384" s="24">
        <f>VLOOKUP(J1384, IMPOSTO!$A:$D, 4, 0)</f>
        <v>7.0000000000000007E-2</v>
      </c>
      <c r="Y1384" s="24">
        <f>VLOOKUP(K1384, IMPOSTO!$A:$D, 4, 0)</f>
        <v>0.12</v>
      </c>
      <c r="Z1384" s="24">
        <f>VLOOKUP(L1384, IMPOSTO!$A:$D, 4, 0)</f>
        <v>0.12</v>
      </c>
      <c r="AA1384" s="24">
        <f>VLOOKUP(M1384, IMPOSTO!$A:$D, 4, 0)</f>
        <v>0.12</v>
      </c>
      <c r="AB1384" s="24">
        <f>VLOOKUP(N1384, IMPOSTO!$A:$D, 4, 0)</f>
        <v>7.0000000000000007E-2</v>
      </c>
      <c r="AC1384" s="25">
        <f t="shared" si="202"/>
        <v>32.910699974559662</v>
      </c>
      <c r="AD1384" s="25">
        <f t="shared" si="203"/>
        <v>97.257697703566961</v>
      </c>
      <c r="AE1384" s="25">
        <f t="shared" si="204"/>
        <v>123.8567462141279</v>
      </c>
      <c r="AF1384" s="25">
        <f t="shared" si="205"/>
        <v>110.78042497629423</v>
      </c>
      <c r="AG1384" s="25">
        <f t="shared" si="206"/>
        <v>79.416788612657868</v>
      </c>
      <c r="AH1384" s="25">
        <f t="shared" si="207"/>
        <v>77.030424976294242</v>
      </c>
      <c r="AI1384" s="25">
        <f t="shared" si="208"/>
        <v>456.00728384853653</v>
      </c>
    </row>
    <row r="1385" spans="1:35" ht="15.75" customHeight="1">
      <c r="A1385" s="12" t="s">
        <v>117</v>
      </c>
      <c r="B1385" s="12" t="s">
        <v>485</v>
      </c>
      <c r="C1385" s="12" t="s">
        <v>119</v>
      </c>
      <c r="D1385" s="12" t="s">
        <v>33</v>
      </c>
      <c r="E1385" s="12" t="s">
        <v>23</v>
      </c>
      <c r="F1385" s="13">
        <v>957935.48057265987</v>
      </c>
      <c r="G1385" s="14">
        <v>1696913.1182502592</v>
      </c>
      <c r="H1385" s="24" t="str">
        <f t="shared" si="201"/>
        <v>SPSP</v>
      </c>
      <c r="I1385" s="24" t="str">
        <f t="shared" si="200"/>
        <v>SPMG</v>
      </c>
      <c r="J1385" s="24" t="str">
        <f t="shared" si="200"/>
        <v>SPES</v>
      </c>
      <c r="K1385" s="24" t="str">
        <f t="shared" si="200"/>
        <v>SPSC</v>
      </c>
      <c r="L1385" s="24" t="str">
        <f t="shared" si="200"/>
        <v>SPRJ</v>
      </c>
      <c r="M1385" s="24" t="str">
        <f t="shared" ref="I1385:N1448" si="209">$E1385 &amp; M$17</f>
        <v>SPPR</v>
      </c>
      <c r="N1385" s="24" t="str">
        <f t="shared" si="209"/>
        <v>SPAM</v>
      </c>
      <c r="O1385" s="24">
        <f>VLOOKUP(H1385, KM!$A:$E, 5, 0)</f>
        <v>0</v>
      </c>
      <c r="P1385" s="24">
        <f>VLOOKUP(I1385, KM!$A:$E, 5, 0)</f>
        <v>586</v>
      </c>
      <c r="Q1385" s="24">
        <f>VLOOKUP(J1385, KM!$A:$E, 5, 0)</f>
        <v>882</v>
      </c>
      <c r="R1385" s="24">
        <f>VLOOKUP(K1385, KM!$A:$E, 5, 0)</f>
        <v>705</v>
      </c>
      <c r="S1385" s="24">
        <f>VLOOKUP(L1385, KM!$A:$E, 5, 0)</f>
        <v>429</v>
      </c>
      <c r="T1385" s="24">
        <f>VLOOKUP(M1385, KM!$A:$E, 5, 0)</f>
        <v>408</v>
      </c>
      <c r="U1385" s="24">
        <f>VLOOKUP(N1385, KM!$A:$E, 5, 0)</f>
        <v>3971</v>
      </c>
      <c r="V1385" s="24">
        <f>VLOOKUP(H1385, IMPOSTO!$A:$D, 4, 0)</f>
        <v>0.18</v>
      </c>
      <c r="W1385" s="24">
        <f>VLOOKUP(I1385, IMPOSTO!$A:$D, 4, 0)</f>
        <v>0.12</v>
      </c>
      <c r="X1385" s="24">
        <f>VLOOKUP(J1385, IMPOSTO!$A:$D, 4, 0)</f>
        <v>7.0000000000000007E-2</v>
      </c>
      <c r="Y1385" s="24">
        <f>VLOOKUP(K1385, IMPOSTO!$A:$D, 4, 0)</f>
        <v>0.12</v>
      </c>
      <c r="Z1385" s="24">
        <f>VLOOKUP(L1385, IMPOSTO!$A:$D, 4, 0)</f>
        <v>0.12</v>
      </c>
      <c r="AA1385" s="24">
        <f>VLOOKUP(M1385, IMPOSTO!$A:$D, 4, 0)</f>
        <v>0.12</v>
      </c>
      <c r="AB1385" s="24">
        <f>VLOOKUP(N1385, IMPOSTO!$A:$D, 4, 0)</f>
        <v>7.0000000000000007E-2</v>
      </c>
      <c r="AC1385" s="25">
        <f t="shared" si="202"/>
        <v>2069406.2417686086</v>
      </c>
      <c r="AD1385" s="25">
        <f t="shared" si="203"/>
        <v>1928376.9525571128</v>
      </c>
      <c r="AE1385" s="25">
        <f t="shared" si="204"/>
        <v>1824732.600269096</v>
      </c>
      <c r="AF1385" s="25">
        <f t="shared" si="205"/>
        <v>1928390.4752843855</v>
      </c>
      <c r="AG1385" s="25">
        <f t="shared" si="206"/>
        <v>1928359.1116480217</v>
      </c>
      <c r="AH1385" s="25">
        <f t="shared" si="207"/>
        <v>1928356.7252843855</v>
      </c>
      <c r="AI1385" s="25">
        <f t="shared" si="208"/>
        <v>1825064.7508067305</v>
      </c>
    </row>
    <row r="1386" spans="1:35" ht="15.75" customHeight="1">
      <c r="A1386" s="12" t="s">
        <v>607</v>
      </c>
      <c r="B1386" s="12" t="s">
        <v>608</v>
      </c>
      <c r="C1386" s="12" t="s">
        <v>609</v>
      </c>
      <c r="D1386" s="12" t="s">
        <v>33</v>
      </c>
      <c r="E1386" s="12" t="s">
        <v>23</v>
      </c>
      <c r="F1386" s="13">
        <v>561.6336414854535</v>
      </c>
      <c r="G1386" s="14">
        <v>1725.3385466433128</v>
      </c>
      <c r="H1386" s="24" t="str">
        <f t="shared" si="201"/>
        <v>SPSP</v>
      </c>
      <c r="I1386" s="24" t="str">
        <f t="shared" si="209"/>
        <v>SPMG</v>
      </c>
      <c r="J1386" s="24" t="str">
        <f t="shared" si="209"/>
        <v>SPES</v>
      </c>
      <c r="K1386" s="24" t="str">
        <f t="shared" si="209"/>
        <v>SPSC</v>
      </c>
      <c r="L1386" s="24" t="str">
        <f t="shared" si="209"/>
        <v>SPRJ</v>
      </c>
      <c r="M1386" s="24" t="str">
        <f t="shared" si="209"/>
        <v>SPPR</v>
      </c>
      <c r="N1386" s="24" t="str">
        <f t="shared" si="209"/>
        <v>SPAM</v>
      </c>
      <c r="O1386" s="24">
        <f>VLOOKUP(H1386, KM!$A:$E, 5, 0)</f>
        <v>0</v>
      </c>
      <c r="P1386" s="24">
        <f>VLOOKUP(I1386, KM!$A:$E, 5, 0)</f>
        <v>586</v>
      </c>
      <c r="Q1386" s="24">
        <f>VLOOKUP(J1386, KM!$A:$E, 5, 0)</f>
        <v>882</v>
      </c>
      <c r="R1386" s="24">
        <f>VLOOKUP(K1386, KM!$A:$E, 5, 0)</f>
        <v>705</v>
      </c>
      <c r="S1386" s="24">
        <f>VLOOKUP(L1386, KM!$A:$E, 5, 0)</f>
        <v>429</v>
      </c>
      <c r="T1386" s="24">
        <f>VLOOKUP(M1386, KM!$A:$E, 5, 0)</f>
        <v>408</v>
      </c>
      <c r="U1386" s="24">
        <f>VLOOKUP(N1386, KM!$A:$E, 5, 0)</f>
        <v>3971</v>
      </c>
      <c r="V1386" s="24">
        <f>VLOOKUP(H1386, IMPOSTO!$A:$D, 4, 0)</f>
        <v>0.18</v>
      </c>
      <c r="W1386" s="24">
        <f>VLOOKUP(I1386, IMPOSTO!$A:$D, 4, 0)</f>
        <v>0.12</v>
      </c>
      <c r="X1386" s="24">
        <f>VLOOKUP(J1386, IMPOSTO!$A:$D, 4, 0)</f>
        <v>7.0000000000000007E-2</v>
      </c>
      <c r="Y1386" s="24">
        <f>VLOOKUP(K1386, IMPOSTO!$A:$D, 4, 0)</f>
        <v>0.12</v>
      </c>
      <c r="Z1386" s="24">
        <f>VLOOKUP(L1386, IMPOSTO!$A:$D, 4, 0)</f>
        <v>0.12</v>
      </c>
      <c r="AA1386" s="24">
        <f>VLOOKUP(M1386, IMPOSTO!$A:$D, 4, 0)</f>
        <v>0.12</v>
      </c>
      <c r="AB1386" s="24">
        <f>VLOOKUP(N1386, IMPOSTO!$A:$D, 4, 0)</f>
        <v>7.0000000000000007E-2</v>
      </c>
      <c r="AC1386" s="25">
        <f t="shared" si="202"/>
        <v>2104.0713983455034</v>
      </c>
      <c r="AD1386" s="25">
        <f t="shared" si="203"/>
        <v>2027.2028939128554</v>
      </c>
      <c r="AE1386" s="25">
        <f t="shared" si="204"/>
        <v>1950.0414480035624</v>
      </c>
      <c r="AF1386" s="25">
        <f t="shared" si="205"/>
        <v>2040.7256211855827</v>
      </c>
      <c r="AG1386" s="25">
        <f t="shared" si="206"/>
        <v>2009.3619848219464</v>
      </c>
      <c r="AH1386" s="25">
        <f t="shared" si="207"/>
        <v>2006.9756211855827</v>
      </c>
      <c r="AI1386" s="25">
        <f t="shared" si="208"/>
        <v>2282.1919856379709</v>
      </c>
    </row>
    <row r="1387" spans="1:35" ht="15.75" customHeight="1">
      <c r="A1387" s="12" t="s">
        <v>263</v>
      </c>
      <c r="B1387" s="12" t="s">
        <v>264</v>
      </c>
      <c r="C1387" s="12" t="s">
        <v>265</v>
      </c>
      <c r="D1387" s="12" t="s">
        <v>50</v>
      </c>
      <c r="E1387" s="12" t="s">
        <v>23</v>
      </c>
      <c r="F1387" s="13">
        <v>0.37321062407170463</v>
      </c>
      <c r="G1387" s="14">
        <v>3.2913506118953153</v>
      </c>
      <c r="H1387" s="24" t="str">
        <f t="shared" si="201"/>
        <v>SPSP</v>
      </c>
      <c r="I1387" s="24" t="str">
        <f t="shared" si="209"/>
        <v>SPMG</v>
      </c>
      <c r="J1387" s="24" t="str">
        <f t="shared" si="209"/>
        <v>SPES</v>
      </c>
      <c r="K1387" s="24" t="str">
        <f t="shared" si="209"/>
        <v>SPSC</v>
      </c>
      <c r="L1387" s="24" t="str">
        <f t="shared" si="209"/>
        <v>SPRJ</v>
      </c>
      <c r="M1387" s="24" t="str">
        <f t="shared" si="209"/>
        <v>SPPR</v>
      </c>
      <c r="N1387" s="24" t="str">
        <f t="shared" si="209"/>
        <v>SPAM</v>
      </c>
      <c r="O1387" s="24">
        <f>VLOOKUP(H1387, KM!$A:$E, 5, 0)</f>
        <v>0</v>
      </c>
      <c r="P1387" s="24">
        <f>VLOOKUP(I1387, KM!$A:$E, 5, 0)</f>
        <v>586</v>
      </c>
      <c r="Q1387" s="24">
        <f>VLOOKUP(J1387, KM!$A:$E, 5, 0)</f>
        <v>882</v>
      </c>
      <c r="R1387" s="24">
        <f>VLOOKUP(K1387, KM!$A:$E, 5, 0)</f>
        <v>705</v>
      </c>
      <c r="S1387" s="24">
        <f>VLOOKUP(L1387, KM!$A:$E, 5, 0)</f>
        <v>429</v>
      </c>
      <c r="T1387" s="24">
        <f>VLOOKUP(M1387, KM!$A:$E, 5, 0)</f>
        <v>408</v>
      </c>
      <c r="U1387" s="24">
        <f>VLOOKUP(N1387, KM!$A:$E, 5, 0)</f>
        <v>3971</v>
      </c>
      <c r="V1387" s="24">
        <f>VLOOKUP(H1387, IMPOSTO!$A:$D, 4, 0)</f>
        <v>0.18</v>
      </c>
      <c r="W1387" s="24">
        <f>VLOOKUP(I1387, IMPOSTO!$A:$D, 4, 0)</f>
        <v>0.12</v>
      </c>
      <c r="X1387" s="24">
        <f>VLOOKUP(J1387, IMPOSTO!$A:$D, 4, 0)</f>
        <v>7.0000000000000007E-2</v>
      </c>
      <c r="Y1387" s="24">
        <f>VLOOKUP(K1387, IMPOSTO!$A:$D, 4, 0)</f>
        <v>0.12</v>
      </c>
      <c r="Z1387" s="24">
        <f>VLOOKUP(L1387, IMPOSTO!$A:$D, 4, 0)</f>
        <v>0.12</v>
      </c>
      <c r="AA1387" s="24">
        <f>VLOOKUP(M1387, IMPOSTO!$A:$D, 4, 0)</f>
        <v>0.12</v>
      </c>
      <c r="AB1387" s="24">
        <f>VLOOKUP(N1387, IMPOSTO!$A:$D, 4, 0)</f>
        <v>7.0000000000000007E-2</v>
      </c>
      <c r="AC1387" s="25">
        <f t="shared" si="202"/>
        <v>4.0138422096284332</v>
      </c>
      <c r="AD1387" s="25">
        <f t="shared" si="203"/>
        <v>70.331080240790129</v>
      </c>
      <c r="AE1387" s="25">
        <f t="shared" si="204"/>
        <v>98.377796356876686</v>
      </c>
      <c r="AF1387" s="25">
        <f t="shared" si="205"/>
        <v>83.853807513517395</v>
      </c>
      <c r="AG1387" s="25">
        <f t="shared" si="206"/>
        <v>52.49017114988105</v>
      </c>
      <c r="AH1387" s="25">
        <f t="shared" si="207"/>
        <v>50.10380751351741</v>
      </c>
      <c r="AI1387" s="25">
        <f t="shared" si="208"/>
        <v>430.52833399128536</v>
      </c>
    </row>
    <row r="1388" spans="1:35" ht="15.75" customHeight="1">
      <c r="A1388" s="12" t="s">
        <v>263</v>
      </c>
      <c r="B1388" s="12" t="s">
        <v>264</v>
      </c>
      <c r="C1388" s="12" t="s">
        <v>265</v>
      </c>
      <c r="D1388" s="12" t="s">
        <v>50</v>
      </c>
      <c r="E1388" s="12" t="s">
        <v>23</v>
      </c>
      <c r="F1388" s="13">
        <v>4.9741022519720639</v>
      </c>
      <c r="G1388" s="14">
        <v>35.973506931970363</v>
      </c>
      <c r="H1388" s="24" t="str">
        <f t="shared" si="201"/>
        <v>SPSP</v>
      </c>
      <c r="I1388" s="24" t="str">
        <f t="shared" si="209"/>
        <v>SPMG</v>
      </c>
      <c r="J1388" s="24" t="str">
        <f t="shared" si="209"/>
        <v>SPES</v>
      </c>
      <c r="K1388" s="24" t="str">
        <f t="shared" si="209"/>
        <v>SPSC</v>
      </c>
      <c r="L1388" s="24" t="str">
        <f t="shared" si="209"/>
        <v>SPRJ</v>
      </c>
      <c r="M1388" s="24" t="str">
        <f t="shared" si="209"/>
        <v>SPPR</v>
      </c>
      <c r="N1388" s="24" t="str">
        <f t="shared" si="209"/>
        <v>SPAM</v>
      </c>
      <c r="O1388" s="24">
        <f>VLOOKUP(H1388, KM!$A:$E, 5, 0)</f>
        <v>0</v>
      </c>
      <c r="P1388" s="24">
        <f>VLOOKUP(I1388, KM!$A:$E, 5, 0)</f>
        <v>586</v>
      </c>
      <c r="Q1388" s="24">
        <f>VLOOKUP(J1388, KM!$A:$E, 5, 0)</f>
        <v>882</v>
      </c>
      <c r="R1388" s="24">
        <f>VLOOKUP(K1388, KM!$A:$E, 5, 0)</f>
        <v>705</v>
      </c>
      <c r="S1388" s="24">
        <f>VLOOKUP(L1388, KM!$A:$E, 5, 0)</f>
        <v>429</v>
      </c>
      <c r="T1388" s="24">
        <f>VLOOKUP(M1388, KM!$A:$E, 5, 0)</f>
        <v>408</v>
      </c>
      <c r="U1388" s="24">
        <f>VLOOKUP(N1388, KM!$A:$E, 5, 0)</f>
        <v>3971</v>
      </c>
      <c r="V1388" s="24">
        <f>VLOOKUP(H1388, IMPOSTO!$A:$D, 4, 0)</f>
        <v>0.18</v>
      </c>
      <c r="W1388" s="24">
        <f>VLOOKUP(I1388, IMPOSTO!$A:$D, 4, 0)</f>
        <v>0.12</v>
      </c>
      <c r="X1388" s="24">
        <f>VLOOKUP(J1388, IMPOSTO!$A:$D, 4, 0)</f>
        <v>7.0000000000000007E-2</v>
      </c>
      <c r="Y1388" s="24">
        <f>VLOOKUP(K1388, IMPOSTO!$A:$D, 4, 0)</f>
        <v>0.12</v>
      </c>
      <c r="Z1388" s="24">
        <f>VLOOKUP(L1388, IMPOSTO!$A:$D, 4, 0)</f>
        <v>0.12</v>
      </c>
      <c r="AA1388" s="24">
        <f>VLOOKUP(M1388, IMPOSTO!$A:$D, 4, 0)</f>
        <v>0.12</v>
      </c>
      <c r="AB1388" s="24">
        <f>VLOOKUP(N1388, IMPOSTO!$A:$D, 4, 0)</f>
        <v>7.0000000000000007E-2</v>
      </c>
      <c r="AC1388" s="25">
        <f t="shared" si="202"/>
        <v>43.870130404841902</v>
      </c>
      <c r="AD1388" s="25">
        <f t="shared" si="203"/>
        <v>107.46989424087542</v>
      </c>
      <c r="AE1388" s="25">
        <f t="shared" si="204"/>
        <v>133.51989992684986</v>
      </c>
      <c r="AF1388" s="25">
        <f t="shared" si="205"/>
        <v>120.99262151360269</v>
      </c>
      <c r="AG1388" s="25">
        <f t="shared" si="206"/>
        <v>89.628985149966326</v>
      </c>
      <c r="AH1388" s="25">
        <f t="shared" si="207"/>
        <v>87.242621513602685</v>
      </c>
      <c r="AI1388" s="25">
        <f t="shared" si="208"/>
        <v>465.6704375612585</v>
      </c>
    </row>
    <row r="1389" spans="1:35" ht="15.75" customHeight="1">
      <c r="A1389" s="12" t="s">
        <v>266</v>
      </c>
      <c r="B1389" s="12" t="s">
        <v>267</v>
      </c>
      <c r="C1389" s="12" t="s">
        <v>169</v>
      </c>
      <c r="D1389" s="12" t="s">
        <v>33</v>
      </c>
      <c r="E1389" s="12" t="s">
        <v>23</v>
      </c>
      <c r="F1389" s="13">
        <v>15.190895423942457</v>
      </c>
      <c r="G1389" s="14">
        <v>26.858407515623121</v>
      </c>
      <c r="H1389" s="24" t="str">
        <f t="shared" si="201"/>
        <v>SPSP</v>
      </c>
      <c r="I1389" s="24" t="str">
        <f t="shared" si="209"/>
        <v>SPMG</v>
      </c>
      <c r="J1389" s="24" t="str">
        <f t="shared" si="209"/>
        <v>SPES</v>
      </c>
      <c r="K1389" s="24" t="str">
        <f t="shared" si="209"/>
        <v>SPSC</v>
      </c>
      <c r="L1389" s="24" t="str">
        <f t="shared" si="209"/>
        <v>SPRJ</v>
      </c>
      <c r="M1389" s="24" t="str">
        <f t="shared" si="209"/>
        <v>SPPR</v>
      </c>
      <c r="N1389" s="24" t="str">
        <f t="shared" si="209"/>
        <v>SPAM</v>
      </c>
      <c r="O1389" s="24">
        <f>VLOOKUP(H1389, KM!$A:$E, 5, 0)</f>
        <v>0</v>
      </c>
      <c r="P1389" s="24">
        <f>VLOOKUP(I1389, KM!$A:$E, 5, 0)</f>
        <v>586</v>
      </c>
      <c r="Q1389" s="24">
        <f>VLOOKUP(J1389, KM!$A:$E, 5, 0)</f>
        <v>882</v>
      </c>
      <c r="R1389" s="24">
        <f>VLOOKUP(K1389, KM!$A:$E, 5, 0)</f>
        <v>705</v>
      </c>
      <c r="S1389" s="24">
        <f>VLOOKUP(L1389, KM!$A:$E, 5, 0)</f>
        <v>429</v>
      </c>
      <c r="T1389" s="24">
        <f>VLOOKUP(M1389, KM!$A:$E, 5, 0)</f>
        <v>408</v>
      </c>
      <c r="U1389" s="24">
        <f>VLOOKUP(N1389, KM!$A:$E, 5, 0)</f>
        <v>3971</v>
      </c>
      <c r="V1389" s="24">
        <f>VLOOKUP(H1389, IMPOSTO!$A:$D, 4, 0)</f>
        <v>0.18</v>
      </c>
      <c r="W1389" s="24">
        <f>VLOOKUP(I1389, IMPOSTO!$A:$D, 4, 0)</f>
        <v>0.12</v>
      </c>
      <c r="X1389" s="24">
        <f>VLOOKUP(J1389, IMPOSTO!$A:$D, 4, 0)</f>
        <v>7.0000000000000007E-2</v>
      </c>
      <c r="Y1389" s="24">
        <f>VLOOKUP(K1389, IMPOSTO!$A:$D, 4, 0)</f>
        <v>0.12</v>
      </c>
      <c r="Z1389" s="24">
        <f>VLOOKUP(L1389, IMPOSTO!$A:$D, 4, 0)</f>
        <v>0.12</v>
      </c>
      <c r="AA1389" s="24">
        <f>VLOOKUP(M1389, IMPOSTO!$A:$D, 4, 0)</f>
        <v>0.12</v>
      </c>
      <c r="AB1389" s="24">
        <f>VLOOKUP(N1389, IMPOSTO!$A:$D, 4, 0)</f>
        <v>7.0000000000000007E-2</v>
      </c>
      <c r="AC1389" s="25">
        <f t="shared" si="202"/>
        <v>32.754155506857465</v>
      </c>
      <c r="AD1389" s="25">
        <f t="shared" si="203"/>
        <v>97.111826722299</v>
      </c>
      <c r="AE1389" s="25">
        <f t="shared" si="204"/>
        <v>123.71871775873454</v>
      </c>
      <c r="AF1389" s="25">
        <f t="shared" si="205"/>
        <v>110.63455399502628</v>
      </c>
      <c r="AG1389" s="25">
        <f t="shared" si="206"/>
        <v>79.270917631389921</v>
      </c>
      <c r="AH1389" s="25">
        <f t="shared" si="207"/>
        <v>76.88455399502628</v>
      </c>
      <c r="AI1389" s="25">
        <f t="shared" si="208"/>
        <v>455.86925539314319</v>
      </c>
    </row>
    <row r="1390" spans="1:35" ht="15.75" customHeight="1">
      <c r="A1390" s="12" t="s">
        <v>941</v>
      </c>
      <c r="B1390" s="12" t="s">
        <v>942</v>
      </c>
      <c r="C1390" s="12" t="s">
        <v>936</v>
      </c>
      <c r="D1390" s="12" t="s">
        <v>50</v>
      </c>
      <c r="E1390" s="12" t="s">
        <v>23</v>
      </c>
      <c r="F1390" s="13">
        <v>24.256952374699249</v>
      </c>
      <c r="G1390" s="14">
        <v>563.30245306239215</v>
      </c>
      <c r="H1390" s="24" t="str">
        <f t="shared" si="201"/>
        <v>SPSP</v>
      </c>
      <c r="I1390" s="24" t="str">
        <f t="shared" si="209"/>
        <v>SPMG</v>
      </c>
      <c r="J1390" s="24" t="str">
        <f t="shared" si="209"/>
        <v>SPES</v>
      </c>
      <c r="K1390" s="24" t="str">
        <f t="shared" si="209"/>
        <v>SPSC</v>
      </c>
      <c r="L1390" s="24" t="str">
        <f t="shared" si="209"/>
        <v>SPRJ</v>
      </c>
      <c r="M1390" s="24" t="str">
        <f t="shared" si="209"/>
        <v>SPPR</v>
      </c>
      <c r="N1390" s="24" t="str">
        <f t="shared" si="209"/>
        <v>SPAM</v>
      </c>
      <c r="O1390" s="24">
        <f>VLOOKUP(H1390, KM!$A:$E, 5, 0)</f>
        <v>0</v>
      </c>
      <c r="P1390" s="24">
        <f>VLOOKUP(I1390, KM!$A:$E, 5, 0)</f>
        <v>586</v>
      </c>
      <c r="Q1390" s="24">
        <f>VLOOKUP(J1390, KM!$A:$E, 5, 0)</f>
        <v>882</v>
      </c>
      <c r="R1390" s="24">
        <f>VLOOKUP(K1390, KM!$A:$E, 5, 0)</f>
        <v>705</v>
      </c>
      <c r="S1390" s="24">
        <f>VLOOKUP(L1390, KM!$A:$E, 5, 0)</f>
        <v>429</v>
      </c>
      <c r="T1390" s="24">
        <f>VLOOKUP(M1390, KM!$A:$E, 5, 0)</f>
        <v>408</v>
      </c>
      <c r="U1390" s="24">
        <f>VLOOKUP(N1390, KM!$A:$E, 5, 0)</f>
        <v>3971</v>
      </c>
      <c r="V1390" s="24">
        <f>VLOOKUP(H1390, IMPOSTO!$A:$D, 4, 0)</f>
        <v>0.18</v>
      </c>
      <c r="W1390" s="24">
        <f>VLOOKUP(I1390, IMPOSTO!$A:$D, 4, 0)</f>
        <v>0.12</v>
      </c>
      <c r="X1390" s="24">
        <f>VLOOKUP(J1390, IMPOSTO!$A:$D, 4, 0)</f>
        <v>7.0000000000000007E-2</v>
      </c>
      <c r="Y1390" s="24">
        <f>VLOOKUP(K1390, IMPOSTO!$A:$D, 4, 0)</f>
        <v>0.12</v>
      </c>
      <c r="Z1390" s="24">
        <f>VLOOKUP(L1390, IMPOSTO!$A:$D, 4, 0)</f>
        <v>0.12</v>
      </c>
      <c r="AA1390" s="24">
        <f>VLOOKUP(M1390, IMPOSTO!$A:$D, 4, 0)</f>
        <v>0.12</v>
      </c>
      <c r="AB1390" s="24">
        <f>VLOOKUP(N1390, IMPOSTO!$A:$D, 4, 0)</f>
        <v>7.0000000000000007E-2</v>
      </c>
      <c r="AC1390" s="25">
        <f t="shared" si="202"/>
        <v>686.95421105169771</v>
      </c>
      <c r="AD1390" s="25">
        <f t="shared" si="203"/>
        <v>706.70733302544568</v>
      </c>
      <c r="AE1390" s="25">
        <f t="shared" si="204"/>
        <v>700.54027211009918</v>
      </c>
      <c r="AF1390" s="25">
        <f t="shared" si="205"/>
        <v>720.23006029817293</v>
      </c>
      <c r="AG1390" s="25">
        <f t="shared" si="206"/>
        <v>688.86642393453656</v>
      </c>
      <c r="AH1390" s="25">
        <f t="shared" si="207"/>
        <v>686.48006029817282</v>
      </c>
      <c r="AI1390" s="25">
        <f t="shared" si="208"/>
        <v>1032.6908097445078</v>
      </c>
    </row>
    <row r="1391" spans="1:35" ht="15.75" customHeight="1">
      <c r="A1391" s="12" t="s">
        <v>943</v>
      </c>
      <c r="B1391" s="12" t="s">
        <v>944</v>
      </c>
      <c r="C1391" s="12" t="s">
        <v>936</v>
      </c>
      <c r="D1391" s="12" t="s">
        <v>50</v>
      </c>
      <c r="E1391" s="12" t="s">
        <v>23</v>
      </c>
      <c r="F1391" s="13">
        <v>6.6463848838708</v>
      </c>
      <c r="G1391" s="14">
        <v>190.00527594784467</v>
      </c>
      <c r="H1391" s="24" t="str">
        <f t="shared" si="201"/>
        <v>SPSP</v>
      </c>
      <c r="I1391" s="24" t="str">
        <f t="shared" si="209"/>
        <v>SPMG</v>
      </c>
      <c r="J1391" s="24" t="str">
        <f t="shared" si="209"/>
        <v>SPES</v>
      </c>
      <c r="K1391" s="24" t="str">
        <f t="shared" si="209"/>
        <v>SPSC</v>
      </c>
      <c r="L1391" s="24" t="str">
        <f t="shared" si="209"/>
        <v>SPRJ</v>
      </c>
      <c r="M1391" s="24" t="str">
        <f t="shared" si="209"/>
        <v>SPPR</v>
      </c>
      <c r="N1391" s="24" t="str">
        <f t="shared" si="209"/>
        <v>SPAM</v>
      </c>
      <c r="O1391" s="24">
        <f>VLOOKUP(H1391, KM!$A:$E, 5, 0)</f>
        <v>0</v>
      </c>
      <c r="P1391" s="24">
        <f>VLOOKUP(I1391, KM!$A:$E, 5, 0)</f>
        <v>586</v>
      </c>
      <c r="Q1391" s="24">
        <f>VLOOKUP(J1391, KM!$A:$E, 5, 0)</f>
        <v>882</v>
      </c>
      <c r="R1391" s="24">
        <f>VLOOKUP(K1391, KM!$A:$E, 5, 0)</f>
        <v>705</v>
      </c>
      <c r="S1391" s="24">
        <f>VLOOKUP(L1391, KM!$A:$E, 5, 0)</f>
        <v>429</v>
      </c>
      <c r="T1391" s="24">
        <f>VLOOKUP(M1391, KM!$A:$E, 5, 0)</f>
        <v>408</v>
      </c>
      <c r="U1391" s="24">
        <f>VLOOKUP(N1391, KM!$A:$E, 5, 0)</f>
        <v>3971</v>
      </c>
      <c r="V1391" s="24">
        <f>VLOOKUP(H1391, IMPOSTO!$A:$D, 4, 0)</f>
        <v>0.18</v>
      </c>
      <c r="W1391" s="24">
        <f>VLOOKUP(I1391, IMPOSTO!$A:$D, 4, 0)</f>
        <v>0.12</v>
      </c>
      <c r="X1391" s="24">
        <f>VLOOKUP(J1391, IMPOSTO!$A:$D, 4, 0)</f>
        <v>7.0000000000000007E-2</v>
      </c>
      <c r="Y1391" s="24">
        <f>VLOOKUP(K1391, IMPOSTO!$A:$D, 4, 0)</f>
        <v>0.12</v>
      </c>
      <c r="Z1391" s="24">
        <f>VLOOKUP(L1391, IMPOSTO!$A:$D, 4, 0)</f>
        <v>0.12</v>
      </c>
      <c r="AA1391" s="24">
        <f>VLOOKUP(M1391, IMPOSTO!$A:$D, 4, 0)</f>
        <v>0.12</v>
      </c>
      <c r="AB1391" s="24">
        <f>VLOOKUP(N1391, IMPOSTO!$A:$D, 4, 0)</f>
        <v>7.0000000000000007E-2</v>
      </c>
      <c r="AC1391" s="25">
        <f t="shared" si="202"/>
        <v>231.71375115590811</v>
      </c>
      <c r="AD1391" s="25">
        <f t="shared" si="203"/>
        <v>282.50599539527803</v>
      </c>
      <c r="AE1391" s="25">
        <f t="shared" si="204"/>
        <v>299.14545800843513</v>
      </c>
      <c r="AF1391" s="25">
        <f t="shared" si="205"/>
        <v>296.02872266800529</v>
      </c>
      <c r="AG1391" s="25">
        <f t="shared" si="206"/>
        <v>264.66508630436897</v>
      </c>
      <c r="AH1391" s="25">
        <f t="shared" si="207"/>
        <v>262.27872266800529</v>
      </c>
      <c r="AI1391" s="25">
        <f t="shared" si="208"/>
        <v>631.29599564284376</v>
      </c>
    </row>
    <row r="1392" spans="1:35" ht="15.75" customHeight="1">
      <c r="A1392" s="12" t="s">
        <v>945</v>
      </c>
      <c r="B1392" s="12" t="s">
        <v>946</v>
      </c>
      <c r="C1392" s="12" t="s">
        <v>936</v>
      </c>
      <c r="D1392" s="12" t="s">
        <v>50</v>
      </c>
      <c r="E1392" s="12" t="s">
        <v>23</v>
      </c>
      <c r="F1392" s="13">
        <v>7.9777040000000007E-2</v>
      </c>
      <c r="G1392" s="14">
        <v>2.0078880000000003</v>
      </c>
      <c r="H1392" s="24" t="str">
        <f t="shared" si="201"/>
        <v>SPSP</v>
      </c>
      <c r="I1392" s="24" t="str">
        <f t="shared" si="209"/>
        <v>SPMG</v>
      </c>
      <c r="J1392" s="24" t="str">
        <f t="shared" si="209"/>
        <v>SPES</v>
      </c>
      <c r="K1392" s="24" t="str">
        <f t="shared" si="209"/>
        <v>SPSC</v>
      </c>
      <c r="L1392" s="24" t="str">
        <f t="shared" si="209"/>
        <v>SPRJ</v>
      </c>
      <c r="M1392" s="24" t="str">
        <f t="shared" si="209"/>
        <v>SPPR</v>
      </c>
      <c r="N1392" s="24" t="str">
        <f t="shared" si="209"/>
        <v>SPAM</v>
      </c>
      <c r="O1392" s="24">
        <f>VLOOKUP(H1392, KM!$A:$E, 5, 0)</f>
        <v>0</v>
      </c>
      <c r="P1392" s="24">
        <f>VLOOKUP(I1392, KM!$A:$E, 5, 0)</f>
        <v>586</v>
      </c>
      <c r="Q1392" s="24">
        <f>VLOOKUP(J1392, KM!$A:$E, 5, 0)</f>
        <v>882</v>
      </c>
      <c r="R1392" s="24">
        <f>VLOOKUP(K1392, KM!$A:$E, 5, 0)</f>
        <v>705</v>
      </c>
      <c r="S1392" s="24">
        <f>VLOOKUP(L1392, KM!$A:$E, 5, 0)</f>
        <v>429</v>
      </c>
      <c r="T1392" s="24">
        <f>VLOOKUP(M1392, KM!$A:$E, 5, 0)</f>
        <v>408</v>
      </c>
      <c r="U1392" s="24">
        <f>VLOOKUP(N1392, KM!$A:$E, 5, 0)</f>
        <v>3971</v>
      </c>
      <c r="V1392" s="24">
        <f>VLOOKUP(H1392, IMPOSTO!$A:$D, 4, 0)</f>
        <v>0.18</v>
      </c>
      <c r="W1392" s="24">
        <f>VLOOKUP(I1392, IMPOSTO!$A:$D, 4, 0)</f>
        <v>0.12</v>
      </c>
      <c r="X1392" s="24">
        <f>VLOOKUP(J1392, IMPOSTO!$A:$D, 4, 0)</f>
        <v>7.0000000000000007E-2</v>
      </c>
      <c r="Y1392" s="24">
        <f>VLOOKUP(K1392, IMPOSTO!$A:$D, 4, 0)</f>
        <v>0.12</v>
      </c>
      <c r="Z1392" s="24">
        <f>VLOOKUP(L1392, IMPOSTO!$A:$D, 4, 0)</f>
        <v>0.12</v>
      </c>
      <c r="AA1392" s="24">
        <f>VLOOKUP(M1392, IMPOSTO!$A:$D, 4, 0)</f>
        <v>0.12</v>
      </c>
      <c r="AB1392" s="24">
        <f>VLOOKUP(N1392, IMPOSTO!$A:$D, 4, 0)</f>
        <v>7.0000000000000007E-2</v>
      </c>
      <c r="AC1392" s="25">
        <f t="shared" si="202"/>
        <v>2.4486439024390245</v>
      </c>
      <c r="AD1392" s="25">
        <f t="shared" si="203"/>
        <v>68.872600000000006</v>
      </c>
      <c r="AE1392" s="25">
        <f t="shared" si="204"/>
        <v>96.997729032258064</v>
      </c>
      <c r="AF1392" s="25">
        <f t="shared" si="205"/>
        <v>82.395327272727272</v>
      </c>
      <c r="AG1392" s="25">
        <f t="shared" si="206"/>
        <v>51.031690909090919</v>
      </c>
      <c r="AH1392" s="25">
        <f t="shared" si="207"/>
        <v>48.645327272727279</v>
      </c>
      <c r="AI1392" s="25">
        <f t="shared" si="208"/>
        <v>429.1482666666667</v>
      </c>
    </row>
    <row r="1393" spans="1:35" ht="15.75" customHeight="1">
      <c r="A1393" s="12" t="s">
        <v>851</v>
      </c>
      <c r="B1393" s="12" t="s">
        <v>852</v>
      </c>
      <c r="C1393" s="12" t="s">
        <v>169</v>
      </c>
      <c r="D1393" s="12" t="s">
        <v>33</v>
      </c>
      <c r="E1393" s="12" t="s">
        <v>23</v>
      </c>
      <c r="F1393" s="13">
        <v>29.358699999999999</v>
      </c>
      <c r="G1393" s="14">
        <v>16.415173422816085</v>
      </c>
      <c r="H1393" s="24" t="str">
        <f t="shared" si="201"/>
        <v>SPSP</v>
      </c>
      <c r="I1393" s="24" t="str">
        <f t="shared" si="209"/>
        <v>SPMG</v>
      </c>
      <c r="J1393" s="24" t="str">
        <f t="shared" si="209"/>
        <v>SPES</v>
      </c>
      <c r="K1393" s="24" t="str">
        <f t="shared" si="209"/>
        <v>SPSC</v>
      </c>
      <c r="L1393" s="24" t="str">
        <f t="shared" si="209"/>
        <v>SPRJ</v>
      </c>
      <c r="M1393" s="24" t="str">
        <f t="shared" si="209"/>
        <v>SPPR</v>
      </c>
      <c r="N1393" s="24" t="str">
        <f t="shared" si="209"/>
        <v>SPAM</v>
      </c>
      <c r="O1393" s="24">
        <f>VLOOKUP(H1393, KM!$A:$E, 5, 0)</f>
        <v>0</v>
      </c>
      <c r="P1393" s="24">
        <f>VLOOKUP(I1393, KM!$A:$E, 5, 0)</f>
        <v>586</v>
      </c>
      <c r="Q1393" s="24">
        <f>VLOOKUP(J1393, KM!$A:$E, 5, 0)</f>
        <v>882</v>
      </c>
      <c r="R1393" s="24">
        <f>VLOOKUP(K1393, KM!$A:$E, 5, 0)</f>
        <v>705</v>
      </c>
      <c r="S1393" s="24">
        <f>VLOOKUP(L1393, KM!$A:$E, 5, 0)</f>
        <v>429</v>
      </c>
      <c r="T1393" s="24">
        <f>VLOOKUP(M1393, KM!$A:$E, 5, 0)</f>
        <v>408</v>
      </c>
      <c r="U1393" s="24">
        <f>VLOOKUP(N1393, KM!$A:$E, 5, 0)</f>
        <v>3971</v>
      </c>
      <c r="V1393" s="24">
        <f>VLOOKUP(H1393, IMPOSTO!$A:$D, 4, 0)</f>
        <v>0.18</v>
      </c>
      <c r="W1393" s="24">
        <f>VLOOKUP(I1393, IMPOSTO!$A:$D, 4, 0)</f>
        <v>0.12</v>
      </c>
      <c r="X1393" s="24">
        <f>VLOOKUP(J1393, IMPOSTO!$A:$D, 4, 0)</f>
        <v>7.0000000000000007E-2</v>
      </c>
      <c r="Y1393" s="24">
        <f>VLOOKUP(K1393, IMPOSTO!$A:$D, 4, 0)</f>
        <v>0.12</v>
      </c>
      <c r="Z1393" s="24">
        <f>VLOOKUP(L1393, IMPOSTO!$A:$D, 4, 0)</f>
        <v>0.12</v>
      </c>
      <c r="AA1393" s="24">
        <f>VLOOKUP(M1393, IMPOSTO!$A:$D, 4, 0)</f>
        <v>0.12</v>
      </c>
      <c r="AB1393" s="24">
        <f>VLOOKUP(N1393, IMPOSTO!$A:$D, 4, 0)</f>
        <v>7.0000000000000007E-2</v>
      </c>
      <c r="AC1393" s="25">
        <f t="shared" si="202"/>
        <v>20.018504174165955</v>
      </c>
      <c r="AD1393" s="25">
        <f t="shared" si="203"/>
        <v>85.244515253200106</v>
      </c>
      <c r="AE1393" s="25">
        <f t="shared" si="204"/>
        <v>112.48943378797429</v>
      </c>
      <c r="AF1393" s="25">
        <f t="shared" si="205"/>
        <v>98.767242525927372</v>
      </c>
      <c r="AG1393" s="25">
        <f t="shared" si="206"/>
        <v>67.403606162291013</v>
      </c>
      <c r="AH1393" s="25">
        <f t="shared" si="207"/>
        <v>65.017242525927372</v>
      </c>
      <c r="AI1393" s="25">
        <f t="shared" si="208"/>
        <v>444.63997142238298</v>
      </c>
    </row>
    <row r="1394" spans="1:35" ht="15.75" customHeight="1">
      <c r="A1394" s="12" t="s">
        <v>294</v>
      </c>
      <c r="B1394" s="12" t="s">
        <v>295</v>
      </c>
      <c r="C1394" s="12" t="s">
        <v>296</v>
      </c>
      <c r="D1394" s="12" t="s">
        <v>33</v>
      </c>
      <c r="E1394" s="12" t="s">
        <v>23</v>
      </c>
      <c r="F1394" s="13">
        <v>0</v>
      </c>
      <c r="G1394" s="14">
        <v>0</v>
      </c>
      <c r="H1394" s="24" t="str">
        <f t="shared" si="201"/>
        <v>SPSP</v>
      </c>
      <c r="I1394" s="24" t="str">
        <f t="shared" si="209"/>
        <v>SPMG</v>
      </c>
      <c r="J1394" s="24" t="str">
        <f t="shared" si="209"/>
        <v>SPES</v>
      </c>
      <c r="K1394" s="24" t="str">
        <f t="shared" si="209"/>
        <v>SPSC</v>
      </c>
      <c r="L1394" s="24" t="str">
        <f t="shared" si="209"/>
        <v>SPRJ</v>
      </c>
      <c r="M1394" s="24" t="str">
        <f t="shared" si="209"/>
        <v>SPPR</v>
      </c>
      <c r="N1394" s="24" t="str">
        <f t="shared" si="209"/>
        <v>SPAM</v>
      </c>
      <c r="O1394" s="24">
        <f>VLOOKUP(H1394, KM!$A:$E, 5, 0)</f>
        <v>0</v>
      </c>
      <c r="P1394" s="24">
        <f>VLOOKUP(I1394, KM!$A:$E, 5, 0)</f>
        <v>586</v>
      </c>
      <c r="Q1394" s="24">
        <f>VLOOKUP(J1394, KM!$A:$E, 5, 0)</f>
        <v>882</v>
      </c>
      <c r="R1394" s="24">
        <f>VLOOKUP(K1394, KM!$A:$E, 5, 0)</f>
        <v>705</v>
      </c>
      <c r="S1394" s="24">
        <f>VLOOKUP(L1394, KM!$A:$E, 5, 0)</f>
        <v>429</v>
      </c>
      <c r="T1394" s="24">
        <f>VLOOKUP(M1394, KM!$A:$E, 5, 0)</f>
        <v>408</v>
      </c>
      <c r="U1394" s="24">
        <f>VLOOKUP(N1394, KM!$A:$E, 5, 0)</f>
        <v>3971</v>
      </c>
      <c r="V1394" s="24">
        <f>VLOOKUP(H1394, IMPOSTO!$A:$D, 4, 0)</f>
        <v>0.18</v>
      </c>
      <c r="W1394" s="24">
        <f>VLOOKUP(I1394, IMPOSTO!$A:$D, 4, 0)</f>
        <v>0.12</v>
      </c>
      <c r="X1394" s="24">
        <f>VLOOKUP(J1394, IMPOSTO!$A:$D, 4, 0)</f>
        <v>7.0000000000000007E-2</v>
      </c>
      <c r="Y1394" s="24">
        <f>VLOOKUP(K1394, IMPOSTO!$A:$D, 4, 0)</f>
        <v>0.12</v>
      </c>
      <c r="Z1394" s="24">
        <f>VLOOKUP(L1394, IMPOSTO!$A:$D, 4, 0)</f>
        <v>0.12</v>
      </c>
      <c r="AA1394" s="24">
        <f>VLOOKUP(M1394, IMPOSTO!$A:$D, 4, 0)</f>
        <v>0.12</v>
      </c>
      <c r="AB1394" s="24">
        <f>VLOOKUP(N1394, IMPOSTO!$A:$D, 4, 0)</f>
        <v>7.0000000000000007E-2</v>
      </c>
      <c r="AC1394" s="25">
        <f t="shared" si="202"/>
        <v>0</v>
      </c>
      <c r="AD1394" s="25">
        <f t="shared" si="203"/>
        <v>66.590909090909093</v>
      </c>
      <c r="AE1394" s="25">
        <f t="shared" si="204"/>
        <v>94.838709677419359</v>
      </c>
      <c r="AF1394" s="25">
        <f t="shared" si="205"/>
        <v>80.11363636363636</v>
      </c>
      <c r="AG1394" s="25">
        <f t="shared" si="206"/>
        <v>48.750000000000007</v>
      </c>
      <c r="AH1394" s="25">
        <f t="shared" si="207"/>
        <v>46.363636363636367</v>
      </c>
      <c r="AI1394" s="25">
        <f t="shared" si="208"/>
        <v>426.98924731182802</v>
      </c>
    </row>
    <row r="1395" spans="1:35" ht="15.75" customHeight="1">
      <c r="A1395" s="12" t="s">
        <v>607</v>
      </c>
      <c r="B1395" s="12" t="s">
        <v>608</v>
      </c>
      <c r="C1395" s="12" t="s">
        <v>609</v>
      </c>
      <c r="D1395" s="12" t="s">
        <v>33</v>
      </c>
      <c r="E1395" s="12" t="s">
        <v>23</v>
      </c>
      <c r="F1395" s="13">
        <v>0</v>
      </c>
      <c r="G1395" s="14">
        <v>0</v>
      </c>
      <c r="H1395" s="24" t="str">
        <f t="shared" si="201"/>
        <v>SPSP</v>
      </c>
      <c r="I1395" s="24" t="str">
        <f t="shared" si="209"/>
        <v>SPMG</v>
      </c>
      <c r="J1395" s="24" t="str">
        <f t="shared" si="209"/>
        <v>SPES</v>
      </c>
      <c r="K1395" s="24" t="str">
        <f t="shared" si="209"/>
        <v>SPSC</v>
      </c>
      <c r="L1395" s="24" t="str">
        <f t="shared" si="209"/>
        <v>SPRJ</v>
      </c>
      <c r="M1395" s="24" t="str">
        <f t="shared" si="209"/>
        <v>SPPR</v>
      </c>
      <c r="N1395" s="24" t="str">
        <f t="shared" si="209"/>
        <v>SPAM</v>
      </c>
      <c r="O1395" s="24">
        <f>VLOOKUP(H1395, KM!$A:$E, 5, 0)</f>
        <v>0</v>
      </c>
      <c r="P1395" s="24">
        <f>VLOOKUP(I1395, KM!$A:$E, 5, 0)</f>
        <v>586</v>
      </c>
      <c r="Q1395" s="24">
        <f>VLOOKUP(J1395, KM!$A:$E, 5, 0)</f>
        <v>882</v>
      </c>
      <c r="R1395" s="24">
        <f>VLOOKUP(K1395, KM!$A:$E, 5, 0)</f>
        <v>705</v>
      </c>
      <c r="S1395" s="24">
        <f>VLOOKUP(L1395, KM!$A:$E, 5, 0)</f>
        <v>429</v>
      </c>
      <c r="T1395" s="24">
        <f>VLOOKUP(M1395, KM!$A:$E, 5, 0)</f>
        <v>408</v>
      </c>
      <c r="U1395" s="24">
        <f>VLOOKUP(N1395, KM!$A:$E, 5, 0)</f>
        <v>3971</v>
      </c>
      <c r="V1395" s="24">
        <f>VLOOKUP(H1395, IMPOSTO!$A:$D, 4, 0)</f>
        <v>0.18</v>
      </c>
      <c r="W1395" s="24">
        <f>VLOOKUP(I1395, IMPOSTO!$A:$D, 4, 0)</f>
        <v>0.12</v>
      </c>
      <c r="X1395" s="24">
        <f>VLOOKUP(J1395, IMPOSTO!$A:$D, 4, 0)</f>
        <v>7.0000000000000007E-2</v>
      </c>
      <c r="Y1395" s="24">
        <f>VLOOKUP(K1395, IMPOSTO!$A:$D, 4, 0)</f>
        <v>0.12</v>
      </c>
      <c r="Z1395" s="24">
        <f>VLOOKUP(L1395, IMPOSTO!$A:$D, 4, 0)</f>
        <v>0.12</v>
      </c>
      <c r="AA1395" s="24">
        <f>VLOOKUP(M1395, IMPOSTO!$A:$D, 4, 0)</f>
        <v>0.12</v>
      </c>
      <c r="AB1395" s="24">
        <f>VLOOKUP(N1395, IMPOSTO!$A:$D, 4, 0)</f>
        <v>7.0000000000000007E-2</v>
      </c>
      <c r="AC1395" s="25">
        <f t="shared" si="202"/>
        <v>0</v>
      </c>
      <c r="AD1395" s="25">
        <f t="shared" si="203"/>
        <v>66.590909090909093</v>
      </c>
      <c r="AE1395" s="25">
        <f t="shared" si="204"/>
        <v>94.838709677419359</v>
      </c>
      <c r="AF1395" s="25">
        <f t="shared" si="205"/>
        <v>80.11363636363636</v>
      </c>
      <c r="AG1395" s="25">
        <f t="shared" si="206"/>
        <v>48.750000000000007</v>
      </c>
      <c r="AH1395" s="25">
        <f t="shared" si="207"/>
        <v>46.363636363636367</v>
      </c>
      <c r="AI1395" s="25">
        <f t="shared" si="208"/>
        <v>426.98924731182802</v>
      </c>
    </row>
    <row r="1396" spans="1:35" ht="15.75" customHeight="1">
      <c r="A1396" s="12" t="s">
        <v>297</v>
      </c>
      <c r="B1396" s="12" t="s">
        <v>298</v>
      </c>
      <c r="C1396" s="12" t="s">
        <v>299</v>
      </c>
      <c r="D1396" s="12" t="s">
        <v>33</v>
      </c>
      <c r="E1396" s="12" t="s">
        <v>23</v>
      </c>
      <c r="F1396" s="13">
        <v>29921.758173001712</v>
      </c>
      <c r="G1396" s="14">
        <v>154358.69159881497</v>
      </c>
      <c r="H1396" s="24" t="str">
        <f t="shared" si="201"/>
        <v>SPSP</v>
      </c>
      <c r="I1396" s="24" t="str">
        <f t="shared" si="209"/>
        <v>SPMG</v>
      </c>
      <c r="J1396" s="24" t="str">
        <f t="shared" si="209"/>
        <v>SPES</v>
      </c>
      <c r="K1396" s="24" t="str">
        <f t="shared" si="209"/>
        <v>SPSC</v>
      </c>
      <c r="L1396" s="24" t="str">
        <f t="shared" si="209"/>
        <v>SPRJ</v>
      </c>
      <c r="M1396" s="24" t="str">
        <f t="shared" si="209"/>
        <v>SPPR</v>
      </c>
      <c r="N1396" s="24" t="str">
        <f t="shared" si="209"/>
        <v>SPAM</v>
      </c>
      <c r="O1396" s="24">
        <f>VLOOKUP(H1396, KM!$A:$E, 5, 0)</f>
        <v>0</v>
      </c>
      <c r="P1396" s="24">
        <f>VLOOKUP(I1396, KM!$A:$E, 5, 0)</f>
        <v>586</v>
      </c>
      <c r="Q1396" s="24">
        <f>VLOOKUP(J1396, KM!$A:$E, 5, 0)</f>
        <v>882</v>
      </c>
      <c r="R1396" s="24">
        <f>VLOOKUP(K1396, KM!$A:$E, 5, 0)</f>
        <v>705</v>
      </c>
      <c r="S1396" s="24">
        <f>VLOOKUP(L1396, KM!$A:$E, 5, 0)</f>
        <v>429</v>
      </c>
      <c r="T1396" s="24">
        <f>VLOOKUP(M1396, KM!$A:$E, 5, 0)</f>
        <v>408</v>
      </c>
      <c r="U1396" s="24">
        <f>VLOOKUP(N1396, KM!$A:$E, 5, 0)</f>
        <v>3971</v>
      </c>
      <c r="V1396" s="24">
        <f>VLOOKUP(H1396, IMPOSTO!$A:$D, 4, 0)</f>
        <v>0.18</v>
      </c>
      <c r="W1396" s="24">
        <f>VLOOKUP(I1396, IMPOSTO!$A:$D, 4, 0)</f>
        <v>0.12</v>
      </c>
      <c r="X1396" s="24">
        <f>VLOOKUP(J1396, IMPOSTO!$A:$D, 4, 0)</f>
        <v>7.0000000000000007E-2</v>
      </c>
      <c r="Y1396" s="24">
        <f>VLOOKUP(K1396, IMPOSTO!$A:$D, 4, 0)</f>
        <v>0.12</v>
      </c>
      <c r="Z1396" s="24">
        <f>VLOOKUP(L1396, IMPOSTO!$A:$D, 4, 0)</f>
        <v>0.12</v>
      </c>
      <c r="AA1396" s="24">
        <f>VLOOKUP(M1396, IMPOSTO!$A:$D, 4, 0)</f>
        <v>0.12</v>
      </c>
      <c r="AB1396" s="24">
        <f>VLOOKUP(N1396, IMPOSTO!$A:$D, 4, 0)</f>
        <v>7.0000000000000007E-2</v>
      </c>
      <c r="AC1396" s="25">
        <f t="shared" si="202"/>
        <v>188242.30682782311</v>
      </c>
      <c r="AD1396" s="25">
        <f t="shared" si="203"/>
        <v>175474.19499865337</v>
      </c>
      <c r="AE1396" s="25">
        <f t="shared" si="204"/>
        <v>166071.92645033871</v>
      </c>
      <c r="AF1396" s="25">
        <f t="shared" si="205"/>
        <v>175487.71772592611</v>
      </c>
      <c r="AG1396" s="25">
        <f t="shared" si="206"/>
        <v>175456.35408956246</v>
      </c>
      <c r="AH1396" s="25">
        <f t="shared" si="207"/>
        <v>175453.96772592608</v>
      </c>
      <c r="AI1396" s="25">
        <f t="shared" si="208"/>
        <v>166404.07698797309</v>
      </c>
    </row>
    <row r="1397" spans="1:35" ht="15.75" customHeight="1">
      <c r="A1397" s="12" t="s">
        <v>263</v>
      </c>
      <c r="B1397" s="12" t="s">
        <v>264</v>
      </c>
      <c r="C1397" s="12" t="s">
        <v>265</v>
      </c>
      <c r="D1397" s="12" t="s">
        <v>50</v>
      </c>
      <c r="E1397" s="12" t="s">
        <v>23</v>
      </c>
      <c r="F1397" s="13">
        <v>0</v>
      </c>
      <c r="G1397" s="14">
        <v>0</v>
      </c>
      <c r="H1397" s="24" t="str">
        <f t="shared" si="201"/>
        <v>SPSP</v>
      </c>
      <c r="I1397" s="24" t="str">
        <f t="shared" si="209"/>
        <v>SPMG</v>
      </c>
      <c r="J1397" s="24" t="str">
        <f t="shared" si="209"/>
        <v>SPES</v>
      </c>
      <c r="K1397" s="24" t="str">
        <f t="shared" si="209"/>
        <v>SPSC</v>
      </c>
      <c r="L1397" s="24" t="str">
        <f t="shared" si="209"/>
        <v>SPRJ</v>
      </c>
      <c r="M1397" s="24" t="str">
        <f t="shared" si="209"/>
        <v>SPPR</v>
      </c>
      <c r="N1397" s="24" t="str">
        <f t="shared" si="209"/>
        <v>SPAM</v>
      </c>
      <c r="O1397" s="24">
        <f>VLOOKUP(H1397, KM!$A:$E, 5, 0)</f>
        <v>0</v>
      </c>
      <c r="P1397" s="24">
        <f>VLOOKUP(I1397, KM!$A:$E, 5, 0)</f>
        <v>586</v>
      </c>
      <c r="Q1397" s="24">
        <f>VLOOKUP(J1397, KM!$A:$E, 5, 0)</f>
        <v>882</v>
      </c>
      <c r="R1397" s="24">
        <f>VLOOKUP(K1397, KM!$A:$E, 5, 0)</f>
        <v>705</v>
      </c>
      <c r="S1397" s="24">
        <f>VLOOKUP(L1397, KM!$A:$E, 5, 0)</f>
        <v>429</v>
      </c>
      <c r="T1397" s="24">
        <f>VLOOKUP(M1397, KM!$A:$E, 5, 0)</f>
        <v>408</v>
      </c>
      <c r="U1397" s="24">
        <f>VLOOKUP(N1397, KM!$A:$E, 5, 0)</f>
        <v>3971</v>
      </c>
      <c r="V1397" s="24">
        <f>VLOOKUP(H1397, IMPOSTO!$A:$D, 4, 0)</f>
        <v>0.18</v>
      </c>
      <c r="W1397" s="24">
        <f>VLOOKUP(I1397, IMPOSTO!$A:$D, 4, 0)</f>
        <v>0.12</v>
      </c>
      <c r="X1397" s="24">
        <f>VLOOKUP(J1397, IMPOSTO!$A:$D, 4, 0)</f>
        <v>7.0000000000000007E-2</v>
      </c>
      <c r="Y1397" s="24">
        <f>VLOOKUP(K1397, IMPOSTO!$A:$D, 4, 0)</f>
        <v>0.12</v>
      </c>
      <c r="Z1397" s="24">
        <f>VLOOKUP(L1397, IMPOSTO!$A:$D, 4, 0)</f>
        <v>0.12</v>
      </c>
      <c r="AA1397" s="24">
        <f>VLOOKUP(M1397, IMPOSTO!$A:$D, 4, 0)</f>
        <v>0.12</v>
      </c>
      <c r="AB1397" s="24">
        <f>VLOOKUP(N1397, IMPOSTO!$A:$D, 4, 0)</f>
        <v>7.0000000000000007E-2</v>
      </c>
      <c r="AC1397" s="25">
        <f t="shared" si="202"/>
        <v>0</v>
      </c>
      <c r="AD1397" s="25">
        <f t="shared" si="203"/>
        <v>66.590909090909093</v>
      </c>
      <c r="AE1397" s="25">
        <f t="shared" si="204"/>
        <v>94.838709677419359</v>
      </c>
      <c r="AF1397" s="25">
        <f t="shared" si="205"/>
        <v>80.11363636363636</v>
      </c>
      <c r="AG1397" s="25">
        <f t="shared" si="206"/>
        <v>48.750000000000007</v>
      </c>
      <c r="AH1397" s="25">
        <f t="shared" si="207"/>
        <v>46.363636363636367</v>
      </c>
      <c r="AI1397" s="25">
        <f t="shared" si="208"/>
        <v>426.98924731182802</v>
      </c>
    </row>
    <row r="1398" spans="1:35" ht="15.75" customHeight="1">
      <c r="A1398" s="12" t="s">
        <v>263</v>
      </c>
      <c r="B1398" s="12" t="s">
        <v>264</v>
      </c>
      <c r="C1398" s="12" t="s">
        <v>265</v>
      </c>
      <c r="D1398" s="12" t="s">
        <v>50</v>
      </c>
      <c r="E1398" s="12" t="s">
        <v>23</v>
      </c>
      <c r="F1398" s="13">
        <v>0</v>
      </c>
      <c r="G1398" s="14">
        <v>0</v>
      </c>
      <c r="H1398" s="24" t="str">
        <f t="shared" si="201"/>
        <v>SPSP</v>
      </c>
      <c r="I1398" s="24" t="str">
        <f t="shared" si="209"/>
        <v>SPMG</v>
      </c>
      <c r="J1398" s="24" t="str">
        <f t="shared" si="209"/>
        <v>SPES</v>
      </c>
      <c r="K1398" s="24" t="str">
        <f t="shared" si="209"/>
        <v>SPSC</v>
      </c>
      <c r="L1398" s="24" t="str">
        <f t="shared" si="209"/>
        <v>SPRJ</v>
      </c>
      <c r="M1398" s="24" t="str">
        <f t="shared" si="209"/>
        <v>SPPR</v>
      </c>
      <c r="N1398" s="24" t="str">
        <f t="shared" si="209"/>
        <v>SPAM</v>
      </c>
      <c r="O1398" s="24">
        <f>VLOOKUP(H1398, KM!$A:$E, 5, 0)</f>
        <v>0</v>
      </c>
      <c r="P1398" s="24">
        <f>VLOOKUP(I1398, KM!$A:$E, 5, 0)</f>
        <v>586</v>
      </c>
      <c r="Q1398" s="24">
        <f>VLOOKUP(J1398, KM!$A:$E, 5, 0)</f>
        <v>882</v>
      </c>
      <c r="R1398" s="24">
        <f>VLOOKUP(K1398, KM!$A:$E, 5, 0)</f>
        <v>705</v>
      </c>
      <c r="S1398" s="24">
        <f>VLOOKUP(L1398, KM!$A:$E, 5, 0)</f>
        <v>429</v>
      </c>
      <c r="T1398" s="24">
        <f>VLOOKUP(M1398, KM!$A:$E, 5, 0)</f>
        <v>408</v>
      </c>
      <c r="U1398" s="24">
        <f>VLOOKUP(N1398, KM!$A:$E, 5, 0)</f>
        <v>3971</v>
      </c>
      <c r="V1398" s="24">
        <f>VLOOKUP(H1398, IMPOSTO!$A:$D, 4, 0)</f>
        <v>0.18</v>
      </c>
      <c r="W1398" s="24">
        <f>VLOOKUP(I1398, IMPOSTO!$A:$D, 4, 0)</f>
        <v>0.12</v>
      </c>
      <c r="X1398" s="24">
        <f>VLOOKUP(J1398, IMPOSTO!$A:$D, 4, 0)</f>
        <v>7.0000000000000007E-2</v>
      </c>
      <c r="Y1398" s="24">
        <f>VLOOKUP(K1398, IMPOSTO!$A:$D, 4, 0)</f>
        <v>0.12</v>
      </c>
      <c r="Z1398" s="24">
        <f>VLOOKUP(L1398, IMPOSTO!$A:$D, 4, 0)</f>
        <v>0.12</v>
      </c>
      <c r="AA1398" s="24">
        <f>VLOOKUP(M1398, IMPOSTO!$A:$D, 4, 0)</f>
        <v>0.12</v>
      </c>
      <c r="AB1398" s="24">
        <f>VLOOKUP(N1398, IMPOSTO!$A:$D, 4, 0)</f>
        <v>7.0000000000000007E-2</v>
      </c>
      <c r="AC1398" s="25">
        <f t="shared" si="202"/>
        <v>0</v>
      </c>
      <c r="AD1398" s="25">
        <f t="shared" si="203"/>
        <v>66.590909090909093</v>
      </c>
      <c r="AE1398" s="25">
        <f t="shared" si="204"/>
        <v>94.838709677419359</v>
      </c>
      <c r="AF1398" s="25">
        <f t="shared" si="205"/>
        <v>80.11363636363636</v>
      </c>
      <c r="AG1398" s="25">
        <f t="shared" si="206"/>
        <v>48.750000000000007</v>
      </c>
      <c r="AH1398" s="25">
        <f t="shared" si="207"/>
        <v>46.363636363636367</v>
      </c>
      <c r="AI1398" s="25">
        <f t="shared" si="208"/>
        <v>426.98924731182802</v>
      </c>
    </row>
    <row r="1399" spans="1:35" ht="15.75" customHeight="1">
      <c r="A1399" s="12" t="s">
        <v>994</v>
      </c>
      <c r="B1399" s="12" t="s">
        <v>995</v>
      </c>
      <c r="C1399" s="12" t="s">
        <v>936</v>
      </c>
      <c r="D1399" s="12" t="s">
        <v>50</v>
      </c>
      <c r="E1399" s="12" t="s">
        <v>23</v>
      </c>
      <c r="F1399" s="13">
        <v>791.04768784166936</v>
      </c>
      <c r="G1399" s="14">
        <v>22647.22917288668</v>
      </c>
      <c r="H1399" s="24" t="str">
        <f t="shared" si="201"/>
        <v>SPSP</v>
      </c>
      <c r="I1399" s="24" t="str">
        <f t="shared" si="209"/>
        <v>SPMG</v>
      </c>
      <c r="J1399" s="24" t="str">
        <f t="shared" si="209"/>
        <v>SPES</v>
      </c>
      <c r="K1399" s="24" t="str">
        <f t="shared" si="209"/>
        <v>SPSC</v>
      </c>
      <c r="L1399" s="24" t="str">
        <f t="shared" si="209"/>
        <v>SPRJ</v>
      </c>
      <c r="M1399" s="24" t="str">
        <f t="shared" si="209"/>
        <v>SPPR</v>
      </c>
      <c r="N1399" s="24" t="str">
        <f t="shared" si="209"/>
        <v>SPAM</v>
      </c>
      <c r="O1399" s="24">
        <f>VLOOKUP(H1399, KM!$A:$E, 5, 0)</f>
        <v>0</v>
      </c>
      <c r="P1399" s="24">
        <f>VLOOKUP(I1399, KM!$A:$E, 5, 0)</f>
        <v>586</v>
      </c>
      <c r="Q1399" s="24">
        <f>VLOOKUP(J1399, KM!$A:$E, 5, 0)</f>
        <v>882</v>
      </c>
      <c r="R1399" s="24">
        <f>VLOOKUP(K1399, KM!$A:$E, 5, 0)</f>
        <v>705</v>
      </c>
      <c r="S1399" s="24">
        <f>VLOOKUP(L1399, KM!$A:$E, 5, 0)</f>
        <v>429</v>
      </c>
      <c r="T1399" s="24">
        <f>VLOOKUP(M1399, KM!$A:$E, 5, 0)</f>
        <v>408</v>
      </c>
      <c r="U1399" s="24">
        <f>VLOOKUP(N1399, KM!$A:$E, 5, 0)</f>
        <v>3971</v>
      </c>
      <c r="V1399" s="24">
        <f>VLOOKUP(H1399, IMPOSTO!$A:$D, 4, 0)</f>
        <v>0.18</v>
      </c>
      <c r="W1399" s="24">
        <f>VLOOKUP(I1399, IMPOSTO!$A:$D, 4, 0)</f>
        <v>0.12</v>
      </c>
      <c r="X1399" s="24">
        <f>VLOOKUP(J1399, IMPOSTO!$A:$D, 4, 0)</f>
        <v>7.0000000000000007E-2</v>
      </c>
      <c r="Y1399" s="24">
        <f>VLOOKUP(K1399, IMPOSTO!$A:$D, 4, 0)</f>
        <v>0.12</v>
      </c>
      <c r="Z1399" s="24">
        <f>VLOOKUP(L1399, IMPOSTO!$A:$D, 4, 0)</f>
        <v>0.12</v>
      </c>
      <c r="AA1399" s="24">
        <f>VLOOKUP(M1399, IMPOSTO!$A:$D, 4, 0)</f>
        <v>0.12</v>
      </c>
      <c r="AB1399" s="24">
        <f>VLOOKUP(N1399, IMPOSTO!$A:$D, 4, 0)</f>
        <v>7.0000000000000007E-2</v>
      </c>
      <c r="AC1399" s="25">
        <f t="shared" si="202"/>
        <v>27618.572162056924</v>
      </c>
      <c r="AD1399" s="25">
        <f t="shared" si="203"/>
        <v>25802.078605553044</v>
      </c>
      <c r="AE1399" s="25">
        <f t="shared" si="204"/>
        <v>24446.698035362024</v>
      </c>
      <c r="AF1399" s="25">
        <f t="shared" si="205"/>
        <v>25815.601332825772</v>
      </c>
      <c r="AG1399" s="25">
        <f t="shared" si="206"/>
        <v>25784.23769646214</v>
      </c>
      <c r="AH1399" s="25">
        <f t="shared" si="207"/>
        <v>25781.851332825772</v>
      </c>
      <c r="AI1399" s="25">
        <f t="shared" si="208"/>
        <v>24778.84857299643</v>
      </c>
    </row>
    <row r="1400" spans="1:35" ht="15.75" customHeight="1">
      <c r="A1400" s="12" t="s">
        <v>943</v>
      </c>
      <c r="B1400" s="12" t="s">
        <v>944</v>
      </c>
      <c r="C1400" s="12" t="s">
        <v>936</v>
      </c>
      <c r="D1400" s="12" t="s">
        <v>50</v>
      </c>
      <c r="E1400" s="12" t="s">
        <v>23</v>
      </c>
      <c r="F1400" s="13">
        <v>8.3079811048385008E-2</v>
      </c>
      <c r="G1400" s="14">
        <v>2.3750659493480581</v>
      </c>
      <c r="H1400" s="24" t="str">
        <f t="shared" si="201"/>
        <v>SPSP</v>
      </c>
      <c r="I1400" s="24" t="str">
        <f t="shared" si="209"/>
        <v>SPMG</v>
      </c>
      <c r="J1400" s="24" t="str">
        <f t="shared" si="209"/>
        <v>SPES</v>
      </c>
      <c r="K1400" s="24" t="str">
        <f t="shared" si="209"/>
        <v>SPSC</v>
      </c>
      <c r="L1400" s="24" t="str">
        <f t="shared" si="209"/>
        <v>SPRJ</v>
      </c>
      <c r="M1400" s="24" t="str">
        <f t="shared" si="209"/>
        <v>SPPR</v>
      </c>
      <c r="N1400" s="24" t="str">
        <f t="shared" si="209"/>
        <v>SPAM</v>
      </c>
      <c r="O1400" s="24">
        <f>VLOOKUP(H1400, KM!$A:$E, 5, 0)</f>
        <v>0</v>
      </c>
      <c r="P1400" s="24">
        <f>VLOOKUP(I1400, KM!$A:$E, 5, 0)</f>
        <v>586</v>
      </c>
      <c r="Q1400" s="24">
        <f>VLOOKUP(J1400, KM!$A:$E, 5, 0)</f>
        <v>882</v>
      </c>
      <c r="R1400" s="24">
        <f>VLOOKUP(K1400, KM!$A:$E, 5, 0)</f>
        <v>705</v>
      </c>
      <c r="S1400" s="24">
        <f>VLOOKUP(L1400, KM!$A:$E, 5, 0)</f>
        <v>429</v>
      </c>
      <c r="T1400" s="24">
        <f>VLOOKUP(M1400, KM!$A:$E, 5, 0)</f>
        <v>408</v>
      </c>
      <c r="U1400" s="24">
        <f>VLOOKUP(N1400, KM!$A:$E, 5, 0)</f>
        <v>3971</v>
      </c>
      <c r="V1400" s="24">
        <f>VLOOKUP(H1400, IMPOSTO!$A:$D, 4, 0)</f>
        <v>0.18</v>
      </c>
      <c r="W1400" s="24">
        <f>VLOOKUP(I1400, IMPOSTO!$A:$D, 4, 0)</f>
        <v>0.12</v>
      </c>
      <c r="X1400" s="24">
        <f>VLOOKUP(J1400, IMPOSTO!$A:$D, 4, 0)</f>
        <v>7.0000000000000007E-2</v>
      </c>
      <c r="Y1400" s="24">
        <f>VLOOKUP(K1400, IMPOSTO!$A:$D, 4, 0)</f>
        <v>0.12</v>
      </c>
      <c r="Z1400" s="24">
        <f>VLOOKUP(L1400, IMPOSTO!$A:$D, 4, 0)</f>
        <v>0.12</v>
      </c>
      <c r="AA1400" s="24">
        <f>VLOOKUP(M1400, IMPOSTO!$A:$D, 4, 0)</f>
        <v>0.12</v>
      </c>
      <c r="AB1400" s="24">
        <f>VLOOKUP(N1400, IMPOSTO!$A:$D, 4, 0)</f>
        <v>7.0000000000000007E-2</v>
      </c>
      <c r="AC1400" s="25">
        <f t="shared" si="202"/>
        <v>2.8964218894488512</v>
      </c>
      <c r="AD1400" s="25">
        <f t="shared" si="203"/>
        <v>69.289847669713694</v>
      </c>
      <c r="AE1400" s="25">
        <f t="shared" si="204"/>
        <v>97.392544031557065</v>
      </c>
      <c r="AF1400" s="25">
        <f t="shared" si="205"/>
        <v>82.812574942440975</v>
      </c>
      <c r="AG1400" s="25">
        <f t="shared" si="206"/>
        <v>51.448938578804615</v>
      </c>
      <c r="AH1400" s="25">
        <f t="shared" si="207"/>
        <v>49.062574942440975</v>
      </c>
      <c r="AI1400" s="25">
        <f t="shared" si="208"/>
        <v>429.54308166596576</v>
      </c>
    </row>
    <row r="1401" spans="1:35" ht="15.75" customHeight="1">
      <c r="A1401" s="12" t="s">
        <v>294</v>
      </c>
      <c r="B1401" s="12" t="s">
        <v>295</v>
      </c>
      <c r="C1401" s="12" t="s">
        <v>296</v>
      </c>
      <c r="D1401" s="12" t="s">
        <v>33</v>
      </c>
      <c r="E1401" s="12" t="s">
        <v>23</v>
      </c>
      <c r="F1401" s="13">
        <v>113579.02502478703</v>
      </c>
      <c r="G1401" s="14">
        <v>1150381.698554852</v>
      </c>
      <c r="H1401" s="24" t="str">
        <f t="shared" si="201"/>
        <v>SPSP</v>
      </c>
      <c r="I1401" s="24" t="str">
        <f t="shared" si="209"/>
        <v>SPMG</v>
      </c>
      <c r="J1401" s="24" t="str">
        <f t="shared" si="209"/>
        <v>SPES</v>
      </c>
      <c r="K1401" s="24" t="str">
        <f t="shared" si="209"/>
        <v>SPSC</v>
      </c>
      <c r="L1401" s="24" t="str">
        <f t="shared" si="209"/>
        <v>SPRJ</v>
      </c>
      <c r="M1401" s="24" t="str">
        <f t="shared" si="209"/>
        <v>SPPR</v>
      </c>
      <c r="N1401" s="24" t="str">
        <f t="shared" si="209"/>
        <v>SPAM</v>
      </c>
      <c r="O1401" s="24">
        <f>VLOOKUP(H1401, KM!$A:$E, 5, 0)</f>
        <v>0</v>
      </c>
      <c r="P1401" s="24">
        <f>VLOOKUP(I1401, KM!$A:$E, 5, 0)</f>
        <v>586</v>
      </c>
      <c r="Q1401" s="24">
        <f>VLOOKUP(J1401, KM!$A:$E, 5, 0)</f>
        <v>882</v>
      </c>
      <c r="R1401" s="24">
        <f>VLOOKUP(K1401, KM!$A:$E, 5, 0)</f>
        <v>705</v>
      </c>
      <c r="S1401" s="24">
        <f>VLOOKUP(L1401, KM!$A:$E, 5, 0)</f>
        <v>429</v>
      </c>
      <c r="T1401" s="24">
        <f>VLOOKUP(M1401, KM!$A:$E, 5, 0)</f>
        <v>408</v>
      </c>
      <c r="U1401" s="24">
        <f>VLOOKUP(N1401, KM!$A:$E, 5, 0)</f>
        <v>3971</v>
      </c>
      <c r="V1401" s="24">
        <f>VLOOKUP(H1401, IMPOSTO!$A:$D, 4, 0)</f>
        <v>0.18</v>
      </c>
      <c r="W1401" s="24">
        <f>VLOOKUP(I1401, IMPOSTO!$A:$D, 4, 0)</f>
        <v>0.12</v>
      </c>
      <c r="X1401" s="24">
        <f>VLOOKUP(J1401, IMPOSTO!$A:$D, 4, 0)</f>
        <v>7.0000000000000007E-2</v>
      </c>
      <c r="Y1401" s="24">
        <f>VLOOKUP(K1401, IMPOSTO!$A:$D, 4, 0)</f>
        <v>0.12</v>
      </c>
      <c r="Z1401" s="24">
        <f>VLOOKUP(L1401, IMPOSTO!$A:$D, 4, 0)</f>
        <v>0.12</v>
      </c>
      <c r="AA1401" s="24">
        <f>VLOOKUP(M1401, IMPOSTO!$A:$D, 4, 0)</f>
        <v>0.12</v>
      </c>
      <c r="AB1401" s="24">
        <f>VLOOKUP(N1401, IMPOSTO!$A:$D, 4, 0)</f>
        <v>7.0000000000000007E-2</v>
      </c>
      <c r="AC1401" s="25">
        <f t="shared" si="202"/>
        <v>1402904.5104327463</v>
      </c>
      <c r="AD1401" s="25">
        <f t="shared" si="203"/>
        <v>1307318.5210850593</v>
      </c>
      <c r="AE1401" s="25">
        <f t="shared" si="204"/>
        <v>1237064.407048228</v>
      </c>
      <c r="AF1401" s="25">
        <f t="shared" si="205"/>
        <v>1307332.043812332</v>
      </c>
      <c r="AG1401" s="25">
        <f t="shared" si="206"/>
        <v>1307300.6801759682</v>
      </c>
      <c r="AH1401" s="25">
        <f t="shared" si="207"/>
        <v>1307298.293812332</v>
      </c>
      <c r="AI1401" s="25">
        <f t="shared" si="208"/>
        <v>1237396.5575858627</v>
      </c>
    </row>
    <row r="1402" spans="1:35" ht="15.75" customHeight="1">
      <c r="A1402" s="12" t="s">
        <v>72</v>
      </c>
      <c r="B1402" s="12" t="s">
        <v>73</v>
      </c>
      <c r="C1402" s="12" t="s">
        <v>63</v>
      </c>
      <c r="D1402" s="12" t="s">
        <v>33</v>
      </c>
      <c r="E1402" s="12" t="s">
        <v>23</v>
      </c>
      <c r="F1402" s="13">
        <v>2950.849846551409</v>
      </c>
      <c r="G1402" s="14">
        <v>53941.163829502875</v>
      </c>
      <c r="H1402" s="24" t="str">
        <f t="shared" si="201"/>
        <v>SPSP</v>
      </c>
      <c r="I1402" s="24" t="str">
        <f t="shared" si="209"/>
        <v>SPMG</v>
      </c>
      <c r="J1402" s="24" t="str">
        <f t="shared" si="209"/>
        <v>SPES</v>
      </c>
      <c r="K1402" s="24" t="str">
        <f t="shared" si="209"/>
        <v>SPSC</v>
      </c>
      <c r="L1402" s="24" t="str">
        <f t="shared" si="209"/>
        <v>SPRJ</v>
      </c>
      <c r="M1402" s="24" t="str">
        <f t="shared" si="209"/>
        <v>SPPR</v>
      </c>
      <c r="N1402" s="24" t="str">
        <f t="shared" si="209"/>
        <v>SPAM</v>
      </c>
      <c r="O1402" s="24">
        <f>VLOOKUP(H1402, KM!$A:$E, 5, 0)</f>
        <v>0</v>
      </c>
      <c r="P1402" s="24">
        <f>VLOOKUP(I1402, KM!$A:$E, 5, 0)</f>
        <v>586</v>
      </c>
      <c r="Q1402" s="24">
        <f>VLOOKUP(J1402, KM!$A:$E, 5, 0)</f>
        <v>882</v>
      </c>
      <c r="R1402" s="24">
        <f>VLOOKUP(K1402, KM!$A:$E, 5, 0)</f>
        <v>705</v>
      </c>
      <c r="S1402" s="24">
        <f>VLOOKUP(L1402, KM!$A:$E, 5, 0)</f>
        <v>429</v>
      </c>
      <c r="T1402" s="24">
        <f>VLOOKUP(M1402, KM!$A:$E, 5, 0)</f>
        <v>408</v>
      </c>
      <c r="U1402" s="24">
        <f>VLOOKUP(N1402, KM!$A:$E, 5, 0)</f>
        <v>3971</v>
      </c>
      <c r="V1402" s="24">
        <f>VLOOKUP(H1402, IMPOSTO!$A:$D, 4, 0)</f>
        <v>0.18</v>
      </c>
      <c r="W1402" s="24">
        <f>VLOOKUP(I1402, IMPOSTO!$A:$D, 4, 0)</f>
        <v>0.12</v>
      </c>
      <c r="X1402" s="24">
        <f>VLOOKUP(J1402, IMPOSTO!$A:$D, 4, 0)</f>
        <v>7.0000000000000007E-2</v>
      </c>
      <c r="Y1402" s="24">
        <f>VLOOKUP(K1402, IMPOSTO!$A:$D, 4, 0)</f>
        <v>0.12</v>
      </c>
      <c r="Z1402" s="24">
        <f>VLOOKUP(L1402, IMPOSTO!$A:$D, 4, 0)</f>
        <v>0.12</v>
      </c>
      <c r="AA1402" s="24">
        <f>VLOOKUP(M1402, IMPOSTO!$A:$D, 4, 0)</f>
        <v>0.12</v>
      </c>
      <c r="AB1402" s="24">
        <f>VLOOKUP(N1402, IMPOSTO!$A:$D, 4, 0)</f>
        <v>7.0000000000000007E-2</v>
      </c>
      <c r="AC1402" s="25">
        <f t="shared" si="202"/>
        <v>65781.907109149848</v>
      </c>
      <c r="AD1402" s="25">
        <f t="shared" si="203"/>
        <v>61363.367988071448</v>
      </c>
      <c r="AE1402" s="25">
        <f t="shared" si="204"/>
        <v>58096.090139250402</v>
      </c>
      <c r="AF1402" s="25">
        <f t="shared" si="205"/>
        <v>61376.890715344176</v>
      </c>
      <c r="AG1402" s="25">
        <f t="shared" si="206"/>
        <v>61345.527078980544</v>
      </c>
      <c r="AH1402" s="25">
        <f t="shared" si="207"/>
        <v>61343.140715344176</v>
      </c>
      <c r="AI1402" s="25">
        <f t="shared" si="208"/>
        <v>58428.240676884816</v>
      </c>
    </row>
    <row r="1403" spans="1:35" ht="15.75" customHeight="1">
      <c r="A1403" s="12" t="s">
        <v>934</v>
      </c>
      <c r="B1403" s="12" t="s">
        <v>935</v>
      </c>
      <c r="C1403" s="12" t="s">
        <v>936</v>
      </c>
      <c r="D1403" s="12" t="s">
        <v>50</v>
      </c>
      <c r="E1403" s="12" t="s">
        <v>23</v>
      </c>
      <c r="F1403" s="13">
        <v>23.45336</v>
      </c>
      <c r="G1403" s="14">
        <v>812.31847199999993</v>
      </c>
      <c r="H1403" s="24" t="str">
        <f t="shared" si="201"/>
        <v>SPSP</v>
      </c>
      <c r="I1403" s="24" t="str">
        <f t="shared" si="209"/>
        <v>SPMG</v>
      </c>
      <c r="J1403" s="24" t="str">
        <f t="shared" si="209"/>
        <v>SPES</v>
      </c>
      <c r="K1403" s="24" t="str">
        <f t="shared" si="209"/>
        <v>SPSC</v>
      </c>
      <c r="L1403" s="24" t="str">
        <f t="shared" si="209"/>
        <v>SPRJ</v>
      </c>
      <c r="M1403" s="24" t="str">
        <f t="shared" si="209"/>
        <v>SPPR</v>
      </c>
      <c r="N1403" s="24" t="str">
        <f t="shared" si="209"/>
        <v>SPAM</v>
      </c>
      <c r="O1403" s="24">
        <f>VLOOKUP(H1403, KM!$A:$E, 5, 0)</f>
        <v>0</v>
      </c>
      <c r="P1403" s="24">
        <f>VLOOKUP(I1403, KM!$A:$E, 5, 0)</f>
        <v>586</v>
      </c>
      <c r="Q1403" s="24">
        <f>VLOOKUP(J1403, KM!$A:$E, 5, 0)</f>
        <v>882</v>
      </c>
      <c r="R1403" s="24">
        <f>VLOOKUP(K1403, KM!$A:$E, 5, 0)</f>
        <v>705</v>
      </c>
      <c r="S1403" s="24">
        <f>VLOOKUP(L1403, KM!$A:$E, 5, 0)</f>
        <v>429</v>
      </c>
      <c r="T1403" s="24">
        <f>VLOOKUP(M1403, KM!$A:$E, 5, 0)</f>
        <v>408</v>
      </c>
      <c r="U1403" s="24">
        <f>VLOOKUP(N1403, KM!$A:$E, 5, 0)</f>
        <v>3971</v>
      </c>
      <c r="V1403" s="24">
        <f>VLOOKUP(H1403, IMPOSTO!$A:$D, 4, 0)</f>
        <v>0.18</v>
      </c>
      <c r="W1403" s="24">
        <f>VLOOKUP(I1403, IMPOSTO!$A:$D, 4, 0)</f>
        <v>0.12</v>
      </c>
      <c r="X1403" s="24">
        <f>VLOOKUP(J1403, IMPOSTO!$A:$D, 4, 0)</f>
        <v>7.0000000000000007E-2</v>
      </c>
      <c r="Y1403" s="24">
        <f>VLOOKUP(K1403, IMPOSTO!$A:$D, 4, 0)</f>
        <v>0.12</v>
      </c>
      <c r="Z1403" s="24">
        <f>VLOOKUP(L1403, IMPOSTO!$A:$D, 4, 0)</f>
        <v>0.12</v>
      </c>
      <c r="AA1403" s="24">
        <f>VLOOKUP(M1403, IMPOSTO!$A:$D, 4, 0)</f>
        <v>0.12</v>
      </c>
      <c r="AB1403" s="24">
        <f>VLOOKUP(N1403, IMPOSTO!$A:$D, 4, 0)</f>
        <v>7.0000000000000007E-2</v>
      </c>
      <c r="AC1403" s="25">
        <f t="shared" si="202"/>
        <v>990.63228292682913</v>
      </c>
      <c r="AD1403" s="25">
        <f t="shared" si="203"/>
        <v>989.68008181818175</v>
      </c>
      <c r="AE1403" s="25">
        <f t="shared" si="204"/>
        <v>968.2994322580646</v>
      </c>
      <c r="AF1403" s="25">
        <f t="shared" si="205"/>
        <v>1003.202809090909</v>
      </c>
      <c r="AG1403" s="25">
        <f t="shared" si="206"/>
        <v>971.83917272727263</v>
      </c>
      <c r="AH1403" s="25">
        <f t="shared" si="207"/>
        <v>969.452809090909</v>
      </c>
      <c r="AI1403" s="25">
        <f t="shared" si="208"/>
        <v>1300.4499698924731</v>
      </c>
    </row>
    <row r="1404" spans="1:35" ht="15.75" customHeight="1">
      <c r="A1404" s="12" t="s">
        <v>266</v>
      </c>
      <c r="B1404" s="12" t="s">
        <v>267</v>
      </c>
      <c r="C1404" s="12" t="s">
        <v>169</v>
      </c>
      <c r="D1404" s="12" t="s">
        <v>33</v>
      </c>
      <c r="E1404" s="12" t="s">
        <v>23</v>
      </c>
      <c r="F1404" s="13">
        <v>25300.436328576165</v>
      </c>
      <c r="G1404" s="14">
        <v>44732.677717270308</v>
      </c>
      <c r="H1404" s="24" t="str">
        <f t="shared" si="201"/>
        <v>SPSP</v>
      </c>
      <c r="I1404" s="24" t="str">
        <f t="shared" si="209"/>
        <v>SPMG</v>
      </c>
      <c r="J1404" s="24" t="str">
        <f t="shared" si="209"/>
        <v>SPES</v>
      </c>
      <c r="K1404" s="24" t="str">
        <f t="shared" si="209"/>
        <v>SPSC</v>
      </c>
      <c r="L1404" s="24" t="str">
        <f t="shared" si="209"/>
        <v>SPRJ</v>
      </c>
      <c r="M1404" s="24" t="str">
        <f t="shared" si="209"/>
        <v>SPPR</v>
      </c>
      <c r="N1404" s="24" t="str">
        <f t="shared" si="209"/>
        <v>SPAM</v>
      </c>
      <c r="O1404" s="24">
        <f>VLOOKUP(H1404, KM!$A:$E, 5, 0)</f>
        <v>0</v>
      </c>
      <c r="P1404" s="24">
        <f>VLOOKUP(I1404, KM!$A:$E, 5, 0)</f>
        <v>586</v>
      </c>
      <c r="Q1404" s="24">
        <f>VLOOKUP(J1404, KM!$A:$E, 5, 0)</f>
        <v>882</v>
      </c>
      <c r="R1404" s="24">
        <f>VLOOKUP(K1404, KM!$A:$E, 5, 0)</f>
        <v>705</v>
      </c>
      <c r="S1404" s="24">
        <f>VLOOKUP(L1404, KM!$A:$E, 5, 0)</f>
        <v>429</v>
      </c>
      <c r="T1404" s="24">
        <f>VLOOKUP(M1404, KM!$A:$E, 5, 0)</f>
        <v>408</v>
      </c>
      <c r="U1404" s="24">
        <f>VLOOKUP(N1404, KM!$A:$E, 5, 0)</f>
        <v>3971</v>
      </c>
      <c r="V1404" s="24">
        <f>VLOOKUP(H1404, IMPOSTO!$A:$D, 4, 0)</f>
        <v>0.18</v>
      </c>
      <c r="W1404" s="24">
        <f>VLOOKUP(I1404, IMPOSTO!$A:$D, 4, 0)</f>
        <v>0.12</v>
      </c>
      <c r="X1404" s="24">
        <f>VLOOKUP(J1404, IMPOSTO!$A:$D, 4, 0)</f>
        <v>7.0000000000000007E-2</v>
      </c>
      <c r="Y1404" s="24">
        <f>VLOOKUP(K1404, IMPOSTO!$A:$D, 4, 0)</f>
        <v>0.12</v>
      </c>
      <c r="Z1404" s="24">
        <f>VLOOKUP(L1404, IMPOSTO!$A:$D, 4, 0)</f>
        <v>0.12</v>
      </c>
      <c r="AA1404" s="24">
        <f>VLOOKUP(M1404, IMPOSTO!$A:$D, 4, 0)</f>
        <v>0.12</v>
      </c>
      <c r="AB1404" s="24">
        <f>VLOOKUP(N1404, IMPOSTO!$A:$D, 4, 0)</f>
        <v>7.0000000000000007E-2</v>
      </c>
      <c r="AC1404" s="25">
        <f t="shared" si="202"/>
        <v>54552.045996671106</v>
      </c>
      <c r="AD1404" s="25">
        <f t="shared" si="203"/>
        <v>50899.179224170803</v>
      </c>
      <c r="AE1404" s="25">
        <f t="shared" si="204"/>
        <v>48194.492169107856</v>
      </c>
      <c r="AF1404" s="25">
        <f t="shared" si="205"/>
        <v>50912.701951443531</v>
      </c>
      <c r="AG1404" s="25">
        <f t="shared" si="206"/>
        <v>50881.338315079898</v>
      </c>
      <c r="AH1404" s="25">
        <f t="shared" si="207"/>
        <v>50878.951951443538</v>
      </c>
      <c r="AI1404" s="25">
        <f t="shared" si="208"/>
        <v>48526.64270674227</v>
      </c>
    </row>
    <row r="1405" spans="1:35" ht="15.75" customHeight="1">
      <c r="A1405" s="12" t="s">
        <v>304</v>
      </c>
      <c r="B1405" s="12" t="s">
        <v>305</v>
      </c>
      <c r="C1405" s="12" t="s">
        <v>169</v>
      </c>
      <c r="D1405" s="12" t="s">
        <v>33</v>
      </c>
      <c r="E1405" s="12" t="s">
        <v>23</v>
      </c>
      <c r="F1405" s="13">
        <v>185.79555028134467</v>
      </c>
      <c r="G1405" s="14">
        <v>57.062502708122928</v>
      </c>
      <c r="H1405" s="24" t="str">
        <f t="shared" si="201"/>
        <v>SPSP</v>
      </c>
      <c r="I1405" s="24" t="str">
        <f t="shared" si="209"/>
        <v>SPMG</v>
      </c>
      <c r="J1405" s="24" t="str">
        <f t="shared" si="209"/>
        <v>SPES</v>
      </c>
      <c r="K1405" s="24" t="str">
        <f t="shared" si="209"/>
        <v>SPSC</v>
      </c>
      <c r="L1405" s="24" t="str">
        <f t="shared" si="209"/>
        <v>SPRJ</v>
      </c>
      <c r="M1405" s="24" t="str">
        <f t="shared" si="209"/>
        <v>SPPR</v>
      </c>
      <c r="N1405" s="24" t="str">
        <f t="shared" si="209"/>
        <v>SPAM</v>
      </c>
      <c r="O1405" s="24">
        <f>VLOOKUP(H1405, KM!$A:$E, 5, 0)</f>
        <v>0</v>
      </c>
      <c r="P1405" s="24">
        <f>VLOOKUP(I1405, KM!$A:$E, 5, 0)</f>
        <v>586</v>
      </c>
      <c r="Q1405" s="24">
        <f>VLOOKUP(J1405, KM!$A:$E, 5, 0)</f>
        <v>882</v>
      </c>
      <c r="R1405" s="24">
        <f>VLOOKUP(K1405, KM!$A:$E, 5, 0)</f>
        <v>705</v>
      </c>
      <c r="S1405" s="24">
        <f>VLOOKUP(L1405, KM!$A:$E, 5, 0)</f>
        <v>429</v>
      </c>
      <c r="T1405" s="24">
        <f>VLOOKUP(M1405, KM!$A:$E, 5, 0)</f>
        <v>408</v>
      </c>
      <c r="U1405" s="24">
        <f>VLOOKUP(N1405, KM!$A:$E, 5, 0)</f>
        <v>3971</v>
      </c>
      <c r="V1405" s="24">
        <f>VLOOKUP(H1405, IMPOSTO!$A:$D, 4, 0)</f>
        <v>0.18</v>
      </c>
      <c r="W1405" s="24">
        <f>VLOOKUP(I1405, IMPOSTO!$A:$D, 4, 0)</f>
        <v>0.12</v>
      </c>
      <c r="X1405" s="24">
        <f>VLOOKUP(J1405, IMPOSTO!$A:$D, 4, 0)</f>
        <v>7.0000000000000007E-2</v>
      </c>
      <c r="Y1405" s="24">
        <f>VLOOKUP(K1405, IMPOSTO!$A:$D, 4, 0)</f>
        <v>0.12</v>
      </c>
      <c r="Z1405" s="24">
        <f>VLOOKUP(L1405, IMPOSTO!$A:$D, 4, 0)</f>
        <v>0.12</v>
      </c>
      <c r="AA1405" s="24">
        <f>VLOOKUP(M1405, IMPOSTO!$A:$D, 4, 0)</f>
        <v>0.12</v>
      </c>
      <c r="AB1405" s="24">
        <f>VLOOKUP(N1405, IMPOSTO!$A:$D, 4, 0)</f>
        <v>7.0000000000000007E-2</v>
      </c>
      <c r="AC1405" s="25">
        <f t="shared" si="202"/>
        <v>69.588417936735269</v>
      </c>
      <c r="AD1405" s="25">
        <f t="shared" si="203"/>
        <v>131.43466216832152</v>
      </c>
      <c r="AE1405" s="25">
        <f t="shared" si="204"/>
        <v>156.19623947109991</v>
      </c>
      <c r="AF1405" s="25">
        <f t="shared" si="205"/>
        <v>144.95738944104878</v>
      </c>
      <c r="AG1405" s="25">
        <f t="shared" si="206"/>
        <v>113.59375307741243</v>
      </c>
      <c r="AH1405" s="25">
        <f t="shared" si="207"/>
        <v>111.20738944104879</v>
      </c>
      <c r="AI1405" s="25">
        <f t="shared" si="208"/>
        <v>488.34677710550858</v>
      </c>
    </row>
    <row r="1406" spans="1:35" ht="15.75" customHeight="1">
      <c r="A1406" s="12" t="s">
        <v>939</v>
      </c>
      <c r="B1406" s="12" t="s">
        <v>940</v>
      </c>
      <c r="C1406" s="12" t="s">
        <v>936</v>
      </c>
      <c r="D1406" s="12" t="s">
        <v>50</v>
      </c>
      <c r="E1406" s="12" t="s">
        <v>23</v>
      </c>
      <c r="F1406" s="13">
        <v>6.2406372296412433</v>
      </c>
      <c r="G1406" s="14">
        <v>170.02552452185836</v>
      </c>
      <c r="H1406" s="24" t="str">
        <f t="shared" si="201"/>
        <v>SPSP</v>
      </c>
      <c r="I1406" s="24" t="str">
        <f t="shared" si="209"/>
        <v>SPMG</v>
      </c>
      <c r="J1406" s="24" t="str">
        <f t="shared" si="209"/>
        <v>SPES</v>
      </c>
      <c r="K1406" s="24" t="str">
        <f t="shared" si="209"/>
        <v>SPSC</v>
      </c>
      <c r="L1406" s="24" t="str">
        <f t="shared" si="209"/>
        <v>SPRJ</v>
      </c>
      <c r="M1406" s="24" t="str">
        <f t="shared" si="209"/>
        <v>SPPR</v>
      </c>
      <c r="N1406" s="24" t="str">
        <f t="shared" si="209"/>
        <v>SPAM</v>
      </c>
      <c r="O1406" s="24">
        <f>VLOOKUP(H1406, KM!$A:$E, 5, 0)</f>
        <v>0</v>
      </c>
      <c r="P1406" s="24">
        <f>VLOOKUP(I1406, KM!$A:$E, 5, 0)</f>
        <v>586</v>
      </c>
      <c r="Q1406" s="24">
        <f>VLOOKUP(J1406, KM!$A:$E, 5, 0)</f>
        <v>882</v>
      </c>
      <c r="R1406" s="24">
        <f>VLOOKUP(K1406, KM!$A:$E, 5, 0)</f>
        <v>705</v>
      </c>
      <c r="S1406" s="24">
        <f>VLOOKUP(L1406, KM!$A:$E, 5, 0)</f>
        <v>429</v>
      </c>
      <c r="T1406" s="24">
        <f>VLOOKUP(M1406, KM!$A:$E, 5, 0)</f>
        <v>408</v>
      </c>
      <c r="U1406" s="24">
        <f>VLOOKUP(N1406, KM!$A:$E, 5, 0)</f>
        <v>3971</v>
      </c>
      <c r="V1406" s="24">
        <f>VLOOKUP(H1406, IMPOSTO!$A:$D, 4, 0)</f>
        <v>0.18</v>
      </c>
      <c r="W1406" s="24">
        <f>VLOOKUP(I1406, IMPOSTO!$A:$D, 4, 0)</f>
        <v>0.12</v>
      </c>
      <c r="X1406" s="24">
        <f>VLOOKUP(J1406, IMPOSTO!$A:$D, 4, 0)</f>
        <v>7.0000000000000007E-2</v>
      </c>
      <c r="Y1406" s="24">
        <f>VLOOKUP(K1406, IMPOSTO!$A:$D, 4, 0)</f>
        <v>0.12</v>
      </c>
      <c r="Z1406" s="24">
        <f>VLOOKUP(L1406, IMPOSTO!$A:$D, 4, 0)</f>
        <v>0.12</v>
      </c>
      <c r="AA1406" s="24">
        <f>VLOOKUP(M1406, IMPOSTO!$A:$D, 4, 0)</f>
        <v>0.12</v>
      </c>
      <c r="AB1406" s="24">
        <f>VLOOKUP(N1406, IMPOSTO!$A:$D, 4, 0)</f>
        <v>7.0000000000000007E-2</v>
      </c>
      <c r="AC1406" s="25">
        <f t="shared" si="202"/>
        <v>207.34820063641263</v>
      </c>
      <c r="AD1406" s="25">
        <f t="shared" si="203"/>
        <v>259.80173241120269</v>
      </c>
      <c r="AE1406" s="25">
        <f t="shared" si="204"/>
        <v>277.66185432457888</v>
      </c>
      <c r="AF1406" s="25">
        <f t="shared" si="205"/>
        <v>273.32445968392994</v>
      </c>
      <c r="AG1406" s="25">
        <f t="shared" si="206"/>
        <v>241.9608233202936</v>
      </c>
      <c r="AH1406" s="25">
        <f t="shared" si="207"/>
        <v>239.57445968392997</v>
      </c>
      <c r="AI1406" s="25">
        <f t="shared" si="208"/>
        <v>609.81239195898752</v>
      </c>
    </row>
    <row r="1407" spans="1:35" ht="15.75" customHeight="1">
      <c r="A1407" s="12" t="s">
        <v>310</v>
      </c>
      <c r="B1407" s="12" t="s">
        <v>311</v>
      </c>
      <c r="C1407" s="12" t="s">
        <v>135</v>
      </c>
      <c r="D1407" s="12" t="s">
        <v>33</v>
      </c>
      <c r="E1407" s="12" t="s">
        <v>23</v>
      </c>
      <c r="F1407" s="13">
        <v>42822.864000000016</v>
      </c>
      <c r="G1407" s="14">
        <v>1684893.5029470325</v>
      </c>
      <c r="H1407" s="24" t="str">
        <f t="shared" si="201"/>
        <v>SPSP</v>
      </c>
      <c r="I1407" s="24" t="str">
        <f t="shared" si="209"/>
        <v>SPMG</v>
      </c>
      <c r="J1407" s="24" t="str">
        <f t="shared" si="209"/>
        <v>SPES</v>
      </c>
      <c r="K1407" s="24" t="str">
        <f t="shared" si="209"/>
        <v>SPSC</v>
      </c>
      <c r="L1407" s="24" t="str">
        <f t="shared" si="209"/>
        <v>SPRJ</v>
      </c>
      <c r="M1407" s="24" t="str">
        <f t="shared" si="209"/>
        <v>SPPR</v>
      </c>
      <c r="N1407" s="24" t="str">
        <f t="shared" si="209"/>
        <v>SPAM</v>
      </c>
      <c r="O1407" s="24">
        <f>VLOOKUP(H1407, KM!$A:$E, 5, 0)</f>
        <v>0</v>
      </c>
      <c r="P1407" s="24">
        <f>VLOOKUP(I1407, KM!$A:$E, 5, 0)</f>
        <v>586</v>
      </c>
      <c r="Q1407" s="24">
        <f>VLOOKUP(J1407, KM!$A:$E, 5, 0)</f>
        <v>882</v>
      </c>
      <c r="R1407" s="24">
        <f>VLOOKUP(K1407, KM!$A:$E, 5, 0)</f>
        <v>705</v>
      </c>
      <c r="S1407" s="24">
        <f>VLOOKUP(L1407, KM!$A:$E, 5, 0)</f>
        <v>429</v>
      </c>
      <c r="T1407" s="24">
        <f>VLOOKUP(M1407, KM!$A:$E, 5, 0)</f>
        <v>408</v>
      </c>
      <c r="U1407" s="24">
        <f>VLOOKUP(N1407, KM!$A:$E, 5, 0)</f>
        <v>3971</v>
      </c>
      <c r="V1407" s="24">
        <f>VLOOKUP(H1407, IMPOSTO!$A:$D, 4, 0)</f>
        <v>0.18</v>
      </c>
      <c r="W1407" s="24">
        <f>VLOOKUP(I1407, IMPOSTO!$A:$D, 4, 0)</f>
        <v>0.12</v>
      </c>
      <c r="X1407" s="24">
        <f>VLOOKUP(J1407, IMPOSTO!$A:$D, 4, 0)</f>
        <v>7.0000000000000007E-2</v>
      </c>
      <c r="Y1407" s="24">
        <f>VLOOKUP(K1407, IMPOSTO!$A:$D, 4, 0)</f>
        <v>0.12</v>
      </c>
      <c r="Z1407" s="24">
        <f>VLOOKUP(L1407, IMPOSTO!$A:$D, 4, 0)</f>
        <v>0.12</v>
      </c>
      <c r="AA1407" s="24">
        <f>VLOOKUP(M1407, IMPOSTO!$A:$D, 4, 0)</f>
        <v>0.12</v>
      </c>
      <c r="AB1407" s="24">
        <f>VLOOKUP(N1407, IMPOSTO!$A:$D, 4, 0)</f>
        <v>7.0000000000000007E-2</v>
      </c>
      <c r="AC1407" s="25">
        <f t="shared" si="202"/>
        <v>2054748.1743256492</v>
      </c>
      <c r="AD1407" s="25">
        <f t="shared" si="203"/>
        <v>1914718.2988034461</v>
      </c>
      <c r="AE1407" s="25">
        <f t="shared" si="204"/>
        <v>1811808.2827387447</v>
      </c>
      <c r="AF1407" s="25">
        <f t="shared" si="205"/>
        <v>1914731.8215307186</v>
      </c>
      <c r="AG1407" s="25">
        <f t="shared" si="206"/>
        <v>1914700.4578943551</v>
      </c>
      <c r="AH1407" s="25">
        <f t="shared" si="207"/>
        <v>1914698.0715307188</v>
      </c>
      <c r="AI1407" s="25">
        <f t="shared" si="208"/>
        <v>1812140.4332763792</v>
      </c>
    </row>
    <row r="1408" spans="1:35" ht="15.75" customHeight="1">
      <c r="A1408" s="12" t="s">
        <v>245</v>
      </c>
      <c r="B1408" s="12" t="s">
        <v>246</v>
      </c>
      <c r="C1408" s="12" t="s">
        <v>60</v>
      </c>
      <c r="D1408" s="12" t="s">
        <v>50</v>
      </c>
      <c r="E1408" s="12" t="s">
        <v>23</v>
      </c>
      <c r="F1408" s="13">
        <v>20222.407200000009</v>
      </c>
      <c r="G1408" s="14">
        <v>469890.95915112842</v>
      </c>
      <c r="H1408" s="24" t="str">
        <f t="shared" si="201"/>
        <v>SPSP</v>
      </c>
      <c r="I1408" s="24" t="str">
        <f t="shared" si="209"/>
        <v>SPMG</v>
      </c>
      <c r="J1408" s="24" t="str">
        <f t="shared" si="209"/>
        <v>SPES</v>
      </c>
      <c r="K1408" s="24" t="str">
        <f t="shared" si="209"/>
        <v>SPSC</v>
      </c>
      <c r="L1408" s="24" t="str">
        <f t="shared" si="209"/>
        <v>SPRJ</v>
      </c>
      <c r="M1408" s="24" t="str">
        <f t="shared" si="209"/>
        <v>SPPR</v>
      </c>
      <c r="N1408" s="24" t="str">
        <f t="shared" si="209"/>
        <v>SPAM</v>
      </c>
      <c r="O1408" s="24">
        <f>VLOOKUP(H1408, KM!$A:$E, 5, 0)</f>
        <v>0</v>
      </c>
      <c r="P1408" s="24">
        <f>VLOOKUP(I1408, KM!$A:$E, 5, 0)</f>
        <v>586</v>
      </c>
      <c r="Q1408" s="24">
        <f>VLOOKUP(J1408, KM!$A:$E, 5, 0)</f>
        <v>882</v>
      </c>
      <c r="R1408" s="24">
        <f>VLOOKUP(K1408, KM!$A:$E, 5, 0)</f>
        <v>705</v>
      </c>
      <c r="S1408" s="24">
        <f>VLOOKUP(L1408, KM!$A:$E, 5, 0)</f>
        <v>429</v>
      </c>
      <c r="T1408" s="24">
        <f>VLOOKUP(M1408, KM!$A:$E, 5, 0)</f>
        <v>408</v>
      </c>
      <c r="U1408" s="24">
        <f>VLOOKUP(N1408, KM!$A:$E, 5, 0)</f>
        <v>3971</v>
      </c>
      <c r="V1408" s="24">
        <f>VLOOKUP(H1408, IMPOSTO!$A:$D, 4, 0)</f>
        <v>0.18</v>
      </c>
      <c r="W1408" s="24">
        <f>VLOOKUP(I1408, IMPOSTO!$A:$D, 4, 0)</f>
        <v>0.12</v>
      </c>
      <c r="X1408" s="24">
        <f>VLOOKUP(J1408, IMPOSTO!$A:$D, 4, 0)</f>
        <v>7.0000000000000007E-2</v>
      </c>
      <c r="Y1408" s="24">
        <f>VLOOKUP(K1408, IMPOSTO!$A:$D, 4, 0)</f>
        <v>0.12</v>
      </c>
      <c r="Z1408" s="24">
        <f>VLOOKUP(L1408, IMPOSTO!$A:$D, 4, 0)</f>
        <v>0.12</v>
      </c>
      <c r="AA1408" s="24">
        <f>VLOOKUP(M1408, IMPOSTO!$A:$D, 4, 0)</f>
        <v>0.12</v>
      </c>
      <c r="AB1408" s="24">
        <f>VLOOKUP(N1408, IMPOSTO!$A:$D, 4, 0)</f>
        <v>7.0000000000000007E-2</v>
      </c>
      <c r="AC1408" s="25">
        <f t="shared" si="202"/>
        <v>573037.7550623517</v>
      </c>
      <c r="AD1408" s="25">
        <f t="shared" si="203"/>
        <v>534033.58994446404</v>
      </c>
      <c r="AE1408" s="25">
        <f t="shared" si="204"/>
        <v>505353.93457110587</v>
      </c>
      <c r="AF1408" s="25">
        <f t="shared" si="205"/>
        <v>534047.11267173686</v>
      </c>
      <c r="AG1408" s="25">
        <f t="shared" si="206"/>
        <v>534015.74903537321</v>
      </c>
      <c r="AH1408" s="25">
        <f t="shared" si="207"/>
        <v>534013.36267173686</v>
      </c>
      <c r="AI1408" s="25">
        <f t="shared" si="208"/>
        <v>505686.08510874026</v>
      </c>
    </row>
    <row r="1409" spans="1:35" ht="15.75" customHeight="1">
      <c r="A1409" s="12" t="s">
        <v>872</v>
      </c>
      <c r="B1409" s="12" t="s">
        <v>873</v>
      </c>
      <c r="C1409" s="12" t="s">
        <v>181</v>
      </c>
      <c r="D1409" s="12" t="s">
        <v>33</v>
      </c>
      <c r="E1409" s="12" t="s">
        <v>23</v>
      </c>
      <c r="F1409" s="13">
        <v>9341.0333999999966</v>
      </c>
      <c r="G1409" s="14">
        <v>105640.04882112352</v>
      </c>
      <c r="H1409" s="24" t="str">
        <f t="shared" si="201"/>
        <v>SPSP</v>
      </c>
      <c r="I1409" s="24" t="str">
        <f t="shared" si="209"/>
        <v>SPMG</v>
      </c>
      <c r="J1409" s="24" t="str">
        <f t="shared" si="209"/>
        <v>SPES</v>
      </c>
      <c r="K1409" s="24" t="str">
        <f t="shared" si="209"/>
        <v>SPSC</v>
      </c>
      <c r="L1409" s="24" t="str">
        <f t="shared" si="209"/>
        <v>SPRJ</v>
      </c>
      <c r="M1409" s="24" t="str">
        <f t="shared" si="209"/>
        <v>SPPR</v>
      </c>
      <c r="N1409" s="24" t="str">
        <f t="shared" si="209"/>
        <v>SPAM</v>
      </c>
      <c r="O1409" s="24">
        <f>VLOOKUP(H1409, KM!$A:$E, 5, 0)</f>
        <v>0</v>
      </c>
      <c r="P1409" s="24">
        <f>VLOOKUP(I1409, KM!$A:$E, 5, 0)</f>
        <v>586</v>
      </c>
      <c r="Q1409" s="24">
        <f>VLOOKUP(J1409, KM!$A:$E, 5, 0)</f>
        <v>882</v>
      </c>
      <c r="R1409" s="24">
        <f>VLOOKUP(K1409, KM!$A:$E, 5, 0)</f>
        <v>705</v>
      </c>
      <c r="S1409" s="24">
        <f>VLOOKUP(L1409, KM!$A:$E, 5, 0)</f>
        <v>429</v>
      </c>
      <c r="T1409" s="24">
        <f>VLOOKUP(M1409, KM!$A:$E, 5, 0)</f>
        <v>408</v>
      </c>
      <c r="U1409" s="24">
        <f>VLOOKUP(N1409, KM!$A:$E, 5, 0)</f>
        <v>3971</v>
      </c>
      <c r="V1409" s="24">
        <f>VLOOKUP(H1409, IMPOSTO!$A:$D, 4, 0)</f>
        <v>0.18</v>
      </c>
      <c r="W1409" s="24">
        <f>VLOOKUP(I1409, IMPOSTO!$A:$D, 4, 0)</f>
        <v>0.12</v>
      </c>
      <c r="X1409" s="24">
        <f>VLOOKUP(J1409, IMPOSTO!$A:$D, 4, 0)</f>
        <v>7.0000000000000007E-2</v>
      </c>
      <c r="Y1409" s="24">
        <f>VLOOKUP(K1409, IMPOSTO!$A:$D, 4, 0)</f>
        <v>0.12</v>
      </c>
      <c r="Z1409" s="24">
        <f>VLOOKUP(L1409, IMPOSTO!$A:$D, 4, 0)</f>
        <v>0.12</v>
      </c>
      <c r="AA1409" s="24">
        <f>VLOOKUP(M1409, IMPOSTO!$A:$D, 4, 0)</f>
        <v>0.12</v>
      </c>
      <c r="AB1409" s="24">
        <f>VLOOKUP(N1409, IMPOSTO!$A:$D, 4, 0)</f>
        <v>7.0000000000000007E-2</v>
      </c>
      <c r="AC1409" s="25">
        <f t="shared" si="202"/>
        <v>128829.32783063843</v>
      </c>
      <c r="AD1409" s="25">
        <f t="shared" si="203"/>
        <v>120112.10093309492</v>
      </c>
      <c r="AE1409" s="25">
        <f t="shared" si="204"/>
        <v>113686.28905497154</v>
      </c>
      <c r="AF1409" s="25">
        <f t="shared" si="205"/>
        <v>120125.62366036764</v>
      </c>
      <c r="AG1409" s="25">
        <f t="shared" si="206"/>
        <v>120094.26002400399</v>
      </c>
      <c r="AH1409" s="25">
        <f t="shared" si="207"/>
        <v>120091.87366036764</v>
      </c>
      <c r="AI1409" s="25">
        <f t="shared" si="208"/>
        <v>114018.43959260595</v>
      </c>
    </row>
    <row r="1410" spans="1:35" ht="15.75" customHeight="1">
      <c r="A1410" s="12" t="s">
        <v>855</v>
      </c>
      <c r="B1410" s="12" t="s">
        <v>856</v>
      </c>
      <c r="C1410" s="12" t="s">
        <v>192</v>
      </c>
      <c r="D1410" s="12" t="s">
        <v>33</v>
      </c>
      <c r="E1410" s="12" t="s">
        <v>23</v>
      </c>
      <c r="F1410" s="13">
        <v>91.135999999999996</v>
      </c>
      <c r="G1410" s="14">
        <v>475.40239999999994</v>
      </c>
      <c r="H1410" s="24" t="str">
        <f t="shared" si="201"/>
        <v>SPSP</v>
      </c>
      <c r="I1410" s="24" t="str">
        <f t="shared" si="209"/>
        <v>SPMG</v>
      </c>
      <c r="J1410" s="24" t="str">
        <f t="shared" si="209"/>
        <v>SPES</v>
      </c>
      <c r="K1410" s="24" t="str">
        <f t="shared" si="209"/>
        <v>SPSC</v>
      </c>
      <c r="L1410" s="24" t="str">
        <f t="shared" si="209"/>
        <v>SPRJ</v>
      </c>
      <c r="M1410" s="24" t="str">
        <f t="shared" si="209"/>
        <v>SPPR</v>
      </c>
      <c r="N1410" s="24" t="str">
        <f t="shared" si="209"/>
        <v>SPAM</v>
      </c>
      <c r="O1410" s="24">
        <f>VLOOKUP(H1410, KM!$A:$E, 5, 0)</f>
        <v>0</v>
      </c>
      <c r="P1410" s="24">
        <f>VLOOKUP(I1410, KM!$A:$E, 5, 0)</f>
        <v>586</v>
      </c>
      <c r="Q1410" s="24">
        <f>VLOOKUP(J1410, KM!$A:$E, 5, 0)</f>
        <v>882</v>
      </c>
      <c r="R1410" s="24">
        <f>VLOOKUP(K1410, KM!$A:$E, 5, 0)</f>
        <v>705</v>
      </c>
      <c r="S1410" s="24">
        <f>VLOOKUP(L1410, KM!$A:$E, 5, 0)</f>
        <v>429</v>
      </c>
      <c r="T1410" s="24">
        <f>VLOOKUP(M1410, KM!$A:$E, 5, 0)</f>
        <v>408</v>
      </c>
      <c r="U1410" s="24">
        <f>VLOOKUP(N1410, KM!$A:$E, 5, 0)</f>
        <v>3971</v>
      </c>
      <c r="V1410" s="24">
        <f>VLOOKUP(H1410, IMPOSTO!$A:$D, 4, 0)</f>
        <v>0.18</v>
      </c>
      <c r="W1410" s="24">
        <f>VLOOKUP(I1410, IMPOSTO!$A:$D, 4, 0)</f>
        <v>0.12</v>
      </c>
      <c r="X1410" s="24">
        <f>VLOOKUP(J1410, IMPOSTO!$A:$D, 4, 0)</f>
        <v>7.0000000000000007E-2</v>
      </c>
      <c r="Y1410" s="24">
        <f>VLOOKUP(K1410, IMPOSTO!$A:$D, 4, 0)</f>
        <v>0.12</v>
      </c>
      <c r="Z1410" s="24">
        <f>VLOOKUP(L1410, IMPOSTO!$A:$D, 4, 0)</f>
        <v>0.12</v>
      </c>
      <c r="AA1410" s="24">
        <f>VLOOKUP(M1410, IMPOSTO!$A:$D, 4, 0)</f>
        <v>0.12</v>
      </c>
      <c r="AB1410" s="24">
        <f>VLOOKUP(N1410, IMPOSTO!$A:$D, 4, 0)</f>
        <v>7.0000000000000007E-2</v>
      </c>
      <c r="AC1410" s="25">
        <f t="shared" si="202"/>
        <v>579.75902439024378</v>
      </c>
      <c r="AD1410" s="25">
        <f t="shared" si="203"/>
        <v>606.82090909090903</v>
      </c>
      <c r="AE1410" s="25">
        <f t="shared" si="204"/>
        <v>606.02408602150535</v>
      </c>
      <c r="AF1410" s="25">
        <f t="shared" si="205"/>
        <v>620.34363636363628</v>
      </c>
      <c r="AG1410" s="25">
        <f t="shared" si="206"/>
        <v>588.9799999999999</v>
      </c>
      <c r="AH1410" s="25">
        <f t="shared" si="207"/>
        <v>586.59363636363628</v>
      </c>
      <c r="AI1410" s="25">
        <f t="shared" si="208"/>
        <v>938.17462365591405</v>
      </c>
    </row>
    <row r="1411" spans="1:35" ht="15.75" customHeight="1">
      <c r="A1411" s="12" t="s">
        <v>247</v>
      </c>
      <c r="B1411" s="12" t="s">
        <v>248</v>
      </c>
      <c r="C1411" s="12" t="s">
        <v>192</v>
      </c>
      <c r="D1411" s="12" t="s">
        <v>50</v>
      </c>
      <c r="E1411" s="12" t="s">
        <v>23</v>
      </c>
      <c r="F1411" s="13">
        <v>68.109589041095887</v>
      </c>
      <c r="G1411" s="14">
        <v>1893.3358972602744</v>
      </c>
      <c r="H1411" s="24" t="str">
        <f t="shared" si="201"/>
        <v>SPSP</v>
      </c>
      <c r="I1411" s="24" t="str">
        <f t="shared" si="209"/>
        <v>SPMG</v>
      </c>
      <c r="J1411" s="24" t="str">
        <f t="shared" si="209"/>
        <v>SPES</v>
      </c>
      <c r="K1411" s="24" t="str">
        <f t="shared" si="209"/>
        <v>SPSC</v>
      </c>
      <c r="L1411" s="24" t="str">
        <f t="shared" si="209"/>
        <v>SPRJ</v>
      </c>
      <c r="M1411" s="24" t="str">
        <f t="shared" si="209"/>
        <v>SPPR</v>
      </c>
      <c r="N1411" s="24" t="str">
        <f t="shared" si="209"/>
        <v>SPAM</v>
      </c>
      <c r="O1411" s="24">
        <f>VLOOKUP(H1411, KM!$A:$E, 5, 0)</f>
        <v>0</v>
      </c>
      <c r="P1411" s="24">
        <f>VLOOKUP(I1411, KM!$A:$E, 5, 0)</f>
        <v>586</v>
      </c>
      <c r="Q1411" s="24">
        <f>VLOOKUP(J1411, KM!$A:$E, 5, 0)</f>
        <v>882</v>
      </c>
      <c r="R1411" s="24">
        <f>VLOOKUP(K1411, KM!$A:$E, 5, 0)</f>
        <v>705</v>
      </c>
      <c r="S1411" s="24">
        <f>VLOOKUP(L1411, KM!$A:$E, 5, 0)</f>
        <v>429</v>
      </c>
      <c r="T1411" s="24">
        <f>VLOOKUP(M1411, KM!$A:$E, 5, 0)</f>
        <v>408</v>
      </c>
      <c r="U1411" s="24">
        <f>VLOOKUP(N1411, KM!$A:$E, 5, 0)</f>
        <v>3971</v>
      </c>
      <c r="V1411" s="24">
        <f>VLOOKUP(H1411, IMPOSTO!$A:$D, 4, 0)</f>
        <v>0.18</v>
      </c>
      <c r="W1411" s="24">
        <f>VLOOKUP(I1411, IMPOSTO!$A:$D, 4, 0)</f>
        <v>0.12</v>
      </c>
      <c r="X1411" s="24">
        <f>VLOOKUP(J1411, IMPOSTO!$A:$D, 4, 0)</f>
        <v>7.0000000000000007E-2</v>
      </c>
      <c r="Y1411" s="24">
        <f>VLOOKUP(K1411, IMPOSTO!$A:$D, 4, 0)</f>
        <v>0.12</v>
      </c>
      <c r="Z1411" s="24">
        <f>VLOOKUP(L1411, IMPOSTO!$A:$D, 4, 0)</f>
        <v>0.12</v>
      </c>
      <c r="AA1411" s="24">
        <f>VLOOKUP(M1411, IMPOSTO!$A:$D, 4, 0)</f>
        <v>0.12</v>
      </c>
      <c r="AB1411" s="24">
        <f>VLOOKUP(N1411, IMPOSTO!$A:$D, 4, 0)</f>
        <v>7.0000000000000007E-2</v>
      </c>
      <c r="AC1411" s="25">
        <f t="shared" si="202"/>
        <v>2308.9462161710662</v>
      </c>
      <c r="AD1411" s="25">
        <f t="shared" si="203"/>
        <v>2218.1089741594024</v>
      </c>
      <c r="AE1411" s="25">
        <f t="shared" si="204"/>
        <v>2130.6837604949187</v>
      </c>
      <c r="AF1411" s="25">
        <f t="shared" si="205"/>
        <v>2231.6317014321298</v>
      </c>
      <c r="AG1411" s="25">
        <f t="shared" si="206"/>
        <v>2200.2680650684938</v>
      </c>
      <c r="AH1411" s="25">
        <f t="shared" si="207"/>
        <v>2197.8817014321298</v>
      </c>
      <c r="AI1411" s="25">
        <f t="shared" si="208"/>
        <v>2462.8342981293276</v>
      </c>
    </row>
    <row r="1412" spans="1:35" ht="15.75" customHeight="1">
      <c r="A1412" s="12" t="s">
        <v>312</v>
      </c>
      <c r="B1412" s="12" t="s">
        <v>313</v>
      </c>
      <c r="C1412" s="12" t="s">
        <v>314</v>
      </c>
      <c r="D1412" s="12" t="s">
        <v>33</v>
      </c>
      <c r="E1412" s="12" t="s">
        <v>23</v>
      </c>
      <c r="F1412" s="13">
        <v>495.61731573498963</v>
      </c>
      <c r="G1412" s="14">
        <v>9347.3029253766454</v>
      </c>
      <c r="H1412" s="24" t="str">
        <f t="shared" si="201"/>
        <v>SPSP</v>
      </c>
      <c r="I1412" s="24" t="str">
        <f t="shared" si="209"/>
        <v>SPMG</v>
      </c>
      <c r="J1412" s="24" t="str">
        <f t="shared" si="209"/>
        <v>SPES</v>
      </c>
      <c r="K1412" s="24" t="str">
        <f t="shared" si="209"/>
        <v>SPSC</v>
      </c>
      <c r="L1412" s="24" t="str">
        <f t="shared" si="209"/>
        <v>SPRJ</v>
      </c>
      <c r="M1412" s="24" t="str">
        <f t="shared" si="209"/>
        <v>SPPR</v>
      </c>
      <c r="N1412" s="24" t="str">
        <f t="shared" si="209"/>
        <v>SPAM</v>
      </c>
      <c r="O1412" s="24">
        <f>VLOOKUP(H1412, KM!$A:$E, 5, 0)</f>
        <v>0</v>
      </c>
      <c r="P1412" s="24">
        <f>VLOOKUP(I1412, KM!$A:$E, 5, 0)</f>
        <v>586</v>
      </c>
      <c r="Q1412" s="24">
        <f>VLOOKUP(J1412, KM!$A:$E, 5, 0)</f>
        <v>882</v>
      </c>
      <c r="R1412" s="24">
        <f>VLOOKUP(K1412, KM!$A:$E, 5, 0)</f>
        <v>705</v>
      </c>
      <c r="S1412" s="24">
        <f>VLOOKUP(L1412, KM!$A:$E, 5, 0)</f>
        <v>429</v>
      </c>
      <c r="T1412" s="24">
        <f>VLOOKUP(M1412, KM!$A:$E, 5, 0)</f>
        <v>408</v>
      </c>
      <c r="U1412" s="24">
        <f>VLOOKUP(N1412, KM!$A:$E, 5, 0)</f>
        <v>3971</v>
      </c>
      <c r="V1412" s="24">
        <f>VLOOKUP(H1412, IMPOSTO!$A:$D, 4, 0)</f>
        <v>0.18</v>
      </c>
      <c r="W1412" s="24">
        <f>VLOOKUP(I1412, IMPOSTO!$A:$D, 4, 0)</f>
        <v>0.12</v>
      </c>
      <c r="X1412" s="24">
        <f>VLOOKUP(J1412, IMPOSTO!$A:$D, 4, 0)</f>
        <v>7.0000000000000007E-2</v>
      </c>
      <c r="Y1412" s="24">
        <f>VLOOKUP(K1412, IMPOSTO!$A:$D, 4, 0)</f>
        <v>0.12</v>
      </c>
      <c r="Z1412" s="24">
        <f>VLOOKUP(L1412, IMPOSTO!$A:$D, 4, 0)</f>
        <v>0.12</v>
      </c>
      <c r="AA1412" s="24">
        <f>VLOOKUP(M1412, IMPOSTO!$A:$D, 4, 0)</f>
        <v>0.12</v>
      </c>
      <c r="AB1412" s="24">
        <f>VLOOKUP(N1412, IMPOSTO!$A:$D, 4, 0)</f>
        <v>7.0000000000000007E-2</v>
      </c>
      <c r="AC1412" s="25">
        <f t="shared" si="202"/>
        <v>11399.149908995909</v>
      </c>
      <c r="AD1412" s="25">
        <f t="shared" si="203"/>
        <v>10688.526051564369</v>
      </c>
      <c r="AE1412" s="25">
        <f t="shared" si="204"/>
        <v>10145.70207029747</v>
      </c>
      <c r="AF1412" s="25">
        <f t="shared" si="205"/>
        <v>10702.048778837097</v>
      </c>
      <c r="AG1412" s="25">
        <f t="shared" si="206"/>
        <v>10670.68514247346</v>
      </c>
      <c r="AH1412" s="25">
        <f t="shared" si="207"/>
        <v>10668.298778837096</v>
      </c>
      <c r="AI1412" s="25">
        <f t="shared" si="208"/>
        <v>10477.852607931878</v>
      </c>
    </row>
    <row r="1413" spans="1:35" ht="15.75" customHeight="1">
      <c r="A1413" s="12" t="s">
        <v>859</v>
      </c>
      <c r="B1413" s="12" t="s">
        <v>860</v>
      </c>
      <c r="C1413" s="12" t="s">
        <v>192</v>
      </c>
      <c r="D1413" s="12" t="s">
        <v>33</v>
      </c>
      <c r="E1413" s="12" t="s">
        <v>23</v>
      </c>
      <c r="F1413" s="13">
        <v>704.47368421052636</v>
      </c>
      <c r="G1413" s="14">
        <v>10868.267763157895</v>
      </c>
      <c r="H1413" s="24" t="str">
        <f t="shared" ref="H1413:H1453" si="210">$E1413 &amp; H$17</f>
        <v>SPSP</v>
      </c>
      <c r="I1413" s="24" t="str">
        <f t="shared" si="209"/>
        <v>SPMG</v>
      </c>
      <c r="J1413" s="24" t="str">
        <f t="shared" si="209"/>
        <v>SPES</v>
      </c>
      <c r="K1413" s="24" t="str">
        <f t="shared" si="209"/>
        <v>SPSC</v>
      </c>
      <c r="L1413" s="24" t="str">
        <f t="shared" si="209"/>
        <v>SPRJ</v>
      </c>
      <c r="M1413" s="24" t="str">
        <f t="shared" si="209"/>
        <v>SPPR</v>
      </c>
      <c r="N1413" s="24" t="str">
        <f t="shared" si="209"/>
        <v>SPAM</v>
      </c>
      <c r="O1413" s="24">
        <f>VLOOKUP(H1413, KM!$A:$E, 5, 0)</f>
        <v>0</v>
      </c>
      <c r="P1413" s="24">
        <f>VLOOKUP(I1413, KM!$A:$E, 5, 0)</f>
        <v>586</v>
      </c>
      <c r="Q1413" s="24">
        <f>VLOOKUP(J1413, KM!$A:$E, 5, 0)</f>
        <v>882</v>
      </c>
      <c r="R1413" s="24">
        <f>VLOOKUP(K1413, KM!$A:$E, 5, 0)</f>
        <v>705</v>
      </c>
      <c r="S1413" s="24">
        <f>VLOOKUP(L1413, KM!$A:$E, 5, 0)</f>
        <v>429</v>
      </c>
      <c r="T1413" s="24">
        <f>VLOOKUP(M1413, KM!$A:$E, 5, 0)</f>
        <v>408</v>
      </c>
      <c r="U1413" s="24">
        <f>VLOOKUP(N1413, KM!$A:$E, 5, 0)</f>
        <v>3971</v>
      </c>
      <c r="V1413" s="24">
        <f>VLOOKUP(H1413, IMPOSTO!$A:$D, 4, 0)</f>
        <v>0.18</v>
      </c>
      <c r="W1413" s="24">
        <f>VLOOKUP(I1413, IMPOSTO!$A:$D, 4, 0)</f>
        <v>0.12</v>
      </c>
      <c r="X1413" s="24">
        <f>VLOOKUP(J1413, IMPOSTO!$A:$D, 4, 0)</f>
        <v>7.0000000000000007E-2</v>
      </c>
      <c r="Y1413" s="24">
        <f>VLOOKUP(K1413, IMPOSTO!$A:$D, 4, 0)</f>
        <v>0.12</v>
      </c>
      <c r="Z1413" s="24">
        <f>VLOOKUP(L1413, IMPOSTO!$A:$D, 4, 0)</f>
        <v>0.12</v>
      </c>
      <c r="AA1413" s="24">
        <f>VLOOKUP(M1413, IMPOSTO!$A:$D, 4, 0)</f>
        <v>0.12</v>
      </c>
      <c r="AB1413" s="24">
        <f>VLOOKUP(N1413, IMPOSTO!$A:$D, 4, 0)</f>
        <v>7.0000000000000007E-2</v>
      </c>
      <c r="AC1413" s="25">
        <f t="shared" si="202"/>
        <v>13253.985077021822</v>
      </c>
      <c r="AD1413" s="25">
        <f t="shared" si="203"/>
        <v>12416.8951854067</v>
      </c>
      <c r="AE1413" s="25">
        <f t="shared" si="204"/>
        <v>11781.148132427847</v>
      </c>
      <c r="AF1413" s="25">
        <f t="shared" si="205"/>
        <v>12430.417912679426</v>
      </c>
      <c r="AG1413" s="25">
        <f t="shared" si="206"/>
        <v>12399.05427631579</v>
      </c>
      <c r="AH1413" s="25">
        <f t="shared" si="207"/>
        <v>12396.667912679426</v>
      </c>
      <c r="AI1413" s="25">
        <f t="shared" si="208"/>
        <v>12113.298670062255</v>
      </c>
    </row>
    <row r="1414" spans="1:35" ht="15.75" customHeight="1">
      <c r="A1414" s="12" t="s">
        <v>558</v>
      </c>
      <c r="B1414" s="12" t="s">
        <v>559</v>
      </c>
      <c r="C1414" s="12" t="s">
        <v>192</v>
      </c>
      <c r="D1414" s="12" t="s">
        <v>50</v>
      </c>
      <c r="E1414" s="12" t="s">
        <v>23</v>
      </c>
      <c r="F1414" s="13">
        <v>156.8046712</v>
      </c>
      <c r="G1414" s="14">
        <v>10082.679369393334</v>
      </c>
      <c r="H1414" s="24" t="str">
        <f t="shared" si="210"/>
        <v>SPSP</v>
      </c>
      <c r="I1414" s="24" t="str">
        <f t="shared" si="209"/>
        <v>SPMG</v>
      </c>
      <c r="J1414" s="24" t="str">
        <f t="shared" si="209"/>
        <v>SPES</v>
      </c>
      <c r="K1414" s="24" t="str">
        <f t="shared" si="209"/>
        <v>SPSC</v>
      </c>
      <c r="L1414" s="24" t="str">
        <f t="shared" si="209"/>
        <v>SPRJ</v>
      </c>
      <c r="M1414" s="24" t="str">
        <f t="shared" si="209"/>
        <v>SPPR</v>
      </c>
      <c r="N1414" s="24" t="str">
        <f t="shared" si="209"/>
        <v>SPAM</v>
      </c>
      <c r="O1414" s="24">
        <f>VLOOKUP(H1414, KM!$A:$E, 5, 0)</f>
        <v>0</v>
      </c>
      <c r="P1414" s="24">
        <f>VLOOKUP(I1414, KM!$A:$E, 5, 0)</f>
        <v>586</v>
      </c>
      <c r="Q1414" s="24">
        <f>VLOOKUP(J1414, KM!$A:$E, 5, 0)</f>
        <v>882</v>
      </c>
      <c r="R1414" s="24">
        <f>VLOOKUP(K1414, KM!$A:$E, 5, 0)</f>
        <v>705</v>
      </c>
      <c r="S1414" s="24">
        <f>VLOOKUP(L1414, KM!$A:$E, 5, 0)</f>
        <v>429</v>
      </c>
      <c r="T1414" s="24">
        <f>VLOOKUP(M1414, KM!$A:$E, 5, 0)</f>
        <v>408</v>
      </c>
      <c r="U1414" s="24">
        <f>VLOOKUP(N1414, KM!$A:$E, 5, 0)</f>
        <v>3971</v>
      </c>
      <c r="V1414" s="24">
        <f>VLOOKUP(H1414, IMPOSTO!$A:$D, 4, 0)</f>
        <v>0.18</v>
      </c>
      <c r="W1414" s="24">
        <f>VLOOKUP(I1414, IMPOSTO!$A:$D, 4, 0)</f>
        <v>0.12</v>
      </c>
      <c r="X1414" s="24">
        <f>VLOOKUP(J1414, IMPOSTO!$A:$D, 4, 0)</f>
        <v>7.0000000000000007E-2</v>
      </c>
      <c r="Y1414" s="24">
        <f>VLOOKUP(K1414, IMPOSTO!$A:$D, 4, 0)</f>
        <v>0.12</v>
      </c>
      <c r="Z1414" s="24">
        <f>VLOOKUP(L1414, IMPOSTO!$A:$D, 4, 0)</f>
        <v>0.12</v>
      </c>
      <c r="AA1414" s="24">
        <f>VLOOKUP(M1414, IMPOSTO!$A:$D, 4, 0)</f>
        <v>0.12</v>
      </c>
      <c r="AB1414" s="24">
        <f>VLOOKUP(N1414, IMPOSTO!$A:$D, 4, 0)</f>
        <v>7.0000000000000007E-2</v>
      </c>
      <c r="AC1414" s="25">
        <f t="shared" si="202"/>
        <v>12295.950450479675</v>
      </c>
      <c r="AD1414" s="25">
        <f t="shared" si="203"/>
        <v>11524.181101583335</v>
      </c>
      <c r="AE1414" s="25">
        <f t="shared" si="204"/>
        <v>10936.4294294552</v>
      </c>
      <c r="AF1414" s="25">
        <f t="shared" si="205"/>
        <v>11537.703828856062</v>
      </c>
      <c r="AG1414" s="25">
        <f t="shared" si="206"/>
        <v>11506.340192492426</v>
      </c>
      <c r="AH1414" s="25">
        <f t="shared" si="207"/>
        <v>11503.95382885606</v>
      </c>
      <c r="AI1414" s="25">
        <f t="shared" si="208"/>
        <v>11268.579967089609</v>
      </c>
    </row>
    <row r="1415" spans="1:35" ht="15.75" customHeight="1">
      <c r="A1415" s="12" t="s">
        <v>558</v>
      </c>
      <c r="B1415" s="12" t="s">
        <v>559</v>
      </c>
      <c r="C1415" s="12" t="s">
        <v>192</v>
      </c>
      <c r="D1415" s="12" t="s">
        <v>50</v>
      </c>
      <c r="E1415" s="12" t="s">
        <v>23</v>
      </c>
      <c r="F1415" s="13">
        <v>180.1585584</v>
      </c>
      <c r="G1415" s="14">
        <v>11436.949046324002</v>
      </c>
      <c r="H1415" s="24" t="str">
        <f t="shared" si="210"/>
        <v>SPSP</v>
      </c>
      <c r="I1415" s="24" t="str">
        <f t="shared" si="209"/>
        <v>SPMG</v>
      </c>
      <c r="J1415" s="24" t="str">
        <f t="shared" si="209"/>
        <v>SPES</v>
      </c>
      <c r="K1415" s="24" t="str">
        <f t="shared" si="209"/>
        <v>SPSC</v>
      </c>
      <c r="L1415" s="24" t="str">
        <f t="shared" si="209"/>
        <v>SPRJ</v>
      </c>
      <c r="M1415" s="24" t="str">
        <f t="shared" si="209"/>
        <v>SPPR</v>
      </c>
      <c r="N1415" s="24" t="str">
        <f t="shared" si="209"/>
        <v>SPAM</v>
      </c>
      <c r="O1415" s="24">
        <f>VLOOKUP(H1415, KM!$A:$E, 5, 0)</f>
        <v>0</v>
      </c>
      <c r="P1415" s="24">
        <f>VLOOKUP(I1415, KM!$A:$E, 5, 0)</f>
        <v>586</v>
      </c>
      <c r="Q1415" s="24">
        <f>VLOOKUP(J1415, KM!$A:$E, 5, 0)</f>
        <v>882</v>
      </c>
      <c r="R1415" s="24">
        <f>VLOOKUP(K1415, KM!$A:$E, 5, 0)</f>
        <v>705</v>
      </c>
      <c r="S1415" s="24">
        <f>VLOOKUP(L1415, KM!$A:$E, 5, 0)</f>
        <v>429</v>
      </c>
      <c r="T1415" s="24">
        <f>VLOOKUP(M1415, KM!$A:$E, 5, 0)</f>
        <v>408</v>
      </c>
      <c r="U1415" s="24">
        <f>VLOOKUP(N1415, KM!$A:$E, 5, 0)</f>
        <v>3971</v>
      </c>
      <c r="V1415" s="24">
        <f>VLOOKUP(H1415, IMPOSTO!$A:$D, 4, 0)</f>
        <v>0.18</v>
      </c>
      <c r="W1415" s="24">
        <f>VLOOKUP(I1415, IMPOSTO!$A:$D, 4, 0)</f>
        <v>0.12</v>
      </c>
      <c r="X1415" s="24">
        <f>VLOOKUP(J1415, IMPOSTO!$A:$D, 4, 0)</f>
        <v>7.0000000000000007E-2</v>
      </c>
      <c r="Y1415" s="24">
        <f>VLOOKUP(K1415, IMPOSTO!$A:$D, 4, 0)</f>
        <v>0.12</v>
      </c>
      <c r="Z1415" s="24">
        <f>VLOOKUP(L1415, IMPOSTO!$A:$D, 4, 0)</f>
        <v>0.12</v>
      </c>
      <c r="AA1415" s="24">
        <f>VLOOKUP(M1415, IMPOSTO!$A:$D, 4, 0)</f>
        <v>0.12</v>
      </c>
      <c r="AB1415" s="24">
        <f>VLOOKUP(N1415, IMPOSTO!$A:$D, 4, 0)</f>
        <v>7.0000000000000007E-2</v>
      </c>
      <c r="AC1415" s="25">
        <f t="shared" si="202"/>
        <v>13947.498836980489</v>
      </c>
      <c r="AD1415" s="25">
        <f t="shared" si="203"/>
        <v>13063.123916277274</v>
      </c>
      <c r="AE1415" s="25">
        <f t="shared" si="204"/>
        <v>12392.63338314409</v>
      </c>
      <c r="AF1415" s="25">
        <f t="shared" si="205"/>
        <v>13076.646643550002</v>
      </c>
      <c r="AG1415" s="25">
        <f t="shared" si="206"/>
        <v>13045.283007186365</v>
      </c>
      <c r="AH1415" s="25">
        <f t="shared" si="207"/>
        <v>13042.896643550001</v>
      </c>
      <c r="AI1415" s="25">
        <f t="shared" si="208"/>
        <v>12724.783920778498</v>
      </c>
    </row>
    <row r="1416" spans="1:35" ht="15.75" customHeight="1">
      <c r="A1416" s="12" t="s">
        <v>558</v>
      </c>
      <c r="B1416" s="12" t="s">
        <v>559</v>
      </c>
      <c r="C1416" s="12" t="s">
        <v>192</v>
      </c>
      <c r="D1416" s="12" t="s">
        <v>50</v>
      </c>
      <c r="E1416" s="12" t="s">
        <v>23</v>
      </c>
      <c r="F1416" s="13">
        <v>33.362696</v>
      </c>
      <c r="G1416" s="14">
        <v>2137.9260432746664</v>
      </c>
      <c r="H1416" s="24" t="str">
        <f t="shared" si="210"/>
        <v>SPSP</v>
      </c>
      <c r="I1416" s="24" t="str">
        <f t="shared" si="209"/>
        <v>SPMG</v>
      </c>
      <c r="J1416" s="24" t="str">
        <f t="shared" si="209"/>
        <v>SPES</v>
      </c>
      <c r="K1416" s="24" t="str">
        <f t="shared" si="209"/>
        <v>SPSC</v>
      </c>
      <c r="L1416" s="24" t="str">
        <f t="shared" si="209"/>
        <v>SPRJ</v>
      </c>
      <c r="M1416" s="24" t="str">
        <f t="shared" si="209"/>
        <v>SPPR</v>
      </c>
      <c r="N1416" s="24" t="str">
        <f t="shared" si="209"/>
        <v>SPAM</v>
      </c>
      <c r="O1416" s="24">
        <f>VLOOKUP(H1416, KM!$A:$E, 5, 0)</f>
        <v>0</v>
      </c>
      <c r="P1416" s="24">
        <f>VLOOKUP(I1416, KM!$A:$E, 5, 0)</f>
        <v>586</v>
      </c>
      <c r="Q1416" s="24">
        <f>VLOOKUP(J1416, KM!$A:$E, 5, 0)</f>
        <v>882</v>
      </c>
      <c r="R1416" s="24">
        <f>VLOOKUP(K1416, KM!$A:$E, 5, 0)</f>
        <v>705</v>
      </c>
      <c r="S1416" s="24">
        <f>VLOOKUP(L1416, KM!$A:$E, 5, 0)</f>
        <v>429</v>
      </c>
      <c r="T1416" s="24">
        <f>VLOOKUP(M1416, KM!$A:$E, 5, 0)</f>
        <v>408</v>
      </c>
      <c r="U1416" s="24">
        <f>VLOOKUP(N1416, KM!$A:$E, 5, 0)</f>
        <v>3971</v>
      </c>
      <c r="V1416" s="24">
        <f>VLOOKUP(H1416, IMPOSTO!$A:$D, 4, 0)</f>
        <v>0.18</v>
      </c>
      <c r="W1416" s="24">
        <f>VLOOKUP(I1416, IMPOSTO!$A:$D, 4, 0)</f>
        <v>0.12</v>
      </c>
      <c r="X1416" s="24">
        <f>VLOOKUP(J1416, IMPOSTO!$A:$D, 4, 0)</f>
        <v>7.0000000000000007E-2</v>
      </c>
      <c r="Y1416" s="24">
        <f>VLOOKUP(K1416, IMPOSTO!$A:$D, 4, 0)</f>
        <v>0.12</v>
      </c>
      <c r="Z1416" s="24">
        <f>VLOOKUP(L1416, IMPOSTO!$A:$D, 4, 0)</f>
        <v>0.12</v>
      </c>
      <c r="AA1416" s="24">
        <f>VLOOKUP(M1416, IMPOSTO!$A:$D, 4, 0)</f>
        <v>0.12</v>
      </c>
      <c r="AB1416" s="24">
        <f>VLOOKUP(N1416, IMPOSTO!$A:$D, 4, 0)</f>
        <v>7.0000000000000007E-2</v>
      </c>
      <c r="AC1416" s="25">
        <f t="shared" si="202"/>
        <v>2607.226882042276</v>
      </c>
      <c r="AD1416" s="25">
        <f t="shared" si="203"/>
        <v>2496.0523219030301</v>
      </c>
      <c r="AE1416" s="25">
        <f t="shared" si="204"/>
        <v>2393.6839174996412</v>
      </c>
      <c r="AF1416" s="25">
        <f t="shared" si="205"/>
        <v>2509.5750491757572</v>
      </c>
      <c r="AG1416" s="25">
        <f t="shared" si="206"/>
        <v>2478.2114128121211</v>
      </c>
      <c r="AH1416" s="25">
        <f t="shared" si="207"/>
        <v>2475.8250491757576</v>
      </c>
      <c r="AI1416" s="25">
        <f t="shared" si="208"/>
        <v>2725.8344551340501</v>
      </c>
    </row>
    <row r="1417" spans="1:35" ht="15.75" customHeight="1">
      <c r="A1417" s="12" t="s">
        <v>984</v>
      </c>
      <c r="B1417" s="12" t="s">
        <v>985</v>
      </c>
      <c r="C1417" s="12" t="s">
        <v>69</v>
      </c>
      <c r="D1417" s="12" t="s">
        <v>33</v>
      </c>
      <c r="E1417" s="12" t="s">
        <v>23</v>
      </c>
      <c r="F1417" s="13">
        <v>32075.374499999994</v>
      </c>
      <c r="G1417" s="14">
        <v>420540.59093824989</v>
      </c>
      <c r="H1417" s="24" t="str">
        <f t="shared" si="210"/>
        <v>SPSP</v>
      </c>
      <c r="I1417" s="24" t="str">
        <f t="shared" si="209"/>
        <v>SPMG</v>
      </c>
      <c r="J1417" s="24" t="str">
        <f t="shared" si="209"/>
        <v>SPES</v>
      </c>
      <c r="K1417" s="24" t="str">
        <f t="shared" si="209"/>
        <v>SPSC</v>
      </c>
      <c r="L1417" s="24" t="str">
        <f t="shared" si="209"/>
        <v>SPRJ</v>
      </c>
      <c r="M1417" s="24" t="str">
        <f t="shared" si="209"/>
        <v>SPPR</v>
      </c>
      <c r="N1417" s="24" t="str">
        <f t="shared" si="209"/>
        <v>SPAM</v>
      </c>
      <c r="O1417" s="24">
        <f>VLOOKUP(H1417, KM!$A:$E, 5, 0)</f>
        <v>0</v>
      </c>
      <c r="P1417" s="24">
        <f>VLOOKUP(I1417, KM!$A:$E, 5, 0)</f>
        <v>586</v>
      </c>
      <c r="Q1417" s="24">
        <f>VLOOKUP(J1417, KM!$A:$E, 5, 0)</f>
        <v>882</v>
      </c>
      <c r="R1417" s="24">
        <f>VLOOKUP(K1417, KM!$A:$E, 5, 0)</f>
        <v>705</v>
      </c>
      <c r="S1417" s="24">
        <f>VLOOKUP(L1417, KM!$A:$E, 5, 0)</f>
        <v>429</v>
      </c>
      <c r="T1417" s="24">
        <f>VLOOKUP(M1417, KM!$A:$E, 5, 0)</f>
        <v>408</v>
      </c>
      <c r="U1417" s="24">
        <f>VLOOKUP(N1417, KM!$A:$E, 5, 0)</f>
        <v>3971</v>
      </c>
      <c r="V1417" s="24">
        <f>VLOOKUP(H1417, IMPOSTO!$A:$D, 4, 0)</f>
        <v>0.18</v>
      </c>
      <c r="W1417" s="24">
        <f>VLOOKUP(I1417, IMPOSTO!$A:$D, 4, 0)</f>
        <v>0.12</v>
      </c>
      <c r="X1417" s="24">
        <f>VLOOKUP(J1417, IMPOSTO!$A:$D, 4, 0)</f>
        <v>7.0000000000000007E-2</v>
      </c>
      <c r="Y1417" s="24">
        <f>VLOOKUP(K1417, IMPOSTO!$A:$D, 4, 0)</f>
        <v>0.12</v>
      </c>
      <c r="Z1417" s="24">
        <f>VLOOKUP(L1417, IMPOSTO!$A:$D, 4, 0)</f>
        <v>0.12</v>
      </c>
      <c r="AA1417" s="24">
        <f>VLOOKUP(M1417, IMPOSTO!$A:$D, 4, 0)</f>
        <v>0.12</v>
      </c>
      <c r="AB1417" s="24">
        <f>VLOOKUP(N1417, IMPOSTO!$A:$D, 4, 0)</f>
        <v>7.0000000000000007E-2</v>
      </c>
      <c r="AC1417" s="25">
        <f t="shared" si="202"/>
        <v>512854.37919298763</v>
      </c>
      <c r="AD1417" s="25">
        <f t="shared" si="203"/>
        <v>477953.62606619304</v>
      </c>
      <c r="AE1417" s="25">
        <f t="shared" si="204"/>
        <v>452289.02251424722</v>
      </c>
      <c r="AF1417" s="25">
        <f t="shared" si="205"/>
        <v>477967.14879346581</v>
      </c>
      <c r="AG1417" s="25">
        <f t="shared" si="206"/>
        <v>477935.78515710216</v>
      </c>
      <c r="AH1417" s="25">
        <f t="shared" si="207"/>
        <v>477933.39879346575</v>
      </c>
      <c r="AI1417" s="25">
        <f t="shared" si="208"/>
        <v>452621.1730518816</v>
      </c>
    </row>
    <row r="1418" spans="1:35" ht="15.75" customHeight="1">
      <c r="A1418" s="12" t="s">
        <v>1036</v>
      </c>
      <c r="B1418" s="12" t="s">
        <v>1037</v>
      </c>
      <c r="C1418" s="12" t="s">
        <v>143</v>
      </c>
      <c r="D1418" s="12" t="s">
        <v>33</v>
      </c>
      <c r="E1418" s="12" t="s">
        <v>23</v>
      </c>
      <c r="F1418" s="13">
        <v>1077</v>
      </c>
      <c r="G1418" s="14">
        <v>53008.591252319107</v>
      </c>
      <c r="H1418" s="24" t="str">
        <f t="shared" si="210"/>
        <v>SPSP</v>
      </c>
      <c r="I1418" s="24" t="str">
        <f t="shared" si="209"/>
        <v>SPMG</v>
      </c>
      <c r="J1418" s="24" t="str">
        <f t="shared" si="209"/>
        <v>SPES</v>
      </c>
      <c r="K1418" s="24" t="str">
        <f t="shared" si="209"/>
        <v>SPSC</v>
      </c>
      <c r="L1418" s="24" t="str">
        <f t="shared" si="209"/>
        <v>SPRJ</v>
      </c>
      <c r="M1418" s="24" t="str">
        <f t="shared" si="209"/>
        <v>SPPR</v>
      </c>
      <c r="N1418" s="24" t="str">
        <f t="shared" si="209"/>
        <v>SPAM</v>
      </c>
      <c r="O1418" s="24">
        <f>VLOOKUP(H1418, KM!$A:$E, 5, 0)</f>
        <v>0</v>
      </c>
      <c r="P1418" s="24">
        <f>VLOOKUP(I1418, KM!$A:$E, 5, 0)</f>
        <v>586</v>
      </c>
      <c r="Q1418" s="24">
        <f>VLOOKUP(J1418, KM!$A:$E, 5, 0)</f>
        <v>882</v>
      </c>
      <c r="R1418" s="24">
        <f>VLOOKUP(K1418, KM!$A:$E, 5, 0)</f>
        <v>705</v>
      </c>
      <c r="S1418" s="24">
        <f>VLOOKUP(L1418, KM!$A:$E, 5, 0)</f>
        <v>429</v>
      </c>
      <c r="T1418" s="24">
        <f>VLOOKUP(M1418, KM!$A:$E, 5, 0)</f>
        <v>408</v>
      </c>
      <c r="U1418" s="24">
        <f>VLOOKUP(N1418, KM!$A:$E, 5, 0)</f>
        <v>3971</v>
      </c>
      <c r="V1418" s="24">
        <f>VLOOKUP(H1418, IMPOSTO!$A:$D, 4, 0)</f>
        <v>0.18</v>
      </c>
      <c r="W1418" s="24">
        <f>VLOOKUP(I1418, IMPOSTO!$A:$D, 4, 0)</f>
        <v>0.12</v>
      </c>
      <c r="X1418" s="24">
        <f>VLOOKUP(J1418, IMPOSTO!$A:$D, 4, 0)</f>
        <v>7.0000000000000007E-2</v>
      </c>
      <c r="Y1418" s="24">
        <f>VLOOKUP(K1418, IMPOSTO!$A:$D, 4, 0)</f>
        <v>0.12</v>
      </c>
      <c r="Z1418" s="24">
        <f>VLOOKUP(L1418, IMPOSTO!$A:$D, 4, 0)</f>
        <v>0.12</v>
      </c>
      <c r="AA1418" s="24">
        <f>VLOOKUP(M1418, IMPOSTO!$A:$D, 4, 0)</f>
        <v>0.12</v>
      </c>
      <c r="AB1418" s="24">
        <f>VLOOKUP(N1418, IMPOSTO!$A:$D, 4, 0)</f>
        <v>7.0000000000000007E-2</v>
      </c>
      <c r="AC1418" s="25">
        <f t="shared" si="202"/>
        <v>64644.623478437934</v>
      </c>
      <c r="AD1418" s="25">
        <f t="shared" si="203"/>
        <v>60303.626423089896</v>
      </c>
      <c r="AE1418" s="25">
        <f t="shared" si="204"/>
        <v>57093.323927224847</v>
      </c>
      <c r="AF1418" s="25">
        <f t="shared" si="205"/>
        <v>60317.149150362624</v>
      </c>
      <c r="AG1418" s="25">
        <f t="shared" si="206"/>
        <v>60285.785513998984</v>
      </c>
      <c r="AH1418" s="25">
        <f t="shared" si="207"/>
        <v>60283.399150362624</v>
      </c>
      <c r="AI1418" s="25">
        <f t="shared" si="208"/>
        <v>57425.47446485926</v>
      </c>
    </row>
    <row r="1419" spans="1:35" ht="15.75" customHeight="1">
      <c r="A1419" s="12" t="s">
        <v>899</v>
      </c>
      <c r="B1419" s="12" t="s">
        <v>900</v>
      </c>
      <c r="C1419" s="12" t="s">
        <v>192</v>
      </c>
      <c r="D1419" s="12" t="s">
        <v>33</v>
      </c>
      <c r="E1419" s="12" t="s">
        <v>23</v>
      </c>
      <c r="F1419" s="13">
        <v>2.0085000000000002</v>
      </c>
      <c r="G1419" s="14">
        <v>6.9446601689189205</v>
      </c>
      <c r="H1419" s="24" t="str">
        <f t="shared" si="210"/>
        <v>SPSP</v>
      </c>
      <c r="I1419" s="24" t="str">
        <f t="shared" si="209"/>
        <v>SPMG</v>
      </c>
      <c r="J1419" s="24" t="str">
        <f t="shared" si="209"/>
        <v>SPES</v>
      </c>
      <c r="K1419" s="24" t="str">
        <f t="shared" si="209"/>
        <v>SPSC</v>
      </c>
      <c r="L1419" s="24" t="str">
        <f t="shared" si="209"/>
        <v>SPRJ</v>
      </c>
      <c r="M1419" s="24" t="str">
        <f t="shared" si="209"/>
        <v>SPPR</v>
      </c>
      <c r="N1419" s="24" t="str">
        <f t="shared" si="209"/>
        <v>SPAM</v>
      </c>
      <c r="O1419" s="24">
        <f>VLOOKUP(H1419, KM!$A:$E, 5, 0)</f>
        <v>0</v>
      </c>
      <c r="P1419" s="24">
        <f>VLOOKUP(I1419, KM!$A:$E, 5, 0)</f>
        <v>586</v>
      </c>
      <c r="Q1419" s="24">
        <f>VLOOKUP(J1419, KM!$A:$E, 5, 0)</f>
        <v>882</v>
      </c>
      <c r="R1419" s="24">
        <f>VLOOKUP(K1419, KM!$A:$E, 5, 0)</f>
        <v>705</v>
      </c>
      <c r="S1419" s="24">
        <f>VLOOKUP(L1419, KM!$A:$E, 5, 0)</f>
        <v>429</v>
      </c>
      <c r="T1419" s="24">
        <f>VLOOKUP(M1419, KM!$A:$E, 5, 0)</f>
        <v>408</v>
      </c>
      <c r="U1419" s="24">
        <f>VLOOKUP(N1419, KM!$A:$E, 5, 0)</f>
        <v>3971</v>
      </c>
      <c r="V1419" s="24">
        <f>VLOOKUP(H1419, IMPOSTO!$A:$D, 4, 0)</f>
        <v>0.18</v>
      </c>
      <c r="W1419" s="24">
        <f>VLOOKUP(I1419, IMPOSTO!$A:$D, 4, 0)</f>
        <v>0.12</v>
      </c>
      <c r="X1419" s="24">
        <f>VLOOKUP(J1419, IMPOSTO!$A:$D, 4, 0)</f>
        <v>7.0000000000000007E-2</v>
      </c>
      <c r="Y1419" s="24">
        <f>VLOOKUP(K1419, IMPOSTO!$A:$D, 4, 0)</f>
        <v>0.12</v>
      </c>
      <c r="Z1419" s="24">
        <f>VLOOKUP(L1419, IMPOSTO!$A:$D, 4, 0)</f>
        <v>0.12</v>
      </c>
      <c r="AA1419" s="24">
        <f>VLOOKUP(M1419, IMPOSTO!$A:$D, 4, 0)</f>
        <v>0.12</v>
      </c>
      <c r="AB1419" s="24">
        <f>VLOOKUP(N1419, IMPOSTO!$A:$D, 4, 0)</f>
        <v>7.0000000000000007E-2</v>
      </c>
      <c r="AC1419" s="25">
        <f t="shared" si="202"/>
        <v>8.4690977669742917</v>
      </c>
      <c r="AD1419" s="25">
        <f t="shared" si="203"/>
        <v>74.4825683737715</v>
      </c>
      <c r="AE1419" s="25">
        <f t="shared" si="204"/>
        <v>102.30608620313863</v>
      </c>
      <c r="AF1419" s="25">
        <f t="shared" si="205"/>
        <v>88.005295646498766</v>
      </c>
      <c r="AG1419" s="25">
        <f t="shared" si="206"/>
        <v>56.64165928286242</v>
      </c>
      <c r="AH1419" s="25">
        <f t="shared" si="207"/>
        <v>54.25529564649878</v>
      </c>
      <c r="AI1419" s="25">
        <f t="shared" si="208"/>
        <v>434.45662383754728</v>
      </c>
    </row>
    <row r="1420" spans="1:35" ht="15.75" customHeight="1">
      <c r="A1420" s="12" t="s">
        <v>560</v>
      </c>
      <c r="B1420" s="12" t="s">
        <v>561</v>
      </c>
      <c r="C1420" s="12" t="s">
        <v>192</v>
      </c>
      <c r="D1420" s="12" t="s">
        <v>33</v>
      </c>
      <c r="E1420" s="12" t="s">
        <v>23</v>
      </c>
      <c r="F1420" s="13">
        <v>0.96396226415094288</v>
      </c>
      <c r="G1420" s="14">
        <v>38.635543283018848</v>
      </c>
      <c r="H1420" s="24" t="str">
        <f t="shared" si="210"/>
        <v>SPSP</v>
      </c>
      <c r="I1420" s="24" t="str">
        <f t="shared" si="209"/>
        <v>SPMG</v>
      </c>
      <c r="J1420" s="24" t="str">
        <f t="shared" si="209"/>
        <v>SPES</v>
      </c>
      <c r="K1420" s="24" t="str">
        <f t="shared" si="209"/>
        <v>SPSC</v>
      </c>
      <c r="L1420" s="24" t="str">
        <f t="shared" si="209"/>
        <v>SPRJ</v>
      </c>
      <c r="M1420" s="24" t="str">
        <f t="shared" si="209"/>
        <v>SPPR</v>
      </c>
      <c r="N1420" s="24" t="str">
        <f t="shared" si="209"/>
        <v>SPAM</v>
      </c>
      <c r="O1420" s="24">
        <f>VLOOKUP(H1420, KM!$A:$E, 5, 0)</f>
        <v>0</v>
      </c>
      <c r="P1420" s="24">
        <f>VLOOKUP(I1420, KM!$A:$E, 5, 0)</f>
        <v>586</v>
      </c>
      <c r="Q1420" s="24">
        <f>VLOOKUP(J1420, KM!$A:$E, 5, 0)</f>
        <v>882</v>
      </c>
      <c r="R1420" s="24">
        <f>VLOOKUP(K1420, KM!$A:$E, 5, 0)</f>
        <v>705</v>
      </c>
      <c r="S1420" s="24">
        <f>VLOOKUP(L1420, KM!$A:$E, 5, 0)</f>
        <v>429</v>
      </c>
      <c r="T1420" s="24">
        <f>VLOOKUP(M1420, KM!$A:$E, 5, 0)</f>
        <v>408</v>
      </c>
      <c r="U1420" s="24">
        <f>VLOOKUP(N1420, KM!$A:$E, 5, 0)</f>
        <v>3971</v>
      </c>
      <c r="V1420" s="24">
        <f>VLOOKUP(H1420, IMPOSTO!$A:$D, 4, 0)</f>
        <v>0.18</v>
      </c>
      <c r="W1420" s="24">
        <f>VLOOKUP(I1420, IMPOSTO!$A:$D, 4, 0)</f>
        <v>0.12</v>
      </c>
      <c r="X1420" s="24">
        <f>VLOOKUP(J1420, IMPOSTO!$A:$D, 4, 0)</f>
        <v>7.0000000000000007E-2</v>
      </c>
      <c r="Y1420" s="24">
        <f>VLOOKUP(K1420, IMPOSTO!$A:$D, 4, 0)</f>
        <v>0.12</v>
      </c>
      <c r="Z1420" s="24">
        <f>VLOOKUP(L1420, IMPOSTO!$A:$D, 4, 0)</f>
        <v>0.12</v>
      </c>
      <c r="AA1420" s="24">
        <f>VLOOKUP(M1420, IMPOSTO!$A:$D, 4, 0)</f>
        <v>0.12</v>
      </c>
      <c r="AB1420" s="24">
        <f>VLOOKUP(N1420, IMPOSTO!$A:$D, 4, 0)</f>
        <v>7.0000000000000007E-2</v>
      </c>
      <c r="AC1420" s="25">
        <f t="shared" si="202"/>
        <v>47.116516198803467</v>
      </c>
      <c r="AD1420" s="25">
        <f t="shared" si="203"/>
        <v>110.49493554888505</v>
      </c>
      <c r="AE1420" s="25">
        <f t="shared" si="204"/>
        <v>136.38230460539663</v>
      </c>
      <c r="AF1420" s="25">
        <f t="shared" si="205"/>
        <v>124.01766282161233</v>
      </c>
      <c r="AG1420" s="25">
        <f t="shared" si="206"/>
        <v>92.654026457975974</v>
      </c>
      <c r="AH1420" s="25">
        <f t="shared" si="207"/>
        <v>90.267662821612333</v>
      </c>
      <c r="AI1420" s="25">
        <f t="shared" si="208"/>
        <v>468.53284223980523</v>
      </c>
    </row>
    <row r="1421" spans="1:35" ht="15.75" customHeight="1">
      <c r="A1421" s="12" t="s">
        <v>866</v>
      </c>
      <c r="B1421" s="12" t="s">
        <v>867</v>
      </c>
      <c r="C1421" s="12" t="s">
        <v>205</v>
      </c>
      <c r="D1421" s="12" t="s">
        <v>33</v>
      </c>
      <c r="E1421" s="12" t="s">
        <v>23</v>
      </c>
      <c r="F1421" s="13">
        <v>28.022305235261769</v>
      </c>
      <c r="G1421" s="14">
        <v>1873.7584002614133</v>
      </c>
      <c r="H1421" s="24" t="str">
        <f t="shared" si="210"/>
        <v>SPSP</v>
      </c>
      <c r="I1421" s="24" t="str">
        <f t="shared" si="209"/>
        <v>SPMG</v>
      </c>
      <c r="J1421" s="24" t="str">
        <f t="shared" si="209"/>
        <v>SPES</v>
      </c>
      <c r="K1421" s="24" t="str">
        <f t="shared" si="209"/>
        <v>SPSC</v>
      </c>
      <c r="L1421" s="24" t="str">
        <f t="shared" si="209"/>
        <v>SPRJ</v>
      </c>
      <c r="M1421" s="24" t="str">
        <f t="shared" si="209"/>
        <v>SPPR</v>
      </c>
      <c r="N1421" s="24" t="str">
        <f t="shared" si="209"/>
        <v>SPAM</v>
      </c>
      <c r="O1421" s="24">
        <f>VLOOKUP(H1421, KM!$A:$E, 5, 0)</f>
        <v>0</v>
      </c>
      <c r="P1421" s="24">
        <f>VLOOKUP(I1421, KM!$A:$E, 5, 0)</f>
        <v>586</v>
      </c>
      <c r="Q1421" s="24">
        <f>VLOOKUP(J1421, KM!$A:$E, 5, 0)</f>
        <v>882</v>
      </c>
      <c r="R1421" s="24">
        <f>VLOOKUP(K1421, KM!$A:$E, 5, 0)</f>
        <v>705</v>
      </c>
      <c r="S1421" s="24">
        <f>VLOOKUP(L1421, KM!$A:$E, 5, 0)</f>
        <v>429</v>
      </c>
      <c r="T1421" s="24">
        <f>VLOOKUP(M1421, KM!$A:$E, 5, 0)</f>
        <v>408</v>
      </c>
      <c r="U1421" s="24">
        <f>VLOOKUP(N1421, KM!$A:$E, 5, 0)</f>
        <v>3971</v>
      </c>
      <c r="V1421" s="24">
        <f>VLOOKUP(H1421, IMPOSTO!$A:$D, 4, 0)</f>
        <v>0.18</v>
      </c>
      <c r="W1421" s="24">
        <f>VLOOKUP(I1421, IMPOSTO!$A:$D, 4, 0)</f>
        <v>0.12</v>
      </c>
      <c r="X1421" s="24">
        <f>VLOOKUP(J1421, IMPOSTO!$A:$D, 4, 0)</f>
        <v>7.0000000000000007E-2</v>
      </c>
      <c r="Y1421" s="24">
        <f>VLOOKUP(K1421, IMPOSTO!$A:$D, 4, 0)</f>
        <v>0.12</v>
      </c>
      <c r="Z1421" s="24">
        <f>VLOOKUP(L1421, IMPOSTO!$A:$D, 4, 0)</f>
        <v>0.12</v>
      </c>
      <c r="AA1421" s="24">
        <f>VLOOKUP(M1421, IMPOSTO!$A:$D, 4, 0)</f>
        <v>0.12</v>
      </c>
      <c r="AB1421" s="24">
        <f>VLOOKUP(N1421, IMPOSTO!$A:$D, 4, 0)</f>
        <v>7.0000000000000007E-2</v>
      </c>
      <c r="AC1421" s="25">
        <f t="shared" si="202"/>
        <v>2285.0712198309916</v>
      </c>
      <c r="AD1421" s="25">
        <f t="shared" si="203"/>
        <v>2195.8618184788784</v>
      </c>
      <c r="AE1421" s="25">
        <f t="shared" si="204"/>
        <v>2109.6326884531327</v>
      </c>
      <c r="AF1421" s="25">
        <f t="shared" si="205"/>
        <v>2209.3845457516059</v>
      </c>
      <c r="AG1421" s="25">
        <f t="shared" si="206"/>
        <v>2178.0209093879698</v>
      </c>
      <c r="AH1421" s="25">
        <f t="shared" si="207"/>
        <v>2175.6345457516059</v>
      </c>
      <c r="AI1421" s="25">
        <f t="shared" si="208"/>
        <v>2441.7832260875416</v>
      </c>
    </row>
    <row r="1422" spans="1:35" ht="15.75" customHeight="1">
      <c r="A1422" s="12" t="s">
        <v>866</v>
      </c>
      <c r="B1422" s="12" t="s">
        <v>867</v>
      </c>
      <c r="C1422" s="12" t="s">
        <v>205</v>
      </c>
      <c r="D1422" s="12" t="s">
        <v>33</v>
      </c>
      <c r="E1422" s="12" t="s">
        <v>23</v>
      </c>
      <c r="F1422" s="13">
        <v>4.5328866443322173E-2</v>
      </c>
      <c r="G1422" s="14">
        <v>2.9846565465273258</v>
      </c>
      <c r="H1422" s="24" t="str">
        <f t="shared" si="210"/>
        <v>SPSP</v>
      </c>
      <c r="I1422" s="24" t="str">
        <f t="shared" si="209"/>
        <v>SPMG</v>
      </c>
      <c r="J1422" s="24" t="str">
        <f t="shared" si="209"/>
        <v>SPES</v>
      </c>
      <c r="K1422" s="24" t="str">
        <f t="shared" si="209"/>
        <v>SPSC</v>
      </c>
      <c r="L1422" s="24" t="str">
        <f t="shared" si="209"/>
        <v>SPRJ</v>
      </c>
      <c r="M1422" s="24" t="str">
        <f t="shared" si="209"/>
        <v>SPPR</v>
      </c>
      <c r="N1422" s="24" t="str">
        <f t="shared" si="209"/>
        <v>SPAM</v>
      </c>
      <c r="O1422" s="24">
        <f>VLOOKUP(H1422, KM!$A:$E, 5, 0)</f>
        <v>0</v>
      </c>
      <c r="P1422" s="24">
        <f>VLOOKUP(I1422, KM!$A:$E, 5, 0)</f>
        <v>586</v>
      </c>
      <c r="Q1422" s="24">
        <f>VLOOKUP(J1422, KM!$A:$E, 5, 0)</f>
        <v>882</v>
      </c>
      <c r="R1422" s="24">
        <f>VLOOKUP(K1422, KM!$A:$E, 5, 0)</f>
        <v>705</v>
      </c>
      <c r="S1422" s="24">
        <f>VLOOKUP(L1422, KM!$A:$E, 5, 0)</f>
        <v>429</v>
      </c>
      <c r="T1422" s="24">
        <f>VLOOKUP(M1422, KM!$A:$E, 5, 0)</f>
        <v>408</v>
      </c>
      <c r="U1422" s="24">
        <f>VLOOKUP(N1422, KM!$A:$E, 5, 0)</f>
        <v>3971</v>
      </c>
      <c r="V1422" s="24">
        <f>VLOOKUP(H1422, IMPOSTO!$A:$D, 4, 0)</f>
        <v>0.18</v>
      </c>
      <c r="W1422" s="24">
        <f>VLOOKUP(I1422, IMPOSTO!$A:$D, 4, 0)</f>
        <v>0.12</v>
      </c>
      <c r="X1422" s="24">
        <f>VLOOKUP(J1422, IMPOSTO!$A:$D, 4, 0)</f>
        <v>7.0000000000000007E-2</v>
      </c>
      <c r="Y1422" s="24">
        <f>VLOOKUP(K1422, IMPOSTO!$A:$D, 4, 0)</f>
        <v>0.12</v>
      </c>
      <c r="Z1422" s="24">
        <f>VLOOKUP(L1422, IMPOSTO!$A:$D, 4, 0)</f>
        <v>0.12</v>
      </c>
      <c r="AA1422" s="24">
        <f>VLOOKUP(M1422, IMPOSTO!$A:$D, 4, 0)</f>
        <v>0.12</v>
      </c>
      <c r="AB1422" s="24">
        <f>VLOOKUP(N1422, IMPOSTO!$A:$D, 4, 0)</f>
        <v>7.0000000000000007E-2</v>
      </c>
      <c r="AC1422" s="25">
        <f t="shared" si="202"/>
        <v>3.6398250567406412</v>
      </c>
      <c r="AD1422" s="25">
        <f t="shared" si="203"/>
        <v>69.982564257417422</v>
      </c>
      <c r="AE1422" s="25">
        <f t="shared" si="204"/>
        <v>98.048017791964867</v>
      </c>
      <c r="AF1422" s="25">
        <f t="shared" si="205"/>
        <v>83.505291530144703</v>
      </c>
      <c r="AG1422" s="25">
        <f t="shared" si="206"/>
        <v>52.141655166508329</v>
      </c>
      <c r="AH1422" s="25">
        <f t="shared" si="207"/>
        <v>49.755291530144696</v>
      </c>
      <c r="AI1422" s="25">
        <f t="shared" si="208"/>
        <v>430.1985554263735</v>
      </c>
    </row>
    <row r="1423" spans="1:35" ht="15.75" customHeight="1">
      <c r="A1423" s="12" t="s">
        <v>907</v>
      </c>
      <c r="B1423" s="12" t="s">
        <v>908</v>
      </c>
      <c r="C1423" s="12" t="s">
        <v>160</v>
      </c>
      <c r="D1423" s="12" t="s">
        <v>33</v>
      </c>
      <c r="E1423" s="12" t="s">
        <v>23</v>
      </c>
      <c r="F1423" s="13">
        <v>416.94119999999981</v>
      </c>
      <c r="G1423" s="14">
        <v>3115.0218840000007</v>
      </c>
      <c r="H1423" s="24" t="str">
        <f t="shared" si="210"/>
        <v>SPSP</v>
      </c>
      <c r="I1423" s="24" t="str">
        <f t="shared" si="209"/>
        <v>SPMG</v>
      </c>
      <c r="J1423" s="24" t="str">
        <f t="shared" si="209"/>
        <v>SPES</v>
      </c>
      <c r="K1423" s="24" t="str">
        <f t="shared" si="209"/>
        <v>SPSC</v>
      </c>
      <c r="L1423" s="24" t="str">
        <f t="shared" si="209"/>
        <v>SPRJ</v>
      </c>
      <c r="M1423" s="24" t="str">
        <f t="shared" si="209"/>
        <v>SPPR</v>
      </c>
      <c r="N1423" s="24" t="str">
        <f t="shared" si="209"/>
        <v>SPAM</v>
      </c>
      <c r="O1423" s="24">
        <f>VLOOKUP(H1423, KM!$A:$E, 5, 0)</f>
        <v>0</v>
      </c>
      <c r="P1423" s="24">
        <f>VLOOKUP(I1423, KM!$A:$E, 5, 0)</f>
        <v>586</v>
      </c>
      <c r="Q1423" s="24">
        <f>VLOOKUP(J1423, KM!$A:$E, 5, 0)</f>
        <v>882</v>
      </c>
      <c r="R1423" s="24">
        <f>VLOOKUP(K1423, KM!$A:$E, 5, 0)</f>
        <v>705</v>
      </c>
      <c r="S1423" s="24">
        <f>VLOOKUP(L1423, KM!$A:$E, 5, 0)</f>
        <v>429</v>
      </c>
      <c r="T1423" s="24">
        <f>VLOOKUP(M1423, KM!$A:$E, 5, 0)</f>
        <v>408</v>
      </c>
      <c r="U1423" s="24">
        <f>VLOOKUP(N1423, KM!$A:$E, 5, 0)</f>
        <v>3971</v>
      </c>
      <c r="V1423" s="24">
        <f>VLOOKUP(H1423, IMPOSTO!$A:$D, 4, 0)</f>
        <v>0.18</v>
      </c>
      <c r="W1423" s="24">
        <f>VLOOKUP(I1423, IMPOSTO!$A:$D, 4, 0)</f>
        <v>0.12</v>
      </c>
      <c r="X1423" s="24">
        <f>VLOOKUP(J1423, IMPOSTO!$A:$D, 4, 0)</f>
        <v>7.0000000000000007E-2</v>
      </c>
      <c r="Y1423" s="24">
        <f>VLOOKUP(K1423, IMPOSTO!$A:$D, 4, 0)</f>
        <v>0.12</v>
      </c>
      <c r="Z1423" s="24">
        <f>VLOOKUP(L1423, IMPOSTO!$A:$D, 4, 0)</f>
        <v>0.12</v>
      </c>
      <c r="AA1423" s="24">
        <f>VLOOKUP(M1423, IMPOSTO!$A:$D, 4, 0)</f>
        <v>0.12</v>
      </c>
      <c r="AB1423" s="24">
        <f>VLOOKUP(N1423, IMPOSTO!$A:$D, 4, 0)</f>
        <v>7.0000000000000007E-2</v>
      </c>
      <c r="AC1423" s="25">
        <f t="shared" si="202"/>
        <v>3798.8071756097565</v>
      </c>
      <c r="AD1423" s="25">
        <f t="shared" si="203"/>
        <v>3606.3885045454554</v>
      </c>
      <c r="AE1423" s="25">
        <f t="shared" si="204"/>
        <v>3444.3246064516138</v>
      </c>
      <c r="AF1423" s="25">
        <f t="shared" si="205"/>
        <v>3619.9112318181824</v>
      </c>
      <c r="AG1423" s="25">
        <f t="shared" si="206"/>
        <v>3588.5475954545464</v>
      </c>
      <c r="AH1423" s="25">
        <f t="shared" si="207"/>
        <v>3586.1612318181828</v>
      </c>
      <c r="AI1423" s="25">
        <f t="shared" si="208"/>
        <v>3776.4751440860223</v>
      </c>
    </row>
    <row r="1424" spans="1:35" ht="15.75" customHeight="1">
      <c r="A1424" s="12" t="s">
        <v>909</v>
      </c>
      <c r="B1424" s="12" t="s">
        <v>910</v>
      </c>
      <c r="C1424" s="12" t="s">
        <v>160</v>
      </c>
      <c r="D1424" s="12" t="s">
        <v>33</v>
      </c>
      <c r="E1424" s="12" t="s">
        <v>23</v>
      </c>
      <c r="F1424" s="13">
        <v>198.98360000000008</v>
      </c>
      <c r="G1424" s="14">
        <v>3777.098628297299</v>
      </c>
      <c r="H1424" s="24" t="str">
        <f t="shared" si="210"/>
        <v>SPSP</v>
      </c>
      <c r="I1424" s="24" t="str">
        <f t="shared" si="209"/>
        <v>SPMG</v>
      </c>
      <c r="J1424" s="24" t="str">
        <f t="shared" si="209"/>
        <v>SPES</v>
      </c>
      <c r="K1424" s="24" t="str">
        <f t="shared" si="209"/>
        <v>SPSC</v>
      </c>
      <c r="L1424" s="24" t="str">
        <f t="shared" si="209"/>
        <v>SPRJ</v>
      </c>
      <c r="M1424" s="24" t="str">
        <f t="shared" si="209"/>
        <v>SPPR</v>
      </c>
      <c r="N1424" s="24" t="str">
        <f t="shared" si="209"/>
        <v>SPAM</v>
      </c>
      <c r="O1424" s="24">
        <f>VLOOKUP(H1424, KM!$A:$E, 5, 0)</f>
        <v>0</v>
      </c>
      <c r="P1424" s="24">
        <f>VLOOKUP(I1424, KM!$A:$E, 5, 0)</f>
        <v>586</v>
      </c>
      <c r="Q1424" s="24">
        <f>VLOOKUP(J1424, KM!$A:$E, 5, 0)</f>
        <v>882</v>
      </c>
      <c r="R1424" s="24">
        <f>VLOOKUP(K1424, KM!$A:$E, 5, 0)</f>
        <v>705</v>
      </c>
      <c r="S1424" s="24">
        <f>VLOOKUP(L1424, KM!$A:$E, 5, 0)</f>
        <v>429</v>
      </c>
      <c r="T1424" s="24">
        <f>VLOOKUP(M1424, KM!$A:$E, 5, 0)</f>
        <v>408</v>
      </c>
      <c r="U1424" s="24">
        <f>VLOOKUP(N1424, KM!$A:$E, 5, 0)</f>
        <v>3971</v>
      </c>
      <c r="V1424" s="24">
        <f>VLOOKUP(H1424, IMPOSTO!$A:$D, 4, 0)</f>
        <v>0.18</v>
      </c>
      <c r="W1424" s="24">
        <f>VLOOKUP(I1424, IMPOSTO!$A:$D, 4, 0)</f>
        <v>0.12</v>
      </c>
      <c r="X1424" s="24">
        <f>VLOOKUP(J1424, IMPOSTO!$A:$D, 4, 0)</f>
        <v>7.0000000000000007E-2</v>
      </c>
      <c r="Y1424" s="24">
        <f>VLOOKUP(K1424, IMPOSTO!$A:$D, 4, 0)</f>
        <v>0.12</v>
      </c>
      <c r="Z1424" s="24">
        <f>VLOOKUP(L1424, IMPOSTO!$A:$D, 4, 0)</f>
        <v>0.12</v>
      </c>
      <c r="AA1424" s="24">
        <f>VLOOKUP(M1424, IMPOSTO!$A:$D, 4, 0)</f>
        <v>0.12</v>
      </c>
      <c r="AB1424" s="24">
        <f>VLOOKUP(N1424, IMPOSTO!$A:$D, 4, 0)</f>
        <v>7.0000000000000007E-2</v>
      </c>
      <c r="AC1424" s="25">
        <f t="shared" si="202"/>
        <v>4606.2178393869499</v>
      </c>
      <c r="AD1424" s="25">
        <f t="shared" si="203"/>
        <v>4358.7484412469303</v>
      </c>
      <c r="AE1424" s="25">
        <f t="shared" si="204"/>
        <v>4156.2350841906446</v>
      </c>
      <c r="AF1424" s="25">
        <f t="shared" si="205"/>
        <v>4372.2711685196582</v>
      </c>
      <c r="AG1424" s="25">
        <f t="shared" si="206"/>
        <v>4340.9075321560213</v>
      </c>
      <c r="AH1424" s="25">
        <f t="shared" si="207"/>
        <v>4338.5211685196582</v>
      </c>
      <c r="AI1424" s="25">
        <f t="shared" si="208"/>
        <v>4488.385621825053</v>
      </c>
    </row>
    <row r="1425" spans="1:35" ht="15.75" customHeight="1">
      <c r="A1425" s="12" t="s">
        <v>874</v>
      </c>
      <c r="B1425" s="12" t="s">
        <v>875</v>
      </c>
      <c r="C1425" s="12" t="s">
        <v>876</v>
      </c>
      <c r="D1425" s="12" t="s">
        <v>33</v>
      </c>
      <c r="E1425" s="12" t="s">
        <v>23</v>
      </c>
      <c r="F1425" s="13">
        <v>305.01509999999985</v>
      </c>
      <c r="G1425" s="14">
        <v>5262.5399009624998</v>
      </c>
      <c r="H1425" s="24" t="str">
        <f t="shared" si="210"/>
        <v>SPSP</v>
      </c>
      <c r="I1425" s="24" t="str">
        <f t="shared" si="209"/>
        <v>SPMG</v>
      </c>
      <c r="J1425" s="24" t="str">
        <f t="shared" si="209"/>
        <v>SPES</v>
      </c>
      <c r="K1425" s="24" t="str">
        <f t="shared" si="209"/>
        <v>SPSC</v>
      </c>
      <c r="L1425" s="24" t="str">
        <f t="shared" si="209"/>
        <v>SPRJ</v>
      </c>
      <c r="M1425" s="24" t="str">
        <f t="shared" si="209"/>
        <v>SPPR</v>
      </c>
      <c r="N1425" s="24" t="str">
        <f t="shared" si="209"/>
        <v>SPAM</v>
      </c>
      <c r="O1425" s="24">
        <f>VLOOKUP(H1425, KM!$A:$E, 5, 0)</f>
        <v>0</v>
      </c>
      <c r="P1425" s="24">
        <f>VLOOKUP(I1425, KM!$A:$E, 5, 0)</f>
        <v>586</v>
      </c>
      <c r="Q1425" s="24">
        <f>VLOOKUP(J1425, KM!$A:$E, 5, 0)</f>
        <v>882</v>
      </c>
      <c r="R1425" s="24">
        <f>VLOOKUP(K1425, KM!$A:$E, 5, 0)</f>
        <v>705</v>
      </c>
      <c r="S1425" s="24">
        <f>VLOOKUP(L1425, KM!$A:$E, 5, 0)</f>
        <v>429</v>
      </c>
      <c r="T1425" s="24">
        <f>VLOOKUP(M1425, KM!$A:$E, 5, 0)</f>
        <v>408</v>
      </c>
      <c r="U1425" s="24">
        <f>VLOOKUP(N1425, KM!$A:$E, 5, 0)</f>
        <v>3971</v>
      </c>
      <c r="V1425" s="24">
        <f>VLOOKUP(H1425, IMPOSTO!$A:$D, 4, 0)</f>
        <v>0.18</v>
      </c>
      <c r="W1425" s="24">
        <f>VLOOKUP(I1425, IMPOSTO!$A:$D, 4, 0)</f>
        <v>0.12</v>
      </c>
      <c r="X1425" s="24">
        <f>VLOOKUP(J1425, IMPOSTO!$A:$D, 4, 0)</f>
        <v>7.0000000000000007E-2</v>
      </c>
      <c r="Y1425" s="24">
        <f>VLOOKUP(K1425, IMPOSTO!$A:$D, 4, 0)</f>
        <v>0.12</v>
      </c>
      <c r="Z1425" s="24">
        <f>VLOOKUP(L1425, IMPOSTO!$A:$D, 4, 0)</f>
        <v>0.12</v>
      </c>
      <c r="AA1425" s="24">
        <f>VLOOKUP(M1425, IMPOSTO!$A:$D, 4, 0)</f>
        <v>0.12</v>
      </c>
      <c r="AB1425" s="24">
        <f>VLOOKUP(N1425, IMPOSTO!$A:$D, 4, 0)</f>
        <v>7.0000000000000007E-2</v>
      </c>
      <c r="AC1425" s="25">
        <f t="shared" si="202"/>
        <v>6417.7315865396331</v>
      </c>
      <c r="AD1425" s="25">
        <f t="shared" si="203"/>
        <v>6046.7498874573866</v>
      </c>
      <c r="AE1425" s="25">
        <f t="shared" si="204"/>
        <v>5753.4837644758063</v>
      </c>
      <c r="AF1425" s="25">
        <f t="shared" si="205"/>
        <v>6060.2726147301137</v>
      </c>
      <c r="AG1425" s="25">
        <f t="shared" si="206"/>
        <v>6028.9089783664767</v>
      </c>
      <c r="AH1425" s="25">
        <f t="shared" si="207"/>
        <v>6026.5226147301137</v>
      </c>
      <c r="AI1425" s="25">
        <f t="shared" si="208"/>
        <v>6085.6343021102157</v>
      </c>
    </row>
    <row r="1426" spans="1:35" ht="15.75" customHeight="1">
      <c r="A1426" s="12" t="s">
        <v>911</v>
      </c>
      <c r="B1426" s="12" t="s">
        <v>912</v>
      </c>
      <c r="C1426" s="12" t="s">
        <v>876</v>
      </c>
      <c r="D1426" s="12" t="s">
        <v>33</v>
      </c>
      <c r="E1426" s="12" t="s">
        <v>23</v>
      </c>
      <c r="F1426" s="13">
        <v>440.99420000000026</v>
      </c>
      <c r="G1426" s="14">
        <v>10843.337233682851</v>
      </c>
      <c r="H1426" s="24" t="str">
        <f t="shared" si="210"/>
        <v>SPSP</v>
      </c>
      <c r="I1426" s="24" t="str">
        <f t="shared" si="209"/>
        <v>SPMG</v>
      </c>
      <c r="J1426" s="24" t="str">
        <f t="shared" si="209"/>
        <v>SPES</v>
      </c>
      <c r="K1426" s="24" t="str">
        <f t="shared" si="209"/>
        <v>SPSC</v>
      </c>
      <c r="L1426" s="24" t="str">
        <f t="shared" si="209"/>
        <v>SPRJ</v>
      </c>
      <c r="M1426" s="24" t="str">
        <f t="shared" si="209"/>
        <v>SPPR</v>
      </c>
      <c r="N1426" s="24" t="str">
        <f t="shared" si="209"/>
        <v>SPAM</v>
      </c>
      <c r="O1426" s="24">
        <f>VLOOKUP(H1426, KM!$A:$E, 5, 0)</f>
        <v>0</v>
      </c>
      <c r="P1426" s="24">
        <f>VLOOKUP(I1426, KM!$A:$E, 5, 0)</f>
        <v>586</v>
      </c>
      <c r="Q1426" s="24">
        <f>VLOOKUP(J1426, KM!$A:$E, 5, 0)</f>
        <v>882</v>
      </c>
      <c r="R1426" s="24">
        <f>VLOOKUP(K1426, KM!$A:$E, 5, 0)</f>
        <v>705</v>
      </c>
      <c r="S1426" s="24">
        <f>VLOOKUP(L1426, KM!$A:$E, 5, 0)</f>
        <v>429</v>
      </c>
      <c r="T1426" s="24">
        <f>VLOOKUP(M1426, KM!$A:$E, 5, 0)</f>
        <v>408</v>
      </c>
      <c r="U1426" s="24">
        <f>VLOOKUP(N1426, KM!$A:$E, 5, 0)</f>
        <v>3971</v>
      </c>
      <c r="V1426" s="24">
        <f>VLOOKUP(H1426, IMPOSTO!$A:$D, 4, 0)</f>
        <v>0.18</v>
      </c>
      <c r="W1426" s="24">
        <f>VLOOKUP(I1426, IMPOSTO!$A:$D, 4, 0)</f>
        <v>0.12</v>
      </c>
      <c r="X1426" s="24">
        <f>VLOOKUP(J1426, IMPOSTO!$A:$D, 4, 0)</f>
        <v>7.0000000000000007E-2</v>
      </c>
      <c r="Y1426" s="24">
        <f>VLOOKUP(K1426, IMPOSTO!$A:$D, 4, 0)</f>
        <v>0.12</v>
      </c>
      <c r="Z1426" s="24">
        <f>VLOOKUP(L1426, IMPOSTO!$A:$D, 4, 0)</f>
        <v>0.12</v>
      </c>
      <c r="AA1426" s="24">
        <f>VLOOKUP(M1426, IMPOSTO!$A:$D, 4, 0)</f>
        <v>0.12</v>
      </c>
      <c r="AB1426" s="24">
        <f>VLOOKUP(N1426, IMPOSTO!$A:$D, 4, 0)</f>
        <v>7.0000000000000007E-2</v>
      </c>
      <c r="AC1426" s="25">
        <f t="shared" si="202"/>
        <v>13223.581992296158</v>
      </c>
      <c r="AD1426" s="25">
        <f t="shared" si="203"/>
        <v>12388.565038275967</v>
      </c>
      <c r="AE1426" s="25">
        <f t="shared" si="204"/>
        <v>11754.341111486938</v>
      </c>
      <c r="AF1426" s="25">
        <f t="shared" si="205"/>
        <v>12402.087765548695</v>
      </c>
      <c r="AG1426" s="25">
        <f t="shared" si="206"/>
        <v>12370.724129185057</v>
      </c>
      <c r="AH1426" s="25">
        <f t="shared" si="207"/>
        <v>12368.337765548693</v>
      </c>
      <c r="AI1426" s="25">
        <f t="shared" si="208"/>
        <v>12086.491649121346</v>
      </c>
    </row>
    <row r="1427" spans="1:35" ht="15.75" customHeight="1">
      <c r="A1427" s="12" t="s">
        <v>913</v>
      </c>
      <c r="B1427" s="12" t="s">
        <v>914</v>
      </c>
      <c r="C1427" s="12" t="s">
        <v>259</v>
      </c>
      <c r="D1427" s="12" t="s">
        <v>50</v>
      </c>
      <c r="E1427" s="12" t="s">
        <v>23</v>
      </c>
      <c r="F1427" s="13">
        <v>1.0263</v>
      </c>
      <c r="G1427" s="14">
        <v>69.235011999999998</v>
      </c>
      <c r="H1427" s="24" t="str">
        <f t="shared" si="210"/>
        <v>SPSP</v>
      </c>
      <c r="I1427" s="24" t="str">
        <f t="shared" si="209"/>
        <v>SPMG</v>
      </c>
      <c r="J1427" s="24" t="str">
        <f t="shared" si="209"/>
        <v>SPES</v>
      </c>
      <c r="K1427" s="24" t="str">
        <f t="shared" si="209"/>
        <v>SPSC</v>
      </c>
      <c r="L1427" s="24" t="str">
        <f t="shared" si="209"/>
        <v>SPRJ</v>
      </c>
      <c r="M1427" s="24" t="str">
        <f t="shared" si="209"/>
        <v>SPPR</v>
      </c>
      <c r="N1427" s="24" t="str">
        <f t="shared" si="209"/>
        <v>SPAM</v>
      </c>
      <c r="O1427" s="24">
        <f>VLOOKUP(H1427, KM!$A:$E, 5, 0)</f>
        <v>0</v>
      </c>
      <c r="P1427" s="24">
        <f>VLOOKUP(I1427, KM!$A:$E, 5, 0)</f>
        <v>586</v>
      </c>
      <c r="Q1427" s="24">
        <f>VLOOKUP(J1427, KM!$A:$E, 5, 0)</f>
        <v>882</v>
      </c>
      <c r="R1427" s="24">
        <f>VLOOKUP(K1427, KM!$A:$E, 5, 0)</f>
        <v>705</v>
      </c>
      <c r="S1427" s="24">
        <f>VLOOKUP(L1427, KM!$A:$E, 5, 0)</f>
        <v>429</v>
      </c>
      <c r="T1427" s="24">
        <f>VLOOKUP(M1427, KM!$A:$E, 5, 0)</f>
        <v>408</v>
      </c>
      <c r="U1427" s="24">
        <f>VLOOKUP(N1427, KM!$A:$E, 5, 0)</f>
        <v>3971</v>
      </c>
      <c r="V1427" s="24">
        <f>VLOOKUP(H1427, IMPOSTO!$A:$D, 4, 0)</f>
        <v>0.18</v>
      </c>
      <c r="W1427" s="24">
        <f>VLOOKUP(I1427, IMPOSTO!$A:$D, 4, 0)</f>
        <v>0.12</v>
      </c>
      <c r="X1427" s="24">
        <f>VLOOKUP(J1427, IMPOSTO!$A:$D, 4, 0)</f>
        <v>7.0000000000000007E-2</v>
      </c>
      <c r="Y1427" s="24">
        <f>VLOOKUP(K1427, IMPOSTO!$A:$D, 4, 0)</f>
        <v>0.12</v>
      </c>
      <c r="Z1427" s="24">
        <f>VLOOKUP(L1427, IMPOSTO!$A:$D, 4, 0)</f>
        <v>0.12</v>
      </c>
      <c r="AA1427" s="24">
        <f>VLOOKUP(M1427, IMPOSTO!$A:$D, 4, 0)</f>
        <v>0.12</v>
      </c>
      <c r="AB1427" s="24">
        <f>VLOOKUP(N1427, IMPOSTO!$A:$D, 4, 0)</f>
        <v>7.0000000000000007E-2</v>
      </c>
      <c r="AC1427" s="25">
        <f t="shared" ref="AC1427:AC1453" si="211">($G1427 + O1427 * $AE$5) / (1 - V1427)</f>
        <v>84.432941463414622</v>
      </c>
      <c r="AD1427" s="25">
        <f t="shared" ref="AD1427:AD1453" si="212">($G1427 + P1427 * $AE$5) / (1 - W1427)</f>
        <v>145.2670590909091</v>
      </c>
      <c r="AE1427" s="25">
        <f t="shared" ref="AE1427:AE1453" si="213">($G1427 + Q1427 * $AE$5) / (1 - X1427)</f>
        <v>169.28495913978495</v>
      </c>
      <c r="AF1427" s="25">
        <f t="shared" ref="AF1427:AF1453" si="214">($G1427 + R1427 * $AE$5) / (1 - Y1427)</f>
        <v>158.78978636363635</v>
      </c>
      <c r="AG1427" s="25">
        <f t="shared" ref="AG1427:AG1453" si="215">($G1427 + S1427 * $AE$5) / (1 - Z1427)</f>
        <v>127.42615000000001</v>
      </c>
      <c r="AH1427" s="25">
        <f t="shared" ref="AH1427:AH1453" si="216">($G1427 + T1427 * $AE$5) / (1 - AA1427)</f>
        <v>125.03978636363635</v>
      </c>
      <c r="AI1427" s="25">
        <f t="shared" ref="AI1427:AI1453" si="217">($G1427 + U1427 * $AE$5) / (1 - AB1427)</f>
        <v>501.43549677419361</v>
      </c>
    </row>
    <row r="1428" spans="1:35" ht="15.75" customHeight="1">
      <c r="A1428" s="12" t="s">
        <v>30</v>
      </c>
      <c r="B1428" s="12" t="s">
        <v>31</v>
      </c>
      <c r="C1428" s="12" t="s">
        <v>32</v>
      </c>
      <c r="D1428" s="12" t="s">
        <v>33</v>
      </c>
      <c r="E1428" s="12" t="s">
        <v>23</v>
      </c>
      <c r="F1428" s="13">
        <v>0.13098390410958904</v>
      </c>
      <c r="G1428" s="14">
        <v>4.1156774932191782</v>
      </c>
      <c r="H1428" s="24" t="str">
        <f t="shared" si="210"/>
        <v>SPSP</v>
      </c>
      <c r="I1428" s="24" t="str">
        <f t="shared" si="209"/>
        <v>SPMG</v>
      </c>
      <c r="J1428" s="24" t="str">
        <f t="shared" ref="I1428:N1453" si="218">$E1428 &amp; J$17</f>
        <v>SPES</v>
      </c>
      <c r="K1428" s="24" t="str">
        <f t="shared" si="218"/>
        <v>SPSC</v>
      </c>
      <c r="L1428" s="24" t="str">
        <f t="shared" si="218"/>
        <v>SPRJ</v>
      </c>
      <c r="M1428" s="24" t="str">
        <f t="shared" si="218"/>
        <v>SPPR</v>
      </c>
      <c r="N1428" s="24" t="str">
        <f t="shared" si="218"/>
        <v>SPAM</v>
      </c>
      <c r="O1428" s="24">
        <f>VLOOKUP(H1428, KM!$A:$E, 5, 0)</f>
        <v>0</v>
      </c>
      <c r="P1428" s="24">
        <f>VLOOKUP(I1428, KM!$A:$E, 5, 0)</f>
        <v>586</v>
      </c>
      <c r="Q1428" s="24">
        <f>VLOOKUP(J1428, KM!$A:$E, 5, 0)</f>
        <v>882</v>
      </c>
      <c r="R1428" s="24">
        <f>VLOOKUP(K1428, KM!$A:$E, 5, 0)</f>
        <v>705</v>
      </c>
      <c r="S1428" s="24">
        <f>VLOOKUP(L1428, KM!$A:$E, 5, 0)</f>
        <v>429</v>
      </c>
      <c r="T1428" s="24">
        <f>VLOOKUP(M1428, KM!$A:$E, 5, 0)</f>
        <v>408</v>
      </c>
      <c r="U1428" s="24">
        <f>VLOOKUP(N1428, KM!$A:$E, 5, 0)</f>
        <v>3971</v>
      </c>
      <c r="V1428" s="24">
        <f>VLOOKUP(H1428, IMPOSTO!$A:$D, 4, 0)</f>
        <v>0.18</v>
      </c>
      <c r="W1428" s="24">
        <f>VLOOKUP(I1428, IMPOSTO!$A:$D, 4, 0)</f>
        <v>0.12</v>
      </c>
      <c r="X1428" s="24">
        <f>VLOOKUP(J1428, IMPOSTO!$A:$D, 4, 0)</f>
        <v>7.0000000000000007E-2</v>
      </c>
      <c r="Y1428" s="24">
        <f>VLOOKUP(K1428, IMPOSTO!$A:$D, 4, 0)</f>
        <v>0.12</v>
      </c>
      <c r="Z1428" s="24">
        <f>VLOOKUP(L1428, IMPOSTO!$A:$D, 4, 0)</f>
        <v>0.12</v>
      </c>
      <c r="AA1428" s="24">
        <f>VLOOKUP(M1428, IMPOSTO!$A:$D, 4, 0)</f>
        <v>0.12</v>
      </c>
      <c r="AB1428" s="24">
        <f>VLOOKUP(N1428, IMPOSTO!$A:$D, 4, 0)</f>
        <v>7.0000000000000007E-2</v>
      </c>
      <c r="AC1428" s="25">
        <f t="shared" si="211"/>
        <v>5.0191188941697291</v>
      </c>
      <c r="AD1428" s="25">
        <f t="shared" si="212"/>
        <v>71.267815333203615</v>
      </c>
      <c r="AE1428" s="25">
        <f t="shared" si="213"/>
        <v>99.264169347547522</v>
      </c>
      <c r="AF1428" s="25">
        <f t="shared" si="214"/>
        <v>84.790542605930881</v>
      </c>
      <c r="AG1428" s="25">
        <f t="shared" si="215"/>
        <v>53.426906242294528</v>
      </c>
      <c r="AH1428" s="25">
        <f t="shared" si="216"/>
        <v>51.040542605930895</v>
      </c>
      <c r="AI1428" s="25">
        <f t="shared" si="217"/>
        <v>431.41470698195616</v>
      </c>
    </row>
    <row r="1429" spans="1:35" ht="15.75" customHeight="1">
      <c r="A1429" s="12" t="s">
        <v>1038</v>
      </c>
      <c r="B1429" s="12" t="s">
        <v>1039</v>
      </c>
      <c r="C1429" s="12" t="s">
        <v>143</v>
      </c>
      <c r="D1429" s="12" t="s">
        <v>33</v>
      </c>
      <c r="E1429" s="12" t="s">
        <v>23</v>
      </c>
      <c r="F1429" s="13">
        <v>32</v>
      </c>
      <c r="G1429" s="14">
        <v>1499.3999999999999</v>
      </c>
      <c r="H1429" s="24" t="str">
        <f t="shared" si="210"/>
        <v>SPSP</v>
      </c>
      <c r="I1429" s="24" t="str">
        <f t="shared" si="218"/>
        <v>SPMG</v>
      </c>
      <c r="J1429" s="24" t="str">
        <f t="shared" si="218"/>
        <v>SPES</v>
      </c>
      <c r="K1429" s="24" t="str">
        <f t="shared" si="218"/>
        <v>SPSC</v>
      </c>
      <c r="L1429" s="24" t="str">
        <f t="shared" si="218"/>
        <v>SPRJ</v>
      </c>
      <c r="M1429" s="24" t="str">
        <f t="shared" si="218"/>
        <v>SPPR</v>
      </c>
      <c r="N1429" s="24" t="str">
        <f t="shared" si="218"/>
        <v>SPAM</v>
      </c>
      <c r="O1429" s="24">
        <f>VLOOKUP(H1429, KM!$A:$E, 5, 0)</f>
        <v>0</v>
      </c>
      <c r="P1429" s="24">
        <f>VLOOKUP(I1429, KM!$A:$E, 5, 0)</f>
        <v>586</v>
      </c>
      <c r="Q1429" s="24">
        <f>VLOOKUP(J1429, KM!$A:$E, 5, 0)</f>
        <v>882</v>
      </c>
      <c r="R1429" s="24">
        <f>VLOOKUP(K1429, KM!$A:$E, 5, 0)</f>
        <v>705</v>
      </c>
      <c r="S1429" s="24">
        <f>VLOOKUP(L1429, KM!$A:$E, 5, 0)</f>
        <v>429</v>
      </c>
      <c r="T1429" s="24">
        <f>VLOOKUP(M1429, KM!$A:$E, 5, 0)</f>
        <v>408</v>
      </c>
      <c r="U1429" s="24">
        <f>VLOOKUP(N1429, KM!$A:$E, 5, 0)</f>
        <v>3971</v>
      </c>
      <c r="V1429" s="24">
        <f>VLOOKUP(H1429, IMPOSTO!$A:$D, 4, 0)</f>
        <v>0.18</v>
      </c>
      <c r="W1429" s="24">
        <f>VLOOKUP(I1429, IMPOSTO!$A:$D, 4, 0)</f>
        <v>0.12</v>
      </c>
      <c r="X1429" s="24">
        <f>VLOOKUP(J1429, IMPOSTO!$A:$D, 4, 0)</f>
        <v>7.0000000000000007E-2</v>
      </c>
      <c r="Y1429" s="24">
        <f>VLOOKUP(K1429, IMPOSTO!$A:$D, 4, 0)</f>
        <v>0.12</v>
      </c>
      <c r="Z1429" s="24">
        <f>VLOOKUP(L1429, IMPOSTO!$A:$D, 4, 0)</f>
        <v>0.12</v>
      </c>
      <c r="AA1429" s="24">
        <f>VLOOKUP(M1429, IMPOSTO!$A:$D, 4, 0)</f>
        <v>0.12</v>
      </c>
      <c r="AB1429" s="24">
        <f>VLOOKUP(N1429, IMPOSTO!$A:$D, 4, 0)</f>
        <v>7.0000000000000007E-2</v>
      </c>
      <c r="AC1429" s="25">
        <f t="shared" si="211"/>
        <v>1828.5365853658534</v>
      </c>
      <c r="AD1429" s="25">
        <f t="shared" si="212"/>
        <v>1770.4545454545453</v>
      </c>
      <c r="AE1429" s="25">
        <f t="shared" si="213"/>
        <v>1707.0967741935483</v>
      </c>
      <c r="AF1429" s="25">
        <f t="shared" si="214"/>
        <v>1783.9772727272725</v>
      </c>
      <c r="AG1429" s="25">
        <f t="shared" si="215"/>
        <v>1752.6136363636363</v>
      </c>
      <c r="AH1429" s="25">
        <f t="shared" si="216"/>
        <v>1750.2272727272725</v>
      </c>
      <c r="AI1429" s="25">
        <f t="shared" si="217"/>
        <v>2039.2473118279572</v>
      </c>
    </row>
    <row r="1430" spans="1:35" ht="15.75" customHeight="1">
      <c r="A1430" s="12" t="s">
        <v>1040</v>
      </c>
      <c r="B1430" s="12" t="s">
        <v>1041</v>
      </c>
      <c r="C1430" s="12" t="s">
        <v>192</v>
      </c>
      <c r="D1430" s="12" t="s">
        <v>33</v>
      </c>
      <c r="E1430" s="12" t="s">
        <v>23</v>
      </c>
      <c r="F1430" s="13">
        <v>50</v>
      </c>
      <c r="G1430" s="14">
        <v>641.80999999999995</v>
      </c>
      <c r="H1430" s="24" t="str">
        <f t="shared" si="210"/>
        <v>SPSP</v>
      </c>
      <c r="I1430" s="24" t="str">
        <f t="shared" si="218"/>
        <v>SPMG</v>
      </c>
      <c r="J1430" s="24" t="str">
        <f t="shared" si="218"/>
        <v>SPES</v>
      </c>
      <c r="K1430" s="24" t="str">
        <f t="shared" si="218"/>
        <v>SPSC</v>
      </c>
      <c r="L1430" s="24" t="str">
        <f t="shared" si="218"/>
        <v>SPRJ</v>
      </c>
      <c r="M1430" s="24" t="str">
        <f t="shared" si="218"/>
        <v>SPPR</v>
      </c>
      <c r="N1430" s="24" t="str">
        <f t="shared" si="218"/>
        <v>SPAM</v>
      </c>
      <c r="O1430" s="24">
        <f>VLOOKUP(H1430, KM!$A:$E, 5, 0)</f>
        <v>0</v>
      </c>
      <c r="P1430" s="24">
        <f>VLOOKUP(I1430, KM!$A:$E, 5, 0)</f>
        <v>586</v>
      </c>
      <c r="Q1430" s="24">
        <f>VLOOKUP(J1430, KM!$A:$E, 5, 0)</f>
        <v>882</v>
      </c>
      <c r="R1430" s="24">
        <f>VLOOKUP(K1430, KM!$A:$E, 5, 0)</f>
        <v>705</v>
      </c>
      <c r="S1430" s="24">
        <f>VLOOKUP(L1430, KM!$A:$E, 5, 0)</f>
        <v>429</v>
      </c>
      <c r="T1430" s="24">
        <f>VLOOKUP(M1430, KM!$A:$E, 5, 0)</f>
        <v>408</v>
      </c>
      <c r="U1430" s="24">
        <f>VLOOKUP(N1430, KM!$A:$E, 5, 0)</f>
        <v>3971</v>
      </c>
      <c r="V1430" s="24">
        <f>VLOOKUP(H1430, IMPOSTO!$A:$D, 4, 0)</f>
        <v>0.18</v>
      </c>
      <c r="W1430" s="24">
        <f>VLOOKUP(I1430, IMPOSTO!$A:$D, 4, 0)</f>
        <v>0.12</v>
      </c>
      <c r="X1430" s="24">
        <f>VLOOKUP(J1430, IMPOSTO!$A:$D, 4, 0)</f>
        <v>7.0000000000000007E-2</v>
      </c>
      <c r="Y1430" s="24">
        <f>VLOOKUP(K1430, IMPOSTO!$A:$D, 4, 0)</f>
        <v>0.12</v>
      </c>
      <c r="Z1430" s="24">
        <f>VLOOKUP(L1430, IMPOSTO!$A:$D, 4, 0)</f>
        <v>0.12</v>
      </c>
      <c r="AA1430" s="24">
        <f>VLOOKUP(M1430, IMPOSTO!$A:$D, 4, 0)</f>
        <v>0.12</v>
      </c>
      <c r="AB1430" s="24">
        <f>VLOOKUP(N1430, IMPOSTO!$A:$D, 4, 0)</f>
        <v>7.0000000000000007E-2</v>
      </c>
      <c r="AC1430" s="25">
        <f t="shared" si="211"/>
        <v>782.69512195121933</v>
      </c>
      <c r="AD1430" s="25">
        <f t="shared" si="212"/>
        <v>795.9204545454545</v>
      </c>
      <c r="AE1430" s="25">
        <f t="shared" si="213"/>
        <v>784.95698924731187</v>
      </c>
      <c r="AF1430" s="25">
        <f t="shared" si="214"/>
        <v>809.44318181818176</v>
      </c>
      <c r="AG1430" s="25">
        <f t="shared" si="215"/>
        <v>778.07954545454538</v>
      </c>
      <c r="AH1430" s="25">
        <f t="shared" si="216"/>
        <v>775.69318181818176</v>
      </c>
      <c r="AI1430" s="25">
        <f t="shared" si="217"/>
        <v>1117.1075268817203</v>
      </c>
    </row>
    <row r="1431" spans="1:35" ht="15.75" customHeight="1">
      <c r="A1431" s="12" t="s">
        <v>1042</v>
      </c>
      <c r="B1431" s="12" t="s">
        <v>1043</v>
      </c>
      <c r="C1431" s="12" t="s">
        <v>192</v>
      </c>
      <c r="D1431" s="12" t="s">
        <v>33</v>
      </c>
      <c r="E1431" s="12" t="s">
        <v>23</v>
      </c>
      <c r="F1431" s="13">
        <v>1</v>
      </c>
      <c r="G1431" s="14">
        <v>65.650000000000006</v>
      </c>
      <c r="H1431" s="24" t="str">
        <f t="shared" si="210"/>
        <v>SPSP</v>
      </c>
      <c r="I1431" s="24" t="str">
        <f t="shared" si="218"/>
        <v>SPMG</v>
      </c>
      <c r="J1431" s="24" t="str">
        <f t="shared" si="218"/>
        <v>SPES</v>
      </c>
      <c r="K1431" s="24" t="str">
        <f t="shared" si="218"/>
        <v>SPSC</v>
      </c>
      <c r="L1431" s="24" t="str">
        <f t="shared" si="218"/>
        <v>SPRJ</v>
      </c>
      <c r="M1431" s="24" t="str">
        <f t="shared" si="218"/>
        <v>SPPR</v>
      </c>
      <c r="N1431" s="24" t="str">
        <f t="shared" si="218"/>
        <v>SPAM</v>
      </c>
      <c r="O1431" s="24">
        <f>VLOOKUP(H1431, KM!$A:$E, 5, 0)</f>
        <v>0</v>
      </c>
      <c r="P1431" s="24">
        <f>VLOOKUP(I1431, KM!$A:$E, 5, 0)</f>
        <v>586</v>
      </c>
      <c r="Q1431" s="24">
        <f>VLOOKUP(J1431, KM!$A:$E, 5, 0)</f>
        <v>882</v>
      </c>
      <c r="R1431" s="24">
        <f>VLOOKUP(K1431, KM!$A:$E, 5, 0)</f>
        <v>705</v>
      </c>
      <c r="S1431" s="24">
        <f>VLOOKUP(L1431, KM!$A:$E, 5, 0)</f>
        <v>429</v>
      </c>
      <c r="T1431" s="24">
        <f>VLOOKUP(M1431, KM!$A:$E, 5, 0)</f>
        <v>408</v>
      </c>
      <c r="U1431" s="24">
        <f>VLOOKUP(N1431, KM!$A:$E, 5, 0)</f>
        <v>3971</v>
      </c>
      <c r="V1431" s="24">
        <f>VLOOKUP(H1431, IMPOSTO!$A:$D, 4, 0)</f>
        <v>0.18</v>
      </c>
      <c r="W1431" s="24">
        <f>VLOOKUP(I1431, IMPOSTO!$A:$D, 4, 0)</f>
        <v>0.12</v>
      </c>
      <c r="X1431" s="24">
        <f>VLOOKUP(J1431, IMPOSTO!$A:$D, 4, 0)</f>
        <v>7.0000000000000007E-2</v>
      </c>
      <c r="Y1431" s="24">
        <f>VLOOKUP(K1431, IMPOSTO!$A:$D, 4, 0)</f>
        <v>0.12</v>
      </c>
      <c r="Z1431" s="24">
        <f>VLOOKUP(L1431, IMPOSTO!$A:$D, 4, 0)</f>
        <v>0.12</v>
      </c>
      <c r="AA1431" s="24">
        <f>VLOOKUP(M1431, IMPOSTO!$A:$D, 4, 0)</f>
        <v>0.12</v>
      </c>
      <c r="AB1431" s="24">
        <f>VLOOKUP(N1431, IMPOSTO!$A:$D, 4, 0)</f>
        <v>7.0000000000000007E-2</v>
      </c>
      <c r="AC1431" s="25">
        <f t="shared" si="211"/>
        <v>80.060975609756099</v>
      </c>
      <c r="AD1431" s="25">
        <f t="shared" si="212"/>
        <v>141.19318181818181</v>
      </c>
      <c r="AE1431" s="25">
        <f t="shared" si="213"/>
        <v>165.43010752688176</v>
      </c>
      <c r="AF1431" s="25">
        <f t="shared" si="214"/>
        <v>154.71590909090909</v>
      </c>
      <c r="AG1431" s="25">
        <f t="shared" si="215"/>
        <v>123.35227272727273</v>
      </c>
      <c r="AH1431" s="25">
        <f t="shared" si="216"/>
        <v>120.96590909090911</v>
      </c>
      <c r="AI1431" s="25">
        <f t="shared" si="217"/>
        <v>497.58064516129036</v>
      </c>
    </row>
    <row r="1432" spans="1:35" ht="15.75" customHeight="1">
      <c r="A1432" s="12" t="s">
        <v>310</v>
      </c>
      <c r="B1432" s="12" t="s">
        <v>311</v>
      </c>
      <c r="C1432" s="12" t="s">
        <v>135</v>
      </c>
      <c r="D1432" s="12" t="s">
        <v>33</v>
      </c>
      <c r="E1432" s="12" t="s">
        <v>23</v>
      </c>
      <c r="F1432" s="13">
        <v>4.2839999999999998</v>
      </c>
      <c r="G1432" s="14">
        <v>168.55677300390477</v>
      </c>
      <c r="H1432" s="24" t="str">
        <f t="shared" si="210"/>
        <v>SPSP</v>
      </c>
      <c r="I1432" s="24" t="str">
        <f t="shared" si="218"/>
        <v>SPMG</v>
      </c>
      <c r="J1432" s="24" t="str">
        <f t="shared" si="218"/>
        <v>SPES</v>
      </c>
      <c r="K1432" s="24" t="str">
        <f t="shared" si="218"/>
        <v>SPSC</v>
      </c>
      <c r="L1432" s="24" t="str">
        <f t="shared" si="218"/>
        <v>SPRJ</v>
      </c>
      <c r="M1432" s="24" t="str">
        <f t="shared" si="218"/>
        <v>SPPR</v>
      </c>
      <c r="N1432" s="24" t="str">
        <f t="shared" si="218"/>
        <v>SPAM</v>
      </c>
      <c r="O1432" s="24">
        <f>VLOOKUP(H1432, KM!$A:$E, 5, 0)</f>
        <v>0</v>
      </c>
      <c r="P1432" s="24">
        <f>VLOOKUP(I1432, KM!$A:$E, 5, 0)</f>
        <v>586</v>
      </c>
      <c r="Q1432" s="24">
        <f>VLOOKUP(J1432, KM!$A:$E, 5, 0)</f>
        <v>882</v>
      </c>
      <c r="R1432" s="24">
        <f>VLOOKUP(K1432, KM!$A:$E, 5, 0)</f>
        <v>705</v>
      </c>
      <c r="S1432" s="24">
        <f>VLOOKUP(L1432, KM!$A:$E, 5, 0)</f>
        <v>429</v>
      </c>
      <c r="T1432" s="24">
        <f>VLOOKUP(M1432, KM!$A:$E, 5, 0)</f>
        <v>408</v>
      </c>
      <c r="U1432" s="24">
        <f>VLOOKUP(N1432, KM!$A:$E, 5, 0)</f>
        <v>3971</v>
      </c>
      <c r="V1432" s="24">
        <f>VLOOKUP(H1432, IMPOSTO!$A:$D, 4, 0)</f>
        <v>0.18</v>
      </c>
      <c r="W1432" s="24">
        <f>VLOOKUP(I1432, IMPOSTO!$A:$D, 4, 0)</f>
        <v>0.12</v>
      </c>
      <c r="X1432" s="24">
        <f>VLOOKUP(J1432, IMPOSTO!$A:$D, 4, 0)</f>
        <v>7.0000000000000007E-2</v>
      </c>
      <c r="Y1432" s="24">
        <f>VLOOKUP(K1432, IMPOSTO!$A:$D, 4, 0)</f>
        <v>0.12</v>
      </c>
      <c r="Z1432" s="24">
        <f>VLOOKUP(L1432, IMPOSTO!$A:$D, 4, 0)</f>
        <v>0.12</v>
      </c>
      <c r="AA1432" s="24">
        <f>VLOOKUP(M1432, IMPOSTO!$A:$D, 4, 0)</f>
        <v>0.12</v>
      </c>
      <c r="AB1432" s="24">
        <f>VLOOKUP(N1432, IMPOSTO!$A:$D, 4, 0)</f>
        <v>7.0000000000000007E-2</v>
      </c>
      <c r="AC1432" s="25">
        <f t="shared" si="211"/>
        <v>205.55704024866432</v>
      </c>
      <c r="AD1432" s="25">
        <f t="shared" si="212"/>
        <v>258.13269659534632</v>
      </c>
      <c r="AE1432" s="25">
        <f t="shared" si="213"/>
        <v>276.0825516171019</v>
      </c>
      <c r="AF1432" s="25">
        <f t="shared" si="214"/>
        <v>271.65542386807357</v>
      </c>
      <c r="AG1432" s="25">
        <f t="shared" si="215"/>
        <v>240.29178750443725</v>
      </c>
      <c r="AH1432" s="25">
        <f t="shared" si="216"/>
        <v>237.9054238680736</v>
      </c>
      <c r="AI1432" s="25">
        <f t="shared" si="217"/>
        <v>608.23308925151059</v>
      </c>
    </row>
    <row r="1433" spans="1:35" ht="15.75" customHeight="1">
      <c r="A1433" s="12" t="s">
        <v>857</v>
      </c>
      <c r="B1433" s="12" t="s">
        <v>858</v>
      </c>
      <c r="C1433" s="12" t="s">
        <v>192</v>
      </c>
      <c r="D1433" s="12" t="s">
        <v>50</v>
      </c>
      <c r="E1433" s="12" t="s">
        <v>23</v>
      </c>
      <c r="F1433" s="13">
        <v>340.472554054054</v>
      </c>
      <c r="G1433" s="14">
        <v>1293.860415101351</v>
      </c>
      <c r="H1433" s="24" t="str">
        <f t="shared" si="210"/>
        <v>SPSP</v>
      </c>
      <c r="I1433" s="24" t="str">
        <f t="shared" si="218"/>
        <v>SPMG</v>
      </c>
      <c r="J1433" s="24" t="str">
        <f t="shared" si="218"/>
        <v>SPES</v>
      </c>
      <c r="K1433" s="24" t="str">
        <f t="shared" si="218"/>
        <v>SPSC</v>
      </c>
      <c r="L1433" s="24" t="str">
        <f t="shared" si="218"/>
        <v>SPRJ</v>
      </c>
      <c r="M1433" s="24" t="str">
        <f t="shared" si="218"/>
        <v>SPPR</v>
      </c>
      <c r="N1433" s="24" t="str">
        <f t="shared" si="218"/>
        <v>SPAM</v>
      </c>
      <c r="O1433" s="24">
        <f>VLOOKUP(H1433, KM!$A:$E, 5, 0)</f>
        <v>0</v>
      </c>
      <c r="P1433" s="24">
        <f>VLOOKUP(I1433, KM!$A:$E, 5, 0)</f>
        <v>586</v>
      </c>
      <c r="Q1433" s="24">
        <f>VLOOKUP(J1433, KM!$A:$E, 5, 0)</f>
        <v>882</v>
      </c>
      <c r="R1433" s="24">
        <f>VLOOKUP(K1433, KM!$A:$E, 5, 0)</f>
        <v>705</v>
      </c>
      <c r="S1433" s="24">
        <f>VLOOKUP(L1433, KM!$A:$E, 5, 0)</f>
        <v>429</v>
      </c>
      <c r="T1433" s="24">
        <f>VLOOKUP(M1433, KM!$A:$E, 5, 0)</f>
        <v>408</v>
      </c>
      <c r="U1433" s="24">
        <f>VLOOKUP(N1433, KM!$A:$E, 5, 0)</f>
        <v>3971</v>
      </c>
      <c r="V1433" s="24">
        <f>VLOOKUP(H1433, IMPOSTO!$A:$D, 4, 0)</f>
        <v>0.18</v>
      </c>
      <c r="W1433" s="24">
        <f>VLOOKUP(I1433, IMPOSTO!$A:$D, 4, 0)</f>
        <v>0.12</v>
      </c>
      <c r="X1433" s="24">
        <f>VLOOKUP(J1433, IMPOSTO!$A:$D, 4, 0)</f>
        <v>7.0000000000000007E-2</v>
      </c>
      <c r="Y1433" s="24">
        <f>VLOOKUP(K1433, IMPOSTO!$A:$D, 4, 0)</f>
        <v>0.12</v>
      </c>
      <c r="Z1433" s="24">
        <f>VLOOKUP(L1433, IMPOSTO!$A:$D, 4, 0)</f>
        <v>0.12</v>
      </c>
      <c r="AA1433" s="24">
        <f>VLOOKUP(M1433, IMPOSTO!$A:$D, 4, 0)</f>
        <v>0.12</v>
      </c>
      <c r="AB1433" s="24">
        <f>VLOOKUP(N1433, IMPOSTO!$A:$D, 4, 0)</f>
        <v>7.0000000000000007E-2</v>
      </c>
      <c r="AC1433" s="25">
        <f t="shared" si="211"/>
        <v>1577.8785550016476</v>
      </c>
      <c r="AD1433" s="25">
        <f t="shared" si="212"/>
        <v>1536.8868353424443</v>
      </c>
      <c r="AE1433" s="25">
        <f t="shared" si="213"/>
        <v>1486.0864678509151</v>
      </c>
      <c r="AF1433" s="25">
        <f t="shared" si="214"/>
        <v>1550.4095626151716</v>
      </c>
      <c r="AG1433" s="25">
        <f t="shared" si="215"/>
        <v>1519.0459262515353</v>
      </c>
      <c r="AH1433" s="25">
        <f t="shared" si="216"/>
        <v>1516.6595626151716</v>
      </c>
      <c r="AI1433" s="25">
        <f t="shared" si="217"/>
        <v>1818.2370054853236</v>
      </c>
    </row>
    <row r="1434" spans="1:35" ht="15.75" customHeight="1">
      <c r="A1434" s="12" t="s">
        <v>857</v>
      </c>
      <c r="B1434" s="12" t="s">
        <v>858</v>
      </c>
      <c r="C1434" s="12" t="s">
        <v>192</v>
      </c>
      <c r="D1434" s="12" t="s">
        <v>50</v>
      </c>
      <c r="E1434" s="12" t="s">
        <v>23</v>
      </c>
      <c r="F1434" s="13">
        <v>65.705229729729737</v>
      </c>
      <c r="G1434" s="14">
        <v>253.77649449324332</v>
      </c>
      <c r="H1434" s="24" t="str">
        <f t="shared" si="210"/>
        <v>SPSP</v>
      </c>
      <c r="I1434" s="24" t="str">
        <f t="shared" si="218"/>
        <v>SPMG</v>
      </c>
      <c r="J1434" s="24" t="str">
        <f t="shared" si="218"/>
        <v>SPES</v>
      </c>
      <c r="K1434" s="24" t="str">
        <f t="shared" si="218"/>
        <v>SPSC</v>
      </c>
      <c r="L1434" s="24" t="str">
        <f t="shared" si="218"/>
        <v>SPRJ</v>
      </c>
      <c r="M1434" s="24" t="str">
        <f t="shared" si="218"/>
        <v>SPPR</v>
      </c>
      <c r="N1434" s="24" t="str">
        <f t="shared" si="218"/>
        <v>SPAM</v>
      </c>
      <c r="O1434" s="24">
        <f>VLOOKUP(H1434, KM!$A:$E, 5, 0)</f>
        <v>0</v>
      </c>
      <c r="P1434" s="24">
        <f>VLOOKUP(I1434, KM!$A:$E, 5, 0)</f>
        <v>586</v>
      </c>
      <c r="Q1434" s="24">
        <f>VLOOKUP(J1434, KM!$A:$E, 5, 0)</f>
        <v>882</v>
      </c>
      <c r="R1434" s="24">
        <f>VLOOKUP(K1434, KM!$A:$E, 5, 0)</f>
        <v>705</v>
      </c>
      <c r="S1434" s="24">
        <f>VLOOKUP(L1434, KM!$A:$E, 5, 0)</f>
        <v>429</v>
      </c>
      <c r="T1434" s="24">
        <f>VLOOKUP(M1434, KM!$A:$E, 5, 0)</f>
        <v>408</v>
      </c>
      <c r="U1434" s="24">
        <f>VLOOKUP(N1434, KM!$A:$E, 5, 0)</f>
        <v>3971</v>
      </c>
      <c r="V1434" s="24">
        <f>VLOOKUP(H1434, IMPOSTO!$A:$D, 4, 0)</f>
        <v>0.18</v>
      </c>
      <c r="W1434" s="24">
        <f>VLOOKUP(I1434, IMPOSTO!$A:$D, 4, 0)</f>
        <v>0.12</v>
      </c>
      <c r="X1434" s="24">
        <f>VLOOKUP(J1434, IMPOSTO!$A:$D, 4, 0)</f>
        <v>7.0000000000000007E-2</v>
      </c>
      <c r="Y1434" s="24">
        <f>VLOOKUP(K1434, IMPOSTO!$A:$D, 4, 0)</f>
        <v>0.12</v>
      </c>
      <c r="Z1434" s="24">
        <f>VLOOKUP(L1434, IMPOSTO!$A:$D, 4, 0)</f>
        <v>0.12</v>
      </c>
      <c r="AA1434" s="24">
        <f>VLOOKUP(M1434, IMPOSTO!$A:$D, 4, 0)</f>
        <v>0.12</v>
      </c>
      <c r="AB1434" s="24">
        <f>VLOOKUP(N1434, IMPOSTO!$A:$D, 4, 0)</f>
        <v>7.0000000000000007E-2</v>
      </c>
      <c r="AC1434" s="25">
        <f t="shared" si="211"/>
        <v>309.48352986980888</v>
      </c>
      <c r="AD1434" s="25">
        <f t="shared" si="212"/>
        <v>354.97328919686743</v>
      </c>
      <c r="AE1434" s="25">
        <f t="shared" si="213"/>
        <v>367.71666074542293</v>
      </c>
      <c r="AF1434" s="25">
        <f t="shared" si="214"/>
        <v>368.49601646959468</v>
      </c>
      <c r="AG1434" s="25">
        <f t="shared" si="215"/>
        <v>337.13238010595836</v>
      </c>
      <c r="AH1434" s="25">
        <f t="shared" si="216"/>
        <v>334.74601646959468</v>
      </c>
      <c r="AI1434" s="25">
        <f t="shared" si="217"/>
        <v>699.86719837983162</v>
      </c>
    </row>
    <row r="1435" spans="1:35" ht="15.75" customHeight="1">
      <c r="A1435" s="12" t="s">
        <v>861</v>
      </c>
      <c r="B1435" s="12" t="s">
        <v>862</v>
      </c>
      <c r="C1435" s="12" t="s">
        <v>192</v>
      </c>
      <c r="D1435" s="12" t="s">
        <v>50</v>
      </c>
      <c r="E1435" s="12" t="s">
        <v>23</v>
      </c>
      <c r="F1435" s="13">
        <v>90.822048648648661</v>
      </c>
      <c r="G1435" s="14">
        <v>1263.3838325405404</v>
      </c>
      <c r="H1435" s="24" t="str">
        <f t="shared" si="210"/>
        <v>SPSP</v>
      </c>
      <c r="I1435" s="24" t="str">
        <f t="shared" si="218"/>
        <v>SPMG</v>
      </c>
      <c r="J1435" s="24" t="str">
        <f t="shared" si="218"/>
        <v>SPES</v>
      </c>
      <c r="K1435" s="24" t="str">
        <f t="shared" si="218"/>
        <v>SPSC</v>
      </c>
      <c r="L1435" s="24" t="str">
        <f t="shared" si="218"/>
        <v>SPRJ</v>
      </c>
      <c r="M1435" s="24" t="str">
        <f t="shared" si="218"/>
        <v>SPPR</v>
      </c>
      <c r="N1435" s="24" t="str">
        <f t="shared" si="218"/>
        <v>SPAM</v>
      </c>
      <c r="O1435" s="24">
        <f>VLOOKUP(H1435, KM!$A:$E, 5, 0)</f>
        <v>0</v>
      </c>
      <c r="P1435" s="24">
        <f>VLOOKUP(I1435, KM!$A:$E, 5, 0)</f>
        <v>586</v>
      </c>
      <c r="Q1435" s="24">
        <f>VLOOKUP(J1435, KM!$A:$E, 5, 0)</f>
        <v>882</v>
      </c>
      <c r="R1435" s="24">
        <f>VLOOKUP(K1435, KM!$A:$E, 5, 0)</f>
        <v>705</v>
      </c>
      <c r="S1435" s="24">
        <f>VLOOKUP(L1435, KM!$A:$E, 5, 0)</f>
        <v>429</v>
      </c>
      <c r="T1435" s="24">
        <f>VLOOKUP(M1435, KM!$A:$E, 5, 0)</f>
        <v>408</v>
      </c>
      <c r="U1435" s="24">
        <f>VLOOKUP(N1435, KM!$A:$E, 5, 0)</f>
        <v>3971</v>
      </c>
      <c r="V1435" s="24">
        <f>VLOOKUP(H1435, IMPOSTO!$A:$D, 4, 0)</f>
        <v>0.18</v>
      </c>
      <c r="W1435" s="24">
        <f>VLOOKUP(I1435, IMPOSTO!$A:$D, 4, 0)</f>
        <v>0.12</v>
      </c>
      <c r="X1435" s="24">
        <f>VLOOKUP(J1435, IMPOSTO!$A:$D, 4, 0)</f>
        <v>7.0000000000000007E-2</v>
      </c>
      <c r="Y1435" s="24">
        <f>VLOOKUP(K1435, IMPOSTO!$A:$D, 4, 0)</f>
        <v>0.12</v>
      </c>
      <c r="Z1435" s="24">
        <f>VLOOKUP(L1435, IMPOSTO!$A:$D, 4, 0)</f>
        <v>0.12</v>
      </c>
      <c r="AA1435" s="24">
        <f>VLOOKUP(M1435, IMPOSTO!$A:$D, 4, 0)</f>
        <v>0.12</v>
      </c>
      <c r="AB1435" s="24">
        <f>VLOOKUP(N1435, IMPOSTO!$A:$D, 4, 0)</f>
        <v>7.0000000000000007E-2</v>
      </c>
      <c r="AC1435" s="25">
        <f t="shared" si="211"/>
        <v>1540.711990903098</v>
      </c>
      <c r="AD1435" s="25">
        <f t="shared" si="212"/>
        <v>1502.254355159705</v>
      </c>
      <c r="AE1435" s="25">
        <f t="shared" si="213"/>
        <v>1453.3159489683233</v>
      </c>
      <c r="AF1435" s="25">
        <f t="shared" si="214"/>
        <v>1515.7770824324323</v>
      </c>
      <c r="AG1435" s="25">
        <f t="shared" si="215"/>
        <v>1484.413446068796</v>
      </c>
      <c r="AH1435" s="25">
        <f t="shared" si="216"/>
        <v>1482.0270824324323</v>
      </c>
      <c r="AI1435" s="25">
        <f t="shared" si="217"/>
        <v>1785.4664866027317</v>
      </c>
    </row>
    <row r="1436" spans="1:35" ht="15.75" customHeight="1">
      <c r="A1436" s="12" t="s">
        <v>861</v>
      </c>
      <c r="B1436" s="12" t="s">
        <v>862</v>
      </c>
      <c r="C1436" s="12" t="s">
        <v>192</v>
      </c>
      <c r="D1436" s="12" t="s">
        <v>50</v>
      </c>
      <c r="E1436" s="12" t="s">
        <v>23</v>
      </c>
      <c r="F1436" s="13">
        <v>100.64921621621625</v>
      </c>
      <c r="G1436" s="14">
        <v>1385.772486945946</v>
      </c>
      <c r="H1436" s="24" t="str">
        <f t="shared" si="210"/>
        <v>SPSP</v>
      </c>
      <c r="I1436" s="24" t="str">
        <f t="shared" si="218"/>
        <v>SPMG</v>
      </c>
      <c r="J1436" s="24" t="str">
        <f t="shared" si="218"/>
        <v>SPES</v>
      </c>
      <c r="K1436" s="24" t="str">
        <f t="shared" si="218"/>
        <v>SPSC</v>
      </c>
      <c r="L1436" s="24" t="str">
        <f t="shared" si="218"/>
        <v>SPRJ</v>
      </c>
      <c r="M1436" s="24" t="str">
        <f t="shared" si="218"/>
        <v>SPPR</v>
      </c>
      <c r="N1436" s="24" t="str">
        <f t="shared" si="218"/>
        <v>SPAM</v>
      </c>
      <c r="O1436" s="24">
        <f>VLOOKUP(H1436, KM!$A:$E, 5, 0)</f>
        <v>0</v>
      </c>
      <c r="P1436" s="24">
        <f>VLOOKUP(I1436, KM!$A:$E, 5, 0)</f>
        <v>586</v>
      </c>
      <c r="Q1436" s="24">
        <f>VLOOKUP(J1436, KM!$A:$E, 5, 0)</f>
        <v>882</v>
      </c>
      <c r="R1436" s="24">
        <f>VLOOKUP(K1436, KM!$A:$E, 5, 0)</f>
        <v>705</v>
      </c>
      <c r="S1436" s="24">
        <f>VLOOKUP(L1436, KM!$A:$E, 5, 0)</f>
        <v>429</v>
      </c>
      <c r="T1436" s="24">
        <f>VLOOKUP(M1436, KM!$A:$E, 5, 0)</f>
        <v>408</v>
      </c>
      <c r="U1436" s="24">
        <f>VLOOKUP(N1436, KM!$A:$E, 5, 0)</f>
        <v>3971</v>
      </c>
      <c r="V1436" s="24">
        <f>VLOOKUP(H1436, IMPOSTO!$A:$D, 4, 0)</f>
        <v>0.18</v>
      </c>
      <c r="W1436" s="24">
        <f>VLOOKUP(I1436, IMPOSTO!$A:$D, 4, 0)</f>
        <v>0.12</v>
      </c>
      <c r="X1436" s="24">
        <f>VLOOKUP(J1436, IMPOSTO!$A:$D, 4, 0)</f>
        <v>7.0000000000000007E-2</v>
      </c>
      <c r="Y1436" s="24">
        <f>VLOOKUP(K1436, IMPOSTO!$A:$D, 4, 0)</f>
        <v>0.12</v>
      </c>
      <c r="Z1436" s="24">
        <f>VLOOKUP(L1436, IMPOSTO!$A:$D, 4, 0)</f>
        <v>0.12</v>
      </c>
      <c r="AA1436" s="24">
        <f>VLOOKUP(M1436, IMPOSTO!$A:$D, 4, 0)</f>
        <v>0.12</v>
      </c>
      <c r="AB1436" s="24">
        <f>VLOOKUP(N1436, IMPOSTO!$A:$D, 4, 0)</f>
        <v>7.0000000000000007E-2</v>
      </c>
      <c r="AC1436" s="25">
        <f t="shared" si="211"/>
        <v>1689.9664474950559</v>
      </c>
      <c r="AD1436" s="25">
        <f t="shared" si="212"/>
        <v>1641.3323715294839</v>
      </c>
      <c r="AE1436" s="25">
        <f t="shared" si="213"/>
        <v>1584.9166526300496</v>
      </c>
      <c r="AF1436" s="25">
        <f t="shared" si="214"/>
        <v>1654.8550988022114</v>
      </c>
      <c r="AG1436" s="25">
        <f t="shared" si="215"/>
        <v>1623.4914624385751</v>
      </c>
      <c r="AH1436" s="25">
        <f t="shared" si="216"/>
        <v>1621.1050988022112</v>
      </c>
      <c r="AI1436" s="25">
        <f t="shared" si="217"/>
        <v>1917.0671902644583</v>
      </c>
    </row>
    <row r="1437" spans="1:35" ht="15.75" customHeight="1">
      <c r="A1437" s="12" t="s">
        <v>899</v>
      </c>
      <c r="B1437" s="12" t="s">
        <v>900</v>
      </c>
      <c r="C1437" s="12" t="s">
        <v>192</v>
      </c>
      <c r="D1437" s="12" t="s">
        <v>33</v>
      </c>
      <c r="E1437" s="12" t="s">
        <v>23</v>
      </c>
      <c r="F1437" s="13">
        <v>81.009500000000031</v>
      </c>
      <c r="G1437" s="14">
        <v>280.10129347972969</v>
      </c>
      <c r="H1437" s="24" t="str">
        <f t="shared" si="210"/>
        <v>SPSP</v>
      </c>
      <c r="I1437" s="24" t="str">
        <f t="shared" si="218"/>
        <v>SPMG</v>
      </c>
      <c r="J1437" s="24" t="str">
        <f t="shared" si="218"/>
        <v>SPES</v>
      </c>
      <c r="K1437" s="24" t="str">
        <f t="shared" si="218"/>
        <v>SPSC</v>
      </c>
      <c r="L1437" s="24" t="str">
        <f t="shared" si="218"/>
        <v>SPRJ</v>
      </c>
      <c r="M1437" s="24" t="str">
        <f t="shared" si="218"/>
        <v>SPPR</v>
      </c>
      <c r="N1437" s="24" t="str">
        <f t="shared" si="218"/>
        <v>SPAM</v>
      </c>
      <c r="O1437" s="24">
        <f>VLOOKUP(H1437, KM!$A:$E, 5, 0)</f>
        <v>0</v>
      </c>
      <c r="P1437" s="24">
        <f>VLOOKUP(I1437, KM!$A:$E, 5, 0)</f>
        <v>586</v>
      </c>
      <c r="Q1437" s="24">
        <f>VLOOKUP(J1437, KM!$A:$E, 5, 0)</f>
        <v>882</v>
      </c>
      <c r="R1437" s="24">
        <f>VLOOKUP(K1437, KM!$A:$E, 5, 0)</f>
        <v>705</v>
      </c>
      <c r="S1437" s="24">
        <f>VLOOKUP(L1437, KM!$A:$E, 5, 0)</f>
        <v>429</v>
      </c>
      <c r="T1437" s="24">
        <f>VLOOKUP(M1437, KM!$A:$E, 5, 0)</f>
        <v>408</v>
      </c>
      <c r="U1437" s="24">
        <f>VLOOKUP(N1437, KM!$A:$E, 5, 0)</f>
        <v>3971</v>
      </c>
      <c r="V1437" s="24">
        <f>VLOOKUP(H1437, IMPOSTO!$A:$D, 4, 0)</f>
        <v>0.18</v>
      </c>
      <c r="W1437" s="24">
        <f>VLOOKUP(I1437, IMPOSTO!$A:$D, 4, 0)</f>
        <v>0.12</v>
      </c>
      <c r="X1437" s="24">
        <f>VLOOKUP(J1437, IMPOSTO!$A:$D, 4, 0)</f>
        <v>7.0000000000000007E-2</v>
      </c>
      <c r="Y1437" s="24">
        <f>VLOOKUP(K1437, IMPOSTO!$A:$D, 4, 0)</f>
        <v>0.12</v>
      </c>
      <c r="Z1437" s="24">
        <f>VLOOKUP(L1437, IMPOSTO!$A:$D, 4, 0)</f>
        <v>0.12</v>
      </c>
      <c r="AA1437" s="24">
        <f>VLOOKUP(M1437, IMPOSTO!$A:$D, 4, 0)</f>
        <v>0.12</v>
      </c>
      <c r="AB1437" s="24">
        <f>VLOOKUP(N1437, IMPOSTO!$A:$D, 4, 0)</f>
        <v>7.0000000000000007E-2</v>
      </c>
      <c r="AC1437" s="25">
        <f>($G1437 + O1437 * $AE$5) / (1 - V1437)</f>
        <v>341.58694326796302</v>
      </c>
      <c r="AD1437" s="25">
        <f t="shared" si="212"/>
        <v>384.88783349969287</v>
      </c>
      <c r="AE1437" s="25">
        <f t="shared" si="213"/>
        <v>396.02289621476314</v>
      </c>
      <c r="AF1437" s="25">
        <f t="shared" si="214"/>
        <v>398.41056077242013</v>
      </c>
      <c r="AG1437" s="25">
        <f t="shared" si="215"/>
        <v>367.04692440878375</v>
      </c>
      <c r="AH1437" s="25">
        <f t="shared" si="216"/>
        <v>364.66056077242013</v>
      </c>
      <c r="AI1437" s="25">
        <f t="shared" si="217"/>
        <v>728.17343384917172</v>
      </c>
    </row>
    <row r="1438" spans="1:35" ht="15.75" customHeight="1">
      <c r="A1438" s="12" t="s">
        <v>903</v>
      </c>
      <c r="B1438" s="12" t="s">
        <v>904</v>
      </c>
      <c r="C1438" s="12" t="s">
        <v>160</v>
      </c>
      <c r="D1438" s="12" t="s">
        <v>33</v>
      </c>
      <c r="E1438" s="12" t="s">
        <v>23</v>
      </c>
      <c r="F1438" s="13">
        <v>3.8159999999999989</v>
      </c>
      <c r="G1438" s="14">
        <v>524.12233111926594</v>
      </c>
      <c r="H1438" s="24" t="str">
        <f t="shared" si="210"/>
        <v>SPSP</v>
      </c>
      <c r="I1438" s="24" t="str">
        <f t="shared" si="218"/>
        <v>SPMG</v>
      </c>
      <c r="J1438" s="24" t="str">
        <f t="shared" si="218"/>
        <v>SPES</v>
      </c>
      <c r="K1438" s="24" t="str">
        <f t="shared" si="218"/>
        <v>SPSC</v>
      </c>
      <c r="L1438" s="24" t="str">
        <f t="shared" si="218"/>
        <v>SPRJ</v>
      </c>
      <c r="M1438" s="24" t="str">
        <f t="shared" si="218"/>
        <v>SPPR</v>
      </c>
      <c r="N1438" s="24" t="str">
        <f t="shared" si="218"/>
        <v>SPAM</v>
      </c>
      <c r="O1438" s="24">
        <f>VLOOKUP(H1438, KM!$A:$E, 5, 0)</f>
        <v>0</v>
      </c>
      <c r="P1438" s="24">
        <f>VLOOKUP(I1438, KM!$A:$E, 5, 0)</f>
        <v>586</v>
      </c>
      <c r="Q1438" s="24">
        <f>VLOOKUP(J1438, KM!$A:$E, 5, 0)</f>
        <v>882</v>
      </c>
      <c r="R1438" s="24">
        <f>VLOOKUP(K1438, KM!$A:$E, 5, 0)</f>
        <v>705</v>
      </c>
      <c r="S1438" s="24">
        <f>VLOOKUP(L1438, KM!$A:$E, 5, 0)</f>
        <v>429</v>
      </c>
      <c r="T1438" s="24">
        <f>VLOOKUP(M1438, KM!$A:$E, 5, 0)</f>
        <v>408</v>
      </c>
      <c r="U1438" s="24">
        <f>VLOOKUP(N1438, KM!$A:$E, 5, 0)</f>
        <v>3971</v>
      </c>
      <c r="V1438" s="24">
        <f>VLOOKUP(H1438, IMPOSTO!$A:$D, 4, 0)</f>
        <v>0.18</v>
      </c>
      <c r="W1438" s="24">
        <f>VLOOKUP(I1438, IMPOSTO!$A:$D, 4, 0)</f>
        <v>0.12</v>
      </c>
      <c r="X1438" s="24">
        <f>VLOOKUP(J1438, IMPOSTO!$A:$D, 4, 0)</f>
        <v>7.0000000000000007E-2</v>
      </c>
      <c r="Y1438" s="24">
        <f>VLOOKUP(K1438, IMPOSTO!$A:$D, 4, 0)</f>
        <v>0.12</v>
      </c>
      <c r="Z1438" s="24">
        <f>VLOOKUP(L1438, IMPOSTO!$A:$D, 4, 0)</f>
        <v>0.12</v>
      </c>
      <c r="AA1438" s="24">
        <f>VLOOKUP(M1438, IMPOSTO!$A:$D, 4, 0)</f>
        <v>0.12</v>
      </c>
      <c r="AB1438" s="24">
        <f>VLOOKUP(N1438, IMPOSTO!$A:$D, 4, 0)</f>
        <v>7.0000000000000007E-2</v>
      </c>
      <c r="AC1438" s="25">
        <f t="shared" si="211"/>
        <v>639.17357453569014</v>
      </c>
      <c r="AD1438" s="25">
        <f t="shared" si="212"/>
        <v>662.18446718098403</v>
      </c>
      <c r="AE1438" s="25">
        <f t="shared" si="213"/>
        <v>658.41110873039361</v>
      </c>
      <c r="AF1438" s="25">
        <f t="shared" si="214"/>
        <v>675.70719445371128</v>
      </c>
      <c r="AG1438" s="25">
        <f t="shared" si="215"/>
        <v>644.34355809007491</v>
      </c>
      <c r="AH1438" s="25">
        <f t="shared" si="216"/>
        <v>641.95719445371128</v>
      </c>
      <c r="AI1438" s="25">
        <f t="shared" si="217"/>
        <v>990.56164636480219</v>
      </c>
    </row>
    <row r="1439" spans="1:35" ht="15.75" customHeight="1">
      <c r="A1439" s="12" t="s">
        <v>986</v>
      </c>
      <c r="B1439" s="12" t="s">
        <v>987</v>
      </c>
      <c r="C1439" s="12" t="s">
        <v>217</v>
      </c>
      <c r="D1439" s="12" t="s">
        <v>50</v>
      </c>
      <c r="E1439" s="12" t="s">
        <v>23</v>
      </c>
      <c r="F1439" s="13">
        <v>175.99679999999998</v>
      </c>
      <c r="G1439" s="14">
        <v>1371.8747263366336</v>
      </c>
      <c r="H1439" s="24" t="str">
        <f t="shared" si="210"/>
        <v>SPSP</v>
      </c>
      <c r="I1439" s="24" t="str">
        <f t="shared" si="218"/>
        <v>SPMG</v>
      </c>
      <c r="J1439" s="24" t="str">
        <f t="shared" si="218"/>
        <v>SPES</v>
      </c>
      <c r="K1439" s="24" t="str">
        <f t="shared" si="218"/>
        <v>SPSC</v>
      </c>
      <c r="L1439" s="24" t="str">
        <f t="shared" si="218"/>
        <v>SPRJ</v>
      </c>
      <c r="M1439" s="24" t="str">
        <f t="shared" si="218"/>
        <v>SPPR</v>
      </c>
      <c r="N1439" s="24" t="str">
        <f t="shared" si="218"/>
        <v>SPAM</v>
      </c>
      <c r="O1439" s="24">
        <f>VLOOKUP(H1439, KM!$A:$E, 5, 0)</f>
        <v>0</v>
      </c>
      <c r="P1439" s="24">
        <f>VLOOKUP(I1439, KM!$A:$E, 5, 0)</f>
        <v>586</v>
      </c>
      <c r="Q1439" s="24">
        <f>VLOOKUP(J1439, KM!$A:$E, 5, 0)</f>
        <v>882</v>
      </c>
      <c r="R1439" s="24">
        <f>VLOOKUP(K1439, KM!$A:$E, 5, 0)</f>
        <v>705</v>
      </c>
      <c r="S1439" s="24">
        <f>VLOOKUP(L1439, KM!$A:$E, 5, 0)</f>
        <v>429</v>
      </c>
      <c r="T1439" s="24">
        <f>VLOOKUP(M1439, KM!$A:$E, 5, 0)</f>
        <v>408</v>
      </c>
      <c r="U1439" s="24">
        <f>VLOOKUP(N1439, KM!$A:$E, 5, 0)</f>
        <v>3971</v>
      </c>
      <c r="V1439" s="24">
        <f>VLOOKUP(H1439, IMPOSTO!$A:$D, 4, 0)</f>
        <v>0.18</v>
      </c>
      <c r="W1439" s="24">
        <f>VLOOKUP(I1439, IMPOSTO!$A:$D, 4, 0)</f>
        <v>0.12</v>
      </c>
      <c r="X1439" s="24">
        <f>VLOOKUP(J1439, IMPOSTO!$A:$D, 4, 0)</f>
        <v>7.0000000000000007E-2</v>
      </c>
      <c r="Y1439" s="24">
        <f>VLOOKUP(K1439, IMPOSTO!$A:$D, 4, 0)</f>
        <v>0.12</v>
      </c>
      <c r="Z1439" s="24">
        <f>VLOOKUP(L1439, IMPOSTO!$A:$D, 4, 0)</f>
        <v>0.12</v>
      </c>
      <c r="AA1439" s="24">
        <f>VLOOKUP(M1439, IMPOSTO!$A:$D, 4, 0)</f>
        <v>0.12</v>
      </c>
      <c r="AB1439" s="24">
        <f>VLOOKUP(N1439, IMPOSTO!$A:$D, 4, 0)</f>
        <v>7.0000000000000007E-2</v>
      </c>
      <c r="AC1439" s="25">
        <f t="shared" si="211"/>
        <v>1673.017958947114</v>
      </c>
      <c r="AD1439" s="25">
        <f t="shared" si="212"/>
        <v>1625.5394617461743</v>
      </c>
      <c r="AE1439" s="25">
        <f t="shared" si="213"/>
        <v>1569.9728240178856</v>
      </c>
      <c r="AF1439" s="25">
        <f t="shared" si="214"/>
        <v>1639.0621890189018</v>
      </c>
      <c r="AG1439" s="25">
        <f t="shared" si="215"/>
        <v>1607.6985526552655</v>
      </c>
      <c r="AH1439" s="25">
        <f t="shared" si="216"/>
        <v>1605.3121890189018</v>
      </c>
      <c r="AI1439" s="25">
        <f t="shared" si="217"/>
        <v>1902.1233616522941</v>
      </c>
    </row>
    <row r="1440" spans="1:35" ht="15.75" customHeight="1">
      <c r="A1440" s="12" t="s">
        <v>907</v>
      </c>
      <c r="B1440" s="12" t="s">
        <v>908</v>
      </c>
      <c r="C1440" s="12" t="s">
        <v>160</v>
      </c>
      <c r="D1440" s="12" t="s">
        <v>33</v>
      </c>
      <c r="E1440" s="12" t="s">
        <v>23</v>
      </c>
      <c r="F1440" s="13">
        <v>356.00364000000008</v>
      </c>
      <c r="G1440" s="14">
        <v>2659.7494547999991</v>
      </c>
      <c r="H1440" s="24" t="str">
        <f t="shared" si="210"/>
        <v>SPSP</v>
      </c>
      <c r="I1440" s="24" t="str">
        <f t="shared" si="218"/>
        <v>SPMG</v>
      </c>
      <c r="J1440" s="24" t="str">
        <f t="shared" si="218"/>
        <v>SPES</v>
      </c>
      <c r="K1440" s="24" t="str">
        <f t="shared" si="218"/>
        <v>SPSC</v>
      </c>
      <c r="L1440" s="24" t="str">
        <f t="shared" si="218"/>
        <v>SPRJ</v>
      </c>
      <c r="M1440" s="24" t="str">
        <f t="shared" si="218"/>
        <v>SPPR</v>
      </c>
      <c r="N1440" s="24" t="str">
        <f t="shared" si="218"/>
        <v>SPAM</v>
      </c>
      <c r="O1440" s="24">
        <f>VLOOKUP(H1440, KM!$A:$E, 5, 0)</f>
        <v>0</v>
      </c>
      <c r="P1440" s="24">
        <f>VLOOKUP(I1440, KM!$A:$E, 5, 0)</f>
        <v>586</v>
      </c>
      <c r="Q1440" s="24">
        <f>VLOOKUP(J1440, KM!$A:$E, 5, 0)</f>
        <v>882</v>
      </c>
      <c r="R1440" s="24">
        <f>VLOOKUP(K1440, KM!$A:$E, 5, 0)</f>
        <v>705</v>
      </c>
      <c r="S1440" s="24">
        <f>VLOOKUP(L1440, KM!$A:$E, 5, 0)</f>
        <v>429</v>
      </c>
      <c r="T1440" s="24">
        <f>VLOOKUP(M1440, KM!$A:$E, 5, 0)</f>
        <v>408</v>
      </c>
      <c r="U1440" s="24">
        <f>VLOOKUP(N1440, KM!$A:$E, 5, 0)</f>
        <v>3971</v>
      </c>
      <c r="V1440" s="24">
        <f>VLOOKUP(H1440, IMPOSTO!$A:$D, 4, 0)</f>
        <v>0.18</v>
      </c>
      <c r="W1440" s="24">
        <f>VLOOKUP(I1440, IMPOSTO!$A:$D, 4, 0)</f>
        <v>0.12</v>
      </c>
      <c r="X1440" s="24">
        <f>VLOOKUP(J1440, IMPOSTO!$A:$D, 4, 0)</f>
        <v>7.0000000000000007E-2</v>
      </c>
      <c r="Y1440" s="24">
        <f>VLOOKUP(K1440, IMPOSTO!$A:$D, 4, 0)</f>
        <v>0.12</v>
      </c>
      <c r="Z1440" s="24">
        <f>VLOOKUP(L1440, IMPOSTO!$A:$D, 4, 0)</f>
        <v>0.12</v>
      </c>
      <c r="AA1440" s="24">
        <f>VLOOKUP(M1440, IMPOSTO!$A:$D, 4, 0)</f>
        <v>0.12</v>
      </c>
      <c r="AB1440" s="24">
        <f>VLOOKUP(N1440, IMPOSTO!$A:$D, 4, 0)</f>
        <v>7.0000000000000007E-2</v>
      </c>
      <c r="AC1440" s="25">
        <f t="shared" si="211"/>
        <v>3243.5968960975597</v>
      </c>
      <c r="AD1440" s="25">
        <f t="shared" si="212"/>
        <v>3089.0334713636353</v>
      </c>
      <c r="AE1440" s="25">
        <f t="shared" si="213"/>
        <v>2954.7843599999992</v>
      </c>
      <c r="AF1440" s="25">
        <f t="shared" si="214"/>
        <v>3102.5561986363628</v>
      </c>
      <c r="AG1440" s="25">
        <f t="shared" si="215"/>
        <v>3071.1925622727263</v>
      </c>
      <c r="AH1440" s="25">
        <f t="shared" si="216"/>
        <v>3068.8061986363628</v>
      </c>
      <c r="AI1440" s="25">
        <f t="shared" si="217"/>
        <v>3286.9348976344077</v>
      </c>
    </row>
    <row r="1441" spans="1:35" ht="15.75" customHeight="1">
      <c r="A1441" s="12" t="s">
        <v>824</v>
      </c>
      <c r="B1441" s="12" t="s">
        <v>825</v>
      </c>
      <c r="C1441" s="12" t="s">
        <v>160</v>
      </c>
      <c r="D1441" s="12" t="s">
        <v>33</v>
      </c>
      <c r="E1441" s="12" t="s">
        <v>23</v>
      </c>
      <c r="F1441" s="13">
        <v>72.711362068965485</v>
      </c>
      <c r="G1441" s="14">
        <v>330.87496655172424</v>
      </c>
      <c r="H1441" s="24" t="str">
        <f t="shared" si="210"/>
        <v>SPSP</v>
      </c>
      <c r="I1441" s="24" t="str">
        <f t="shared" si="218"/>
        <v>SPMG</v>
      </c>
      <c r="J1441" s="24" t="str">
        <f t="shared" si="218"/>
        <v>SPES</v>
      </c>
      <c r="K1441" s="24" t="str">
        <f t="shared" si="218"/>
        <v>SPSC</v>
      </c>
      <c r="L1441" s="24" t="str">
        <f t="shared" si="218"/>
        <v>SPRJ</v>
      </c>
      <c r="M1441" s="24" t="str">
        <f t="shared" si="218"/>
        <v>SPPR</v>
      </c>
      <c r="N1441" s="24" t="str">
        <f t="shared" si="218"/>
        <v>SPAM</v>
      </c>
      <c r="O1441" s="24">
        <f>VLOOKUP(H1441, KM!$A:$E, 5, 0)</f>
        <v>0</v>
      </c>
      <c r="P1441" s="24">
        <f>VLOOKUP(I1441, KM!$A:$E, 5, 0)</f>
        <v>586</v>
      </c>
      <c r="Q1441" s="24">
        <f>VLOOKUP(J1441, KM!$A:$E, 5, 0)</f>
        <v>882</v>
      </c>
      <c r="R1441" s="24">
        <f>VLOOKUP(K1441, KM!$A:$E, 5, 0)</f>
        <v>705</v>
      </c>
      <c r="S1441" s="24">
        <f>VLOOKUP(L1441, KM!$A:$E, 5, 0)</f>
        <v>429</v>
      </c>
      <c r="T1441" s="24">
        <f>VLOOKUP(M1441, KM!$A:$E, 5, 0)</f>
        <v>408</v>
      </c>
      <c r="U1441" s="24">
        <f>VLOOKUP(N1441, KM!$A:$E, 5, 0)</f>
        <v>3971</v>
      </c>
      <c r="V1441" s="24">
        <f>VLOOKUP(H1441, IMPOSTO!$A:$D, 4, 0)</f>
        <v>0.18</v>
      </c>
      <c r="W1441" s="24">
        <f>VLOOKUP(I1441, IMPOSTO!$A:$D, 4, 0)</f>
        <v>0.12</v>
      </c>
      <c r="X1441" s="24">
        <f>VLOOKUP(J1441, IMPOSTO!$A:$D, 4, 0)</f>
        <v>7.0000000000000007E-2</v>
      </c>
      <c r="Y1441" s="24">
        <f>VLOOKUP(K1441, IMPOSTO!$A:$D, 4, 0)</f>
        <v>0.12</v>
      </c>
      <c r="Z1441" s="24">
        <f>VLOOKUP(L1441, IMPOSTO!$A:$D, 4, 0)</f>
        <v>0.12</v>
      </c>
      <c r="AA1441" s="24">
        <f>VLOOKUP(M1441, IMPOSTO!$A:$D, 4, 0)</f>
        <v>0.12</v>
      </c>
      <c r="AB1441" s="24">
        <f>VLOOKUP(N1441, IMPOSTO!$A:$D, 4, 0)</f>
        <v>7.0000000000000007E-2</v>
      </c>
      <c r="AC1441" s="25">
        <f t="shared" si="211"/>
        <v>403.50605677039539</v>
      </c>
      <c r="AD1441" s="25">
        <f t="shared" si="212"/>
        <v>442.585189263323</v>
      </c>
      <c r="AE1441" s="25">
        <f t="shared" si="213"/>
        <v>450.61824360400459</v>
      </c>
      <c r="AF1441" s="25">
        <f t="shared" si="214"/>
        <v>456.10791653605025</v>
      </c>
      <c r="AG1441" s="25">
        <f t="shared" si="215"/>
        <v>424.74428017241388</v>
      </c>
      <c r="AH1441" s="25">
        <f t="shared" si="216"/>
        <v>422.35791653605031</v>
      </c>
      <c r="AI1441" s="25">
        <f t="shared" si="217"/>
        <v>782.76878123841323</v>
      </c>
    </row>
    <row r="1442" spans="1:35" ht="15.75" customHeight="1">
      <c r="A1442" s="12" t="s">
        <v>911</v>
      </c>
      <c r="B1442" s="12" t="s">
        <v>912</v>
      </c>
      <c r="C1442" s="12" t="s">
        <v>876</v>
      </c>
      <c r="D1442" s="12" t="s">
        <v>33</v>
      </c>
      <c r="E1442" s="12" t="s">
        <v>23</v>
      </c>
      <c r="F1442" s="13">
        <v>1002.9633999999999</v>
      </c>
      <c r="G1442" s="14">
        <v>24661.254908207746</v>
      </c>
      <c r="H1442" s="24" t="str">
        <f t="shared" si="210"/>
        <v>SPSP</v>
      </c>
      <c r="I1442" s="24" t="str">
        <f t="shared" si="218"/>
        <v>SPMG</v>
      </c>
      <c r="J1442" s="24" t="str">
        <f t="shared" si="218"/>
        <v>SPES</v>
      </c>
      <c r="K1442" s="24" t="str">
        <f t="shared" si="218"/>
        <v>SPSC</v>
      </c>
      <c r="L1442" s="24" t="str">
        <f t="shared" si="218"/>
        <v>SPRJ</v>
      </c>
      <c r="M1442" s="24" t="str">
        <f t="shared" si="218"/>
        <v>SPPR</v>
      </c>
      <c r="N1442" s="24" t="str">
        <f t="shared" si="218"/>
        <v>SPAM</v>
      </c>
      <c r="O1442" s="24">
        <f>VLOOKUP(H1442, KM!$A:$E, 5, 0)</f>
        <v>0</v>
      </c>
      <c r="P1442" s="24">
        <f>VLOOKUP(I1442, KM!$A:$E, 5, 0)</f>
        <v>586</v>
      </c>
      <c r="Q1442" s="24">
        <f>VLOOKUP(J1442, KM!$A:$E, 5, 0)</f>
        <v>882</v>
      </c>
      <c r="R1442" s="24">
        <f>VLOOKUP(K1442, KM!$A:$E, 5, 0)</f>
        <v>705</v>
      </c>
      <c r="S1442" s="24">
        <f>VLOOKUP(L1442, KM!$A:$E, 5, 0)</f>
        <v>429</v>
      </c>
      <c r="T1442" s="24">
        <f>VLOOKUP(M1442, KM!$A:$E, 5, 0)</f>
        <v>408</v>
      </c>
      <c r="U1442" s="24">
        <f>VLOOKUP(N1442, KM!$A:$E, 5, 0)</f>
        <v>3971</v>
      </c>
      <c r="V1442" s="24">
        <f>VLOOKUP(H1442, IMPOSTO!$A:$D, 4, 0)</f>
        <v>0.18</v>
      </c>
      <c r="W1442" s="24">
        <f>VLOOKUP(I1442, IMPOSTO!$A:$D, 4, 0)</f>
        <v>0.12</v>
      </c>
      <c r="X1442" s="24">
        <f>VLOOKUP(J1442, IMPOSTO!$A:$D, 4, 0)</f>
        <v>7.0000000000000007E-2</v>
      </c>
      <c r="Y1442" s="24">
        <f>VLOOKUP(K1442, IMPOSTO!$A:$D, 4, 0)</f>
        <v>0.12</v>
      </c>
      <c r="Z1442" s="24">
        <f>VLOOKUP(L1442, IMPOSTO!$A:$D, 4, 0)</f>
        <v>0.12</v>
      </c>
      <c r="AA1442" s="24">
        <f>VLOOKUP(M1442, IMPOSTO!$A:$D, 4, 0)</f>
        <v>0.12</v>
      </c>
      <c r="AB1442" s="24">
        <f>VLOOKUP(N1442, IMPOSTO!$A:$D, 4, 0)</f>
        <v>7.0000000000000007E-2</v>
      </c>
      <c r="AC1442" s="25">
        <f t="shared" si="211"/>
        <v>30074.701107570418</v>
      </c>
      <c r="AD1442" s="25">
        <f t="shared" si="212"/>
        <v>28090.744213872436</v>
      </c>
      <c r="AE1442" s="25">
        <f t="shared" si="213"/>
        <v>26612.31710559973</v>
      </c>
      <c r="AF1442" s="25">
        <f t="shared" si="214"/>
        <v>28104.266941145164</v>
      </c>
      <c r="AG1442" s="25">
        <f t="shared" si="215"/>
        <v>28072.903304781532</v>
      </c>
      <c r="AH1442" s="25">
        <f t="shared" si="216"/>
        <v>28070.516941145164</v>
      </c>
      <c r="AI1442" s="25">
        <f t="shared" si="217"/>
        <v>26944.467643234137</v>
      </c>
    </row>
    <row r="1443" spans="1:35" ht="15.75" customHeight="1">
      <c r="A1443" s="12" t="s">
        <v>30</v>
      </c>
      <c r="B1443" s="12" t="s">
        <v>31</v>
      </c>
      <c r="C1443" s="12" t="s">
        <v>32</v>
      </c>
      <c r="D1443" s="12" t="s">
        <v>33</v>
      </c>
      <c r="E1443" s="12" t="s">
        <v>23</v>
      </c>
      <c r="F1443" s="13">
        <v>12489.262863287671</v>
      </c>
      <c r="G1443" s="14">
        <v>396219.83953621809</v>
      </c>
      <c r="H1443" s="24" t="str">
        <f t="shared" si="210"/>
        <v>SPSP</v>
      </c>
      <c r="I1443" s="24" t="str">
        <f t="shared" si="218"/>
        <v>SPMG</v>
      </c>
      <c r="J1443" s="24" t="str">
        <f t="shared" si="218"/>
        <v>SPES</v>
      </c>
      <c r="K1443" s="24" t="str">
        <f t="shared" si="218"/>
        <v>SPSC</v>
      </c>
      <c r="L1443" s="24" t="str">
        <f t="shared" si="218"/>
        <v>SPRJ</v>
      </c>
      <c r="M1443" s="24" t="str">
        <f t="shared" si="218"/>
        <v>SPPR</v>
      </c>
      <c r="N1443" s="24" t="str">
        <f t="shared" si="218"/>
        <v>SPAM</v>
      </c>
      <c r="O1443" s="24">
        <f>VLOOKUP(H1443, KM!$A:$E, 5, 0)</f>
        <v>0</v>
      </c>
      <c r="P1443" s="24">
        <f>VLOOKUP(I1443, KM!$A:$E, 5, 0)</f>
        <v>586</v>
      </c>
      <c r="Q1443" s="24">
        <f>VLOOKUP(J1443, KM!$A:$E, 5, 0)</f>
        <v>882</v>
      </c>
      <c r="R1443" s="24">
        <f>VLOOKUP(K1443, KM!$A:$E, 5, 0)</f>
        <v>705</v>
      </c>
      <c r="S1443" s="24">
        <f>VLOOKUP(L1443, KM!$A:$E, 5, 0)</f>
        <v>429</v>
      </c>
      <c r="T1443" s="24">
        <f>VLOOKUP(M1443, KM!$A:$E, 5, 0)</f>
        <v>408</v>
      </c>
      <c r="U1443" s="24">
        <f>VLOOKUP(N1443, KM!$A:$E, 5, 0)</f>
        <v>3971</v>
      </c>
      <c r="V1443" s="24">
        <f>VLOOKUP(H1443, IMPOSTO!$A:$D, 4, 0)</f>
        <v>0.18</v>
      </c>
      <c r="W1443" s="24">
        <f>VLOOKUP(I1443, IMPOSTO!$A:$D, 4, 0)</f>
        <v>0.12</v>
      </c>
      <c r="X1443" s="24">
        <f>VLOOKUP(J1443, IMPOSTO!$A:$D, 4, 0)</f>
        <v>7.0000000000000007E-2</v>
      </c>
      <c r="Y1443" s="24">
        <f>VLOOKUP(K1443, IMPOSTO!$A:$D, 4, 0)</f>
        <v>0.12</v>
      </c>
      <c r="Z1443" s="24">
        <f>VLOOKUP(L1443, IMPOSTO!$A:$D, 4, 0)</f>
        <v>0.12</v>
      </c>
      <c r="AA1443" s="24">
        <f>VLOOKUP(M1443, IMPOSTO!$A:$D, 4, 0)</f>
        <v>0.12</v>
      </c>
      <c r="AB1443" s="24">
        <f>VLOOKUP(N1443, IMPOSTO!$A:$D, 4, 0)</f>
        <v>7.0000000000000007E-2</v>
      </c>
      <c r="AC1443" s="25">
        <f t="shared" si="211"/>
        <v>483194.92626368057</v>
      </c>
      <c r="AD1443" s="25">
        <f t="shared" si="212"/>
        <v>450316.40856388415</v>
      </c>
      <c r="AE1443" s="25">
        <f t="shared" si="213"/>
        <v>426137.67692066467</v>
      </c>
      <c r="AF1443" s="25">
        <f t="shared" si="214"/>
        <v>450329.93129115691</v>
      </c>
      <c r="AG1443" s="25">
        <f t="shared" si="215"/>
        <v>450298.56765479333</v>
      </c>
      <c r="AH1443" s="25">
        <f t="shared" si="216"/>
        <v>450296.18129115691</v>
      </c>
      <c r="AI1443" s="25">
        <f t="shared" si="217"/>
        <v>426469.827458299</v>
      </c>
    </row>
    <row r="1444" spans="1:35" ht="15.75" customHeight="1">
      <c r="A1444" s="12" t="s">
        <v>591</v>
      </c>
      <c r="B1444" s="12" t="s">
        <v>828</v>
      </c>
      <c r="C1444" s="12" t="s">
        <v>192</v>
      </c>
      <c r="D1444" s="12" t="s">
        <v>50</v>
      </c>
      <c r="E1444" s="12" t="s">
        <v>23</v>
      </c>
      <c r="F1444" s="13">
        <v>5.9723340961098401</v>
      </c>
      <c r="G1444" s="14">
        <v>42.391627414187646</v>
      </c>
      <c r="H1444" s="24" t="str">
        <f t="shared" si="210"/>
        <v>SPSP</v>
      </c>
      <c r="I1444" s="24" t="str">
        <f t="shared" si="218"/>
        <v>SPMG</v>
      </c>
      <c r="J1444" s="24" t="str">
        <f t="shared" si="218"/>
        <v>SPES</v>
      </c>
      <c r="K1444" s="24" t="str">
        <f t="shared" si="218"/>
        <v>SPSC</v>
      </c>
      <c r="L1444" s="24" t="str">
        <f t="shared" si="218"/>
        <v>SPRJ</v>
      </c>
      <c r="M1444" s="24" t="str">
        <f t="shared" si="218"/>
        <v>SPPR</v>
      </c>
      <c r="N1444" s="24" t="str">
        <f t="shared" si="218"/>
        <v>SPAM</v>
      </c>
      <c r="O1444" s="24">
        <f>VLOOKUP(H1444, KM!$A:$E, 5, 0)</f>
        <v>0</v>
      </c>
      <c r="P1444" s="24">
        <f>VLOOKUP(I1444, KM!$A:$E, 5, 0)</f>
        <v>586</v>
      </c>
      <c r="Q1444" s="24">
        <f>VLOOKUP(J1444, KM!$A:$E, 5, 0)</f>
        <v>882</v>
      </c>
      <c r="R1444" s="24">
        <f>VLOOKUP(K1444, KM!$A:$E, 5, 0)</f>
        <v>705</v>
      </c>
      <c r="S1444" s="24">
        <f>VLOOKUP(L1444, KM!$A:$E, 5, 0)</f>
        <v>429</v>
      </c>
      <c r="T1444" s="24">
        <f>VLOOKUP(M1444, KM!$A:$E, 5, 0)</f>
        <v>408</v>
      </c>
      <c r="U1444" s="24">
        <f>VLOOKUP(N1444, KM!$A:$E, 5, 0)</f>
        <v>3971</v>
      </c>
      <c r="V1444" s="24">
        <f>VLOOKUP(H1444, IMPOSTO!$A:$D, 4, 0)</f>
        <v>0.18</v>
      </c>
      <c r="W1444" s="24">
        <f>VLOOKUP(I1444, IMPOSTO!$A:$D, 4, 0)</f>
        <v>0.12</v>
      </c>
      <c r="X1444" s="24">
        <f>VLOOKUP(J1444, IMPOSTO!$A:$D, 4, 0)</f>
        <v>7.0000000000000007E-2</v>
      </c>
      <c r="Y1444" s="24">
        <f>VLOOKUP(K1444, IMPOSTO!$A:$D, 4, 0)</f>
        <v>0.12</v>
      </c>
      <c r="Z1444" s="24">
        <f>VLOOKUP(L1444, IMPOSTO!$A:$D, 4, 0)</f>
        <v>0.12</v>
      </c>
      <c r="AA1444" s="24">
        <f>VLOOKUP(M1444, IMPOSTO!$A:$D, 4, 0)</f>
        <v>0.12</v>
      </c>
      <c r="AB1444" s="24">
        <f>VLOOKUP(N1444, IMPOSTO!$A:$D, 4, 0)</f>
        <v>7.0000000000000007E-2</v>
      </c>
      <c r="AC1444" s="25">
        <f t="shared" si="211"/>
        <v>51.697106602667859</v>
      </c>
      <c r="AD1444" s="25">
        <f t="shared" si="212"/>
        <v>114.76321297066778</v>
      </c>
      <c r="AE1444" s="25">
        <f t="shared" si="213"/>
        <v>140.42110474643835</v>
      </c>
      <c r="AF1444" s="25">
        <f t="shared" si="214"/>
        <v>128.28594024339503</v>
      </c>
      <c r="AG1444" s="25">
        <f t="shared" si="215"/>
        <v>96.922303879758687</v>
      </c>
      <c r="AH1444" s="25">
        <f t="shared" si="216"/>
        <v>94.535940243395061</v>
      </c>
      <c r="AI1444" s="25">
        <f t="shared" si="217"/>
        <v>472.57164238084704</v>
      </c>
    </row>
    <row r="1445" spans="1:35" ht="15.75" customHeight="1">
      <c r="A1445" s="12" t="s">
        <v>881</v>
      </c>
      <c r="B1445" s="12" t="s">
        <v>882</v>
      </c>
      <c r="C1445" s="12" t="s">
        <v>192</v>
      </c>
      <c r="D1445" s="12" t="s">
        <v>50</v>
      </c>
      <c r="E1445" s="12" t="s">
        <v>23</v>
      </c>
      <c r="F1445" s="13">
        <v>2218.645056726094</v>
      </c>
      <c r="G1445" s="14">
        <v>81404.303752025939</v>
      </c>
      <c r="H1445" s="24" t="str">
        <f t="shared" si="210"/>
        <v>SPSP</v>
      </c>
      <c r="I1445" s="24" t="str">
        <f t="shared" si="218"/>
        <v>SPMG</v>
      </c>
      <c r="J1445" s="24" t="str">
        <f t="shared" si="218"/>
        <v>SPES</v>
      </c>
      <c r="K1445" s="24" t="str">
        <f t="shared" si="218"/>
        <v>SPSC</v>
      </c>
      <c r="L1445" s="24" t="str">
        <f t="shared" si="218"/>
        <v>SPRJ</v>
      </c>
      <c r="M1445" s="24" t="str">
        <f t="shared" si="218"/>
        <v>SPPR</v>
      </c>
      <c r="N1445" s="24" t="str">
        <f t="shared" si="218"/>
        <v>SPAM</v>
      </c>
      <c r="O1445" s="24">
        <f>VLOOKUP(H1445, KM!$A:$E, 5, 0)</f>
        <v>0</v>
      </c>
      <c r="P1445" s="24">
        <f>VLOOKUP(I1445, KM!$A:$E, 5, 0)</f>
        <v>586</v>
      </c>
      <c r="Q1445" s="24">
        <f>VLOOKUP(J1445, KM!$A:$E, 5, 0)</f>
        <v>882</v>
      </c>
      <c r="R1445" s="24">
        <f>VLOOKUP(K1445, KM!$A:$E, 5, 0)</f>
        <v>705</v>
      </c>
      <c r="S1445" s="24">
        <f>VLOOKUP(L1445, KM!$A:$E, 5, 0)</f>
        <v>429</v>
      </c>
      <c r="T1445" s="24">
        <f>VLOOKUP(M1445, KM!$A:$E, 5, 0)</f>
        <v>408</v>
      </c>
      <c r="U1445" s="24">
        <f>VLOOKUP(N1445, KM!$A:$E, 5, 0)</f>
        <v>3971</v>
      </c>
      <c r="V1445" s="24">
        <f>VLOOKUP(H1445, IMPOSTO!$A:$D, 4, 0)</f>
        <v>0.18</v>
      </c>
      <c r="W1445" s="24">
        <f>VLOOKUP(I1445, IMPOSTO!$A:$D, 4, 0)</f>
        <v>0.12</v>
      </c>
      <c r="X1445" s="24">
        <f>VLOOKUP(J1445, IMPOSTO!$A:$D, 4, 0)</f>
        <v>7.0000000000000007E-2</v>
      </c>
      <c r="Y1445" s="24">
        <f>VLOOKUP(K1445, IMPOSTO!$A:$D, 4, 0)</f>
        <v>0.12</v>
      </c>
      <c r="Z1445" s="24">
        <f>VLOOKUP(L1445, IMPOSTO!$A:$D, 4, 0)</f>
        <v>0.12</v>
      </c>
      <c r="AA1445" s="24">
        <f>VLOOKUP(M1445, IMPOSTO!$A:$D, 4, 0)</f>
        <v>0.12</v>
      </c>
      <c r="AB1445" s="24">
        <f>VLOOKUP(N1445, IMPOSTO!$A:$D, 4, 0)</f>
        <v>7.0000000000000007E-2</v>
      </c>
      <c r="AC1445" s="25">
        <f t="shared" si="211"/>
        <v>99273.541161007233</v>
      </c>
      <c r="AD1445" s="25">
        <f t="shared" si="212"/>
        <v>92571.481536393112</v>
      </c>
      <c r="AE1445" s="25">
        <f t="shared" si="213"/>
        <v>87626.348120458002</v>
      </c>
      <c r="AF1445" s="25">
        <f t="shared" si="214"/>
        <v>92585.004263665833</v>
      </c>
      <c r="AG1445" s="25">
        <f t="shared" si="215"/>
        <v>92553.6406273022</v>
      </c>
      <c r="AH1445" s="25">
        <f t="shared" si="216"/>
        <v>92551.254263665847</v>
      </c>
      <c r="AI1445" s="25">
        <f t="shared" si="217"/>
        <v>87958.498658092416</v>
      </c>
    </row>
    <row r="1446" spans="1:35" ht="15.75" customHeight="1">
      <c r="A1446" s="12" t="s">
        <v>1044</v>
      </c>
      <c r="B1446" s="12" t="s">
        <v>1045</v>
      </c>
      <c r="C1446" s="12" t="s">
        <v>337</v>
      </c>
      <c r="D1446" s="12" t="s">
        <v>33</v>
      </c>
      <c r="E1446" s="12" t="s">
        <v>23</v>
      </c>
      <c r="F1446" s="13">
        <v>12100.999999999995</v>
      </c>
      <c r="G1446" s="14">
        <v>335234.318642959</v>
      </c>
      <c r="H1446" s="24" t="str">
        <f t="shared" si="210"/>
        <v>SPSP</v>
      </c>
      <c r="I1446" s="24" t="str">
        <f t="shared" si="218"/>
        <v>SPMG</v>
      </c>
      <c r="J1446" s="24" t="str">
        <f t="shared" si="218"/>
        <v>SPES</v>
      </c>
      <c r="K1446" s="24" t="str">
        <f t="shared" si="218"/>
        <v>SPSC</v>
      </c>
      <c r="L1446" s="24" t="str">
        <f t="shared" si="218"/>
        <v>SPRJ</v>
      </c>
      <c r="M1446" s="24" t="str">
        <f t="shared" si="218"/>
        <v>SPPR</v>
      </c>
      <c r="N1446" s="24" t="str">
        <f t="shared" si="218"/>
        <v>SPAM</v>
      </c>
      <c r="O1446" s="24">
        <f>VLOOKUP(H1446, KM!$A:$E, 5, 0)</f>
        <v>0</v>
      </c>
      <c r="P1446" s="24">
        <f>VLOOKUP(I1446, KM!$A:$E, 5, 0)</f>
        <v>586</v>
      </c>
      <c r="Q1446" s="24">
        <f>VLOOKUP(J1446, KM!$A:$E, 5, 0)</f>
        <v>882</v>
      </c>
      <c r="R1446" s="24">
        <f>VLOOKUP(K1446, KM!$A:$E, 5, 0)</f>
        <v>705</v>
      </c>
      <c r="S1446" s="24">
        <f>VLOOKUP(L1446, KM!$A:$E, 5, 0)</f>
        <v>429</v>
      </c>
      <c r="T1446" s="24">
        <f>VLOOKUP(M1446, KM!$A:$E, 5, 0)</f>
        <v>408</v>
      </c>
      <c r="U1446" s="24">
        <f>VLOOKUP(N1446, KM!$A:$E, 5, 0)</f>
        <v>3971</v>
      </c>
      <c r="V1446" s="24">
        <f>VLOOKUP(H1446, IMPOSTO!$A:$D, 4, 0)</f>
        <v>0.18</v>
      </c>
      <c r="W1446" s="24">
        <f>VLOOKUP(I1446, IMPOSTO!$A:$D, 4, 0)</f>
        <v>0.12</v>
      </c>
      <c r="X1446" s="24">
        <f>VLOOKUP(J1446, IMPOSTO!$A:$D, 4, 0)</f>
        <v>7.0000000000000007E-2</v>
      </c>
      <c r="Y1446" s="24">
        <f>VLOOKUP(K1446, IMPOSTO!$A:$D, 4, 0)</f>
        <v>0.12</v>
      </c>
      <c r="Z1446" s="24">
        <f>VLOOKUP(L1446, IMPOSTO!$A:$D, 4, 0)</f>
        <v>0.12</v>
      </c>
      <c r="AA1446" s="24">
        <f>VLOOKUP(M1446, IMPOSTO!$A:$D, 4, 0)</f>
        <v>0.12</v>
      </c>
      <c r="AB1446" s="24">
        <f>VLOOKUP(N1446, IMPOSTO!$A:$D, 4, 0)</f>
        <v>7.0000000000000007E-2</v>
      </c>
      <c r="AC1446" s="25">
        <f t="shared" si="211"/>
        <v>408822.33980848658</v>
      </c>
      <c r="AD1446" s="25">
        <f t="shared" si="212"/>
        <v>381014.68027608976</v>
      </c>
      <c r="AE1446" s="25">
        <f t="shared" si="213"/>
        <v>360561.84800318175</v>
      </c>
      <c r="AF1446" s="25">
        <f t="shared" si="214"/>
        <v>381028.20300336252</v>
      </c>
      <c r="AG1446" s="25">
        <f t="shared" si="215"/>
        <v>380996.83936699887</v>
      </c>
      <c r="AH1446" s="25">
        <f t="shared" si="216"/>
        <v>380994.45300336246</v>
      </c>
      <c r="AI1446" s="25">
        <f t="shared" si="217"/>
        <v>360893.99854081613</v>
      </c>
    </row>
    <row r="1447" spans="1:35" ht="15.75" customHeight="1">
      <c r="A1447" s="12" t="s">
        <v>1008</v>
      </c>
      <c r="B1447" s="12" t="s">
        <v>1009</v>
      </c>
      <c r="C1447" s="12" t="s">
        <v>116</v>
      </c>
      <c r="D1447" s="12" t="s">
        <v>50</v>
      </c>
      <c r="E1447" s="12" t="s">
        <v>23</v>
      </c>
      <c r="F1447" s="13">
        <v>1426.3136582017846</v>
      </c>
      <c r="G1447" s="14">
        <v>371069.03143445431</v>
      </c>
      <c r="H1447" s="24" t="str">
        <f t="shared" si="210"/>
        <v>SPSP</v>
      </c>
      <c r="I1447" s="24" t="str">
        <f t="shared" si="218"/>
        <v>SPMG</v>
      </c>
      <c r="J1447" s="24" t="str">
        <f t="shared" si="218"/>
        <v>SPES</v>
      </c>
      <c r="K1447" s="24" t="str">
        <f t="shared" si="218"/>
        <v>SPSC</v>
      </c>
      <c r="L1447" s="24" t="str">
        <f t="shared" si="218"/>
        <v>SPRJ</v>
      </c>
      <c r="M1447" s="24" t="str">
        <f t="shared" si="218"/>
        <v>SPPR</v>
      </c>
      <c r="N1447" s="24" t="str">
        <f t="shared" si="218"/>
        <v>SPAM</v>
      </c>
      <c r="O1447" s="24">
        <f>VLOOKUP(H1447, KM!$A:$E, 5, 0)</f>
        <v>0</v>
      </c>
      <c r="P1447" s="24">
        <f>VLOOKUP(I1447, KM!$A:$E, 5, 0)</f>
        <v>586</v>
      </c>
      <c r="Q1447" s="24">
        <f>VLOOKUP(J1447, KM!$A:$E, 5, 0)</f>
        <v>882</v>
      </c>
      <c r="R1447" s="24">
        <f>VLOOKUP(K1447, KM!$A:$E, 5, 0)</f>
        <v>705</v>
      </c>
      <c r="S1447" s="24">
        <f>VLOOKUP(L1447, KM!$A:$E, 5, 0)</f>
        <v>429</v>
      </c>
      <c r="T1447" s="24">
        <f>VLOOKUP(M1447, KM!$A:$E, 5, 0)</f>
        <v>408</v>
      </c>
      <c r="U1447" s="24">
        <f>VLOOKUP(N1447, KM!$A:$E, 5, 0)</f>
        <v>3971</v>
      </c>
      <c r="V1447" s="24">
        <f>VLOOKUP(H1447, IMPOSTO!$A:$D, 4, 0)</f>
        <v>0.18</v>
      </c>
      <c r="W1447" s="24">
        <f>VLOOKUP(I1447, IMPOSTO!$A:$D, 4, 0)</f>
        <v>0.12</v>
      </c>
      <c r="X1447" s="24">
        <f>VLOOKUP(J1447, IMPOSTO!$A:$D, 4, 0)</f>
        <v>7.0000000000000007E-2</v>
      </c>
      <c r="Y1447" s="24">
        <f>VLOOKUP(K1447, IMPOSTO!$A:$D, 4, 0)</f>
        <v>0.12</v>
      </c>
      <c r="Z1447" s="24">
        <f>VLOOKUP(L1447, IMPOSTO!$A:$D, 4, 0)</f>
        <v>0.12</v>
      </c>
      <c r="AA1447" s="24">
        <f>VLOOKUP(M1447, IMPOSTO!$A:$D, 4, 0)</f>
        <v>0.12</v>
      </c>
      <c r="AB1447" s="24">
        <f>VLOOKUP(N1447, IMPOSTO!$A:$D, 4, 0)</f>
        <v>7.0000000000000007E-2</v>
      </c>
      <c r="AC1447" s="25">
        <f t="shared" si="211"/>
        <v>452523.20906640764</v>
      </c>
      <c r="AD1447" s="25">
        <f t="shared" si="212"/>
        <v>421735.94481187989</v>
      </c>
      <c r="AE1447" s="25">
        <f t="shared" si="213"/>
        <v>399093.79724134877</v>
      </c>
      <c r="AF1447" s="25">
        <f t="shared" si="214"/>
        <v>421749.46753915265</v>
      </c>
      <c r="AG1447" s="25">
        <f t="shared" si="215"/>
        <v>421718.10390278901</v>
      </c>
      <c r="AH1447" s="25">
        <f t="shared" si="216"/>
        <v>421715.7175391526</v>
      </c>
      <c r="AI1447" s="25">
        <f t="shared" si="217"/>
        <v>399425.94777898316</v>
      </c>
    </row>
    <row r="1448" spans="1:35" ht="15.75" customHeight="1">
      <c r="A1448" s="12" t="s">
        <v>841</v>
      </c>
      <c r="B1448" s="12" t="s">
        <v>842</v>
      </c>
      <c r="C1448" s="12" t="s">
        <v>192</v>
      </c>
      <c r="D1448" s="12" t="s">
        <v>50</v>
      </c>
      <c r="E1448" s="12" t="s">
        <v>23</v>
      </c>
      <c r="F1448" s="13">
        <v>26.590870588235294</v>
      </c>
      <c r="G1448" s="14">
        <v>496.07854305882353</v>
      </c>
      <c r="H1448" s="24" t="str">
        <f t="shared" si="210"/>
        <v>SPSP</v>
      </c>
      <c r="I1448" s="24" t="str">
        <f t="shared" si="218"/>
        <v>SPMG</v>
      </c>
      <c r="J1448" s="24" t="str">
        <f t="shared" si="218"/>
        <v>SPES</v>
      </c>
      <c r="K1448" s="24" t="str">
        <f t="shared" si="218"/>
        <v>SPSC</v>
      </c>
      <c r="L1448" s="24" t="str">
        <f t="shared" si="218"/>
        <v>SPRJ</v>
      </c>
      <c r="M1448" s="24" t="str">
        <f t="shared" si="218"/>
        <v>SPPR</v>
      </c>
      <c r="N1448" s="24" t="str">
        <f t="shared" si="218"/>
        <v>SPAM</v>
      </c>
      <c r="O1448" s="24">
        <f>VLOOKUP(H1448, KM!$A:$E, 5, 0)</f>
        <v>0</v>
      </c>
      <c r="P1448" s="24">
        <f>VLOOKUP(I1448, KM!$A:$E, 5, 0)</f>
        <v>586</v>
      </c>
      <c r="Q1448" s="24">
        <f>VLOOKUP(J1448, KM!$A:$E, 5, 0)</f>
        <v>882</v>
      </c>
      <c r="R1448" s="24">
        <f>VLOOKUP(K1448, KM!$A:$E, 5, 0)</f>
        <v>705</v>
      </c>
      <c r="S1448" s="24">
        <f>VLOOKUP(L1448, KM!$A:$E, 5, 0)</f>
        <v>429</v>
      </c>
      <c r="T1448" s="24">
        <f>VLOOKUP(M1448, KM!$A:$E, 5, 0)</f>
        <v>408</v>
      </c>
      <c r="U1448" s="24">
        <f>VLOOKUP(N1448, KM!$A:$E, 5, 0)</f>
        <v>3971</v>
      </c>
      <c r="V1448" s="24">
        <f>VLOOKUP(H1448, IMPOSTO!$A:$D, 4, 0)</f>
        <v>0.18</v>
      </c>
      <c r="W1448" s="24">
        <f>VLOOKUP(I1448, IMPOSTO!$A:$D, 4, 0)</f>
        <v>0.12</v>
      </c>
      <c r="X1448" s="24">
        <f>VLOOKUP(J1448, IMPOSTO!$A:$D, 4, 0)</f>
        <v>7.0000000000000007E-2</v>
      </c>
      <c r="Y1448" s="24">
        <f>VLOOKUP(K1448, IMPOSTO!$A:$D, 4, 0)</f>
        <v>0.12</v>
      </c>
      <c r="Z1448" s="24">
        <f>VLOOKUP(L1448, IMPOSTO!$A:$D, 4, 0)</f>
        <v>0.12</v>
      </c>
      <c r="AA1448" s="24">
        <f>VLOOKUP(M1448, IMPOSTO!$A:$D, 4, 0)</f>
        <v>0.12</v>
      </c>
      <c r="AB1448" s="24">
        <f>VLOOKUP(N1448, IMPOSTO!$A:$D, 4, 0)</f>
        <v>7.0000000000000007E-2</v>
      </c>
      <c r="AC1448" s="25">
        <f t="shared" si="211"/>
        <v>604.97383299856529</v>
      </c>
      <c r="AD1448" s="25">
        <f t="shared" si="212"/>
        <v>630.31652620320847</v>
      </c>
      <c r="AE1448" s="25">
        <f t="shared" si="213"/>
        <v>628.25649791271348</v>
      </c>
      <c r="AF1448" s="25">
        <f t="shared" si="214"/>
        <v>643.83925347593572</v>
      </c>
      <c r="AG1448" s="25">
        <f t="shared" si="215"/>
        <v>612.47561711229946</v>
      </c>
      <c r="AH1448" s="25">
        <f t="shared" si="216"/>
        <v>610.08925347593583</v>
      </c>
      <c r="AI1448" s="25">
        <f t="shared" si="217"/>
        <v>960.40703554712218</v>
      </c>
    </row>
    <row r="1449" spans="1:35" ht="15.75" customHeight="1">
      <c r="A1449" s="12" t="s">
        <v>841</v>
      </c>
      <c r="B1449" s="12" t="s">
        <v>842</v>
      </c>
      <c r="C1449" s="12" t="s">
        <v>192</v>
      </c>
      <c r="D1449" s="12" t="s">
        <v>50</v>
      </c>
      <c r="E1449" s="12" t="s">
        <v>23</v>
      </c>
      <c r="F1449" s="13">
        <v>77.556705882352944</v>
      </c>
      <c r="G1449" s="14">
        <v>1525.3963708235297</v>
      </c>
      <c r="H1449" s="24" t="str">
        <f t="shared" si="210"/>
        <v>SPSP</v>
      </c>
      <c r="I1449" s="24" t="str">
        <f t="shared" si="218"/>
        <v>SPMG</v>
      </c>
      <c r="J1449" s="24" t="str">
        <f t="shared" si="218"/>
        <v>SPES</v>
      </c>
      <c r="K1449" s="24" t="str">
        <f t="shared" si="218"/>
        <v>SPSC</v>
      </c>
      <c r="L1449" s="24" t="str">
        <f t="shared" si="218"/>
        <v>SPRJ</v>
      </c>
      <c r="M1449" s="24" t="str">
        <f t="shared" si="218"/>
        <v>SPPR</v>
      </c>
      <c r="N1449" s="24" t="str">
        <f t="shared" si="218"/>
        <v>SPAM</v>
      </c>
      <c r="O1449" s="24">
        <f>VLOOKUP(H1449, KM!$A:$E, 5, 0)</f>
        <v>0</v>
      </c>
      <c r="P1449" s="24">
        <f>VLOOKUP(I1449, KM!$A:$E, 5, 0)</f>
        <v>586</v>
      </c>
      <c r="Q1449" s="24">
        <f>VLOOKUP(J1449, KM!$A:$E, 5, 0)</f>
        <v>882</v>
      </c>
      <c r="R1449" s="24">
        <f>VLOOKUP(K1449, KM!$A:$E, 5, 0)</f>
        <v>705</v>
      </c>
      <c r="S1449" s="24">
        <f>VLOOKUP(L1449, KM!$A:$E, 5, 0)</f>
        <v>429</v>
      </c>
      <c r="T1449" s="24">
        <f>VLOOKUP(M1449, KM!$A:$E, 5, 0)</f>
        <v>408</v>
      </c>
      <c r="U1449" s="24">
        <f>VLOOKUP(N1449, KM!$A:$E, 5, 0)</f>
        <v>3971</v>
      </c>
      <c r="V1449" s="24">
        <f>VLOOKUP(H1449, IMPOSTO!$A:$D, 4, 0)</f>
        <v>0.18</v>
      </c>
      <c r="W1449" s="24">
        <f>VLOOKUP(I1449, IMPOSTO!$A:$D, 4, 0)</f>
        <v>0.12</v>
      </c>
      <c r="X1449" s="24">
        <f>VLOOKUP(J1449, IMPOSTO!$A:$D, 4, 0)</f>
        <v>7.0000000000000007E-2</v>
      </c>
      <c r="Y1449" s="24">
        <f>VLOOKUP(K1449, IMPOSTO!$A:$D, 4, 0)</f>
        <v>0.12</v>
      </c>
      <c r="Z1449" s="24">
        <f>VLOOKUP(L1449, IMPOSTO!$A:$D, 4, 0)</f>
        <v>0.12</v>
      </c>
      <c r="AA1449" s="24">
        <f>VLOOKUP(M1449, IMPOSTO!$A:$D, 4, 0)</f>
        <v>0.12</v>
      </c>
      <c r="AB1449" s="24">
        <f>VLOOKUP(N1449, IMPOSTO!$A:$D, 4, 0)</f>
        <v>7.0000000000000007E-2</v>
      </c>
      <c r="AC1449" s="25">
        <f t="shared" si="211"/>
        <v>1860.2394766140603</v>
      </c>
      <c r="AD1449" s="25">
        <f t="shared" si="212"/>
        <v>1799.995875935829</v>
      </c>
      <c r="AE1449" s="25">
        <f t="shared" si="213"/>
        <v>1735.0498611005696</v>
      </c>
      <c r="AF1449" s="25">
        <f t="shared" si="214"/>
        <v>1813.5186032085564</v>
      </c>
      <c r="AG1449" s="25">
        <f t="shared" si="215"/>
        <v>1782.1549668449202</v>
      </c>
      <c r="AH1449" s="25">
        <f t="shared" si="216"/>
        <v>1779.7686032085564</v>
      </c>
      <c r="AI1449" s="25">
        <f t="shared" si="217"/>
        <v>2067.2003987349781</v>
      </c>
    </row>
    <row r="1450" spans="1:35" ht="15.75" customHeight="1">
      <c r="A1450" s="12" t="s">
        <v>841</v>
      </c>
      <c r="B1450" s="12" t="s">
        <v>842</v>
      </c>
      <c r="C1450" s="12" t="s">
        <v>192</v>
      </c>
      <c r="D1450" s="12" t="s">
        <v>50</v>
      </c>
      <c r="E1450" s="12" t="s">
        <v>23</v>
      </c>
      <c r="F1450" s="13">
        <v>8.8636235294117647</v>
      </c>
      <c r="G1450" s="14">
        <v>166.67674729411763</v>
      </c>
      <c r="H1450" s="24" t="str">
        <f t="shared" si="210"/>
        <v>SPSP</v>
      </c>
      <c r="I1450" s="24" t="str">
        <f t="shared" si="218"/>
        <v>SPMG</v>
      </c>
      <c r="J1450" s="24" t="str">
        <f t="shared" si="218"/>
        <v>SPES</v>
      </c>
      <c r="K1450" s="24" t="str">
        <f t="shared" si="218"/>
        <v>SPSC</v>
      </c>
      <c r="L1450" s="24" t="str">
        <f t="shared" si="218"/>
        <v>SPRJ</v>
      </c>
      <c r="M1450" s="24" t="str">
        <f t="shared" si="218"/>
        <v>SPPR</v>
      </c>
      <c r="N1450" s="24" t="str">
        <f t="shared" si="218"/>
        <v>SPAM</v>
      </c>
      <c r="O1450" s="24">
        <f>VLOOKUP(H1450, KM!$A:$E, 5, 0)</f>
        <v>0</v>
      </c>
      <c r="P1450" s="24">
        <f>VLOOKUP(I1450, KM!$A:$E, 5, 0)</f>
        <v>586</v>
      </c>
      <c r="Q1450" s="24">
        <f>VLOOKUP(J1450, KM!$A:$E, 5, 0)</f>
        <v>882</v>
      </c>
      <c r="R1450" s="24">
        <f>VLOOKUP(K1450, KM!$A:$E, 5, 0)</f>
        <v>705</v>
      </c>
      <c r="S1450" s="24">
        <f>VLOOKUP(L1450, KM!$A:$E, 5, 0)</f>
        <v>429</v>
      </c>
      <c r="T1450" s="24">
        <f>VLOOKUP(M1450, KM!$A:$E, 5, 0)</f>
        <v>408</v>
      </c>
      <c r="U1450" s="24">
        <f>VLOOKUP(N1450, KM!$A:$E, 5, 0)</f>
        <v>3971</v>
      </c>
      <c r="V1450" s="24">
        <f>VLOOKUP(H1450, IMPOSTO!$A:$D, 4, 0)</f>
        <v>0.18</v>
      </c>
      <c r="W1450" s="24">
        <f>VLOOKUP(I1450, IMPOSTO!$A:$D, 4, 0)</f>
        <v>0.12</v>
      </c>
      <c r="X1450" s="24">
        <f>VLOOKUP(J1450, IMPOSTO!$A:$D, 4, 0)</f>
        <v>7.0000000000000007E-2</v>
      </c>
      <c r="Y1450" s="24">
        <f>VLOOKUP(K1450, IMPOSTO!$A:$D, 4, 0)</f>
        <v>0.12</v>
      </c>
      <c r="Z1450" s="24">
        <f>VLOOKUP(L1450, IMPOSTO!$A:$D, 4, 0)</f>
        <v>0.12</v>
      </c>
      <c r="AA1450" s="24">
        <f>VLOOKUP(M1450, IMPOSTO!$A:$D, 4, 0)</f>
        <v>0.12</v>
      </c>
      <c r="AB1450" s="24">
        <f>VLOOKUP(N1450, IMPOSTO!$A:$D, 4, 0)</f>
        <v>7.0000000000000007E-2</v>
      </c>
      <c r="AC1450" s="25">
        <f t="shared" si="211"/>
        <v>203.26432596843611</v>
      </c>
      <c r="AD1450" s="25">
        <f t="shared" si="212"/>
        <v>255.99630374331548</v>
      </c>
      <c r="AE1450" s="25">
        <f t="shared" si="213"/>
        <v>274.06101859582543</v>
      </c>
      <c r="AF1450" s="25">
        <f t="shared" si="214"/>
        <v>269.51903101604279</v>
      </c>
      <c r="AG1450" s="25">
        <f t="shared" si="215"/>
        <v>238.15539465240641</v>
      </c>
      <c r="AH1450" s="25">
        <f t="shared" si="216"/>
        <v>235.76903101604279</v>
      </c>
      <c r="AI1450" s="25">
        <f t="shared" si="217"/>
        <v>606.21155623023401</v>
      </c>
    </row>
    <row r="1451" spans="1:35" ht="15.75" customHeight="1">
      <c r="A1451" s="12" t="s">
        <v>667</v>
      </c>
      <c r="B1451" s="12" t="s">
        <v>668</v>
      </c>
      <c r="C1451" s="12" t="s">
        <v>442</v>
      </c>
      <c r="D1451" s="12" t="s">
        <v>33</v>
      </c>
      <c r="E1451" s="12" t="s">
        <v>23</v>
      </c>
      <c r="F1451" s="13">
        <v>3039.7687351644622</v>
      </c>
      <c r="G1451" s="14">
        <v>91437.835713801294</v>
      </c>
      <c r="H1451" s="24" t="str">
        <f t="shared" si="210"/>
        <v>SPSP</v>
      </c>
      <c r="I1451" s="24" t="str">
        <f t="shared" si="218"/>
        <v>SPMG</v>
      </c>
      <c r="J1451" s="24" t="str">
        <f t="shared" si="218"/>
        <v>SPES</v>
      </c>
      <c r="K1451" s="24" t="str">
        <f t="shared" si="218"/>
        <v>SPSC</v>
      </c>
      <c r="L1451" s="24" t="str">
        <f t="shared" si="218"/>
        <v>SPRJ</v>
      </c>
      <c r="M1451" s="24" t="str">
        <f t="shared" si="218"/>
        <v>SPPR</v>
      </c>
      <c r="N1451" s="24" t="str">
        <f t="shared" si="218"/>
        <v>SPAM</v>
      </c>
      <c r="O1451" s="24">
        <f>VLOOKUP(H1451, KM!$A:$E, 5, 0)</f>
        <v>0</v>
      </c>
      <c r="P1451" s="24">
        <f>VLOOKUP(I1451, KM!$A:$E, 5, 0)</f>
        <v>586</v>
      </c>
      <c r="Q1451" s="24">
        <f>VLOOKUP(J1451, KM!$A:$E, 5, 0)</f>
        <v>882</v>
      </c>
      <c r="R1451" s="24">
        <f>VLOOKUP(K1451, KM!$A:$E, 5, 0)</f>
        <v>705</v>
      </c>
      <c r="S1451" s="24">
        <f>VLOOKUP(L1451, KM!$A:$E, 5, 0)</f>
        <v>429</v>
      </c>
      <c r="T1451" s="24">
        <f>VLOOKUP(M1451, KM!$A:$E, 5, 0)</f>
        <v>408</v>
      </c>
      <c r="U1451" s="24">
        <f>VLOOKUP(N1451, KM!$A:$E, 5, 0)</f>
        <v>3971</v>
      </c>
      <c r="V1451" s="24">
        <f>VLOOKUP(H1451, IMPOSTO!$A:$D, 4, 0)</f>
        <v>0.18</v>
      </c>
      <c r="W1451" s="24">
        <f>VLOOKUP(I1451, IMPOSTO!$A:$D, 4, 0)</f>
        <v>0.12</v>
      </c>
      <c r="X1451" s="24">
        <f>VLOOKUP(J1451, IMPOSTO!$A:$D, 4, 0)</f>
        <v>7.0000000000000007E-2</v>
      </c>
      <c r="Y1451" s="24">
        <f>VLOOKUP(K1451, IMPOSTO!$A:$D, 4, 0)</f>
        <v>0.12</v>
      </c>
      <c r="Z1451" s="24">
        <f>VLOOKUP(L1451, IMPOSTO!$A:$D, 4, 0)</f>
        <v>0.12</v>
      </c>
      <c r="AA1451" s="24">
        <f>VLOOKUP(M1451, IMPOSTO!$A:$D, 4, 0)</f>
        <v>0.12</v>
      </c>
      <c r="AB1451" s="24">
        <f>VLOOKUP(N1451, IMPOSTO!$A:$D, 4, 0)</f>
        <v>7.0000000000000007E-2</v>
      </c>
      <c r="AC1451" s="25">
        <f t="shared" si="211"/>
        <v>111509.55574853816</v>
      </c>
      <c r="AD1451" s="25">
        <f t="shared" si="212"/>
        <v>103973.22240204693</v>
      </c>
      <c r="AE1451" s="25">
        <f t="shared" si="213"/>
        <v>98415.092165377733</v>
      </c>
      <c r="AF1451" s="25">
        <f t="shared" si="214"/>
        <v>103986.74512931965</v>
      </c>
      <c r="AG1451" s="25">
        <f t="shared" si="215"/>
        <v>103955.381492956</v>
      </c>
      <c r="AH1451" s="25">
        <f t="shared" si="216"/>
        <v>103952.99512931965</v>
      </c>
      <c r="AI1451" s="25">
        <f t="shared" si="217"/>
        <v>98747.242703012162</v>
      </c>
    </row>
    <row r="1452" spans="1:35" ht="15.75" customHeight="1">
      <c r="A1452" s="12" t="s">
        <v>1014</v>
      </c>
      <c r="B1452" s="12" t="s">
        <v>1015</v>
      </c>
      <c r="C1452" s="12" t="s">
        <v>217</v>
      </c>
      <c r="D1452" s="12" t="s">
        <v>33</v>
      </c>
      <c r="E1452" s="12" t="s">
        <v>23</v>
      </c>
      <c r="F1452" s="13">
        <v>438.88446215139436</v>
      </c>
      <c r="G1452" s="14">
        <v>39435.780478087639</v>
      </c>
      <c r="H1452" s="24" t="str">
        <f t="shared" si="210"/>
        <v>SPSP</v>
      </c>
      <c r="I1452" s="24" t="str">
        <f t="shared" si="218"/>
        <v>SPMG</v>
      </c>
      <c r="J1452" s="24" t="str">
        <f t="shared" si="218"/>
        <v>SPES</v>
      </c>
      <c r="K1452" s="24" t="str">
        <f t="shared" si="218"/>
        <v>SPSC</v>
      </c>
      <c r="L1452" s="24" t="str">
        <f t="shared" si="218"/>
        <v>SPRJ</v>
      </c>
      <c r="M1452" s="24" t="str">
        <f t="shared" si="218"/>
        <v>SPPR</v>
      </c>
      <c r="N1452" s="24" t="str">
        <f t="shared" si="218"/>
        <v>SPAM</v>
      </c>
      <c r="O1452" s="24">
        <f>VLOOKUP(H1452, KM!$A:$E, 5, 0)</f>
        <v>0</v>
      </c>
      <c r="P1452" s="24">
        <f>VLOOKUP(I1452, KM!$A:$E, 5, 0)</f>
        <v>586</v>
      </c>
      <c r="Q1452" s="24">
        <f>VLOOKUP(J1452, KM!$A:$E, 5, 0)</f>
        <v>882</v>
      </c>
      <c r="R1452" s="24">
        <f>VLOOKUP(K1452, KM!$A:$E, 5, 0)</f>
        <v>705</v>
      </c>
      <c r="S1452" s="24">
        <f>VLOOKUP(L1452, KM!$A:$E, 5, 0)</f>
        <v>429</v>
      </c>
      <c r="T1452" s="24">
        <f>VLOOKUP(M1452, KM!$A:$E, 5, 0)</f>
        <v>408</v>
      </c>
      <c r="U1452" s="24">
        <f>VLOOKUP(N1452, KM!$A:$E, 5, 0)</f>
        <v>3971</v>
      </c>
      <c r="V1452" s="24">
        <f>VLOOKUP(H1452, IMPOSTO!$A:$D, 4, 0)</f>
        <v>0.18</v>
      </c>
      <c r="W1452" s="24">
        <f>VLOOKUP(I1452, IMPOSTO!$A:$D, 4, 0)</f>
        <v>0.12</v>
      </c>
      <c r="X1452" s="24">
        <f>VLOOKUP(J1452, IMPOSTO!$A:$D, 4, 0)</f>
        <v>7.0000000000000007E-2</v>
      </c>
      <c r="Y1452" s="24">
        <f>VLOOKUP(K1452, IMPOSTO!$A:$D, 4, 0)</f>
        <v>0.12</v>
      </c>
      <c r="Z1452" s="24">
        <f>VLOOKUP(L1452, IMPOSTO!$A:$D, 4, 0)</f>
        <v>0.12</v>
      </c>
      <c r="AA1452" s="24">
        <f>VLOOKUP(M1452, IMPOSTO!$A:$D, 4, 0)</f>
        <v>0.12</v>
      </c>
      <c r="AB1452" s="24">
        <f>VLOOKUP(N1452, IMPOSTO!$A:$D, 4, 0)</f>
        <v>7.0000000000000007E-2</v>
      </c>
      <c r="AC1452" s="25">
        <f t="shared" si="211"/>
        <v>48092.415217180045</v>
      </c>
      <c r="AD1452" s="25">
        <f t="shared" si="212"/>
        <v>44879.977816008679</v>
      </c>
      <c r="AE1452" s="25">
        <f t="shared" si="213"/>
        <v>42498.903739879184</v>
      </c>
      <c r="AF1452" s="25">
        <f t="shared" si="214"/>
        <v>44893.500543281407</v>
      </c>
      <c r="AG1452" s="25">
        <f t="shared" si="215"/>
        <v>44862.136906917774</v>
      </c>
      <c r="AH1452" s="25">
        <f t="shared" si="216"/>
        <v>44859.750543281414</v>
      </c>
      <c r="AI1452" s="25">
        <f t="shared" si="217"/>
        <v>42831.054277513591</v>
      </c>
    </row>
    <row r="1453" spans="1:35" ht="15.75" customHeight="1">
      <c r="A1453" s="12" t="s">
        <v>1014</v>
      </c>
      <c r="B1453" s="12" t="s">
        <v>1015</v>
      </c>
      <c r="C1453" s="12" t="s">
        <v>217</v>
      </c>
      <c r="D1453" s="12" t="s">
        <v>33</v>
      </c>
      <c r="E1453" s="12" t="s">
        <v>23</v>
      </c>
      <c r="F1453" s="13">
        <v>50.796812749003983</v>
      </c>
      <c r="G1453" s="14">
        <v>5070.7918326693225</v>
      </c>
      <c r="H1453" s="24" t="str">
        <f t="shared" si="210"/>
        <v>SPSP</v>
      </c>
      <c r="I1453" s="24" t="str">
        <f t="shared" si="218"/>
        <v>SPMG</v>
      </c>
      <c r="J1453" s="24" t="str">
        <f t="shared" si="218"/>
        <v>SPES</v>
      </c>
      <c r="K1453" s="24" t="str">
        <f t="shared" si="218"/>
        <v>SPSC</v>
      </c>
      <c r="L1453" s="24" t="str">
        <f t="shared" si="218"/>
        <v>SPRJ</v>
      </c>
      <c r="M1453" s="24" t="str">
        <f t="shared" si="218"/>
        <v>SPPR</v>
      </c>
      <c r="N1453" s="24" t="str">
        <f t="shared" si="218"/>
        <v>SPAM</v>
      </c>
      <c r="O1453" s="24">
        <f>VLOOKUP(H1453, KM!$A:$E, 5, 0)</f>
        <v>0</v>
      </c>
      <c r="P1453" s="24">
        <f>VLOOKUP(I1453, KM!$A:$E, 5, 0)</f>
        <v>586</v>
      </c>
      <c r="Q1453" s="24">
        <f>VLOOKUP(J1453, KM!$A:$E, 5, 0)</f>
        <v>882</v>
      </c>
      <c r="R1453" s="24">
        <f>VLOOKUP(K1453, KM!$A:$E, 5, 0)</f>
        <v>705</v>
      </c>
      <c r="S1453" s="24">
        <f>VLOOKUP(L1453, KM!$A:$E, 5, 0)</f>
        <v>429</v>
      </c>
      <c r="T1453" s="24">
        <f>VLOOKUP(M1453, KM!$A:$E, 5, 0)</f>
        <v>408</v>
      </c>
      <c r="U1453" s="24">
        <f>VLOOKUP(N1453, KM!$A:$E, 5, 0)</f>
        <v>3971</v>
      </c>
      <c r="V1453" s="24">
        <f>VLOOKUP(H1453, IMPOSTO!$A:$D, 4, 0)</f>
        <v>0.18</v>
      </c>
      <c r="W1453" s="24">
        <f>VLOOKUP(I1453, IMPOSTO!$A:$D, 4, 0)</f>
        <v>0.12</v>
      </c>
      <c r="X1453" s="24">
        <f>VLOOKUP(J1453, IMPOSTO!$A:$D, 4, 0)</f>
        <v>7.0000000000000007E-2</v>
      </c>
      <c r="Y1453" s="24">
        <f>VLOOKUP(K1453, IMPOSTO!$A:$D, 4, 0)</f>
        <v>0.12</v>
      </c>
      <c r="Z1453" s="24">
        <f>VLOOKUP(L1453, IMPOSTO!$A:$D, 4, 0)</f>
        <v>0.12</v>
      </c>
      <c r="AA1453" s="24">
        <f>VLOOKUP(M1453, IMPOSTO!$A:$D, 4, 0)</f>
        <v>0.12</v>
      </c>
      <c r="AB1453" s="24">
        <f>VLOOKUP(N1453, IMPOSTO!$A:$D, 4, 0)</f>
        <v>7.0000000000000007E-2</v>
      </c>
      <c r="AC1453" s="25">
        <f t="shared" si="211"/>
        <v>6183.8924788650265</v>
      </c>
      <c r="AD1453" s="25">
        <f t="shared" si="212"/>
        <v>5828.854355306049</v>
      </c>
      <c r="AE1453" s="25">
        <f t="shared" si="213"/>
        <v>5547.3030458809917</v>
      </c>
      <c r="AF1453" s="25">
        <f t="shared" si="214"/>
        <v>5842.3770825787751</v>
      </c>
      <c r="AG1453" s="25">
        <f t="shared" si="215"/>
        <v>5811.0134462151391</v>
      </c>
      <c r="AH1453" s="25">
        <f t="shared" si="216"/>
        <v>5808.627082578776</v>
      </c>
      <c r="AI1453" s="25">
        <f t="shared" si="217"/>
        <v>5879.4535835154011</v>
      </c>
    </row>
  </sheetData>
  <autoFilter ref="A17:AI17" xr:uid="{00000000-0009-0000-0000-000000000000}">
    <sortState ref="A17:AI17">
      <sortCondition ref="E17"/>
    </sortState>
  </autoFilter>
  <mergeCells count="4">
    <mergeCell ref="H16:N16"/>
    <mergeCell ref="O16:U16"/>
    <mergeCell ref="V16:AB16"/>
    <mergeCell ref="AC16:AI16"/>
  </mergeCells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2"/>
  <sheetViews>
    <sheetView showGridLines="0" workbookViewId="0">
      <selection activeCell="A980" sqref="A980:E980"/>
    </sheetView>
  </sheetViews>
  <sheetFormatPr defaultColWidth="14.42578125" defaultRowHeight="15" customHeight="1"/>
  <cols>
    <col min="1" max="26" width="8.7109375" customWidth="1"/>
  </cols>
  <sheetData>
    <row r="1" spans="1:5">
      <c r="A1" s="5" t="s">
        <v>1046</v>
      </c>
      <c r="B1" s="5" t="s">
        <v>1047</v>
      </c>
      <c r="C1" s="5" t="s">
        <v>1048</v>
      </c>
      <c r="D1" s="5" t="s">
        <v>1049</v>
      </c>
      <c r="E1" s="5" t="s">
        <v>1050</v>
      </c>
    </row>
    <row r="2" spans="1:5">
      <c r="A2" s="15" t="str">
        <f t="shared" ref="A2:A1372" si="0">B2&amp;C2</f>
        <v>ACMT</v>
      </c>
      <c r="B2" s="15" t="s">
        <v>1051</v>
      </c>
      <c r="C2" s="15" t="s">
        <v>1052</v>
      </c>
      <c r="D2" s="15">
        <v>13</v>
      </c>
      <c r="E2" s="15">
        <v>1990</v>
      </c>
    </row>
    <row r="3" spans="1:5">
      <c r="A3" s="15" t="str">
        <f t="shared" si="0"/>
        <v>ACMS</v>
      </c>
      <c r="B3" s="15" t="s">
        <v>1051</v>
      </c>
      <c r="C3" s="15" t="s">
        <v>1053</v>
      </c>
      <c r="D3" s="15">
        <v>12</v>
      </c>
      <c r="E3" s="15">
        <v>2684</v>
      </c>
    </row>
    <row r="4" spans="1:5">
      <c r="A4" s="15" t="str">
        <f t="shared" si="0"/>
        <v>ACPA</v>
      </c>
      <c r="B4" s="15" t="s">
        <v>1051</v>
      </c>
      <c r="C4" s="15" t="s">
        <v>1054</v>
      </c>
      <c r="D4" s="15">
        <v>14</v>
      </c>
      <c r="E4" s="15">
        <v>4931</v>
      </c>
    </row>
    <row r="5" spans="1:5">
      <c r="A5" s="15" t="str">
        <f t="shared" si="0"/>
        <v>ACPB</v>
      </c>
      <c r="B5" s="15" t="s">
        <v>1051</v>
      </c>
      <c r="C5" s="15" t="s">
        <v>1055</v>
      </c>
      <c r="D5" s="15">
        <v>15</v>
      </c>
      <c r="E5" s="15">
        <v>5356</v>
      </c>
    </row>
    <row r="6" spans="1:5">
      <c r="A6" s="15" t="str">
        <f t="shared" si="0"/>
        <v>ACRN</v>
      </c>
      <c r="B6" s="15" t="s">
        <v>1051</v>
      </c>
      <c r="C6" s="15" t="s">
        <v>732</v>
      </c>
      <c r="D6" s="15">
        <v>20</v>
      </c>
      <c r="E6" s="15">
        <v>5533</v>
      </c>
    </row>
    <row r="7" spans="1:5">
      <c r="A7" s="15" t="str">
        <f t="shared" si="0"/>
        <v>ALAC</v>
      </c>
      <c r="B7" s="15" t="s">
        <v>1056</v>
      </c>
      <c r="C7" s="15" t="s">
        <v>1051</v>
      </c>
      <c r="D7" s="15">
        <v>1</v>
      </c>
      <c r="E7" s="15">
        <v>5039</v>
      </c>
    </row>
    <row r="8" spans="1:5">
      <c r="A8" s="15" t="str">
        <f t="shared" si="0"/>
        <v>ALAL</v>
      </c>
      <c r="B8" s="15" t="s">
        <v>1056</v>
      </c>
      <c r="C8" s="15" t="s">
        <v>1056</v>
      </c>
      <c r="D8" s="15">
        <v>2</v>
      </c>
      <c r="E8" s="15">
        <v>0</v>
      </c>
    </row>
    <row r="9" spans="1:5">
      <c r="A9" s="15" t="str">
        <f t="shared" si="0"/>
        <v>ALBA</v>
      </c>
      <c r="B9" s="15" t="s">
        <v>1056</v>
      </c>
      <c r="C9" s="15" t="s">
        <v>34</v>
      </c>
      <c r="D9" s="15">
        <v>5</v>
      </c>
      <c r="E9" s="15">
        <v>632</v>
      </c>
    </row>
    <row r="10" spans="1:5">
      <c r="A10" s="15" t="str">
        <f t="shared" si="0"/>
        <v>ALCE</v>
      </c>
      <c r="B10" s="15" t="s">
        <v>1056</v>
      </c>
      <c r="C10" s="15" t="s">
        <v>41</v>
      </c>
      <c r="D10" s="15">
        <v>6</v>
      </c>
      <c r="E10" s="15">
        <v>1075</v>
      </c>
    </row>
    <row r="11" spans="1:5">
      <c r="A11" s="15" t="str">
        <f t="shared" si="0"/>
        <v>ALMA</v>
      </c>
      <c r="B11" s="15" t="s">
        <v>1056</v>
      </c>
      <c r="C11" s="15" t="s">
        <v>1057</v>
      </c>
      <c r="D11" s="15">
        <v>10</v>
      </c>
      <c r="E11" s="15">
        <v>1672</v>
      </c>
    </row>
    <row r="12" spans="1:5">
      <c r="A12" s="15" t="str">
        <f t="shared" si="0"/>
        <v>ALRS</v>
      </c>
      <c r="B12" s="15" t="s">
        <v>1056</v>
      </c>
      <c r="C12" s="15" t="s">
        <v>736</v>
      </c>
      <c r="D12" s="15">
        <v>23</v>
      </c>
      <c r="E12" s="15">
        <v>3572</v>
      </c>
    </row>
    <row r="13" spans="1:5">
      <c r="A13" s="15" t="str">
        <f t="shared" si="0"/>
        <v>APAC</v>
      </c>
      <c r="B13" s="15" t="s">
        <v>1058</v>
      </c>
      <c r="C13" s="15" t="s">
        <v>1051</v>
      </c>
      <c r="D13" s="15">
        <v>1</v>
      </c>
      <c r="E13" s="15">
        <v>0</v>
      </c>
    </row>
    <row r="14" spans="1:5">
      <c r="A14" s="15" t="str">
        <f t="shared" si="0"/>
        <v>APAL</v>
      </c>
      <c r="B14" s="15" t="s">
        <v>1058</v>
      </c>
      <c r="C14" s="15" t="s">
        <v>1056</v>
      </c>
      <c r="D14" s="15">
        <v>2</v>
      </c>
      <c r="E14" s="15">
        <v>5039</v>
      </c>
    </row>
    <row r="15" spans="1:5">
      <c r="A15" s="15" t="str">
        <f t="shared" si="0"/>
        <v>APDF</v>
      </c>
      <c r="B15" s="15" t="s">
        <v>1058</v>
      </c>
      <c r="C15" s="15" t="s">
        <v>1059</v>
      </c>
      <c r="D15" s="15">
        <v>7</v>
      </c>
      <c r="E15" s="15">
        <v>3123</v>
      </c>
    </row>
    <row r="16" spans="1:5">
      <c r="A16" s="15" t="str">
        <f t="shared" si="0"/>
        <v>APRO</v>
      </c>
      <c r="B16" s="15" t="s">
        <v>1058</v>
      </c>
      <c r="C16" s="15" t="s">
        <v>733</v>
      </c>
      <c r="D16" s="15">
        <v>21</v>
      </c>
      <c r="E16" s="15">
        <v>544</v>
      </c>
    </row>
    <row r="17" spans="1:5">
      <c r="A17" s="15" t="str">
        <f t="shared" si="0"/>
        <v>APSC</v>
      </c>
      <c r="B17" s="15" t="s">
        <v>1058</v>
      </c>
      <c r="C17" s="15" t="s">
        <v>26</v>
      </c>
      <c r="D17" s="15">
        <v>24</v>
      </c>
      <c r="E17" s="15">
        <v>3976</v>
      </c>
    </row>
    <row r="18" spans="1:5">
      <c r="A18" s="15" t="str">
        <f t="shared" si="0"/>
        <v>APSE</v>
      </c>
      <c r="B18" s="15" t="s">
        <v>1058</v>
      </c>
      <c r="C18" s="15" t="s">
        <v>1060</v>
      </c>
      <c r="D18" s="15">
        <v>25</v>
      </c>
      <c r="E18" s="15">
        <v>5215</v>
      </c>
    </row>
    <row r="19" spans="1:5">
      <c r="A19" s="15" t="str">
        <f t="shared" si="0"/>
        <v>AMAC</v>
      </c>
      <c r="B19" s="15" t="s">
        <v>29</v>
      </c>
      <c r="C19" s="15" t="s">
        <v>1051</v>
      </c>
      <c r="D19" s="15">
        <v>1</v>
      </c>
      <c r="E19" s="15">
        <v>1445</v>
      </c>
    </row>
    <row r="20" spans="1:5">
      <c r="A20" s="15" t="str">
        <f t="shared" si="0"/>
        <v>AMAL</v>
      </c>
      <c r="B20" s="15" t="s">
        <v>29</v>
      </c>
      <c r="C20" s="15" t="s">
        <v>1056</v>
      </c>
      <c r="D20" s="15">
        <v>2</v>
      </c>
      <c r="E20" s="15">
        <v>5491</v>
      </c>
    </row>
    <row r="21" spans="1:5" ht="15.75" customHeight="1">
      <c r="A21" s="15" t="str">
        <f t="shared" si="0"/>
        <v>AMBA</v>
      </c>
      <c r="B21" s="15" t="s">
        <v>29</v>
      </c>
      <c r="C21" s="15" t="s">
        <v>34</v>
      </c>
      <c r="D21" s="15">
        <v>5</v>
      </c>
      <c r="E21" s="15">
        <v>5009</v>
      </c>
    </row>
    <row r="22" spans="1:5" ht="15.75" customHeight="1">
      <c r="A22" s="15" t="str">
        <f t="shared" si="0"/>
        <v>AMMS</v>
      </c>
      <c r="B22" s="15" t="s">
        <v>29</v>
      </c>
      <c r="C22" s="15" t="s">
        <v>1053</v>
      </c>
      <c r="D22" s="15">
        <v>12</v>
      </c>
      <c r="E22" s="15">
        <v>3051</v>
      </c>
    </row>
    <row r="23" spans="1:5" ht="15.75" customHeight="1">
      <c r="A23" s="15" t="str">
        <f t="shared" si="0"/>
        <v>AMPA</v>
      </c>
      <c r="B23" s="15" t="s">
        <v>29</v>
      </c>
      <c r="C23" s="15" t="s">
        <v>1054</v>
      </c>
      <c r="D23" s="15">
        <v>14</v>
      </c>
      <c r="E23" s="15">
        <v>5298</v>
      </c>
    </row>
    <row r="24" spans="1:5" ht="15.75" customHeight="1">
      <c r="A24" s="15" t="str">
        <f t="shared" si="0"/>
        <v>AMRN</v>
      </c>
      <c r="B24" s="15" t="s">
        <v>29</v>
      </c>
      <c r="C24" s="15" t="s">
        <v>732</v>
      </c>
      <c r="D24" s="15">
        <v>20</v>
      </c>
      <c r="E24" s="15">
        <v>5985</v>
      </c>
    </row>
    <row r="25" spans="1:5" ht="15.75" customHeight="1">
      <c r="A25" s="15" t="str">
        <f t="shared" si="0"/>
        <v>BAAC</v>
      </c>
      <c r="B25" s="15" t="s">
        <v>34</v>
      </c>
      <c r="C25" s="15" t="s">
        <v>1051</v>
      </c>
      <c r="D25" s="15">
        <v>1</v>
      </c>
      <c r="E25" s="15">
        <v>4457</v>
      </c>
    </row>
    <row r="26" spans="1:5" ht="15.75" customHeight="1">
      <c r="A26" s="15" t="str">
        <f t="shared" si="0"/>
        <v>BAAM</v>
      </c>
      <c r="B26" s="15" t="s">
        <v>34</v>
      </c>
      <c r="C26" s="15" t="s">
        <v>29</v>
      </c>
      <c r="D26" s="15">
        <v>3</v>
      </c>
      <c r="E26" s="15">
        <v>5009</v>
      </c>
    </row>
    <row r="27" spans="1:5" ht="15.75" customHeight="1">
      <c r="A27" s="15" t="str">
        <f t="shared" si="0"/>
        <v>BABA</v>
      </c>
      <c r="B27" s="15" t="s">
        <v>34</v>
      </c>
      <c r="C27" s="15" t="s">
        <v>34</v>
      </c>
      <c r="D27" s="15">
        <v>5</v>
      </c>
      <c r="E27" s="15">
        <v>0</v>
      </c>
    </row>
    <row r="28" spans="1:5" ht="15.75" customHeight="1">
      <c r="A28" s="15" t="str">
        <f t="shared" si="0"/>
        <v>BACE</v>
      </c>
      <c r="B28" s="15" t="s">
        <v>34</v>
      </c>
      <c r="C28" s="15" t="s">
        <v>41</v>
      </c>
      <c r="D28" s="15">
        <v>6</v>
      </c>
      <c r="E28" s="15">
        <v>1389</v>
      </c>
    </row>
    <row r="29" spans="1:5" ht="15.75" customHeight="1">
      <c r="A29" s="15" t="str">
        <f t="shared" si="0"/>
        <v>BADF</v>
      </c>
      <c r="B29" s="15" t="s">
        <v>34</v>
      </c>
      <c r="C29" s="15" t="s">
        <v>1059</v>
      </c>
      <c r="D29" s="15">
        <v>7</v>
      </c>
      <c r="E29" s="15">
        <v>1446</v>
      </c>
    </row>
    <row r="30" spans="1:5" ht="15.75" customHeight="1">
      <c r="A30" s="15" t="str">
        <f t="shared" si="0"/>
        <v>BAES</v>
      </c>
      <c r="B30" s="15" t="s">
        <v>34</v>
      </c>
      <c r="C30" s="15" t="s">
        <v>25</v>
      </c>
      <c r="D30" s="15">
        <v>8</v>
      </c>
      <c r="E30" s="15">
        <v>1202</v>
      </c>
    </row>
    <row r="31" spans="1:5" ht="15.75" customHeight="1">
      <c r="A31" s="15" t="str">
        <f t="shared" si="0"/>
        <v>BAGO</v>
      </c>
      <c r="B31" s="15" t="s">
        <v>34</v>
      </c>
      <c r="C31" s="15" t="s">
        <v>51</v>
      </c>
      <c r="D31" s="15">
        <v>9</v>
      </c>
      <c r="E31" s="15">
        <v>1643</v>
      </c>
    </row>
    <row r="32" spans="1:5" ht="15.75" customHeight="1">
      <c r="A32" s="15" t="str">
        <f t="shared" si="0"/>
        <v>BAMA</v>
      </c>
      <c r="B32" s="15" t="s">
        <v>34</v>
      </c>
      <c r="C32" s="15" t="s">
        <v>1057</v>
      </c>
      <c r="D32" s="15">
        <v>10</v>
      </c>
      <c r="E32" s="15">
        <v>1599</v>
      </c>
    </row>
    <row r="33" spans="1:5" ht="15.75" customHeight="1">
      <c r="A33" s="15" t="str">
        <f t="shared" si="0"/>
        <v>BAMT</v>
      </c>
      <c r="B33" s="15" t="s">
        <v>34</v>
      </c>
      <c r="C33" s="15" t="s">
        <v>1052</v>
      </c>
      <c r="D33" s="15">
        <v>13</v>
      </c>
      <c r="E33" s="15">
        <v>2566</v>
      </c>
    </row>
    <row r="34" spans="1:5" ht="15.75" customHeight="1">
      <c r="A34" s="15" t="str">
        <f t="shared" si="0"/>
        <v>BAMS</v>
      </c>
      <c r="B34" s="15" t="s">
        <v>34</v>
      </c>
      <c r="C34" s="15" t="s">
        <v>1053</v>
      </c>
      <c r="D34" s="15">
        <v>12</v>
      </c>
      <c r="E34" s="15">
        <v>2568</v>
      </c>
    </row>
    <row r="35" spans="1:5" ht="15.75" customHeight="1">
      <c r="A35" s="15" t="str">
        <f t="shared" si="0"/>
        <v>BAMG</v>
      </c>
      <c r="B35" s="15" t="s">
        <v>34</v>
      </c>
      <c r="C35" s="15" t="s">
        <v>24</v>
      </c>
      <c r="D35" s="15">
        <v>11</v>
      </c>
      <c r="E35" s="15">
        <v>1372</v>
      </c>
    </row>
    <row r="36" spans="1:5" ht="15.75" customHeight="1">
      <c r="A36" s="15" t="str">
        <f t="shared" si="0"/>
        <v>BAPA</v>
      </c>
      <c r="B36" s="15" t="s">
        <v>34</v>
      </c>
      <c r="C36" s="15" t="s">
        <v>1054</v>
      </c>
      <c r="D36" s="15">
        <v>14</v>
      </c>
      <c r="E36" s="15">
        <v>2100</v>
      </c>
    </row>
    <row r="37" spans="1:5" ht="15.75" customHeight="1">
      <c r="A37" s="15" t="str">
        <f t="shared" si="0"/>
        <v>BAPB</v>
      </c>
      <c r="B37" s="15" t="s">
        <v>34</v>
      </c>
      <c r="C37" s="15" t="s">
        <v>1055</v>
      </c>
      <c r="D37" s="15">
        <v>15</v>
      </c>
      <c r="E37" s="15">
        <v>949</v>
      </c>
    </row>
    <row r="38" spans="1:5" ht="15.75" customHeight="1">
      <c r="A38" s="15" t="str">
        <f t="shared" si="0"/>
        <v>BAPR</v>
      </c>
      <c r="B38" s="15" t="s">
        <v>34</v>
      </c>
      <c r="C38" s="15" t="s">
        <v>28</v>
      </c>
      <c r="D38" s="15">
        <v>18</v>
      </c>
      <c r="E38" s="15">
        <v>2385</v>
      </c>
    </row>
    <row r="39" spans="1:5" ht="15.75" customHeight="1">
      <c r="A39" s="15" t="str">
        <f t="shared" si="0"/>
        <v>BAPE</v>
      </c>
      <c r="B39" s="15" t="s">
        <v>34</v>
      </c>
      <c r="C39" s="15" t="s">
        <v>1061</v>
      </c>
      <c r="D39" s="15">
        <v>16</v>
      </c>
      <c r="E39" s="15">
        <v>839</v>
      </c>
    </row>
    <row r="40" spans="1:5" ht="15.75" customHeight="1">
      <c r="A40" s="15" t="str">
        <f t="shared" si="0"/>
        <v>BAPI</v>
      </c>
      <c r="B40" s="15" t="s">
        <v>34</v>
      </c>
      <c r="C40" s="15" t="s">
        <v>1062</v>
      </c>
      <c r="D40" s="15">
        <v>17</v>
      </c>
      <c r="E40" s="15">
        <v>1163</v>
      </c>
    </row>
    <row r="41" spans="1:5" ht="15.75" customHeight="1">
      <c r="A41" s="15" t="str">
        <f t="shared" si="0"/>
        <v>BARJ</v>
      </c>
      <c r="B41" s="15" t="s">
        <v>34</v>
      </c>
      <c r="C41" s="15" t="s">
        <v>27</v>
      </c>
      <c r="D41" s="15">
        <v>19</v>
      </c>
      <c r="E41" s="15">
        <v>1649</v>
      </c>
    </row>
    <row r="42" spans="1:5" ht="15.75" customHeight="1">
      <c r="A42" s="15" t="str">
        <f t="shared" si="0"/>
        <v>BARN</v>
      </c>
      <c r="B42" s="15" t="s">
        <v>34</v>
      </c>
      <c r="C42" s="15" t="s">
        <v>732</v>
      </c>
      <c r="D42" s="15">
        <v>20</v>
      </c>
      <c r="E42" s="15">
        <v>1126</v>
      </c>
    </row>
    <row r="43" spans="1:5" ht="15.75" customHeight="1">
      <c r="A43" s="15" t="str">
        <f t="shared" si="0"/>
        <v>BARS</v>
      </c>
      <c r="B43" s="15" t="s">
        <v>34</v>
      </c>
      <c r="C43" s="15" t="s">
        <v>736</v>
      </c>
      <c r="D43" s="15">
        <v>23</v>
      </c>
      <c r="E43" s="15">
        <v>3090</v>
      </c>
    </row>
    <row r="44" spans="1:5" ht="15.75" customHeight="1">
      <c r="A44" s="15" t="str">
        <f t="shared" si="0"/>
        <v>BARO</v>
      </c>
      <c r="B44" s="15" t="s">
        <v>34</v>
      </c>
      <c r="C44" s="15" t="s">
        <v>733</v>
      </c>
      <c r="D44" s="15">
        <v>21</v>
      </c>
      <c r="E44" s="15">
        <v>4023</v>
      </c>
    </row>
    <row r="45" spans="1:5" ht="15.75" customHeight="1">
      <c r="A45" s="15" t="str">
        <f t="shared" si="0"/>
        <v>BARR</v>
      </c>
      <c r="B45" s="15" t="s">
        <v>34</v>
      </c>
      <c r="C45" s="15" t="s">
        <v>1063</v>
      </c>
      <c r="D45" s="15">
        <v>22</v>
      </c>
      <c r="E45" s="15">
        <v>5794</v>
      </c>
    </row>
    <row r="46" spans="1:5" ht="15.75" customHeight="1">
      <c r="A46" s="15" t="str">
        <f t="shared" si="0"/>
        <v>BASC</v>
      </c>
      <c r="B46" s="15" t="s">
        <v>34</v>
      </c>
      <c r="C46" s="15" t="s">
        <v>26</v>
      </c>
      <c r="D46" s="15">
        <v>24</v>
      </c>
      <c r="E46" s="15">
        <v>2682</v>
      </c>
    </row>
    <row r="47" spans="1:5" ht="15.75" customHeight="1">
      <c r="A47" s="15" t="str">
        <f t="shared" si="0"/>
        <v>BASP</v>
      </c>
      <c r="B47" s="15" t="s">
        <v>34</v>
      </c>
      <c r="C47" s="15" t="s">
        <v>23</v>
      </c>
      <c r="D47" s="15">
        <v>26</v>
      </c>
      <c r="E47" s="15">
        <v>1962</v>
      </c>
    </row>
    <row r="48" spans="1:5" ht="15.75" customHeight="1">
      <c r="A48" s="15" t="str">
        <f t="shared" si="0"/>
        <v>BASE</v>
      </c>
      <c r="B48" s="15" t="s">
        <v>34</v>
      </c>
      <c r="C48" s="15" t="s">
        <v>1060</v>
      </c>
      <c r="D48" s="15">
        <v>25</v>
      </c>
      <c r="E48" s="15">
        <v>1662</v>
      </c>
    </row>
    <row r="49" spans="1:5" ht="15.75" customHeight="1">
      <c r="A49" s="15" t="str">
        <f t="shared" si="0"/>
        <v>BATO</v>
      </c>
      <c r="B49" s="15" t="s">
        <v>34</v>
      </c>
      <c r="C49" s="15" t="s">
        <v>1064</v>
      </c>
      <c r="D49" s="15">
        <v>27</v>
      </c>
      <c r="E49" s="15">
        <v>1454</v>
      </c>
    </row>
    <row r="50" spans="1:5" ht="15.75" customHeight="1">
      <c r="A50" s="15" t="str">
        <f t="shared" si="0"/>
        <v>CEAC</v>
      </c>
      <c r="B50" s="15" t="s">
        <v>41</v>
      </c>
      <c r="C50" s="15" t="s">
        <v>1051</v>
      </c>
      <c r="D50" s="15">
        <v>1</v>
      </c>
      <c r="E50" s="15">
        <v>5396</v>
      </c>
    </row>
    <row r="51" spans="1:5" ht="15.75" customHeight="1">
      <c r="A51" s="15" t="str">
        <f t="shared" si="0"/>
        <v>CEAL</v>
      </c>
      <c r="B51" s="15" t="s">
        <v>41</v>
      </c>
      <c r="C51" s="15" t="s">
        <v>1056</v>
      </c>
      <c r="D51" s="15">
        <v>2</v>
      </c>
      <c r="E51" s="15">
        <v>1075</v>
      </c>
    </row>
    <row r="52" spans="1:5" ht="15.75" customHeight="1">
      <c r="A52" s="15" t="str">
        <f t="shared" si="0"/>
        <v>CEAP</v>
      </c>
      <c r="B52" s="15" t="s">
        <v>41</v>
      </c>
      <c r="C52" s="15" t="s">
        <v>1058</v>
      </c>
      <c r="D52" s="15">
        <v>4</v>
      </c>
      <c r="E52" s="15">
        <v>5396</v>
      </c>
    </row>
    <row r="53" spans="1:5" ht="15.75" customHeight="1">
      <c r="A53" s="15" t="str">
        <f t="shared" si="0"/>
        <v>CEAM</v>
      </c>
      <c r="B53" s="15" t="s">
        <v>41</v>
      </c>
      <c r="C53" s="15" t="s">
        <v>29</v>
      </c>
      <c r="D53" s="15">
        <v>3</v>
      </c>
      <c r="E53" s="15">
        <v>5763</v>
      </c>
    </row>
    <row r="54" spans="1:5" ht="15.75" customHeight="1">
      <c r="A54" s="15" t="str">
        <f t="shared" si="0"/>
        <v>CEBA</v>
      </c>
      <c r="B54" s="15" t="s">
        <v>41</v>
      </c>
      <c r="C54" s="15" t="s">
        <v>34</v>
      </c>
      <c r="D54" s="15">
        <v>5</v>
      </c>
      <c r="E54" s="15">
        <v>1389</v>
      </c>
    </row>
    <row r="55" spans="1:5" ht="15.75" customHeight="1">
      <c r="A55" s="15" t="str">
        <f t="shared" si="0"/>
        <v>CECE</v>
      </c>
      <c r="B55" s="15" t="s">
        <v>41</v>
      </c>
      <c r="C55" s="15" t="s">
        <v>41</v>
      </c>
      <c r="D55" s="15">
        <v>6</v>
      </c>
      <c r="E55" s="15">
        <v>0</v>
      </c>
    </row>
    <row r="56" spans="1:5" ht="15.75" customHeight="1">
      <c r="A56" s="15" t="str">
        <f t="shared" si="0"/>
        <v>CEDF</v>
      </c>
      <c r="B56" s="15" t="s">
        <v>41</v>
      </c>
      <c r="C56" s="15" t="s">
        <v>1059</v>
      </c>
      <c r="D56" s="15">
        <v>7</v>
      </c>
      <c r="E56" s="15">
        <v>2200</v>
      </c>
    </row>
    <row r="57" spans="1:5" ht="15.75" customHeight="1">
      <c r="A57" s="15" t="str">
        <f t="shared" si="0"/>
        <v>CEES</v>
      </c>
      <c r="B57" s="15" t="s">
        <v>41</v>
      </c>
      <c r="C57" s="15" t="s">
        <v>25</v>
      </c>
      <c r="D57" s="15">
        <v>8</v>
      </c>
      <c r="E57" s="15">
        <v>2397</v>
      </c>
    </row>
    <row r="58" spans="1:5" ht="15.75" customHeight="1">
      <c r="A58" s="15" t="str">
        <f t="shared" si="0"/>
        <v>CEGO</v>
      </c>
      <c r="B58" s="15" t="s">
        <v>41</v>
      </c>
      <c r="C58" s="15" t="s">
        <v>51</v>
      </c>
      <c r="D58" s="15">
        <v>9</v>
      </c>
      <c r="E58" s="15">
        <v>2482</v>
      </c>
    </row>
    <row r="59" spans="1:5" ht="15.75" customHeight="1">
      <c r="A59" s="15" t="str">
        <f t="shared" si="0"/>
        <v>CEMA</v>
      </c>
      <c r="B59" s="15" t="s">
        <v>41</v>
      </c>
      <c r="C59" s="15" t="s">
        <v>1057</v>
      </c>
      <c r="D59" s="15">
        <v>10</v>
      </c>
      <c r="E59" s="15">
        <v>1070</v>
      </c>
    </row>
    <row r="60" spans="1:5" ht="15.75" customHeight="1">
      <c r="A60" s="15" t="str">
        <f t="shared" si="0"/>
        <v>CEMT</v>
      </c>
      <c r="B60" s="15" t="s">
        <v>41</v>
      </c>
      <c r="C60" s="15" t="s">
        <v>1052</v>
      </c>
      <c r="D60" s="15">
        <v>13</v>
      </c>
      <c r="E60" s="15">
        <v>3406</v>
      </c>
    </row>
    <row r="61" spans="1:5" ht="15.75" customHeight="1">
      <c r="A61" s="15" t="str">
        <f t="shared" si="0"/>
        <v>CEMS</v>
      </c>
      <c r="B61" s="15" t="s">
        <v>41</v>
      </c>
      <c r="C61" s="15" t="s">
        <v>1053</v>
      </c>
      <c r="D61" s="15">
        <v>12</v>
      </c>
      <c r="E61" s="15">
        <v>3407</v>
      </c>
    </row>
    <row r="62" spans="1:5" ht="15.75" customHeight="1">
      <c r="A62" s="15" t="str">
        <f t="shared" si="0"/>
        <v>CEMG</v>
      </c>
      <c r="B62" s="15" t="s">
        <v>41</v>
      </c>
      <c r="C62" s="15" t="s">
        <v>24</v>
      </c>
      <c r="D62" s="15">
        <v>11</v>
      </c>
      <c r="E62" s="15">
        <v>2528</v>
      </c>
    </row>
    <row r="63" spans="1:5" ht="15.75" customHeight="1">
      <c r="A63" s="15" t="str">
        <f t="shared" si="0"/>
        <v>CEPA</v>
      </c>
      <c r="B63" s="15" t="s">
        <v>41</v>
      </c>
      <c r="C63" s="15" t="s">
        <v>1054</v>
      </c>
      <c r="D63" s="15">
        <v>14</v>
      </c>
      <c r="E63" s="15">
        <v>1610</v>
      </c>
    </row>
    <row r="64" spans="1:5" ht="15.75" customHeight="1">
      <c r="A64" s="15" t="str">
        <f t="shared" si="0"/>
        <v>CEPB</v>
      </c>
      <c r="B64" s="15" t="s">
        <v>41</v>
      </c>
      <c r="C64" s="15" t="s">
        <v>1055</v>
      </c>
      <c r="D64" s="15">
        <v>15</v>
      </c>
      <c r="E64" s="15">
        <v>688</v>
      </c>
    </row>
    <row r="65" spans="1:5" ht="15.75" customHeight="1">
      <c r="A65" s="15" t="str">
        <f t="shared" si="0"/>
        <v>CEPR</v>
      </c>
      <c r="B65" s="15" t="s">
        <v>41</v>
      </c>
      <c r="C65" s="15" t="s">
        <v>28</v>
      </c>
      <c r="D65" s="15">
        <v>18</v>
      </c>
      <c r="E65" s="15">
        <v>3541</v>
      </c>
    </row>
    <row r="66" spans="1:5" ht="15.75" customHeight="1">
      <c r="A66" s="15" t="str">
        <f t="shared" si="0"/>
        <v>CEPE</v>
      </c>
      <c r="B66" s="15" t="s">
        <v>41</v>
      </c>
      <c r="C66" s="15" t="s">
        <v>1061</v>
      </c>
      <c r="D66" s="15">
        <v>16</v>
      </c>
      <c r="E66" s="15">
        <v>800</v>
      </c>
    </row>
    <row r="67" spans="1:5" ht="15.75" customHeight="1">
      <c r="A67" s="15" t="str">
        <f t="shared" si="0"/>
        <v>CEPI</v>
      </c>
      <c r="B67" s="15" t="s">
        <v>41</v>
      </c>
      <c r="C67" s="15" t="s">
        <v>1062</v>
      </c>
      <c r="D67" s="15">
        <v>17</v>
      </c>
      <c r="E67" s="15">
        <v>634</v>
      </c>
    </row>
    <row r="68" spans="1:5" ht="15.75" customHeight="1">
      <c r="A68" s="15" t="str">
        <f t="shared" si="0"/>
        <v>CERJ</v>
      </c>
      <c r="B68" s="15" t="s">
        <v>41</v>
      </c>
      <c r="C68" s="15" t="s">
        <v>27</v>
      </c>
      <c r="D68" s="15">
        <v>19</v>
      </c>
      <c r="E68" s="15">
        <v>2805</v>
      </c>
    </row>
    <row r="69" spans="1:5" ht="15.75" customHeight="1">
      <c r="A69" s="15" t="str">
        <f t="shared" si="0"/>
        <v>CERN</v>
      </c>
      <c r="B69" s="15" t="s">
        <v>41</v>
      </c>
      <c r="C69" s="15" t="s">
        <v>732</v>
      </c>
      <c r="D69" s="15">
        <v>20</v>
      </c>
      <c r="E69" s="15">
        <v>537</v>
      </c>
    </row>
    <row r="70" spans="1:5" ht="15.75" customHeight="1">
      <c r="A70" s="15" t="str">
        <f t="shared" si="0"/>
        <v>CERS</v>
      </c>
      <c r="B70" s="15" t="s">
        <v>41</v>
      </c>
      <c r="C70" s="15" t="s">
        <v>736</v>
      </c>
      <c r="D70" s="15">
        <v>23</v>
      </c>
      <c r="E70" s="15">
        <v>4242</v>
      </c>
    </row>
    <row r="71" spans="1:5" ht="15.75" customHeight="1">
      <c r="A71" s="15" t="str">
        <f t="shared" si="0"/>
        <v>CERO</v>
      </c>
      <c r="B71" s="15" t="s">
        <v>41</v>
      </c>
      <c r="C71" s="15" t="s">
        <v>733</v>
      </c>
      <c r="D71" s="15">
        <v>21</v>
      </c>
      <c r="E71" s="15">
        <v>4865</v>
      </c>
    </row>
    <row r="72" spans="1:5" ht="15.75" customHeight="1">
      <c r="A72" s="15" t="str">
        <f t="shared" si="0"/>
        <v>CERR</v>
      </c>
      <c r="B72" s="15" t="s">
        <v>41</v>
      </c>
      <c r="C72" s="15" t="s">
        <v>1063</v>
      </c>
      <c r="D72" s="15">
        <v>22</v>
      </c>
      <c r="E72" s="15">
        <v>6548</v>
      </c>
    </row>
    <row r="73" spans="1:5" ht="15.75" customHeight="1">
      <c r="A73" s="15" t="str">
        <f t="shared" si="0"/>
        <v>CESC</v>
      </c>
      <c r="B73" s="15" t="s">
        <v>41</v>
      </c>
      <c r="C73" s="15" t="s">
        <v>26</v>
      </c>
      <c r="D73" s="15">
        <v>24</v>
      </c>
      <c r="E73" s="15">
        <v>3838</v>
      </c>
    </row>
    <row r="74" spans="1:5" ht="15.75" customHeight="1">
      <c r="A74" s="15" t="str">
        <f t="shared" si="0"/>
        <v>CESP</v>
      </c>
      <c r="B74" s="15" t="s">
        <v>41</v>
      </c>
      <c r="C74" s="15" t="s">
        <v>23</v>
      </c>
      <c r="D74" s="15">
        <v>26</v>
      </c>
      <c r="E74" s="15">
        <v>3127</v>
      </c>
    </row>
    <row r="75" spans="1:5" ht="15.75" customHeight="1">
      <c r="A75" s="15" t="str">
        <f t="shared" si="0"/>
        <v>CESE</v>
      </c>
      <c r="B75" s="15" t="s">
        <v>41</v>
      </c>
      <c r="C75" s="15" t="s">
        <v>1060</v>
      </c>
      <c r="D75" s="15">
        <v>25</v>
      </c>
      <c r="E75" s="15">
        <v>2595</v>
      </c>
    </row>
    <row r="76" spans="1:5" ht="15.75" customHeight="1">
      <c r="A76" s="15" t="str">
        <f t="shared" si="0"/>
        <v>CETO</v>
      </c>
      <c r="B76" s="15" t="s">
        <v>41</v>
      </c>
      <c r="C76" s="15" t="s">
        <v>1064</v>
      </c>
      <c r="D76" s="15">
        <v>27</v>
      </c>
      <c r="E76" s="15">
        <v>2035</v>
      </c>
    </row>
    <row r="77" spans="1:5" ht="15.75" customHeight="1">
      <c r="A77" s="15" t="str">
        <f t="shared" si="0"/>
        <v>DFAC</v>
      </c>
      <c r="B77" s="15" t="s">
        <v>1059</v>
      </c>
      <c r="C77" s="15" t="s">
        <v>1051</v>
      </c>
      <c r="D77" s="15">
        <v>1</v>
      </c>
      <c r="E77" s="15">
        <v>3123</v>
      </c>
    </row>
    <row r="78" spans="1:5" ht="15.75" customHeight="1">
      <c r="A78" s="15" t="str">
        <f t="shared" si="0"/>
        <v>DFAL</v>
      </c>
      <c r="B78" s="15" t="s">
        <v>1059</v>
      </c>
      <c r="C78" s="15" t="s">
        <v>1056</v>
      </c>
      <c r="D78" s="15">
        <v>2</v>
      </c>
      <c r="E78" s="15">
        <v>1928</v>
      </c>
    </row>
    <row r="79" spans="1:5" ht="15.75" customHeight="1">
      <c r="A79" s="15" t="str">
        <f t="shared" si="0"/>
        <v>DFAP</v>
      </c>
      <c r="B79" s="15" t="s">
        <v>1059</v>
      </c>
      <c r="C79" s="15" t="s">
        <v>1058</v>
      </c>
      <c r="D79" s="15">
        <v>4</v>
      </c>
      <c r="E79" s="15">
        <v>3123</v>
      </c>
    </row>
    <row r="80" spans="1:5" ht="15.75" customHeight="1">
      <c r="A80" s="15" t="str">
        <f t="shared" si="0"/>
        <v>DFAM</v>
      </c>
      <c r="B80" s="15" t="s">
        <v>1059</v>
      </c>
      <c r="C80" s="15" t="s">
        <v>29</v>
      </c>
      <c r="D80" s="15">
        <v>3</v>
      </c>
      <c r="E80" s="15">
        <v>3490</v>
      </c>
    </row>
    <row r="81" spans="1:5" ht="15.75" customHeight="1">
      <c r="A81" s="15" t="str">
        <f t="shared" si="0"/>
        <v>DFBA</v>
      </c>
      <c r="B81" s="15" t="s">
        <v>1059</v>
      </c>
      <c r="C81" s="15" t="s">
        <v>34</v>
      </c>
      <c r="D81" s="15">
        <v>5</v>
      </c>
      <c r="E81" s="15">
        <v>1446</v>
      </c>
    </row>
    <row r="82" spans="1:5" ht="15.75" customHeight="1">
      <c r="A82" s="15" t="str">
        <f t="shared" si="0"/>
        <v>DFCE</v>
      </c>
      <c r="B82" s="15" t="s">
        <v>1059</v>
      </c>
      <c r="C82" s="15" t="s">
        <v>41</v>
      </c>
      <c r="D82" s="15">
        <v>6</v>
      </c>
      <c r="E82" s="15">
        <v>2208</v>
      </c>
    </row>
    <row r="83" spans="1:5" ht="15.75" customHeight="1">
      <c r="A83" s="15" t="str">
        <f t="shared" si="0"/>
        <v>DFDF</v>
      </c>
      <c r="B83" s="15" t="s">
        <v>1059</v>
      </c>
      <c r="C83" s="15" t="s">
        <v>1059</v>
      </c>
      <c r="D83" s="15">
        <v>7</v>
      </c>
      <c r="E83" s="15">
        <v>0</v>
      </c>
    </row>
    <row r="84" spans="1:5" ht="15.75" customHeight="1">
      <c r="A84" s="15" t="str">
        <f t="shared" si="0"/>
        <v>DFES</v>
      </c>
      <c r="B84" s="15" t="s">
        <v>1059</v>
      </c>
      <c r="C84" s="15" t="s">
        <v>25</v>
      </c>
      <c r="D84" s="15">
        <v>8</v>
      </c>
      <c r="E84" s="15">
        <v>1238</v>
      </c>
    </row>
    <row r="85" spans="1:5" ht="15.75" customHeight="1">
      <c r="A85" s="15" t="str">
        <f t="shared" si="0"/>
        <v>DFGO</v>
      </c>
      <c r="B85" s="15" t="s">
        <v>1059</v>
      </c>
      <c r="C85" s="15" t="s">
        <v>51</v>
      </c>
      <c r="D85" s="15">
        <v>9</v>
      </c>
      <c r="E85" s="15">
        <v>209</v>
      </c>
    </row>
    <row r="86" spans="1:5" ht="15.75" customHeight="1">
      <c r="A86" s="15" t="str">
        <f t="shared" si="0"/>
        <v>DFMA</v>
      </c>
      <c r="B86" s="15" t="s">
        <v>1059</v>
      </c>
      <c r="C86" s="15" t="s">
        <v>1057</v>
      </c>
      <c r="D86" s="15">
        <v>10</v>
      </c>
      <c r="E86" s="15">
        <v>2157</v>
      </c>
    </row>
    <row r="87" spans="1:5" ht="15.75" customHeight="1">
      <c r="A87" s="15" t="str">
        <f t="shared" si="0"/>
        <v>DFMT</v>
      </c>
      <c r="B87" s="15" t="s">
        <v>1059</v>
      </c>
      <c r="C87" s="15" t="s">
        <v>1052</v>
      </c>
      <c r="D87" s="15">
        <v>13</v>
      </c>
      <c r="E87" s="15">
        <v>1133</v>
      </c>
    </row>
    <row r="88" spans="1:5" ht="15.75" customHeight="1">
      <c r="A88" s="15" t="str">
        <f t="shared" si="0"/>
        <v>DFMS</v>
      </c>
      <c r="B88" s="15" t="s">
        <v>1059</v>
      </c>
      <c r="C88" s="15" t="s">
        <v>1053</v>
      </c>
      <c r="D88" s="15">
        <v>12</v>
      </c>
      <c r="E88" s="15">
        <v>1134</v>
      </c>
    </row>
    <row r="89" spans="1:5" ht="15.75" customHeight="1">
      <c r="A89" s="15" t="str">
        <f t="shared" si="0"/>
        <v>DFMG</v>
      </c>
      <c r="B89" s="15" t="s">
        <v>1059</v>
      </c>
      <c r="C89" s="15" t="s">
        <v>24</v>
      </c>
      <c r="D89" s="15">
        <v>11</v>
      </c>
      <c r="E89" s="15">
        <v>716</v>
      </c>
    </row>
    <row r="90" spans="1:5" ht="15.75" customHeight="1">
      <c r="A90" s="15" t="str">
        <f t="shared" si="0"/>
        <v>DFPA</v>
      </c>
      <c r="B90" s="15" t="s">
        <v>1059</v>
      </c>
      <c r="C90" s="15" t="s">
        <v>1054</v>
      </c>
      <c r="D90" s="15">
        <v>14</v>
      </c>
      <c r="E90" s="15">
        <v>2120</v>
      </c>
    </row>
    <row r="91" spans="1:5" ht="15.75" customHeight="1">
      <c r="A91" s="15" t="str">
        <f t="shared" si="0"/>
        <v>DFPB</v>
      </c>
      <c r="B91" s="15" t="s">
        <v>1059</v>
      </c>
      <c r="C91" s="15" t="s">
        <v>1055</v>
      </c>
      <c r="D91" s="15">
        <v>15</v>
      </c>
      <c r="E91" s="15">
        <v>2245</v>
      </c>
    </row>
    <row r="92" spans="1:5" ht="15.75" customHeight="1">
      <c r="A92" s="15" t="str">
        <f t="shared" si="0"/>
        <v>DFPR</v>
      </c>
      <c r="B92" s="15" t="s">
        <v>1059</v>
      </c>
      <c r="C92" s="15" t="s">
        <v>28</v>
      </c>
      <c r="D92" s="15">
        <v>18</v>
      </c>
      <c r="E92" s="15">
        <v>1366</v>
      </c>
    </row>
    <row r="93" spans="1:5" ht="15.75" customHeight="1">
      <c r="A93" s="15" t="str">
        <f t="shared" si="0"/>
        <v>DFPE</v>
      </c>
      <c r="B93" s="15" t="s">
        <v>1059</v>
      </c>
      <c r="C93" s="15" t="s">
        <v>1061</v>
      </c>
      <c r="D93" s="15">
        <v>16</v>
      </c>
      <c r="E93" s="15">
        <v>2135</v>
      </c>
    </row>
    <row r="94" spans="1:5" ht="15.75" customHeight="1">
      <c r="A94" s="15" t="str">
        <f t="shared" si="0"/>
        <v>DFPI</v>
      </c>
      <c r="B94" s="15" t="s">
        <v>1059</v>
      </c>
      <c r="C94" s="15" t="s">
        <v>1062</v>
      </c>
      <c r="D94" s="15">
        <v>17</v>
      </c>
      <c r="E94" s="15">
        <v>1789</v>
      </c>
    </row>
    <row r="95" spans="1:5" ht="15.75" customHeight="1">
      <c r="A95" s="15" t="str">
        <f t="shared" si="0"/>
        <v>DFRJ</v>
      </c>
      <c r="B95" s="15" t="s">
        <v>1059</v>
      </c>
      <c r="C95" s="15" t="s">
        <v>27</v>
      </c>
      <c r="D95" s="15">
        <v>19</v>
      </c>
      <c r="E95" s="15">
        <v>1148</v>
      </c>
    </row>
    <row r="96" spans="1:5" ht="15.75" customHeight="1">
      <c r="A96" s="15" t="str">
        <f t="shared" si="0"/>
        <v>DFRN</v>
      </c>
      <c r="B96" s="15" t="s">
        <v>1059</v>
      </c>
      <c r="C96" s="15" t="s">
        <v>732</v>
      </c>
      <c r="D96" s="15">
        <v>20</v>
      </c>
      <c r="E96" s="15">
        <v>2422</v>
      </c>
    </row>
    <row r="97" spans="1:5" ht="15.75" customHeight="1">
      <c r="A97" s="15" t="str">
        <f t="shared" si="0"/>
        <v>DFRS</v>
      </c>
      <c r="B97" s="15" t="s">
        <v>1059</v>
      </c>
      <c r="C97" s="15" t="s">
        <v>736</v>
      </c>
      <c r="D97" s="15">
        <v>23</v>
      </c>
      <c r="E97" s="15">
        <v>2027</v>
      </c>
    </row>
    <row r="98" spans="1:5" ht="15.75" customHeight="1">
      <c r="A98" s="15" t="str">
        <f t="shared" si="0"/>
        <v>DFRO</v>
      </c>
      <c r="B98" s="15" t="s">
        <v>1059</v>
      </c>
      <c r="C98" s="15" t="s">
        <v>733</v>
      </c>
      <c r="D98" s="15">
        <v>21</v>
      </c>
      <c r="E98" s="15">
        <v>2589</v>
      </c>
    </row>
    <row r="99" spans="1:5" ht="15.75" customHeight="1">
      <c r="A99" s="15" t="str">
        <f t="shared" si="0"/>
        <v>DFRR</v>
      </c>
      <c r="B99" s="15" t="s">
        <v>1059</v>
      </c>
      <c r="C99" s="15" t="s">
        <v>1063</v>
      </c>
      <c r="D99" s="15">
        <v>22</v>
      </c>
      <c r="E99" s="15">
        <v>4275</v>
      </c>
    </row>
    <row r="100" spans="1:5" ht="15.75" customHeight="1">
      <c r="A100" s="15" t="str">
        <f t="shared" si="0"/>
        <v>DFSC</v>
      </c>
      <c r="B100" s="15" t="s">
        <v>1059</v>
      </c>
      <c r="C100" s="15" t="s">
        <v>26</v>
      </c>
      <c r="D100" s="15">
        <v>24</v>
      </c>
      <c r="E100" s="15">
        <v>1673</v>
      </c>
    </row>
    <row r="101" spans="1:5" ht="15.75" customHeight="1">
      <c r="A101" s="15" t="str">
        <f t="shared" si="0"/>
        <v>DFSP</v>
      </c>
      <c r="B101" s="15" t="s">
        <v>1059</v>
      </c>
      <c r="C101" s="15" t="s">
        <v>23</v>
      </c>
      <c r="D101" s="15">
        <v>26</v>
      </c>
      <c r="E101" s="15">
        <v>1015</v>
      </c>
    </row>
    <row r="102" spans="1:5" ht="15.75" customHeight="1">
      <c r="A102" s="15" t="str">
        <f t="shared" si="0"/>
        <v>DFSE</v>
      </c>
      <c r="B102" s="15" t="s">
        <v>1059</v>
      </c>
      <c r="C102" s="15" t="s">
        <v>1060</v>
      </c>
      <c r="D102" s="15">
        <v>25</v>
      </c>
      <c r="E102" s="15">
        <v>1652</v>
      </c>
    </row>
    <row r="103" spans="1:5" ht="15.75" customHeight="1">
      <c r="A103" s="15" t="str">
        <f t="shared" si="0"/>
        <v>DFTO</v>
      </c>
      <c r="B103" s="15" t="s">
        <v>1059</v>
      </c>
      <c r="C103" s="15" t="s">
        <v>1064</v>
      </c>
      <c r="D103" s="15">
        <v>27</v>
      </c>
      <c r="E103" s="15">
        <v>973</v>
      </c>
    </row>
    <row r="104" spans="1:5" ht="15.75" customHeight="1">
      <c r="A104" s="15" t="str">
        <f t="shared" si="0"/>
        <v>ESAC</v>
      </c>
      <c r="B104" s="15" t="s">
        <v>25</v>
      </c>
      <c r="C104" s="15" t="s">
        <v>1051</v>
      </c>
      <c r="D104" s="15">
        <v>1</v>
      </c>
      <c r="E104" s="15">
        <v>4109</v>
      </c>
    </row>
    <row r="105" spans="1:5" ht="15.75" customHeight="1">
      <c r="A105" s="15" t="str">
        <f t="shared" si="0"/>
        <v>ESAL</v>
      </c>
      <c r="B105" s="15" t="s">
        <v>25</v>
      </c>
      <c r="C105" s="15" t="s">
        <v>1056</v>
      </c>
      <c r="D105" s="15">
        <v>2</v>
      </c>
      <c r="E105" s="15">
        <v>1684</v>
      </c>
    </row>
    <row r="106" spans="1:5" ht="15.75" customHeight="1">
      <c r="A106" s="15" t="str">
        <f t="shared" si="0"/>
        <v>ESAP</v>
      </c>
      <c r="B106" s="15" t="s">
        <v>25</v>
      </c>
      <c r="C106" s="15" t="s">
        <v>1058</v>
      </c>
      <c r="D106" s="15">
        <v>4</v>
      </c>
      <c r="E106" s="15">
        <v>4109</v>
      </c>
    </row>
    <row r="107" spans="1:5" ht="15.75" customHeight="1">
      <c r="A107" s="15" t="str">
        <f t="shared" si="0"/>
        <v>ESAM</v>
      </c>
      <c r="B107" s="15" t="s">
        <v>25</v>
      </c>
      <c r="C107" s="15" t="s">
        <v>29</v>
      </c>
      <c r="D107" s="15">
        <v>3</v>
      </c>
      <c r="E107" s="15">
        <v>4476</v>
      </c>
    </row>
    <row r="108" spans="1:5" ht="15.75" customHeight="1">
      <c r="A108" s="15" t="str">
        <f t="shared" si="0"/>
        <v>ESBA</v>
      </c>
      <c r="B108" s="15" t="s">
        <v>25</v>
      </c>
      <c r="C108" s="15" t="s">
        <v>34</v>
      </c>
      <c r="D108" s="15">
        <v>5</v>
      </c>
      <c r="E108" s="15">
        <v>1202</v>
      </c>
    </row>
    <row r="109" spans="1:5" ht="15.75" customHeight="1">
      <c r="A109" s="15" t="str">
        <f t="shared" si="0"/>
        <v>ESCE</v>
      </c>
      <c r="B109" s="15" t="s">
        <v>25</v>
      </c>
      <c r="C109" s="15" t="s">
        <v>41</v>
      </c>
      <c r="D109" s="15">
        <v>6</v>
      </c>
      <c r="E109" s="15">
        <v>2397</v>
      </c>
    </row>
    <row r="110" spans="1:5" ht="15.75" customHeight="1">
      <c r="A110" s="15" t="str">
        <f t="shared" si="0"/>
        <v>ESDF</v>
      </c>
      <c r="B110" s="15" t="s">
        <v>25</v>
      </c>
      <c r="C110" s="15" t="s">
        <v>1059</v>
      </c>
      <c r="D110" s="15">
        <v>7</v>
      </c>
      <c r="E110" s="15">
        <v>1239</v>
      </c>
    </row>
    <row r="111" spans="1:5" ht="15.75" customHeight="1">
      <c r="A111" s="15" t="str">
        <f t="shared" si="0"/>
        <v>ESES</v>
      </c>
      <c r="B111" s="15" t="s">
        <v>25</v>
      </c>
      <c r="C111" s="15" t="s">
        <v>25</v>
      </c>
      <c r="D111" s="15">
        <v>8</v>
      </c>
      <c r="E111" s="15">
        <v>0</v>
      </c>
    </row>
    <row r="112" spans="1:5" ht="15.75" customHeight="1">
      <c r="A112" s="15" t="str">
        <f t="shared" si="0"/>
        <v>ESGO</v>
      </c>
      <c r="B112" s="15" t="s">
        <v>25</v>
      </c>
      <c r="C112" s="15" t="s">
        <v>51</v>
      </c>
      <c r="D112" s="15">
        <v>9</v>
      </c>
      <c r="E112" s="15">
        <v>1428</v>
      </c>
    </row>
    <row r="113" spans="1:5" ht="15.75" customHeight="1">
      <c r="A113" s="15" t="str">
        <f t="shared" si="0"/>
        <v>ESMA</v>
      </c>
      <c r="B113" s="15" t="s">
        <v>25</v>
      </c>
      <c r="C113" s="15" t="s">
        <v>1057</v>
      </c>
      <c r="D113" s="15">
        <v>10</v>
      </c>
      <c r="E113" s="15">
        <v>2607</v>
      </c>
    </row>
    <row r="114" spans="1:5" ht="15.75" customHeight="1">
      <c r="A114" s="15" t="str">
        <f t="shared" si="0"/>
        <v>ESMT</v>
      </c>
      <c r="B114" s="15" t="s">
        <v>25</v>
      </c>
      <c r="C114" s="15" t="s">
        <v>1052</v>
      </c>
      <c r="D114" s="15">
        <v>13</v>
      </c>
      <c r="E114" s="15">
        <v>2119</v>
      </c>
    </row>
    <row r="115" spans="1:5" ht="15.75" customHeight="1">
      <c r="A115" s="15" t="str">
        <f t="shared" si="0"/>
        <v>ESMS</v>
      </c>
      <c r="B115" s="15" t="s">
        <v>25</v>
      </c>
      <c r="C115" s="15" t="s">
        <v>1053</v>
      </c>
      <c r="D115" s="15">
        <v>12</v>
      </c>
      <c r="E115" s="15">
        <v>1892</v>
      </c>
    </row>
    <row r="116" spans="1:5" ht="15.75" customHeight="1">
      <c r="A116" s="15" t="str">
        <f t="shared" si="0"/>
        <v>ESMG</v>
      </c>
      <c r="B116" s="15" t="s">
        <v>25</v>
      </c>
      <c r="C116" s="15" t="s">
        <v>24</v>
      </c>
      <c r="D116" s="15">
        <v>11</v>
      </c>
      <c r="E116" s="15">
        <v>524</v>
      </c>
    </row>
    <row r="117" spans="1:5" ht="15.75" customHeight="1">
      <c r="A117" s="15" t="str">
        <f t="shared" si="0"/>
        <v>ESPA</v>
      </c>
      <c r="B117" s="15" t="s">
        <v>25</v>
      </c>
      <c r="C117" s="15" t="s">
        <v>1054</v>
      </c>
      <c r="D117" s="15">
        <v>14</v>
      </c>
      <c r="E117" s="15">
        <v>3108</v>
      </c>
    </row>
    <row r="118" spans="1:5" ht="15.75" customHeight="1">
      <c r="A118" s="15" t="str">
        <f t="shared" si="0"/>
        <v>ESPB</v>
      </c>
      <c r="B118" s="15" t="s">
        <v>25</v>
      </c>
      <c r="C118" s="15" t="s">
        <v>1055</v>
      </c>
      <c r="D118" s="15">
        <v>15</v>
      </c>
      <c r="E118" s="15">
        <v>2001</v>
      </c>
    </row>
    <row r="119" spans="1:5" ht="15.75" customHeight="1">
      <c r="A119" s="15" t="str">
        <f t="shared" si="0"/>
        <v>ESPR</v>
      </c>
      <c r="B119" s="15" t="s">
        <v>25</v>
      </c>
      <c r="C119" s="15" t="s">
        <v>28</v>
      </c>
      <c r="D119" s="15">
        <v>18</v>
      </c>
      <c r="E119" s="15">
        <v>1300</v>
      </c>
    </row>
    <row r="120" spans="1:5" ht="15.75" customHeight="1">
      <c r="A120" s="15" t="str">
        <f t="shared" si="0"/>
        <v>ESPE</v>
      </c>
      <c r="B120" s="15" t="s">
        <v>25</v>
      </c>
      <c r="C120" s="15" t="s">
        <v>1061</v>
      </c>
      <c r="D120" s="15">
        <v>16</v>
      </c>
      <c r="E120" s="15">
        <v>1891</v>
      </c>
    </row>
    <row r="121" spans="1:5" ht="15.75" customHeight="1">
      <c r="A121" s="15" t="str">
        <f t="shared" si="0"/>
        <v>ESPI</v>
      </c>
      <c r="B121" s="15" t="s">
        <v>25</v>
      </c>
      <c r="C121" s="15" t="s">
        <v>1062</v>
      </c>
      <c r="D121" s="15">
        <v>17</v>
      </c>
      <c r="E121" s="15">
        <v>2171</v>
      </c>
    </row>
    <row r="122" spans="1:5" ht="15.75" customHeight="1">
      <c r="A122" s="15" t="str">
        <f t="shared" si="0"/>
        <v>ESRJ</v>
      </c>
      <c r="B122" s="15" t="s">
        <v>25</v>
      </c>
      <c r="C122" s="15" t="s">
        <v>27</v>
      </c>
      <c r="D122" s="15">
        <v>19</v>
      </c>
      <c r="E122" s="15">
        <v>521</v>
      </c>
    </row>
    <row r="123" spans="1:5" ht="15.75" customHeight="1">
      <c r="A123" s="15" t="str">
        <f t="shared" si="0"/>
        <v>ESRN</v>
      </c>
      <c r="B123" s="15" t="s">
        <v>25</v>
      </c>
      <c r="C123" s="15" t="s">
        <v>732</v>
      </c>
      <c r="D123" s="15">
        <v>20</v>
      </c>
      <c r="E123" s="15">
        <v>2178</v>
      </c>
    </row>
    <row r="124" spans="1:5" ht="15.75" customHeight="1">
      <c r="A124" s="15" t="str">
        <f t="shared" si="0"/>
        <v>ESRS</v>
      </c>
      <c r="B124" s="15" t="s">
        <v>25</v>
      </c>
      <c r="C124" s="15" t="s">
        <v>736</v>
      </c>
      <c r="D124" s="15">
        <v>23</v>
      </c>
      <c r="E124" s="15">
        <v>2001</v>
      </c>
    </row>
    <row r="125" spans="1:5" ht="15.75" customHeight="1">
      <c r="A125" s="15" t="str">
        <f t="shared" si="0"/>
        <v>ESRO</v>
      </c>
      <c r="B125" s="15" t="s">
        <v>25</v>
      </c>
      <c r="C125" s="15" t="s">
        <v>733</v>
      </c>
      <c r="D125" s="15">
        <v>21</v>
      </c>
      <c r="E125" s="15">
        <v>3575</v>
      </c>
    </row>
    <row r="126" spans="1:5" ht="15.75" customHeight="1">
      <c r="A126" s="15" t="str">
        <f t="shared" si="0"/>
        <v>ESRR</v>
      </c>
      <c r="B126" s="15" t="s">
        <v>25</v>
      </c>
      <c r="C126" s="15" t="s">
        <v>1063</v>
      </c>
      <c r="D126" s="15">
        <v>22</v>
      </c>
      <c r="E126" s="15">
        <v>5261</v>
      </c>
    </row>
    <row r="127" spans="1:5" ht="15.75" customHeight="1">
      <c r="A127" s="15" t="str">
        <f t="shared" si="0"/>
        <v>ESSC</v>
      </c>
      <c r="B127" s="15" t="s">
        <v>25</v>
      </c>
      <c r="C127" s="15" t="s">
        <v>26</v>
      </c>
      <c r="D127" s="15">
        <v>24</v>
      </c>
      <c r="E127" s="15">
        <v>1597</v>
      </c>
    </row>
    <row r="128" spans="1:5" ht="15.75" customHeight="1">
      <c r="A128" s="15" t="str">
        <f t="shared" si="0"/>
        <v>ESSP</v>
      </c>
      <c r="B128" s="15" t="s">
        <v>25</v>
      </c>
      <c r="C128" s="15" t="s">
        <v>23</v>
      </c>
      <c r="D128" s="15">
        <v>26</v>
      </c>
      <c r="E128" s="15">
        <v>882</v>
      </c>
    </row>
    <row r="129" spans="1:5" ht="15.75" customHeight="1">
      <c r="A129" s="15" t="str">
        <f t="shared" si="0"/>
        <v>ESSE</v>
      </c>
      <c r="B129" s="15" t="s">
        <v>25</v>
      </c>
      <c r="C129" s="15" t="s">
        <v>1060</v>
      </c>
      <c r="D129" s="15">
        <v>25</v>
      </c>
      <c r="E129" s="15">
        <v>501</v>
      </c>
    </row>
    <row r="130" spans="1:5" ht="15.75" customHeight="1">
      <c r="A130" s="15" t="str">
        <f t="shared" si="0"/>
        <v>ESTO</v>
      </c>
      <c r="B130" s="15" t="s">
        <v>25</v>
      </c>
      <c r="C130" s="15" t="s">
        <v>1064</v>
      </c>
      <c r="D130" s="15">
        <v>27</v>
      </c>
      <c r="E130" s="15">
        <v>2214</v>
      </c>
    </row>
    <row r="131" spans="1:5" ht="15.75" customHeight="1">
      <c r="A131" s="15" t="str">
        <f t="shared" si="0"/>
        <v>GOAC</v>
      </c>
      <c r="B131" s="15" t="s">
        <v>51</v>
      </c>
      <c r="C131" s="15" t="s">
        <v>1051</v>
      </c>
      <c r="D131" s="15">
        <v>1</v>
      </c>
      <c r="E131" s="15">
        <v>2924</v>
      </c>
    </row>
    <row r="132" spans="1:5" ht="15.75" customHeight="1">
      <c r="A132" s="15" t="str">
        <f t="shared" si="0"/>
        <v>GOAL</v>
      </c>
      <c r="B132" s="15" t="s">
        <v>51</v>
      </c>
      <c r="C132" s="15" t="s">
        <v>1056</v>
      </c>
      <c r="D132" s="15">
        <v>2</v>
      </c>
      <c r="E132" s="15">
        <v>2105</v>
      </c>
    </row>
    <row r="133" spans="1:5" ht="15.75" customHeight="1">
      <c r="A133" s="15" t="str">
        <f t="shared" si="0"/>
        <v>GOAP</v>
      </c>
      <c r="B133" s="15" t="s">
        <v>51</v>
      </c>
      <c r="C133" s="15" t="s">
        <v>1058</v>
      </c>
      <c r="D133" s="15">
        <v>4</v>
      </c>
      <c r="E133" s="15">
        <v>2924</v>
      </c>
    </row>
    <row r="134" spans="1:5" ht="15.75" customHeight="1">
      <c r="A134" s="15" t="str">
        <f t="shared" si="0"/>
        <v>GOAM</v>
      </c>
      <c r="B134" s="15" t="s">
        <v>51</v>
      </c>
      <c r="C134" s="15" t="s">
        <v>29</v>
      </c>
      <c r="D134" s="15">
        <v>3</v>
      </c>
      <c r="E134" s="15">
        <v>3291</v>
      </c>
    </row>
    <row r="135" spans="1:5" ht="15.75" customHeight="1">
      <c r="A135" s="15" t="str">
        <f t="shared" si="0"/>
        <v>GOBA</v>
      </c>
      <c r="B135" s="15" t="s">
        <v>51</v>
      </c>
      <c r="C135" s="15" t="s">
        <v>34</v>
      </c>
      <c r="D135" s="15">
        <v>5</v>
      </c>
      <c r="E135" s="15">
        <v>1643</v>
      </c>
    </row>
    <row r="136" spans="1:5" ht="15.75" customHeight="1">
      <c r="A136" s="15" t="str">
        <f t="shared" si="0"/>
        <v>GOCE</v>
      </c>
      <c r="B136" s="15" t="s">
        <v>51</v>
      </c>
      <c r="C136" s="15" t="s">
        <v>41</v>
      </c>
      <c r="D136" s="15">
        <v>6</v>
      </c>
      <c r="E136" s="15">
        <v>2482</v>
      </c>
    </row>
    <row r="137" spans="1:5" ht="15.75" customHeight="1">
      <c r="A137" s="15" t="str">
        <f t="shared" si="0"/>
        <v>GODF</v>
      </c>
      <c r="B137" s="15" t="s">
        <v>51</v>
      </c>
      <c r="C137" s="15" t="s">
        <v>1059</v>
      </c>
      <c r="D137" s="15">
        <v>7</v>
      </c>
      <c r="E137" s="15">
        <v>209</v>
      </c>
    </row>
    <row r="138" spans="1:5" ht="15.75" customHeight="1">
      <c r="A138" s="15" t="str">
        <f t="shared" si="0"/>
        <v>GOES</v>
      </c>
      <c r="B138" s="15" t="s">
        <v>51</v>
      </c>
      <c r="C138" s="15" t="s">
        <v>25</v>
      </c>
      <c r="D138" s="15">
        <v>8</v>
      </c>
      <c r="E138" s="15">
        <v>1428</v>
      </c>
    </row>
    <row r="139" spans="1:5" ht="15.75" customHeight="1">
      <c r="A139" s="15" t="str">
        <f t="shared" si="0"/>
        <v>GOGO</v>
      </c>
      <c r="B139" s="15" t="s">
        <v>51</v>
      </c>
      <c r="C139" s="15" t="s">
        <v>51</v>
      </c>
      <c r="D139" s="15">
        <v>9</v>
      </c>
      <c r="E139" s="15">
        <v>0</v>
      </c>
    </row>
    <row r="140" spans="1:5" ht="15.75" customHeight="1">
      <c r="A140" s="15" t="str">
        <f t="shared" si="0"/>
        <v>GOMA</v>
      </c>
      <c r="B140" s="15" t="s">
        <v>51</v>
      </c>
      <c r="C140" s="15" t="s">
        <v>1057</v>
      </c>
      <c r="D140" s="15">
        <v>10</v>
      </c>
      <c r="E140" s="15">
        <v>2054</v>
      </c>
    </row>
    <row r="141" spans="1:5" ht="15.75" customHeight="1">
      <c r="A141" s="15" t="str">
        <f t="shared" si="0"/>
        <v>GOMT</v>
      </c>
      <c r="B141" s="15" t="s">
        <v>51</v>
      </c>
      <c r="C141" s="15" t="s">
        <v>1052</v>
      </c>
      <c r="D141" s="15">
        <v>13</v>
      </c>
      <c r="E141" s="15">
        <v>934</v>
      </c>
    </row>
    <row r="142" spans="1:5" ht="15.75" customHeight="1">
      <c r="A142" s="15" t="str">
        <f t="shared" si="0"/>
        <v>GOMS</v>
      </c>
      <c r="B142" s="15" t="s">
        <v>51</v>
      </c>
      <c r="C142" s="15" t="s">
        <v>1053</v>
      </c>
      <c r="D142" s="15">
        <v>12</v>
      </c>
      <c r="E142" s="15">
        <v>935</v>
      </c>
    </row>
    <row r="143" spans="1:5" ht="15.75" customHeight="1">
      <c r="A143" s="15" t="str">
        <f t="shared" si="0"/>
        <v>GOMG</v>
      </c>
      <c r="B143" s="15" t="s">
        <v>51</v>
      </c>
      <c r="C143" s="15" t="s">
        <v>24</v>
      </c>
      <c r="D143" s="15">
        <v>11</v>
      </c>
      <c r="E143" s="15">
        <v>906</v>
      </c>
    </row>
    <row r="144" spans="1:5" ht="15.75" customHeight="1">
      <c r="A144" s="15" t="str">
        <f t="shared" si="0"/>
        <v>GOPA</v>
      </c>
      <c r="B144" s="15" t="s">
        <v>51</v>
      </c>
      <c r="C144" s="15" t="s">
        <v>1054</v>
      </c>
      <c r="D144" s="15">
        <v>14</v>
      </c>
      <c r="E144" s="15">
        <v>2017</v>
      </c>
    </row>
    <row r="145" spans="1:5" ht="15.75" customHeight="1">
      <c r="A145" s="15" t="str">
        <f t="shared" si="0"/>
        <v>GOPB</v>
      </c>
      <c r="B145" s="15" t="s">
        <v>51</v>
      </c>
      <c r="C145" s="15" t="s">
        <v>1055</v>
      </c>
      <c r="D145" s="15">
        <v>15</v>
      </c>
      <c r="E145" s="15">
        <v>2442</v>
      </c>
    </row>
    <row r="146" spans="1:5" ht="15.75" customHeight="1">
      <c r="A146" s="15" t="str">
        <f t="shared" si="0"/>
        <v>GOPR</v>
      </c>
      <c r="B146" s="15" t="s">
        <v>51</v>
      </c>
      <c r="C146" s="15" t="s">
        <v>28</v>
      </c>
      <c r="D146" s="15">
        <v>18</v>
      </c>
      <c r="E146" s="15">
        <v>1186</v>
      </c>
    </row>
    <row r="147" spans="1:5" ht="15.75" customHeight="1">
      <c r="A147" s="15" t="str">
        <f t="shared" si="0"/>
        <v>GOPE</v>
      </c>
      <c r="B147" s="15" t="s">
        <v>51</v>
      </c>
      <c r="C147" s="15" t="s">
        <v>1061</v>
      </c>
      <c r="D147" s="15">
        <v>16</v>
      </c>
      <c r="E147" s="15">
        <v>2332</v>
      </c>
    </row>
    <row r="148" spans="1:5" ht="15.75" customHeight="1">
      <c r="A148" s="15" t="str">
        <f t="shared" si="0"/>
        <v>GOPI</v>
      </c>
      <c r="B148" s="15" t="s">
        <v>51</v>
      </c>
      <c r="C148" s="15" t="s">
        <v>1062</v>
      </c>
      <c r="D148" s="15">
        <v>17</v>
      </c>
      <c r="E148" s="15">
        <v>1986</v>
      </c>
    </row>
    <row r="149" spans="1:5" ht="15.75" customHeight="1">
      <c r="A149" s="15" t="str">
        <f t="shared" si="0"/>
        <v>GORJ</v>
      </c>
      <c r="B149" s="15" t="s">
        <v>51</v>
      </c>
      <c r="C149" s="15" t="s">
        <v>27</v>
      </c>
      <c r="D149" s="15">
        <v>19</v>
      </c>
      <c r="E149" s="15">
        <v>1338</v>
      </c>
    </row>
    <row r="150" spans="1:5" ht="15.75" customHeight="1">
      <c r="A150" s="15" t="str">
        <f t="shared" si="0"/>
        <v>GORN</v>
      </c>
      <c r="B150" s="15" t="s">
        <v>51</v>
      </c>
      <c r="C150" s="15" t="s">
        <v>732</v>
      </c>
      <c r="D150" s="15">
        <v>20</v>
      </c>
      <c r="E150" s="15">
        <v>2619</v>
      </c>
    </row>
    <row r="151" spans="1:5" ht="15.75" customHeight="1">
      <c r="A151" s="15" t="str">
        <f t="shared" si="0"/>
        <v>GORS</v>
      </c>
      <c r="B151" s="15" t="s">
        <v>51</v>
      </c>
      <c r="C151" s="15" t="s">
        <v>736</v>
      </c>
      <c r="D151" s="15">
        <v>23</v>
      </c>
      <c r="E151" s="15">
        <v>1847</v>
      </c>
    </row>
    <row r="152" spans="1:5" ht="15.75" customHeight="1">
      <c r="A152" s="15" t="str">
        <f t="shared" si="0"/>
        <v>GORO</v>
      </c>
      <c r="B152" s="15" t="s">
        <v>51</v>
      </c>
      <c r="C152" s="15" t="s">
        <v>733</v>
      </c>
      <c r="D152" s="15">
        <v>21</v>
      </c>
      <c r="E152" s="15">
        <v>2390</v>
      </c>
    </row>
    <row r="153" spans="1:5" ht="15.75" customHeight="1">
      <c r="A153" s="15" t="str">
        <f t="shared" si="0"/>
        <v>GORR</v>
      </c>
      <c r="B153" s="15" t="s">
        <v>51</v>
      </c>
      <c r="C153" s="15" t="s">
        <v>1063</v>
      </c>
      <c r="D153" s="15">
        <v>22</v>
      </c>
      <c r="E153" s="15">
        <v>4076</v>
      </c>
    </row>
    <row r="154" spans="1:5" ht="15.75" customHeight="1">
      <c r="A154" s="15" t="str">
        <f t="shared" si="0"/>
        <v>GOSC</v>
      </c>
      <c r="B154" s="15" t="s">
        <v>51</v>
      </c>
      <c r="C154" s="15" t="s">
        <v>26</v>
      </c>
      <c r="D154" s="15">
        <v>24</v>
      </c>
      <c r="E154" s="15">
        <v>1493</v>
      </c>
    </row>
    <row r="155" spans="1:5" ht="15.75" customHeight="1">
      <c r="A155" s="15" t="str">
        <f t="shared" si="0"/>
        <v>GOSP</v>
      </c>
      <c r="B155" s="15" t="s">
        <v>51</v>
      </c>
      <c r="C155" s="15" t="s">
        <v>23</v>
      </c>
      <c r="D155" s="15">
        <v>26</v>
      </c>
      <c r="E155" s="15">
        <v>926</v>
      </c>
    </row>
    <row r="156" spans="1:5" ht="15.75" customHeight="1">
      <c r="A156" s="15" t="str">
        <f t="shared" si="0"/>
        <v>GOSE</v>
      </c>
      <c r="B156" s="15" t="s">
        <v>51</v>
      </c>
      <c r="C156" s="15" t="s">
        <v>1060</v>
      </c>
      <c r="D156" s="15">
        <v>25</v>
      </c>
      <c r="E156" s="15">
        <v>322</v>
      </c>
    </row>
    <row r="157" spans="1:5" ht="15.75" customHeight="1">
      <c r="A157" s="15" t="str">
        <f t="shared" si="0"/>
        <v>GOTO</v>
      </c>
      <c r="B157" s="15" t="s">
        <v>51</v>
      </c>
      <c r="C157" s="15" t="s">
        <v>1064</v>
      </c>
      <c r="D157" s="15">
        <v>27</v>
      </c>
      <c r="E157" s="15">
        <v>874</v>
      </c>
    </row>
    <row r="158" spans="1:5" ht="15.75" customHeight="1">
      <c r="A158" s="15" t="str">
        <f t="shared" si="0"/>
        <v>MAAC</v>
      </c>
      <c r="B158" s="15" t="s">
        <v>1057</v>
      </c>
      <c r="C158" s="15" t="s">
        <v>1051</v>
      </c>
      <c r="D158" s="15">
        <v>1</v>
      </c>
      <c r="E158" s="15">
        <v>4968</v>
      </c>
    </row>
    <row r="159" spans="1:5" ht="15.75" customHeight="1">
      <c r="A159" s="15" t="str">
        <f t="shared" si="0"/>
        <v>MAAL</v>
      </c>
      <c r="B159" s="15" t="s">
        <v>1057</v>
      </c>
      <c r="C159" s="15" t="s">
        <v>1056</v>
      </c>
      <c r="D159" s="15">
        <v>2</v>
      </c>
      <c r="E159" s="15">
        <v>1672</v>
      </c>
    </row>
    <row r="160" spans="1:5" ht="15.75" customHeight="1">
      <c r="A160" s="15" t="str">
        <f t="shared" si="0"/>
        <v>MAAP</v>
      </c>
      <c r="B160" s="15" t="s">
        <v>1057</v>
      </c>
      <c r="C160" s="15" t="s">
        <v>1058</v>
      </c>
      <c r="D160" s="15">
        <v>4</v>
      </c>
      <c r="E160" s="15">
        <v>4968</v>
      </c>
    </row>
    <row r="161" spans="1:5" ht="15.75" customHeight="1">
      <c r="A161" s="15" t="str">
        <f t="shared" si="0"/>
        <v>MAAM</v>
      </c>
      <c r="B161" s="15" t="s">
        <v>1057</v>
      </c>
      <c r="C161" s="15" t="s">
        <v>29</v>
      </c>
      <c r="D161" s="15">
        <v>3</v>
      </c>
      <c r="E161" s="15">
        <v>5335</v>
      </c>
    </row>
    <row r="162" spans="1:5" ht="15.75" customHeight="1">
      <c r="A162" s="15" t="str">
        <f t="shared" si="0"/>
        <v>MABA</v>
      </c>
      <c r="B162" s="15" t="s">
        <v>1057</v>
      </c>
      <c r="C162" s="15" t="s">
        <v>34</v>
      </c>
      <c r="D162" s="15">
        <v>5</v>
      </c>
      <c r="E162" s="15">
        <v>1599</v>
      </c>
    </row>
    <row r="163" spans="1:5" ht="15.75" customHeight="1">
      <c r="A163" s="15" t="str">
        <f t="shared" si="0"/>
        <v>MACE</v>
      </c>
      <c r="B163" s="15" t="s">
        <v>1057</v>
      </c>
      <c r="C163" s="15" t="s">
        <v>41</v>
      </c>
      <c r="D163" s="15">
        <v>6</v>
      </c>
      <c r="E163" s="15">
        <v>1070</v>
      </c>
    </row>
    <row r="164" spans="1:5" ht="15.75" customHeight="1">
      <c r="A164" s="15" t="str">
        <f t="shared" si="0"/>
        <v>MADF</v>
      </c>
      <c r="B164" s="15" t="s">
        <v>1057</v>
      </c>
      <c r="C164" s="15" t="s">
        <v>1059</v>
      </c>
      <c r="D164" s="15">
        <v>7</v>
      </c>
      <c r="E164" s="15">
        <v>2157</v>
      </c>
    </row>
    <row r="165" spans="1:5" ht="15.75" customHeight="1">
      <c r="A165" s="15" t="str">
        <f t="shared" si="0"/>
        <v>MAES</v>
      </c>
      <c r="B165" s="15" t="s">
        <v>1057</v>
      </c>
      <c r="C165" s="15" t="s">
        <v>25</v>
      </c>
      <c r="D165" s="15">
        <v>8</v>
      </c>
      <c r="E165" s="15">
        <v>2607</v>
      </c>
    </row>
    <row r="166" spans="1:5" ht="15.75" customHeight="1">
      <c r="A166" s="15" t="str">
        <f t="shared" si="0"/>
        <v>MAGO</v>
      </c>
      <c r="B166" s="15" t="s">
        <v>1057</v>
      </c>
      <c r="C166" s="15" t="s">
        <v>51</v>
      </c>
      <c r="D166" s="15">
        <v>9</v>
      </c>
      <c r="E166" s="15">
        <v>2054</v>
      </c>
    </row>
    <row r="167" spans="1:5" ht="15.75" customHeight="1">
      <c r="A167" s="15" t="str">
        <f t="shared" si="0"/>
        <v>MAMA</v>
      </c>
      <c r="B167" s="15" t="s">
        <v>1057</v>
      </c>
      <c r="C167" s="15" t="s">
        <v>1057</v>
      </c>
      <c r="D167" s="15">
        <v>10</v>
      </c>
      <c r="E167" s="15">
        <v>0</v>
      </c>
    </row>
    <row r="168" spans="1:5" ht="15.75" customHeight="1">
      <c r="A168" s="15" t="str">
        <f t="shared" si="0"/>
        <v>MAMT</v>
      </c>
      <c r="B168" s="15" t="s">
        <v>1057</v>
      </c>
      <c r="C168" s="15" t="s">
        <v>1052</v>
      </c>
      <c r="D168" s="15">
        <v>13</v>
      </c>
      <c r="E168" s="15">
        <v>2978</v>
      </c>
    </row>
    <row r="169" spans="1:5" ht="15.75" customHeight="1">
      <c r="A169" s="15" t="str">
        <f t="shared" si="0"/>
        <v>MAMS</v>
      </c>
      <c r="B169" s="15" t="s">
        <v>1057</v>
      </c>
      <c r="C169" s="15" t="s">
        <v>1053</v>
      </c>
      <c r="D169" s="15">
        <v>12</v>
      </c>
      <c r="E169" s="15">
        <v>2979</v>
      </c>
    </row>
    <row r="170" spans="1:5" ht="15.75" customHeight="1">
      <c r="A170" s="15" t="str">
        <f t="shared" si="0"/>
        <v>MAMG</v>
      </c>
      <c r="B170" s="15" t="s">
        <v>1057</v>
      </c>
      <c r="C170" s="15" t="s">
        <v>24</v>
      </c>
      <c r="D170" s="15">
        <v>11</v>
      </c>
      <c r="E170" s="15">
        <v>2738</v>
      </c>
    </row>
    <row r="171" spans="1:5" ht="15.75" customHeight="1">
      <c r="A171" s="15" t="str">
        <f t="shared" si="0"/>
        <v>MAPA</v>
      </c>
      <c r="B171" s="15" t="s">
        <v>1057</v>
      </c>
      <c r="C171" s="15" t="s">
        <v>1054</v>
      </c>
      <c r="D171" s="15">
        <v>14</v>
      </c>
      <c r="E171" s="15">
        <v>806</v>
      </c>
    </row>
    <row r="172" spans="1:5" ht="15.75" customHeight="1">
      <c r="A172" s="15" t="str">
        <f t="shared" si="0"/>
        <v>MAPB</v>
      </c>
      <c r="B172" s="15" t="s">
        <v>1057</v>
      </c>
      <c r="C172" s="15" t="s">
        <v>1055</v>
      </c>
      <c r="D172" s="15">
        <v>15</v>
      </c>
      <c r="E172" s="15">
        <v>1660</v>
      </c>
    </row>
    <row r="173" spans="1:5" ht="15.75" customHeight="1">
      <c r="A173" s="15" t="str">
        <f t="shared" si="0"/>
        <v>MAPR</v>
      </c>
      <c r="B173" s="15" t="s">
        <v>1057</v>
      </c>
      <c r="C173" s="15" t="s">
        <v>28</v>
      </c>
      <c r="D173" s="15">
        <v>18</v>
      </c>
      <c r="E173" s="15">
        <v>3230</v>
      </c>
    </row>
    <row r="174" spans="1:5" ht="15.75" customHeight="1">
      <c r="A174" s="15" t="str">
        <f t="shared" si="0"/>
        <v>MAPE</v>
      </c>
      <c r="B174" s="15" t="s">
        <v>1057</v>
      </c>
      <c r="C174" s="15" t="s">
        <v>1061</v>
      </c>
      <c r="D174" s="15">
        <v>16</v>
      </c>
      <c r="E174" s="15">
        <v>1573</v>
      </c>
    </row>
    <row r="175" spans="1:5" ht="15.75" customHeight="1">
      <c r="A175" s="15" t="str">
        <f t="shared" si="0"/>
        <v>MAPI</v>
      </c>
      <c r="B175" s="15" t="s">
        <v>1057</v>
      </c>
      <c r="C175" s="15" t="s">
        <v>1062</v>
      </c>
      <c r="D175" s="15">
        <v>17</v>
      </c>
      <c r="E175" s="15">
        <v>446</v>
      </c>
    </row>
    <row r="176" spans="1:5" ht="15.75" customHeight="1">
      <c r="A176" s="15" t="str">
        <f t="shared" si="0"/>
        <v>MARJ</v>
      </c>
      <c r="B176" s="15" t="s">
        <v>1057</v>
      </c>
      <c r="C176" s="15" t="s">
        <v>27</v>
      </c>
      <c r="D176" s="15">
        <v>19</v>
      </c>
      <c r="E176" s="15">
        <v>3015</v>
      </c>
    </row>
    <row r="177" spans="1:5" ht="15.75" customHeight="1">
      <c r="A177" s="15" t="str">
        <f t="shared" si="0"/>
        <v>MARN</v>
      </c>
      <c r="B177" s="15" t="s">
        <v>1057</v>
      </c>
      <c r="C177" s="15" t="s">
        <v>732</v>
      </c>
      <c r="D177" s="15">
        <v>20</v>
      </c>
      <c r="E177" s="15">
        <v>1607</v>
      </c>
    </row>
    <row r="178" spans="1:5" ht="15.75" customHeight="1">
      <c r="A178" s="15" t="str">
        <f t="shared" si="0"/>
        <v>MARS</v>
      </c>
      <c r="B178" s="15" t="s">
        <v>1057</v>
      </c>
      <c r="C178" s="15" t="s">
        <v>736</v>
      </c>
      <c r="D178" s="15">
        <v>23</v>
      </c>
      <c r="E178" s="15">
        <v>3891</v>
      </c>
    </row>
    <row r="179" spans="1:5" ht="15.75" customHeight="1">
      <c r="A179" s="15" t="str">
        <f t="shared" si="0"/>
        <v>MARO</v>
      </c>
      <c r="B179" s="15" t="s">
        <v>1057</v>
      </c>
      <c r="C179" s="15" t="s">
        <v>733</v>
      </c>
      <c r="D179" s="15">
        <v>21</v>
      </c>
      <c r="E179" s="15">
        <v>4434</v>
      </c>
    </row>
    <row r="180" spans="1:5" ht="15.75" customHeight="1">
      <c r="A180" s="15" t="str">
        <f t="shared" si="0"/>
        <v>MARR</v>
      </c>
      <c r="B180" s="15" t="s">
        <v>1057</v>
      </c>
      <c r="C180" s="15" t="s">
        <v>1063</v>
      </c>
      <c r="D180" s="15">
        <v>22</v>
      </c>
      <c r="E180" s="15">
        <v>6120</v>
      </c>
    </row>
    <row r="181" spans="1:5" ht="15.75" customHeight="1">
      <c r="A181" s="15" t="str">
        <f t="shared" si="0"/>
        <v>MASC</v>
      </c>
      <c r="B181" s="15" t="s">
        <v>1057</v>
      </c>
      <c r="C181" s="15" t="s">
        <v>26</v>
      </c>
      <c r="D181" s="15">
        <v>24</v>
      </c>
      <c r="E181" s="15">
        <v>3537</v>
      </c>
    </row>
    <row r="182" spans="1:5" ht="15.75" customHeight="1">
      <c r="A182" s="15" t="str">
        <f t="shared" si="0"/>
        <v>MASP</v>
      </c>
      <c r="B182" s="15" t="s">
        <v>1057</v>
      </c>
      <c r="C182" s="15" t="s">
        <v>23</v>
      </c>
      <c r="D182" s="15">
        <v>26</v>
      </c>
      <c r="E182" s="15">
        <v>2970</v>
      </c>
    </row>
    <row r="183" spans="1:5" ht="15.75" customHeight="1">
      <c r="A183" s="15" t="str">
        <f t="shared" si="0"/>
        <v>MASE</v>
      </c>
      <c r="B183" s="15" t="s">
        <v>1057</v>
      </c>
      <c r="C183" s="15" t="s">
        <v>1060</v>
      </c>
      <c r="D183" s="15">
        <v>25</v>
      </c>
      <c r="E183" s="15">
        <v>3559</v>
      </c>
    </row>
    <row r="184" spans="1:5" ht="15.75" customHeight="1">
      <c r="A184" s="15" t="str">
        <f t="shared" si="0"/>
        <v>MATO</v>
      </c>
      <c r="B184" s="15" t="s">
        <v>1057</v>
      </c>
      <c r="C184" s="15" t="s">
        <v>1064</v>
      </c>
      <c r="D184" s="15">
        <v>27</v>
      </c>
      <c r="E184" s="15">
        <v>1386</v>
      </c>
    </row>
    <row r="185" spans="1:5" ht="15.75" customHeight="1">
      <c r="A185" s="15" t="str">
        <f t="shared" si="0"/>
        <v>MTAC</v>
      </c>
      <c r="B185" s="15" t="s">
        <v>1052</v>
      </c>
      <c r="C185" s="15" t="s">
        <v>1051</v>
      </c>
      <c r="D185" s="15">
        <v>1</v>
      </c>
      <c r="E185" s="15">
        <v>1990</v>
      </c>
    </row>
    <row r="186" spans="1:5" ht="15.75" customHeight="1">
      <c r="A186" s="15" t="str">
        <f t="shared" si="0"/>
        <v>MTAL</v>
      </c>
      <c r="B186" s="15" t="s">
        <v>1052</v>
      </c>
      <c r="C186" s="15" t="s">
        <v>1056</v>
      </c>
      <c r="D186" s="15">
        <v>2</v>
      </c>
      <c r="E186" s="15">
        <v>3049</v>
      </c>
    </row>
    <row r="187" spans="1:5" ht="15.75" customHeight="1">
      <c r="A187" s="15" t="str">
        <f t="shared" si="0"/>
        <v>MTAP</v>
      </c>
      <c r="B187" s="15" t="s">
        <v>1052</v>
      </c>
      <c r="C187" s="15" t="s">
        <v>1058</v>
      </c>
      <c r="D187" s="15">
        <v>4</v>
      </c>
      <c r="E187" s="15">
        <v>1990</v>
      </c>
    </row>
    <row r="188" spans="1:5" ht="15.75" customHeight="1">
      <c r="A188" s="15" t="str">
        <f t="shared" si="0"/>
        <v>MTAM</v>
      </c>
      <c r="B188" s="15" t="s">
        <v>1052</v>
      </c>
      <c r="C188" s="15" t="s">
        <v>29</v>
      </c>
      <c r="D188" s="15">
        <v>3</v>
      </c>
      <c r="E188" s="15">
        <v>2357</v>
      </c>
    </row>
    <row r="189" spans="1:5" ht="15.75" customHeight="1">
      <c r="A189" s="15" t="str">
        <f t="shared" si="0"/>
        <v>MTBA</v>
      </c>
      <c r="B189" s="15" t="s">
        <v>1052</v>
      </c>
      <c r="C189" s="15" t="s">
        <v>34</v>
      </c>
      <c r="D189" s="15">
        <v>5</v>
      </c>
      <c r="E189" s="15">
        <v>2567</v>
      </c>
    </row>
    <row r="190" spans="1:5" ht="15.75" customHeight="1">
      <c r="A190" s="15" t="str">
        <f t="shared" si="0"/>
        <v>MTCE</v>
      </c>
      <c r="B190" s="15" t="s">
        <v>1052</v>
      </c>
      <c r="C190" s="15" t="s">
        <v>41</v>
      </c>
      <c r="D190" s="15">
        <v>6</v>
      </c>
      <c r="E190" s="15">
        <v>3406</v>
      </c>
    </row>
    <row r="191" spans="1:5" ht="15.75" customHeight="1">
      <c r="A191" s="15" t="str">
        <f t="shared" si="0"/>
        <v>MTDF</v>
      </c>
      <c r="B191" s="15" t="s">
        <v>1052</v>
      </c>
      <c r="C191" s="15" t="s">
        <v>1059</v>
      </c>
      <c r="D191" s="15">
        <v>7</v>
      </c>
      <c r="E191" s="15">
        <v>1133</v>
      </c>
    </row>
    <row r="192" spans="1:5" ht="15.75" customHeight="1">
      <c r="A192" s="15" t="str">
        <f t="shared" si="0"/>
        <v>MTES</v>
      </c>
      <c r="B192" s="15" t="s">
        <v>1052</v>
      </c>
      <c r="C192" s="15" t="s">
        <v>25</v>
      </c>
      <c r="D192" s="15">
        <v>8</v>
      </c>
      <c r="E192" s="15">
        <v>2119</v>
      </c>
    </row>
    <row r="193" spans="1:5" ht="15.75" customHeight="1">
      <c r="A193" s="15" t="str">
        <f t="shared" si="0"/>
        <v>MTGO</v>
      </c>
      <c r="B193" s="15" t="s">
        <v>1052</v>
      </c>
      <c r="C193" s="15" t="s">
        <v>51</v>
      </c>
      <c r="D193" s="15">
        <v>9</v>
      </c>
      <c r="E193" s="15">
        <v>934</v>
      </c>
    </row>
    <row r="194" spans="1:5" ht="15.75" customHeight="1">
      <c r="A194" s="15" t="str">
        <f t="shared" si="0"/>
        <v>MTMA</v>
      </c>
      <c r="B194" s="15" t="s">
        <v>1052</v>
      </c>
      <c r="C194" s="15" t="s">
        <v>1057</v>
      </c>
      <c r="D194" s="15">
        <v>10</v>
      </c>
      <c r="E194" s="15">
        <v>2978</v>
      </c>
    </row>
    <row r="195" spans="1:5" ht="15.75" customHeight="1">
      <c r="A195" s="15" t="str">
        <f t="shared" si="0"/>
        <v>MTMT</v>
      </c>
      <c r="B195" s="15" t="s">
        <v>1052</v>
      </c>
      <c r="C195" s="15" t="s">
        <v>1052</v>
      </c>
      <c r="D195" s="15">
        <v>13</v>
      </c>
      <c r="E195" s="15">
        <v>0</v>
      </c>
    </row>
    <row r="196" spans="1:5" ht="15.75" customHeight="1">
      <c r="A196" s="15" t="str">
        <f t="shared" si="0"/>
        <v>MTMS</v>
      </c>
      <c r="B196" s="15" t="s">
        <v>1052</v>
      </c>
      <c r="C196" s="15" t="s">
        <v>1053</v>
      </c>
      <c r="D196" s="15">
        <v>12</v>
      </c>
      <c r="E196" s="15">
        <v>694</v>
      </c>
    </row>
    <row r="197" spans="1:5" ht="15.75" customHeight="1">
      <c r="A197" s="15" t="str">
        <f t="shared" si="0"/>
        <v>MTMG</v>
      </c>
      <c r="B197" s="15" t="s">
        <v>1052</v>
      </c>
      <c r="C197" s="15" t="s">
        <v>24</v>
      </c>
      <c r="D197" s="15">
        <v>11</v>
      </c>
      <c r="E197" s="15">
        <v>1594</v>
      </c>
    </row>
    <row r="198" spans="1:5" ht="15.75" customHeight="1">
      <c r="A198" s="15" t="str">
        <f t="shared" si="0"/>
        <v>MTPA</v>
      </c>
      <c r="B198" s="15" t="s">
        <v>1052</v>
      </c>
      <c r="C198" s="15" t="s">
        <v>1054</v>
      </c>
      <c r="D198" s="15">
        <v>14</v>
      </c>
      <c r="E198" s="15">
        <v>2941</v>
      </c>
    </row>
    <row r="199" spans="1:5" ht="15.75" customHeight="1">
      <c r="A199" s="15" t="str">
        <f t="shared" si="0"/>
        <v>MTPB</v>
      </c>
      <c r="B199" s="15" t="s">
        <v>1052</v>
      </c>
      <c r="C199" s="15" t="s">
        <v>1055</v>
      </c>
      <c r="D199" s="15">
        <v>15</v>
      </c>
      <c r="E199" s="15">
        <v>3366</v>
      </c>
    </row>
    <row r="200" spans="1:5" ht="15.75" customHeight="1">
      <c r="A200" s="15" t="str">
        <f t="shared" si="0"/>
        <v>MTPR</v>
      </c>
      <c r="B200" s="15" t="s">
        <v>1052</v>
      </c>
      <c r="C200" s="15" t="s">
        <v>28</v>
      </c>
      <c r="D200" s="15">
        <v>18</v>
      </c>
      <c r="E200" s="15">
        <v>1679</v>
      </c>
    </row>
    <row r="201" spans="1:5" ht="15.75" customHeight="1">
      <c r="A201" s="15" t="str">
        <f t="shared" si="0"/>
        <v>MTPE</v>
      </c>
      <c r="B201" s="15" t="s">
        <v>1052</v>
      </c>
      <c r="C201" s="15" t="s">
        <v>1061</v>
      </c>
      <c r="D201" s="15">
        <v>16</v>
      </c>
      <c r="E201" s="15">
        <v>3256</v>
      </c>
    </row>
    <row r="202" spans="1:5" ht="15.75" customHeight="1">
      <c r="A202" s="15" t="str">
        <f t="shared" si="0"/>
        <v>MTPI</v>
      </c>
      <c r="B202" s="15" t="s">
        <v>1052</v>
      </c>
      <c r="C202" s="15" t="s">
        <v>1062</v>
      </c>
      <c r="D202" s="15">
        <v>17</v>
      </c>
      <c r="E202" s="15">
        <v>2910</v>
      </c>
    </row>
    <row r="203" spans="1:5" ht="15.75" customHeight="1">
      <c r="A203" s="15" t="str">
        <f t="shared" si="0"/>
        <v>MTRJ</v>
      </c>
      <c r="B203" s="15" t="s">
        <v>1052</v>
      </c>
      <c r="C203" s="15" t="s">
        <v>27</v>
      </c>
      <c r="D203" s="15">
        <v>19</v>
      </c>
      <c r="E203" s="15">
        <v>2017</v>
      </c>
    </row>
    <row r="204" spans="1:5" ht="15.75" customHeight="1">
      <c r="A204" s="15" t="str">
        <f t="shared" si="0"/>
        <v>MTRN</v>
      </c>
      <c r="B204" s="15" t="s">
        <v>1052</v>
      </c>
      <c r="C204" s="15" t="s">
        <v>732</v>
      </c>
      <c r="D204" s="15">
        <v>20</v>
      </c>
      <c r="E204" s="15">
        <v>3543</v>
      </c>
    </row>
    <row r="205" spans="1:5" ht="15.75" customHeight="1">
      <c r="A205" s="15" t="str">
        <f t="shared" si="0"/>
        <v>MTRS</v>
      </c>
      <c r="B205" s="15" t="s">
        <v>1052</v>
      </c>
      <c r="C205" s="15" t="s">
        <v>736</v>
      </c>
      <c r="D205" s="15">
        <v>23</v>
      </c>
      <c r="E205" s="15">
        <v>2206</v>
      </c>
    </row>
    <row r="206" spans="1:5" ht="15.75" customHeight="1">
      <c r="A206" s="15" t="str">
        <f t="shared" si="0"/>
        <v>MTRO</v>
      </c>
      <c r="B206" s="15" t="s">
        <v>1052</v>
      </c>
      <c r="C206" s="15" t="s">
        <v>733</v>
      </c>
      <c r="D206" s="15">
        <v>21</v>
      </c>
      <c r="E206" s="15">
        <v>1456</v>
      </c>
    </row>
    <row r="207" spans="1:5" ht="15.75" customHeight="1">
      <c r="A207" s="15" t="str">
        <f t="shared" si="0"/>
        <v>MTRR</v>
      </c>
      <c r="B207" s="15" t="s">
        <v>1052</v>
      </c>
      <c r="C207" s="15" t="s">
        <v>1063</v>
      </c>
      <c r="D207" s="15">
        <v>22</v>
      </c>
      <c r="E207" s="15">
        <v>3142</v>
      </c>
    </row>
    <row r="208" spans="1:5" ht="15.75" customHeight="1">
      <c r="A208" s="15" t="str">
        <f t="shared" si="0"/>
        <v>MTSC</v>
      </c>
      <c r="B208" s="15" t="s">
        <v>1052</v>
      </c>
      <c r="C208" s="15" t="s">
        <v>26</v>
      </c>
      <c r="D208" s="15">
        <v>24</v>
      </c>
      <c r="E208" s="15">
        <v>1986</v>
      </c>
    </row>
    <row r="209" spans="1:5" ht="15.75" customHeight="1">
      <c r="A209" s="15" t="str">
        <f t="shared" si="0"/>
        <v>MTSP</v>
      </c>
      <c r="B209" s="15" t="s">
        <v>1052</v>
      </c>
      <c r="C209" s="15" t="s">
        <v>23</v>
      </c>
      <c r="D209" s="15">
        <v>26</v>
      </c>
      <c r="E209" s="15">
        <v>1614</v>
      </c>
    </row>
    <row r="210" spans="1:5" ht="15.75" customHeight="1">
      <c r="A210" s="15" t="str">
        <f t="shared" si="0"/>
        <v>MTSE</v>
      </c>
      <c r="B210" s="15" t="s">
        <v>1052</v>
      </c>
      <c r="C210" s="15" t="s">
        <v>1060</v>
      </c>
      <c r="D210" s="15">
        <v>25</v>
      </c>
      <c r="E210" s="15">
        <v>2765</v>
      </c>
    </row>
    <row r="211" spans="1:5" ht="15.75" customHeight="1">
      <c r="A211" s="15" t="str">
        <f t="shared" si="0"/>
        <v>MTTO</v>
      </c>
      <c r="B211" s="15" t="s">
        <v>1052</v>
      </c>
      <c r="C211" s="15" t="s">
        <v>1064</v>
      </c>
      <c r="D211" s="15">
        <v>27</v>
      </c>
      <c r="E211" s="15">
        <v>1784</v>
      </c>
    </row>
    <row r="212" spans="1:5" ht="15.75" customHeight="1">
      <c r="A212" s="15" t="str">
        <f t="shared" si="0"/>
        <v>MSAC</v>
      </c>
      <c r="B212" s="15" t="s">
        <v>1053</v>
      </c>
      <c r="C212" s="15" t="s">
        <v>1051</v>
      </c>
      <c r="D212" s="15">
        <v>1</v>
      </c>
      <c r="E212" s="15">
        <v>2684</v>
      </c>
    </row>
    <row r="213" spans="1:5" ht="15.75" customHeight="1">
      <c r="A213" s="15" t="str">
        <f t="shared" si="0"/>
        <v>MSAL</v>
      </c>
      <c r="B213" s="15" t="s">
        <v>1053</v>
      </c>
      <c r="C213" s="15" t="s">
        <v>1056</v>
      </c>
      <c r="D213" s="15">
        <v>2</v>
      </c>
      <c r="E213" s="15">
        <v>3040</v>
      </c>
    </row>
    <row r="214" spans="1:5" ht="15.75" customHeight="1">
      <c r="A214" s="15" t="str">
        <f t="shared" si="0"/>
        <v>MSAP</v>
      </c>
      <c r="B214" s="15" t="s">
        <v>1053</v>
      </c>
      <c r="C214" s="15" t="s">
        <v>1058</v>
      </c>
      <c r="D214" s="15">
        <v>4</v>
      </c>
      <c r="E214" s="15">
        <v>2684</v>
      </c>
    </row>
    <row r="215" spans="1:5" ht="15.75" customHeight="1">
      <c r="A215" s="15" t="str">
        <f t="shared" si="0"/>
        <v>MSAM</v>
      </c>
      <c r="B215" s="15" t="s">
        <v>1053</v>
      </c>
      <c r="C215" s="15" t="s">
        <v>29</v>
      </c>
      <c r="D215" s="15">
        <v>3</v>
      </c>
      <c r="E215" s="15">
        <v>3051</v>
      </c>
    </row>
    <row r="216" spans="1:5" ht="15.75" customHeight="1">
      <c r="A216" s="15" t="str">
        <f t="shared" si="0"/>
        <v>MSBA</v>
      </c>
      <c r="B216" s="15" t="s">
        <v>1053</v>
      </c>
      <c r="C216" s="15" t="s">
        <v>34</v>
      </c>
      <c r="D216" s="15">
        <v>5</v>
      </c>
      <c r="E216" s="15">
        <v>2568</v>
      </c>
    </row>
    <row r="217" spans="1:5" ht="15.75" customHeight="1">
      <c r="A217" s="15" t="str">
        <f t="shared" si="0"/>
        <v>MSCE</v>
      </c>
      <c r="B217" s="15" t="s">
        <v>1053</v>
      </c>
      <c r="C217" s="15" t="s">
        <v>41</v>
      </c>
      <c r="D217" s="15">
        <v>6</v>
      </c>
      <c r="E217" s="15">
        <v>3407</v>
      </c>
    </row>
    <row r="218" spans="1:5" ht="15.75" customHeight="1">
      <c r="A218" s="15" t="str">
        <f t="shared" si="0"/>
        <v>MSDF</v>
      </c>
      <c r="B218" s="15" t="s">
        <v>1053</v>
      </c>
      <c r="C218" s="15" t="s">
        <v>1059</v>
      </c>
      <c r="D218" s="15">
        <v>7</v>
      </c>
      <c r="E218" s="15">
        <v>1134</v>
      </c>
    </row>
    <row r="219" spans="1:5" ht="15.75" customHeight="1">
      <c r="A219" s="15" t="str">
        <f t="shared" si="0"/>
        <v>MSES</v>
      </c>
      <c r="B219" s="15" t="s">
        <v>1053</v>
      </c>
      <c r="C219" s="15" t="s">
        <v>25</v>
      </c>
      <c r="D219" s="15">
        <v>8</v>
      </c>
      <c r="E219" s="15">
        <v>1892</v>
      </c>
    </row>
    <row r="220" spans="1:5" ht="15.75" customHeight="1">
      <c r="A220" s="15" t="str">
        <f t="shared" si="0"/>
        <v>MSGO</v>
      </c>
      <c r="B220" s="15" t="s">
        <v>1053</v>
      </c>
      <c r="C220" s="15" t="s">
        <v>51</v>
      </c>
      <c r="D220" s="15">
        <v>9</v>
      </c>
      <c r="E220" s="15">
        <v>935</v>
      </c>
    </row>
    <row r="221" spans="1:5" ht="15.75" customHeight="1">
      <c r="A221" s="15" t="str">
        <f t="shared" si="0"/>
        <v>MSMA</v>
      </c>
      <c r="B221" s="15" t="s">
        <v>1053</v>
      </c>
      <c r="C221" s="15" t="s">
        <v>1057</v>
      </c>
      <c r="D221" s="15">
        <v>10</v>
      </c>
      <c r="E221" s="15">
        <v>2979</v>
      </c>
    </row>
    <row r="222" spans="1:5" ht="15.75" customHeight="1">
      <c r="A222" s="15" t="str">
        <f t="shared" si="0"/>
        <v>MSMT</v>
      </c>
      <c r="B222" s="15" t="s">
        <v>1053</v>
      </c>
      <c r="C222" s="15" t="s">
        <v>1052</v>
      </c>
      <c r="D222" s="15">
        <v>13</v>
      </c>
      <c r="E222" s="15">
        <v>694</v>
      </c>
    </row>
    <row r="223" spans="1:5" ht="15.75" customHeight="1">
      <c r="A223" s="15" t="str">
        <f t="shared" si="0"/>
        <v>MSMS</v>
      </c>
      <c r="B223" s="15" t="s">
        <v>1053</v>
      </c>
      <c r="C223" s="15" t="s">
        <v>1053</v>
      </c>
      <c r="D223" s="15">
        <v>12</v>
      </c>
      <c r="E223" s="15">
        <v>0</v>
      </c>
    </row>
    <row r="224" spans="1:5" ht="15.75" customHeight="1">
      <c r="A224" s="15" t="str">
        <f t="shared" si="0"/>
        <v>MSMG</v>
      </c>
      <c r="B224" s="15" t="s">
        <v>1053</v>
      </c>
      <c r="C224" s="15" t="s">
        <v>24</v>
      </c>
      <c r="D224" s="15">
        <v>11</v>
      </c>
      <c r="E224" s="15">
        <v>1453</v>
      </c>
    </row>
    <row r="225" spans="1:5" ht="15.75" customHeight="1">
      <c r="A225" s="15" t="str">
        <f t="shared" si="0"/>
        <v>MSPA</v>
      </c>
      <c r="B225" s="15" t="s">
        <v>1053</v>
      </c>
      <c r="C225" s="15" t="s">
        <v>1054</v>
      </c>
      <c r="D225" s="15">
        <v>14</v>
      </c>
      <c r="E225" s="15">
        <v>2942</v>
      </c>
    </row>
    <row r="226" spans="1:5" ht="15.75" customHeight="1">
      <c r="A226" s="15" t="str">
        <f t="shared" si="0"/>
        <v>MSPB</v>
      </c>
      <c r="B226" s="15" t="s">
        <v>1053</v>
      </c>
      <c r="C226" s="15" t="s">
        <v>1055</v>
      </c>
      <c r="D226" s="15">
        <v>15</v>
      </c>
      <c r="E226" s="15">
        <v>3357</v>
      </c>
    </row>
    <row r="227" spans="1:5" ht="15.75" customHeight="1">
      <c r="A227" s="15" t="str">
        <f t="shared" si="0"/>
        <v>MSPR</v>
      </c>
      <c r="B227" s="15" t="s">
        <v>1053</v>
      </c>
      <c r="C227" s="15" t="s">
        <v>28</v>
      </c>
      <c r="D227" s="15">
        <v>18</v>
      </c>
      <c r="E227" s="15">
        <v>991</v>
      </c>
    </row>
    <row r="228" spans="1:5" ht="15.75" customHeight="1">
      <c r="A228" s="15" t="str">
        <f t="shared" si="0"/>
        <v>MSPE</v>
      </c>
      <c r="B228" s="15" t="s">
        <v>1053</v>
      </c>
      <c r="C228" s="15" t="s">
        <v>1061</v>
      </c>
      <c r="D228" s="15">
        <v>16</v>
      </c>
      <c r="E228" s="15">
        <v>3247</v>
      </c>
    </row>
    <row r="229" spans="1:5" ht="15.75" customHeight="1">
      <c r="A229" s="15" t="str">
        <f t="shared" si="0"/>
        <v>MSPI</v>
      </c>
      <c r="B229" s="15" t="s">
        <v>1053</v>
      </c>
      <c r="C229" s="15" t="s">
        <v>1062</v>
      </c>
      <c r="D229" s="15">
        <v>17</v>
      </c>
      <c r="E229" s="15">
        <v>2911</v>
      </c>
    </row>
    <row r="230" spans="1:5" ht="15.75" customHeight="1">
      <c r="A230" s="15" t="str">
        <f t="shared" si="0"/>
        <v>MSRJ</v>
      </c>
      <c r="B230" s="15" t="s">
        <v>1053</v>
      </c>
      <c r="C230" s="15" t="s">
        <v>27</v>
      </c>
      <c r="D230" s="15">
        <v>19</v>
      </c>
      <c r="E230" s="15">
        <v>1444</v>
      </c>
    </row>
    <row r="231" spans="1:5" ht="15.75" customHeight="1">
      <c r="A231" s="15" t="str">
        <f t="shared" si="0"/>
        <v>MSRN</v>
      </c>
      <c r="B231" s="15" t="s">
        <v>1053</v>
      </c>
      <c r="C231" s="15" t="s">
        <v>732</v>
      </c>
      <c r="D231" s="15">
        <v>20</v>
      </c>
      <c r="E231" s="15">
        <v>3537</v>
      </c>
    </row>
    <row r="232" spans="1:5" ht="15.75" customHeight="1">
      <c r="A232" s="15" t="str">
        <f t="shared" si="0"/>
        <v>MSRS</v>
      </c>
      <c r="B232" s="15" t="s">
        <v>1053</v>
      </c>
      <c r="C232" s="15" t="s">
        <v>736</v>
      </c>
      <c r="D232" s="15">
        <v>23</v>
      </c>
      <c r="E232" s="15">
        <v>1518</v>
      </c>
    </row>
    <row r="233" spans="1:5" ht="15.75" customHeight="1">
      <c r="A233" s="15" t="str">
        <f t="shared" si="0"/>
        <v>MSRO</v>
      </c>
      <c r="B233" s="15" t="s">
        <v>1053</v>
      </c>
      <c r="C233" s="15" t="s">
        <v>733</v>
      </c>
      <c r="D233" s="15">
        <v>21</v>
      </c>
      <c r="E233" s="15">
        <v>2150</v>
      </c>
    </row>
    <row r="234" spans="1:5" ht="15.75" customHeight="1">
      <c r="A234" s="15" t="str">
        <f t="shared" si="0"/>
        <v>MSRR</v>
      </c>
      <c r="B234" s="15" t="s">
        <v>1053</v>
      </c>
      <c r="C234" s="15" t="s">
        <v>1063</v>
      </c>
      <c r="D234" s="15">
        <v>22</v>
      </c>
      <c r="E234" s="15">
        <v>3836</v>
      </c>
    </row>
    <row r="235" spans="1:5" ht="15.75" customHeight="1">
      <c r="A235" s="15" t="str">
        <f t="shared" si="0"/>
        <v>MSSC</v>
      </c>
      <c r="B235" s="15" t="s">
        <v>1053</v>
      </c>
      <c r="C235" s="15" t="s">
        <v>26</v>
      </c>
      <c r="D235" s="15">
        <v>24</v>
      </c>
      <c r="E235" s="15">
        <v>1298</v>
      </c>
    </row>
    <row r="236" spans="1:5" ht="15.75" customHeight="1">
      <c r="A236" s="15" t="str">
        <f t="shared" si="0"/>
        <v>MSSP</v>
      </c>
      <c r="B236" s="15" t="s">
        <v>1053</v>
      </c>
      <c r="C236" s="15" t="s">
        <v>23</v>
      </c>
      <c r="D236" s="15">
        <v>26</v>
      </c>
      <c r="E236" s="15">
        <v>1014</v>
      </c>
    </row>
    <row r="237" spans="1:5" ht="15.75" customHeight="1">
      <c r="A237" s="15" t="str">
        <f t="shared" si="0"/>
        <v>MSSE</v>
      </c>
      <c r="B237" s="15" t="s">
        <v>1053</v>
      </c>
      <c r="C237" s="15" t="s">
        <v>1060</v>
      </c>
      <c r="D237" s="15">
        <v>25</v>
      </c>
      <c r="E237" s="15">
        <v>2182</v>
      </c>
    </row>
    <row r="238" spans="1:5" ht="15.75" customHeight="1">
      <c r="A238" s="15" t="str">
        <f t="shared" si="0"/>
        <v>MSTO</v>
      </c>
      <c r="B238" s="15" t="s">
        <v>1053</v>
      </c>
      <c r="C238" s="15" t="s">
        <v>1064</v>
      </c>
      <c r="D238" s="15">
        <v>27</v>
      </c>
      <c r="E238" s="15">
        <v>1785</v>
      </c>
    </row>
    <row r="239" spans="1:5" ht="15.75" customHeight="1">
      <c r="A239" s="15" t="str">
        <f t="shared" si="0"/>
        <v>MGAC</v>
      </c>
      <c r="B239" s="15" t="s">
        <v>24</v>
      </c>
      <c r="C239" s="15" t="s">
        <v>1051</v>
      </c>
      <c r="D239" s="15">
        <v>1</v>
      </c>
      <c r="E239" s="15">
        <v>3584</v>
      </c>
    </row>
    <row r="240" spans="1:5" ht="15.75" customHeight="1">
      <c r="A240" s="15" t="str">
        <f t="shared" si="0"/>
        <v>MGAL</v>
      </c>
      <c r="B240" s="15" t="s">
        <v>24</v>
      </c>
      <c r="C240" s="15" t="s">
        <v>1056</v>
      </c>
      <c r="D240" s="15">
        <v>2</v>
      </c>
      <c r="E240" s="15">
        <v>1854</v>
      </c>
    </row>
    <row r="241" spans="1:5" ht="15.75" customHeight="1">
      <c r="A241" s="15" t="str">
        <f t="shared" si="0"/>
        <v>MGAP</v>
      </c>
      <c r="B241" s="15" t="s">
        <v>24</v>
      </c>
      <c r="C241" s="15" t="s">
        <v>1058</v>
      </c>
      <c r="D241" s="15">
        <v>4</v>
      </c>
      <c r="E241" s="15">
        <v>3584</v>
      </c>
    </row>
    <row r="242" spans="1:5" ht="15.75" customHeight="1">
      <c r="A242" s="15" t="str">
        <f t="shared" si="0"/>
        <v>MGAM</v>
      </c>
      <c r="B242" s="15" t="s">
        <v>24</v>
      </c>
      <c r="C242" s="15" t="s">
        <v>29</v>
      </c>
      <c r="D242" s="15">
        <v>3</v>
      </c>
      <c r="E242" s="15">
        <v>3951</v>
      </c>
    </row>
    <row r="243" spans="1:5" ht="15.75" customHeight="1">
      <c r="A243" s="15" t="str">
        <f t="shared" si="0"/>
        <v>MGBA</v>
      </c>
      <c r="B243" s="15" t="s">
        <v>24</v>
      </c>
      <c r="C243" s="15" t="s">
        <v>34</v>
      </c>
      <c r="D243" s="15">
        <v>5</v>
      </c>
      <c r="E243" s="15">
        <v>1372</v>
      </c>
    </row>
    <row r="244" spans="1:5" ht="15.75" customHeight="1">
      <c r="A244" s="15" t="str">
        <f t="shared" si="0"/>
        <v>MGCE</v>
      </c>
      <c r="B244" s="15" t="s">
        <v>24</v>
      </c>
      <c r="C244" s="15" t="s">
        <v>41</v>
      </c>
      <c r="D244" s="15">
        <v>6</v>
      </c>
      <c r="E244" s="15">
        <v>2528</v>
      </c>
    </row>
    <row r="245" spans="1:5" ht="15.75" customHeight="1">
      <c r="A245" s="15" t="str">
        <f t="shared" si="0"/>
        <v>MGDF</v>
      </c>
      <c r="B245" s="15" t="s">
        <v>24</v>
      </c>
      <c r="C245" s="15" t="s">
        <v>1059</v>
      </c>
      <c r="D245" s="15">
        <v>7</v>
      </c>
      <c r="E245" s="15">
        <v>741</v>
      </c>
    </row>
    <row r="246" spans="1:5" ht="15.75" customHeight="1">
      <c r="A246" s="15" t="str">
        <f t="shared" si="0"/>
        <v>MGES</v>
      </c>
      <c r="B246" s="15" t="s">
        <v>24</v>
      </c>
      <c r="C246" s="15" t="s">
        <v>25</v>
      </c>
      <c r="D246" s="15">
        <v>8</v>
      </c>
      <c r="E246" s="15">
        <v>524</v>
      </c>
    </row>
    <row r="247" spans="1:5" ht="15.75" customHeight="1">
      <c r="A247" s="15" t="str">
        <f t="shared" si="0"/>
        <v>MGGO</v>
      </c>
      <c r="B247" s="15" t="s">
        <v>24</v>
      </c>
      <c r="C247" s="15" t="s">
        <v>51</v>
      </c>
      <c r="D247" s="15">
        <v>9</v>
      </c>
      <c r="E247" s="15">
        <v>906</v>
      </c>
    </row>
    <row r="248" spans="1:5" ht="15.75" customHeight="1">
      <c r="A248" s="15" t="str">
        <f t="shared" si="0"/>
        <v>MGMA</v>
      </c>
      <c r="B248" s="15" t="s">
        <v>24</v>
      </c>
      <c r="C248" s="15" t="s">
        <v>1057</v>
      </c>
      <c r="D248" s="15">
        <v>10</v>
      </c>
      <c r="E248" s="15">
        <v>2738</v>
      </c>
    </row>
    <row r="249" spans="1:5" ht="15.75" customHeight="1">
      <c r="A249" s="15" t="str">
        <f t="shared" si="0"/>
        <v>MGMT</v>
      </c>
      <c r="B249" s="15" t="s">
        <v>24</v>
      </c>
      <c r="C249" s="15" t="s">
        <v>1052</v>
      </c>
      <c r="D249" s="15">
        <v>13</v>
      </c>
      <c r="E249" s="15">
        <v>1594</v>
      </c>
    </row>
    <row r="250" spans="1:5" ht="15.75" customHeight="1">
      <c r="A250" s="15" t="str">
        <f t="shared" si="0"/>
        <v>MGMS</v>
      </c>
      <c r="B250" s="15" t="s">
        <v>24</v>
      </c>
      <c r="C250" s="15" t="s">
        <v>1053</v>
      </c>
      <c r="D250" s="15">
        <v>12</v>
      </c>
      <c r="E250" s="15">
        <v>1453</v>
      </c>
    </row>
    <row r="251" spans="1:5" ht="15.75" customHeight="1">
      <c r="A251" s="15" t="str">
        <f t="shared" si="0"/>
        <v>MGMG</v>
      </c>
      <c r="B251" s="15" t="s">
        <v>24</v>
      </c>
      <c r="C251" s="15" t="s">
        <v>24</v>
      </c>
      <c r="D251" s="15">
        <v>11</v>
      </c>
      <c r="E251" s="15">
        <v>0</v>
      </c>
    </row>
    <row r="252" spans="1:5" ht="15.75" customHeight="1">
      <c r="A252" s="15" t="str">
        <f t="shared" si="0"/>
        <v>MGPA</v>
      </c>
      <c r="B252" s="15" t="s">
        <v>24</v>
      </c>
      <c r="C252" s="15" t="s">
        <v>1054</v>
      </c>
      <c r="D252" s="15">
        <v>14</v>
      </c>
      <c r="E252" s="15">
        <v>2824</v>
      </c>
    </row>
    <row r="253" spans="1:5" ht="15.75" customHeight="1">
      <c r="A253" s="15" t="str">
        <f t="shared" si="0"/>
        <v>MGPB</v>
      </c>
      <c r="B253" s="15" t="s">
        <v>24</v>
      </c>
      <c r="C253" s="15" t="s">
        <v>1055</v>
      </c>
      <c r="D253" s="15">
        <v>15</v>
      </c>
      <c r="E253" s="15">
        <v>2171</v>
      </c>
    </row>
    <row r="254" spans="1:5" ht="15.75" customHeight="1">
      <c r="A254" s="15" t="str">
        <f t="shared" si="0"/>
        <v>MGPR</v>
      </c>
      <c r="B254" s="15" t="s">
        <v>24</v>
      </c>
      <c r="C254" s="15" t="s">
        <v>28</v>
      </c>
      <c r="D254" s="15">
        <v>18</v>
      </c>
      <c r="E254" s="15">
        <v>1004</v>
      </c>
    </row>
    <row r="255" spans="1:5" ht="15.75" customHeight="1">
      <c r="A255" s="15" t="str">
        <f t="shared" si="0"/>
        <v>MGPE</v>
      </c>
      <c r="B255" s="15" t="s">
        <v>24</v>
      </c>
      <c r="C255" s="15" t="s">
        <v>1061</v>
      </c>
      <c r="D255" s="15">
        <v>16</v>
      </c>
      <c r="E255" s="15">
        <v>2061</v>
      </c>
    </row>
    <row r="256" spans="1:5" ht="15.75" customHeight="1">
      <c r="A256" s="15" t="str">
        <f t="shared" si="0"/>
        <v>MGPI</v>
      </c>
      <c r="B256" s="15" t="s">
        <v>24</v>
      </c>
      <c r="C256" s="15" t="s">
        <v>1062</v>
      </c>
      <c r="D256" s="15">
        <v>17</v>
      </c>
      <c r="E256" s="15">
        <v>2302</v>
      </c>
    </row>
    <row r="257" spans="1:5" ht="15.75" customHeight="1">
      <c r="A257" s="15" t="str">
        <f t="shared" si="0"/>
        <v>MGRJ</v>
      </c>
      <c r="B257" s="15" t="s">
        <v>24</v>
      </c>
      <c r="C257" s="15" t="s">
        <v>27</v>
      </c>
      <c r="D257" s="15">
        <v>19</v>
      </c>
      <c r="E257" s="15">
        <v>434</v>
      </c>
    </row>
    <row r="258" spans="1:5" ht="15.75" customHeight="1">
      <c r="A258" s="15" t="str">
        <f t="shared" si="0"/>
        <v>MGRN</v>
      </c>
      <c r="B258" s="15" t="s">
        <v>24</v>
      </c>
      <c r="C258" s="15" t="s">
        <v>732</v>
      </c>
      <c r="D258" s="15">
        <v>20</v>
      </c>
      <c r="E258" s="15">
        <v>2348</v>
      </c>
    </row>
    <row r="259" spans="1:5" ht="15.75" customHeight="1">
      <c r="A259" s="15" t="str">
        <f t="shared" si="0"/>
        <v>MGRS</v>
      </c>
      <c r="B259" s="15" t="s">
        <v>24</v>
      </c>
      <c r="C259" s="15" t="s">
        <v>736</v>
      </c>
      <c r="D259" s="15">
        <v>23</v>
      </c>
      <c r="E259" s="15">
        <v>1712</v>
      </c>
    </row>
    <row r="260" spans="1:5" ht="15.75" customHeight="1">
      <c r="A260" s="15" t="str">
        <f t="shared" si="0"/>
        <v>MGRO</v>
      </c>
      <c r="B260" s="15" t="s">
        <v>24</v>
      </c>
      <c r="C260" s="15" t="s">
        <v>733</v>
      </c>
      <c r="D260" s="15">
        <v>21</v>
      </c>
      <c r="E260" s="15">
        <v>3050</v>
      </c>
    </row>
    <row r="261" spans="1:5" ht="15.75" customHeight="1">
      <c r="A261" s="15" t="str">
        <f t="shared" si="0"/>
        <v>MGRR</v>
      </c>
      <c r="B261" s="15" t="s">
        <v>24</v>
      </c>
      <c r="C261" s="15" t="s">
        <v>1063</v>
      </c>
      <c r="D261" s="15">
        <v>22</v>
      </c>
      <c r="E261" s="15">
        <v>4736</v>
      </c>
    </row>
    <row r="262" spans="1:5" ht="15.75" customHeight="1">
      <c r="A262" s="15" t="str">
        <f t="shared" si="0"/>
        <v>MGSC</v>
      </c>
      <c r="B262" s="15" t="s">
        <v>24</v>
      </c>
      <c r="C262" s="15" t="s">
        <v>26</v>
      </c>
      <c r="D262" s="15">
        <v>24</v>
      </c>
      <c r="E262" s="15">
        <v>1301</v>
      </c>
    </row>
    <row r="263" spans="1:5" ht="15.75" customHeight="1">
      <c r="A263" s="15" t="str">
        <f t="shared" si="0"/>
        <v>MGSP</v>
      </c>
      <c r="B263" s="15" t="s">
        <v>24</v>
      </c>
      <c r="C263" s="15" t="s">
        <v>23</v>
      </c>
      <c r="D263" s="15">
        <v>26</v>
      </c>
      <c r="E263" s="15">
        <v>586</v>
      </c>
    </row>
    <row r="264" spans="1:5" ht="15.75" customHeight="1">
      <c r="A264" s="15" t="str">
        <f t="shared" si="0"/>
        <v>MGSE</v>
      </c>
      <c r="B264" s="15" t="s">
        <v>24</v>
      </c>
      <c r="C264" s="15" t="s">
        <v>1060</v>
      </c>
      <c r="D264" s="15">
        <v>25</v>
      </c>
      <c r="E264" s="15">
        <v>1578</v>
      </c>
    </row>
    <row r="265" spans="1:5" ht="15.75" customHeight="1">
      <c r="A265" s="15" t="str">
        <f t="shared" si="0"/>
        <v>MGTO</v>
      </c>
      <c r="B265" s="15" t="s">
        <v>24</v>
      </c>
      <c r="C265" s="15" t="s">
        <v>1064</v>
      </c>
      <c r="D265" s="15">
        <v>27</v>
      </c>
      <c r="E265" s="15">
        <v>1690</v>
      </c>
    </row>
    <row r="266" spans="1:5" ht="15.75" customHeight="1">
      <c r="A266" s="15" t="str">
        <f t="shared" si="0"/>
        <v>PAAC</v>
      </c>
      <c r="B266" s="15" t="s">
        <v>1054</v>
      </c>
      <c r="C266" s="15" t="s">
        <v>1051</v>
      </c>
      <c r="D266" s="15">
        <v>1</v>
      </c>
      <c r="E266" s="15">
        <v>4931</v>
      </c>
    </row>
    <row r="267" spans="1:5" ht="15.75" customHeight="1">
      <c r="A267" s="15" t="str">
        <f t="shared" si="0"/>
        <v>PAAL</v>
      </c>
      <c r="B267" s="15" t="s">
        <v>1054</v>
      </c>
      <c r="C267" s="15" t="s">
        <v>1056</v>
      </c>
      <c r="D267" s="15">
        <v>2</v>
      </c>
      <c r="E267" s="15">
        <v>2173</v>
      </c>
    </row>
    <row r="268" spans="1:5" ht="15.75" customHeight="1">
      <c r="A268" s="15" t="str">
        <f t="shared" si="0"/>
        <v>PAAP</v>
      </c>
      <c r="B268" s="15" t="s">
        <v>1054</v>
      </c>
      <c r="C268" s="15" t="s">
        <v>1058</v>
      </c>
      <c r="D268" s="15">
        <v>4</v>
      </c>
      <c r="E268" s="15">
        <v>4931</v>
      </c>
    </row>
    <row r="269" spans="1:5" ht="15.75" customHeight="1">
      <c r="A269" s="15" t="str">
        <f t="shared" si="0"/>
        <v>PAAM</v>
      </c>
      <c r="B269" s="15" t="s">
        <v>1054</v>
      </c>
      <c r="C269" s="15" t="s">
        <v>29</v>
      </c>
      <c r="D269" s="15">
        <v>3</v>
      </c>
      <c r="E269" s="15">
        <v>5298</v>
      </c>
    </row>
    <row r="270" spans="1:5" ht="15.75" customHeight="1">
      <c r="A270" s="15" t="str">
        <f t="shared" si="0"/>
        <v>PABA</v>
      </c>
      <c r="B270" s="15" t="s">
        <v>1054</v>
      </c>
      <c r="C270" s="15" t="s">
        <v>34</v>
      </c>
      <c r="D270" s="15">
        <v>5</v>
      </c>
      <c r="E270" s="15">
        <v>2100</v>
      </c>
    </row>
    <row r="271" spans="1:5" ht="15.75" customHeight="1">
      <c r="A271" s="15" t="str">
        <f t="shared" si="0"/>
        <v>PACE</v>
      </c>
      <c r="B271" s="15" t="s">
        <v>1054</v>
      </c>
      <c r="C271" s="15" t="s">
        <v>41</v>
      </c>
      <c r="D271" s="15">
        <v>6</v>
      </c>
      <c r="E271" s="15">
        <v>1611</v>
      </c>
    </row>
    <row r="272" spans="1:5" ht="15.75" customHeight="1">
      <c r="A272" s="15" t="str">
        <f t="shared" si="0"/>
        <v>PADF</v>
      </c>
      <c r="B272" s="15" t="s">
        <v>1054</v>
      </c>
      <c r="C272" s="15" t="s">
        <v>1059</v>
      </c>
      <c r="D272" s="15">
        <v>7</v>
      </c>
      <c r="E272" s="15">
        <v>2140</v>
      </c>
    </row>
    <row r="273" spans="1:5" ht="15.75" customHeight="1">
      <c r="A273" s="15" t="str">
        <f t="shared" si="0"/>
        <v>PAES</v>
      </c>
      <c r="B273" s="15" t="s">
        <v>1054</v>
      </c>
      <c r="C273" s="15" t="s">
        <v>25</v>
      </c>
      <c r="D273" s="15">
        <v>8</v>
      </c>
      <c r="E273" s="15">
        <v>3108</v>
      </c>
    </row>
    <row r="274" spans="1:5" ht="15.75" customHeight="1">
      <c r="A274" s="15" t="str">
        <f t="shared" si="0"/>
        <v>PAGO</v>
      </c>
      <c r="B274" s="15" t="s">
        <v>1054</v>
      </c>
      <c r="C274" s="15" t="s">
        <v>51</v>
      </c>
      <c r="D274" s="15">
        <v>9</v>
      </c>
      <c r="E274" s="15">
        <v>2017</v>
      </c>
    </row>
    <row r="275" spans="1:5" ht="15.75" customHeight="1">
      <c r="A275" s="15" t="str">
        <f t="shared" si="0"/>
        <v>PAMA</v>
      </c>
      <c r="B275" s="15" t="s">
        <v>1054</v>
      </c>
      <c r="C275" s="15" t="s">
        <v>1057</v>
      </c>
      <c r="D275" s="15">
        <v>10</v>
      </c>
      <c r="E275" s="15">
        <v>806</v>
      </c>
    </row>
    <row r="276" spans="1:5" ht="15.75" customHeight="1">
      <c r="A276" s="15" t="str">
        <f t="shared" si="0"/>
        <v>PAMT</v>
      </c>
      <c r="B276" s="15" t="s">
        <v>1054</v>
      </c>
      <c r="C276" s="15" t="s">
        <v>1052</v>
      </c>
      <c r="D276" s="15">
        <v>13</v>
      </c>
      <c r="E276" s="15">
        <v>2941</v>
      </c>
    </row>
    <row r="277" spans="1:5" ht="15.75" customHeight="1">
      <c r="A277" s="15" t="str">
        <f t="shared" si="0"/>
        <v>PAMS</v>
      </c>
      <c r="B277" s="15" t="s">
        <v>1054</v>
      </c>
      <c r="C277" s="15" t="s">
        <v>1053</v>
      </c>
      <c r="D277" s="15">
        <v>12</v>
      </c>
      <c r="E277" s="15">
        <v>2942</v>
      </c>
    </row>
    <row r="278" spans="1:5" ht="15.75" customHeight="1">
      <c r="A278" s="15" t="str">
        <f t="shared" si="0"/>
        <v>PAMG</v>
      </c>
      <c r="B278" s="15" t="s">
        <v>1054</v>
      </c>
      <c r="C278" s="15" t="s">
        <v>24</v>
      </c>
      <c r="D278" s="15">
        <v>11</v>
      </c>
      <c r="E278" s="15">
        <v>2824</v>
      </c>
    </row>
    <row r="279" spans="1:5" ht="15.75" customHeight="1">
      <c r="A279" s="15" t="str">
        <f t="shared" si="0"/>
        <v>PAPA</v>
      </c>
      <c r="B279" s="15" t="s">
        <v>1054</v>
      </c>
      <c r="C279" s="15" t="s">
        <v>1054</v>
      </c>
      <c r="D279" s="15">
        <v>14</v>
      </c>
      <c r="E279" s="15">
        <v>0</v>
      </c>
    </row>
    <row r="280" spans="1:5" ht="15.75" customHeight="1">
      <c r="A280" s="15" t="str">
        <f t="shared" si="0"/>
        <v>PAPB</v>
      </c>
      <c r="B280" s="15" t="s">
        <v>1054</v>
      </c>
      <c r="C280" s="15" t="s">
        <v>1055</v>
      </c>
      <c r="D280" s="15">
        <v>15</v>
      </c>
      <c r="E280" s="15">
        <v>2161</v>
      </c>
    </row>
    <row r="281" spans="1:5" ht="15.75" customHeight="1">
      <c r="A281" s="15" t="str">
        <f t="shared" si="0"/>
        <v>PAPR</v>
      </c>
      <c r="B281" s="15" t="s">
        <v>1054</v>
      </c>
      <c r="C281" s="15" t="s">
        <v>28</v>
      </c>
      <c r="D281" s="15">
        <v>18</v>
      </c>
      <c r="E281" s="15">
        <v>3193</v>
      </c>
    </row>
    <row r="282" spans="1:5" ht="15.75" customHeight="1">
      <c r="A282" s="15" t="str">
        <f t="shared" si="0"/>
        <v>PAPE</v>
      </c>
      <c r="B282" s="15" t="s">
        <v>1054</v>
      </c>
      <c r="C282" s="15" t="s">
        <v>1061</v>
      </c>
      <c r="D282" s="15">
        <v>16</v>
      </c>
      <c r="E282" s="15">
        <v>2074</v>
      </c>
    </row>
    <row r="283" spans="1:5" ht="15.75" customHeight="1">
      <c r="A283" s="15" t="str">
        <f t="shared" si="0"/>
        <v>PAPI</v>
      </c>
      <c r="B283" s="15" t="s">
        <v>1054</v>
      </c>
      <c r="C283" s="15" t="s">
        <v>1062</v>
      </c>
      <c r="D283" s="15">
        <v>17</v>
      </c>
      <c r="E283" s="15">
        <v>947</v>
      </c>
    </row>
    <row r="284" spans="1:5" ht="15.75" customHeight="1">
      <c r="A284" s="15" t="str">
        <f t="shared" si="0"/>
        <v>PARJ</v>
      </c>
      <c r="B284" s="15" t="s">
        <v>1054</v>
      </c>
      <c r="C284" s="15" t="s">
        <v>27</v>
      </c>
      <c r="D284" s="15">
        <v>19</v>
      </c>
      <c r="E284" s="15">
        <v>3250</v>
      </c>
    </row>
    <row r="285" spans="1:5" ht="15.75" customHeight="1">
      <c r="A285" s="15" t="str">
        <f t="shared" si="0"/>
        <v>PARN</v>
      </c>
      <c r="B285" s="15" t="s">
        <v>1054</v>
      </c>
      <c r="C285" s="15" t="s">
        <v>732</v>
      </c>
      <c r="D285" s="15">
        <v>20</v>
      </c>
      <c r="E285" s="15">
        <v>2108</v>
      </c>
    </row>
    <row r="286" spans="1:5" ht="15.75" customHeight="1">
      <c r="A286" s="15" t="str">
        <f t="shared" si="0"/>
        <v>PARS</v>
      </c>
      <c r="B286" s="15" t="s">
        <v>1054</v>
      </c>
      <c r="C286" s="15" t="s">
        <v>736</v>
      </c>
      <c r="D286" s="15">
        <v>23</v>
      </c>
      <c r="E286" s="15">
        <v>3854</v>
      </c>
    </row>
    <row r="287" spans="1:5" ht="15.75" customHeight="1">
      <c r="A287" s="15" t="str">
        <f t="shared" si="0"/>
        <v>PARO</v>
      </c>
      <c r="B287" s="15" t="s">
        <v>1054</v>
      </c>
      <c r="C287" s="15" t="s">
        <v>733</v>
      </c>
      <c r="D287" s="15">
        <v>21</v>
      </c>
      <c r="E287" s="15">
        <v>4397</v>
      </c>
    </row>
    <row r="288" spans="1:5" ht="15.75" customHeight="1">
      <c r="A288" s="15" t="str">
        <f t="shared" si="0"/>
        <v>PARR</v>
      </c>
      <c r="B288" s="15" t="s">
        <v>1054</v>
      </c>
      <c r="C288" s="15" t="s">
        <v>1063</v>
      </c>
      <c r="D288" s="15">
        <v>22</v>
      </c>
      <c r="E288" s="15">
        <v>6083</v>
      </c>
    </row>
    <row r="289" spans="1:5" ht="15.75" customHeight="1">
      <c r="A289" s="15" t="str">
        <f t="shared" si="0"/>
        <v>PASC</v>
      </c>
      <c r="B289" s="15" t="s">
        <v>1054</v>
      </c>
      <c r="C289" s="15" t="s">
        <v>26</v>
      </c>
      <c r="D289" s="15">
        <v>24</v>
      </c>
      <c r="E289" s="15">
        <v>3500</v>
      </c>
    </row>
    <row r="290" spans="1:5" ht="15.75" customHeight="1">
      <c r="A290" s="15" t="str">
        <f t="shared" si="0"/>
        <v>PASP</v>
      </c>
      <c r="B290" s="15" t="s">
        <v>1054</v>
      </c>
      <c r="C290" s="15" t="s">
        <v>23</v>
      </c>
      <c r="D290" s="15">
        <v>26</v>
      </c>
      <c r="E290" s="15">
        <v>2933</v>
      </c>
    </row>
    <row r="291" spans="1:5" ht="15.75" customHeight="1">
      <c r="A291" s="15" t="str">
        <f t="shared" si="0"/>
        <v>PASE</v>
      </c>
      <c r="B291" s="15" t="s">
        <v>1054</v>
      </c>
      <c r="C291" s="15" t="s">
        <v>1060</v>
      </c>
      <c r="D291" s="15">
        <v>25</v>
      </c>
      <c r="E291" s="15">
        <v>2079</v>
      </c>
    </row>
    <row r="292" spans="1:5" ht="15.75" customHeight="1">
      <c r="A292" s="15" t="str">
        <f t="shared" si="0"/>
        <v>PATO</v>
      </c>
      <c r="B292" s="15" t="s">
        <v>1054</v>
      </c>
      <c r="C292" s="15" t="s">
        <v>1064</v>
      </c>
      <c r="D292" s="15">
        <v>27</v>
      </c>
      <c r="E292" s="15">
        <v>1283</v>
      </c>
    </row>
    <row r="293" spans="1:5" ht="15.75" customHeight="1">
      <c r="A293" s="15" t="str">
        <f t="shared" si="0"/>
        <v>PBAC</v>
      </c>
      <c r="B293" s="15" t="s">
        <v>1055</v>
      </c>
      <c r="C293" s="15" t="s">
        <v>1051</v>
      </c>
      <c r="D293" s="15">
        <v>1</v>
      </c>
      <c r="E293" s="15">
        <v>5356</v>
      </c>
    </row>
    <row r="294" spans="1:5" ht="15.75" customHeight="1">
      <c r="A294" s="15" t="str">
        <f t="shared" si="0"/>
        <v>PBAL</v>
      </c>
      <c r="B294" s="15" t="s">
        <v>1055</v>
      </c>
      <c r="C294" s="15" t="s">
        <v>1056</v>
      </c>
      <c r="D294" s="15">
        <v>2</v>
      </c>
      <c r="E294" s="15">
        <v>395</v>
      </c>
    </row>
    <row r="295" spans="1:5" ht="15.75" customHeight="1">
      <c r="A295" s="15" t="str">
        <f t="shared" si="0"/>
        <v>PBAP</v>
      </c>
      <c r="B295" s="15" t="s">
        <v>1055</v>
      </c>
      <c r="C295" s="15" t="s">
        <v>1058</v>
      </c>
      <c r="D295" s="15">
        <v>4</v>
      </c>
      <c r="E295" s="15">
        <v>5356</v>
      </c>
    </row>
    <row r="296" spans="1:5" ht="15.75" customHeight="1">
      <c r="A296" s="15" t="str">
        <f t="shared" si="0"/>
        <v>PBAM</v>
      </c>
      <c r="B296" s="15" t="s">
        <v>1055</v>
      </c>
      <c r="C296" s="15" t="s">
        <v>29</v>
      </c>
      <c r="D296" s="15">
        <v>3</v>
      </c>
      <c r="E296" s="15">
        <v>5808</v>
      </c>
    </row>
    <row r="297" spans="1:5" ht="15.75" customHeight="1">
      <c r="A297" s="15" t="str">
        <f t="shared" si="0"/>
        <v>PBBA</v>
      </c>
      <c r="B297" s="15" t="s">
        <v>1055</v>
      </c>
      <c r="C297" s="15" t="s">
        <v>34</v>
      </c>
      <c r="D297" s="15">
        <v>5</v>
      </c>
      <c r="E297" s="15">
        <v>949</v>
      </c>
    </row>
    <row r="298" spans="1:5" ht="15.75" customHeight="1">
      <c r="A298" s="15" t="str">
        <f t="shared" si="0"/>
        <v>PBCE</v>
      </c>
      <c r="B298" s="15" t="s">
        <v>1055</v>
      </c>
      <c r="C298" s="15" t="s">
        <v>41</v>
      </c>
      <c r="D298" s="15">
        <v>6</v>
      </c>
      <c r="E298" s="15">
        <v>688</v>
      </c>
    </row>
    <row r="299" spans="1:5" ht="15.75" customHeight="1">
      <c r="A299" s="15" t="str">
        <f t="shared" si="0"/>
        <v>PBDF</v>
      </c>
      <c r="B299" s="15" t="s">
        <v>1055</v>
      </c>
      <c r="C299" s="15" t="s">
        <v>1059</v>
      </c>
      <c r="D299" s="15">
        <v>7</v>
      </c>
      <c r="E299" s="15">
        <v>2245</v>
      </c>
    </row>
    <row r="300" spans="1:5" ht="15.75" customHeight="1">
      <c r="A300" s="15" t="str">
        <f t="shared" si="0"/>
        <v>PBES</v>
      </c>
      <c r="B300" s="15" t="s">
        <v>1055</v>
      </c>
      <c r="C300" s="15" t="s">
        <v>25</v>
      </c>
      <c r="D300" s="15">
        <v>8</v>
      </c>
      <c r="E300" s="15">
        <v>2001</v>
      </c>
    </row>
    <row r="301" spans="1:5" ht="15.75" customHeight="1">
      <c r="A301" s="15" t="str">
        <f t="shared" si="0"/>
        <v>PBGO</v>
      </c>
      <c r="B301" s="15" t="s">
        <v>1055</v>
      </c>
      <c r="C301" s="15" t="s">
        <v>51</v>
      </c>
      <c r="D301" s="15">
        <v>9</v>
      </c>
      <c r="E301" s="15">
        <v>2442</v>
      </c>
    </row>
    <row r="302" spans="1:5" ht="15.75" customHeight="1">
      <c r="A302" s="15" t="str">
        <f t="shared" si="0"/>
        <v>PBMA</v>
      </c>
      <c r="B302" s="15" t="s">
        <v>1055</v>
      </c>
      <c r="C302" s="15" t="s">
        <v>1057</v>
      </c>
      <c r="D302" s="15">
        <v>10</v>
      </c>
      <c r="E302" s="15">
        <v>1660</v>
      </c>
    </row>
    <row r="303" spans="1:5" ht="15.75" customHeight="1">
      <c r="A303" s="15" t="str">
        <f t="shared" si="0"/>
        <v>PBMT</v>
      </c>
      <c r="B303" s="15" t="s">
        <v>1055</v>
      </c>
      <c r="C303" s="15" t="s">
        <v>1052</v>
      </c>
      <c r="D303" s="15">
        <v>13</v>
      </c>
      <c r="E303" s="15">
        <v>3366</v>
      </c>
    </row>
    <row r="304" spans="1:5" ht="15.75" customHeight="1">
      <c r="A304" s="15" t="str">
        <f t="shared" si="0"/>
        <v>PBMS</v>
      </c>
      <c r="B304" s="15" t="s">
        <v>1055</v>
      </c>
      <c r="C304" s="15" t="s">
        <v>1053</v>
      </c>
      <c r="D304" s="15">
        <v>12</v>
      </c>
      <c r="E304" s="15">
        <v>3357</v>
      </c>
    </row>
    <row r="305" spans="1:5" ht="15.75" customHeight="1">
      <c r="A305" s="15" t="str">
        <f t="shared" si="0"/>
        <v>PBMG</v>
      </c>
      <c r="B305" s="15" t="s">
        <v>1055</v>
      </c>
      <c r="C305" s="15" t="s">
        <v>24</v>
      </c>
      <c r="D305" s="15">
        <v>11</v>
      </c>
      <c r="E305" s="15">
        <v>2171</v>
      </c>
    </row>
    <row r="306" spans="1:5" ht="15.75" customHeight="1">
      <c r="A306" s="15" t="str">
        <f t="shared" si="0"/>
        <v>PBPA</v>
      </c>
      <c r="B306" s="15" t="s">
        <v>1055</v>
      </c>
      <c r="C306" s="15" t="s">
        <v>1054</v>
      </c>
      <c r="D306" s="15">
        <v>14</v>
      </c>
      <c r="E306" s="15">
        <v>2161</v>
      </c>
    </row>
    <row r="307" spans="1:5" ht="15.75" customHeight="1">
      <c r="A307" s="15" t="str">
        <f t="shared" si="0"/>
        <v>PBPB</v>
      </c>
      <c r="B307" s="15" t="s">
        <v>1055</v>
      </c>
      <c r="C307" s="15" t="s">
        <v>1055</v>
      </c>
      <c r="D307" s="15">
        <v>15</v>
      </c>
      <c r="E307" s="15">
        <v>0</v>
      </c>
    </row>
    <row r="308" spans="1:5" ht="15.75" customHeight="1">
      <c r="A308" s="15" t="str">
        <f t="shared" si="0"/>
        <v>PBPR</v>
      </c>
      <c r="B308" s="15" t="s">
        <v>1055</v>
      </c>
      <c r="C308" s="15" t="s">
        <v>28</v>
      </c>
      <c r="D308" s="15">
        <v>18</v>
      </c>
      <c r="E308" s="15">
        <v>3188</v>
      </c>
    </row>
    <row r="309" spans="1:5" ht="15.75" customHeight="1">
      <c r="A309" s="15" t="str">
        <f t="shared" si="0"/>
        <v>PBPE</v>
      </c>
      <c r="B309" s="15" t="s">
        <v>1055</v>
      </c>
      <c r="C309" s="15" t="s">
        <v>1061</v>
      </c>
      <c r="D309" s="15">
        <v>16</v>
      </c>
      <c r="E309" s="15">
        <v>120</v>
      </c>
    </row>
    <row r="310" spans="1:5" ht="15.75" customHeight="1">
      <c r="A310" s="15" t="str">
        <f t="shared" si="0"/>
        <v>PBPI</v>
      </c>
      <c r="B310" s="15" t="s">
        <v>1055</v>
      </c>
      <c r="C310" s="15" t="s">
        <v>1062</v>
      </c>
      <c r="D310" s="15">
        <v>17</v>
      </c>
      <c r="E310" s="15">
        <v>1224</v>
      </c>
    </row>
    <row r="311" spans="1:5" ht="15.75" customHeight="1">
      <c r="A311" s="15" t="str">
        <f t="shared" si="0"/>
        <v>PBRJ</v>
      </c>
      <c r="B311" s="15" t="s">
        <v>1055</v>
      </c>
      <c r="C311" s="15" t="s">
        <v>27</v>
      </c>
      <c r="D311" s="15">
        <v>19</v>
      </c>
      <c r="E311" s="15">
        <v>2448</v>
      </c>
    </row>
    <row r="312" spans="1:5" ht="15.75" customHeight="1">
      <c r="A312" s="15" t="str">
        <f t="shared" si="0"/>
        <v>PBRN</v>
      </c>
      <c r="B312" s="15" t="s">
        <v>1055</v>
      </c>
      <c r="C312" s="15" t="s">
        <v>732</v>
      </c>
      <c r="D312" s="15">
        <v>20</v>
      </c>
      <c r="E312" s="15">
        <v>185</v>
      </c>
    </row>
    <row r="313" spans="1:5" ht="15.75" customHeight="1">
      <c r="A313" s="15" t="str">
        <f t="shared" si="0"/>
        <v>PBRS</v>
      </c>
      <c r="B313" s="15" t="s">
        <v>1055</v>
      </c>
      <c r="C313" s="15" t="s">
        <v>736</v>
      </c>
      <c r="D313" s="15">
        <v>23</v>
      </c>
      <c r="E313" s="15">
        <v>3889</v>
      </c>
    </row>
    <row r="314" spans="1:5" ht="15.75" customHeight="1">
      <c r="A314" s="15" t="str">
        <f t="shared" si="0"/>
        <v>PBRO</v>
      </c>
      <c r="B314" s="15" t="s">
        <v>1055</v>
      </c>
      <c r="C314" s="15" t="s">
        <v>733</v>
      </c>
      <c r="D314" s="15">
        <v>21</v>
      </c>
      <c r="E314" s="15">
        <v>4822</v>
      </c>
    </row>
    <row r="315" spans="1:5" ht="15.75" customHeight="1">
      <c r="A315" s="15" t="str">
        <f t="shared" si="0"/>
        <v>PBRR</v>
      </c>
      <c r="B315" s="15" t="s">
        <v>1055</v>
      </c>
      <c r="C315" s="15" t="s">
        <v>1063</v>
      </c>
      <c r="D315" s="15">
        <v>22</v>
      </c>
      <c r="E315" s="15">
        <v>6593</v>
      </c>
    </row>
    <row r="316" spans="1:5" ht="15.75" customHeight="1">
      <c r="A316" s="15" t="str">
        <f t="shared" si="0"/>
        <v>PBSC</v>
      </c>
      <c r="B316" s="15" t="s">
        <v>1055</v>
      </c>
      <c r="C316" s="15" t="s">
        <v>26</v>
      </c>
      <c r="D316" s="15">
        <v>24</v>
      </c>
      <c r="E316" s="15">
        <v>3485</v>
      </c>
    </row>
    <row r="317" spans="1:5" ht="15.75" customHeight="1">
      <c r="A317" s="15" t="str">
        <f t="shared" si="0"/>
        <v>PBSP</v>
      </c>
      <c r="B317" s="15" t="s">
        <v>1055</v>
      </c>
      <c r="C317" s="15" t="s">
        <v>23</v>
      </c>
      <c r="D317" s="15">
        <v>26</v>
      </c>
      <c r="E317" s="15">
        <v>2770</v>
      </c>
    </row>
    <row r="318" spans="1:5" ht="15.75" customHeight="1">
      <c r="A318" s="15" t="str">
        <f t="shared" si="0"/>
        <v>PBSE</v>
      </c>
      <c r="B318" s="15" t="s">
        <v>1055</v>
      </c>
      <c r="C318" s="15" t="s">
        <v>1060</v>
      </c>
      <c r="D318" s="15">
        <v>25</v>
      </c>
      <c r="E318" s="15">
        <v>2892</v>
      </c>
    </row>
    <row r="319" spans="1:5" ht="15.75" customHeight="1">
      <c r="A319" s="15" t="str">
        <f t="shared" si="0"/>
        <v>PBTO</v>
      </c>
      <c r="B319" s="15" t="s">
        <v>1055</v>
      </c>
      <c r="C319" s="15" t="s">
        <v>1064</v>
      </c>
      <c r="D319" s="15">
        <v>27</v>
      </c>
      <c r="E319" s="15">
        <v>2253</v>
      </c>
    </row>
    <row r="320" spans="1:5" ht="15.75" customHeight="1">
      <c r="A320" s="15" t="str">
        <f t="shared" si="0"/>
        <v>PRAC</v>
      </c>
      <c r="B320" s="15" t="s">
        <v>28</v>
      </c>
      <c r="C320" s="15" t="s">
        <v>1051</v>
      </c>
      <c r="D320" s="15">
        <v>1</v>
      </c>
      <c r="E320" s="15">
        <v>3669</v>
      </c>
    </row>
    <row r="321" spans="1:5" ht="15.75" customHeight="1">
      <c r="A321" s="15" t="str">
        <f t="shared" si="0"/>
        <v>PRAL</v>
      </c>
      <c r="B321" s="15" t="s">
        <v>28</v>
      </c>
      <c r="C321" s="15" t="s">
        <v>1056</v>
      </c>
      <c r="D321" s="15">
        <v>2</v>
      </c>
      <c r="E321" s="15">
        <v>2871</v>
      </c>
    </row>
    <row r="322" spans="1:5" ht="15.75" customHeight="1">
      <c r="A322" s="15" t="str">
        <f t="shared" si="0"/>
        <v>PRAP</v>
      </c>
      <c r="B322" s="15" t="s">
        <v>28</v>
      </c>
      <c r="C322" s="15" t="s">
        <v>1058</v>
      </c>
      <c r="D322" s="15">
        <v>4</v>
      </c>
      <c r="E322" s="15">
        <v>3669</v>
      </c>
    </row>
    <row r="323" spans="1:5" ht="15.75" customHeight="1">
      <c r="A323" s="15" t="str">
        <f t="shared" si="0"/>
        <v>PRAM</v>
      </c>
      <c r="B323" s="15" t="s">
        <v>28</v>
      </c>
      <c r="C323" s="15" t="s">
        <v>29</v>
      </c>
      <c r="D323" s="15">
        <v>3</v>
      </c>
      <c r="E323" s="15">
        <v>4036</v>
      </c>
    </row>
    <row r="324" spans="1:5" ht="15.75" customHeight="1">
      <c r="A324" s="15" t="str">
        <f t="shared" si="0"/>
        <v>PRBA</v>
      </c>
      <c r="B324" s="15" t="s">
        <v>28</v>
      </c>
      <c r="C324" s="15" t="s">
        <v>34</v>
      </c>
      <c r="D324" s="15">
        <v>5</v>
      </c>
      <c r="E324" s="15">
        <v>2385</v>
      </c>
    </row>
    <row r="325" spans="1:5" ht="15.75" customHeight="1">
      <c r="A325" s="15" t="str">
        <f t="shared" si="0"/>
        <v>PRCE</v>
      </c>
      <c r="B325" s="15" t="s">
        <v>28</v>
      </c>
      <c r="C325" s="15" t="s">
        <v>41</v>
      </c>
      <c r="D325" s="15">
        <v>6</v>
      </c>
      <c r="E325" s="15">
        <v>3541</v>
      </c>
    </row>
    <row r="326" spans="1:5" ht="15.75" customHeight="1">
      <c r="A326" s="15" t="str">
        <f t="shared" si="0"/>
        <v>PRDF</v>
      </c>
      <c r="B326" s="15" t="s">
        <v>28</v>
      </c>
      <c r="C326" s="15" t="s">
        <v>1059</v>
      </c>
      <c r="D326" s="15">
        <v>7</v>
      </c>
      <c r="E326" s="15">
        <v>1366</v>
      </c>
    </row>
    <row r="327" spans="1:5" ht="15.75" customHeight="1">
      <c r="A327" s="15" t="str">
        <f t="shared" si="0"/>
        <v>PRES</v>
      </c>
      <c r="B327" s="15" t="s">
        <v>28</v>
      </c>
      <c r="C327" s="15" t="s">
        <v>25</v>
      </c>
      <c r="D327" s="15">
        <v>8</v>
      </c>
      <c r="E327" s="15">
        <v>1300</v>
      </c>
    </row>
    <row r="328" spans="1:5" ht="15.75" customHeight="1">
      <c r="A328" s="15" t="str">
        <f t="shared" si="0"/>
        <v>PRGO</v>
      </c>
      <c r="B328" s="15" t="s">
        <v>28</v>
      </c>
      <c r="C328" s="15" t="s">
        <v>51</v>
      </c>
      <c r="D328" s="15">
        <v>9</v>
      </c>
      <c r="E328" s="15">
        <v>1186</v>
      </c>
    </row>
    <row r="329" spans="1:5" ht="15.75" customHeight="1">
      <c r="A329" s="15" t="str">
        <f t="shared" si="0"/>
        <v>PRMA</v>
      </c>
      <c r="B329" s="15" t="s">
        <v>28</v>
      </c>
      <c r="C329" s="15" t="s">
        <v>1057</v>
      </c>
      <c r="D329" s="15">
        <v>10</v>
      </c>
      <c r="E329" s="15">
        <v>3230</v>
      </c>
    </row>
    <row r="330" spans="1:5" ht="15.75" customHeight="1">
      <c r="A330" s="15" t="str">
        <f t="shared" si="0"/>
        <v>PRMT</v>
      </c>
      <c r="B330" s="15" t="s">
        <v>28</v>
      </c>
      <c r="C330" s="15" t="s">
        <v>1052</v>
      </c>
      <c r="D330" s="15">
        <v>13</v>
      </c>
      <c r="E330" s="15">
        <v>1679</v>
      </c>
    </row>
    <row r="331" spans="1:5" ht="15.75" customHeight="1">
      <c r="A331" s="15" t="str">
        <f t="shared" si="0"/>
        <v>PRMS</v>
      </c>
      <c r="B331" s="15" t="s">
        <v>28</v>
      </c>
      <c r="C331" s="15" t="s">
        <v>1053</v>
      </c>
      <c r="D331" s="15">
        <v>12</v>
      </c>
      <c r="E331" s="15">
        <v>991</v>
      </c>
    </row>
    <row r="332" spans="1:5" ht="15.75" customHeight="1">
      <c r="A332" s="15" t="str">
        <f t="shared" si="0"/>
        <v>PRMG</v>
      </c>
      <c r="B332" s="15" t="s">
        <v>28</v>
      </c>
      <c r="C332" s="15" t="s">
        <v>24</v>
      </c>
      <c r="D332" s="15">
        <v>11</v>
      </c>
      <c r="E332" s="15">
        <v>1004</v>
      </c>
    </row>
    <row r="333" spans="1:5" ht="15.75" customHeight="1">
      <c r="A333" s="15" t="str">
        <f t="shared" si="0"/>
        <v>PRPA</v>
      </c>
      <c r="B333" s="15" t="s">
        <v>28</v>
      </c>
      <c r="C333" s="15" t="s">
        <v>1054</v>
      </c>
      <c r="D333" s="15">
        <v>14</v>
      </c>
      <c r="E333" s="15">
        <v>3193</v>
      </c>
    </row>
    <row r="334" spans="1:5" ht="15.75" customHeight="1">
      <c r="A334" s="15" t="str">
        <f t="shared" si="0"/>
        <v>PRPB</v>
      </c>
      <c r="B334" s="15" t="s">
        <v>28</v>
      </c>
      <c r="C334" s="15" t="s">
        <v>1055</v>
      </c>
      <c r="D334" s="15">
        <v>15</v>
      </c>
      <c r="E334" s="15">
        <v>3188</v>
      </c>
    </row>
    <row r="335" spans="1:5" ht="15.75" customHeight="1">
      <c r="A335" s="15" t="str">
        <f t="shared" si="0"/>
        <v>PRPR</v>
      </c>
      <c r="B335" s="15" t="s">
        <v>28</v>
      </c>
      <c r="C335" s="15" t="s">
        <v>28</v>
      </c>
      <c r="D335" s="15">
        <v>18</v>
      </c>
      <c r="E335" s="15">
        <v>0</v>
      </c>
    </row>
    <row r="336" spans="1:5" ht="15.75" customHeight="1">
      <c r="A336" s="15" t="str">
        <f t="shared" si="0"/>
        <v>PRPE</v>
      </c>
      <c r="B336" s="15" t="s">
        <v>28</v>
      </c>
      <c r="C336" s="15" t="s">
        <v>1061</v>
      </c>
      <c r="D336" s="15">
        <v>16</v>
      </c>
      <c r="E336" s="15">
        <v>3078</v>
      </c>
    </row>
    <row r="337" spans="1:5" ht="15.75" customHeight="1">
      <c r="A337" s="15" t="str">
        <f t="shared" si="0"/>
        <v>PRPI</v>
      </c>
      <c r="B337" s="15" t="s">
        <v>28</v>
      </c>
      <c r="C337" s="15" t="s">
        <v>1062</v>
      </c>
      <c r="D337" s="15">
        <v>17</v>
      </c>
      <c r="E337" s="15">
        <v>3143</v>
      </c>
    </row>
    <row r="338" spans="1:5" ht="15.75" customHeight="1">
      <c r="A338" s="15" t="str">
        <f t="shared" si="0"/>
        <v>PRRJ</v>
      </c>
      <c r="B338" s="15" t="s">
        <v>28</v>
      </c>
      <c r="C338" s="15" t="s">
        <v>27</v>
      </c>
      <c r="D338" s="15">
        <v>19</v>
      </c>
      <c r="E338" s="15">
        <v>852</v>
      </c>
    </row>
    <row r="339" spans="1:5" ht="15.75" customHeight="1">
      <c r="A339" s="15" t="str">
        <f t="shared" si="0"/>
        <v>PRRN</v>
      </c>
      <c r="B339" s="15" t="s">
        <v>28</v>
      </c>
      <c r="C339" s="15" t="s">
        <v>732</v>
      </c>
      <c r="D339" s="15">
        <v>20</v>
      </c>
      <c r="E339" s="15">
        <v>3365</v>
      </c>
    </row>
    <row r="340" spans="1:5" ht="15.75" customHeight="1">
      <c r="A340" s="15" t="str">
        <f t="shared" si="0"/>
        <v>PRRS</v>
      </c>
      <c r="B340" s="15" t="s">
        <v>28</v>
      </c>
      <c r="C340" s="15" t="s">
        <v>736</v>
      </c>
      <c r="D340" s="15">
        <v>23</v>
      </c>
      <c r="E340" s="15">
        <v>711</v>
      </c>
    </row>
    <row r="341" spans="1:5" ht="15.75" customHeight="1">
      <c r="A341" s="15" t="str">
        <f t="shared" si="0"/>
        <v>PRRO</v>
      </c>
      <c r="B341" s="15" t="s">
        <v>28</v>
      </c>
      <c r="C341" s="15" t="s">
        <v>733</v>
      </c>
      <c r="D341" s="15">
        <v>21</v>
      </c>
      <c r="E341" s="15">
        <v>3135</v>
      </c>
    </row>
    <row r="342" spans="1:5" ht="15.75" customHeight="1">
      <c r="A342" s="15" t="str">
        <f t="shared" si="0"/>
        <v>PRRR</v>
      </c>
      <c r="B342" s="15" t="s">
        <v>28</v>
      </c>
      <c r="C342" s="15" t="s">
        <v>1063</v>
      </c>
      <c r="D342" s="15">
        <v>22</v>
      </c>
      <c r="E342" s="15">
        <v>4821</v>
      </c>
    </row>
    <row r="343" spans="1:5" ht="15.75" customHeight="1">
      <c r="A343" s="15" t="str">
        <f t="shared" si="0"/>
        <v>PRSC</v>
      </c>
      <c r="B343" s="15" t="s">
        <v>28</v>
      </c>
      <c r="C343" s="15" t="s">
        <v>26</v>
      </c>
      <c r="D343" s="15">
        <v>24</v>
      </c>
      <c r="E343" s="15">
        <v>300</v>
      </c>
    </row>
    <row r="344" spans="1:5" ht="15.75" customHeight="1">
      <c r="A344" s="15" t="str">
        <f t="shared" si="0"/>
        <v>PRSP</v>
      </c>
      <c r="B344" s="15" t="s">
        <v>28</v>
      </c>
      <c r="C344" s="15" t="s">
        <v>23</v>
      </c>
      <c r="D344" s="15">
        <v>26</v>
      </c>
      <c r="E344" s="15">
        <v>408</v>
      </c>
    </row>
    <row r="345" spans="1:5" ht="15.75" customHeight="1">
      <c r="A345" s="15" t="str">
        <f t="shared" si="0"/>
        <v>PRSE</v>
      </c>
      <c r="B345" s="15" t="s">
        <v>28</v>
      </c>
      <c r="C345" s="15" t="s">
        <v>1060</v>
      </c>
      <c r="D345" s="15">
        <v>25</v>
      </c>
      <c r="E345" s="15">
        <v>3169</v>
      </c>
    </row>
    <row r="346" spans="1:5" ht="15.75" customHeight="1">
      <c r="A346" s="15" t="str">
        <f t="shared" si="0"/>
        <v>PRTO</v>
      </c>
      <c r="B346" s="15" t="s">
        <v>28</v>
      </c>
      <c r="C346" s="15" t="s">
        <v>1064</v>
      </c>
      <c r="D346" s="15">
        <v>27</v>
      </c>
      <c r="E346" s="15">
        <v>2036</v>
      </c>
    </row>
    <row r="347" spans="1:5" ht="15.75" customHeight="1">
      <c r="A347" s="15" t="str">
        <f t="shared" si="0"/>
        <v>PEAC</v>
      </c>
      <c r="B347" s="15" t="s">
        <v>1061</v>
      </c>
      <c r="C347" s="15" t="s">
        <v>1051</v>
      </c>
      <c r="D347" s="15">
        <v>1</v>
      </c>
      <c r="E347" s="15">
        <v>5243</v>
      </c>
    </row>
    <row r="348" spans="1:5" ht="15.75" customHeight="1">
      <c r="A348" s="15" t="str">
        <f t="shared" si="0"/>
        <v>PEAL</v>
      </c>
      <c r="B348" s="15" t="s">
        <v>1061</v>
      </c>
      <c r="C348" s="15" t="s">
        <v>1056</v>
      </c>
      <c r="D348" s="15">
        <v>2</v>
      </c>
      <c r="E348" s="15">
        <v>285</v>
      </c>
    </row>
    <row r="349" spans="1:5" ht="15.75" customHeight="1">
      <c r="A349" s="15" t="str">
        <f t="shared" si="0"/>
        <v>PEAP</v>
      </c>
      <c r="B349" s="15" t="s">
        <v>1061</v>
      </c>
      <c r="C349" s="15" t="s">
        <v>1058</v>
      </c>
      <c r="D349" s="15">
        <v>4</v>
      </c>
      <c r="E349" s="15">
        <v>5243</v>
      </c>
    </row>
    <row r="350" spans="1:5" ht="15.75" customHeight="1">
      <c r="A350" s="15" t="str">
        <f t="shared" si="0"/>
        <v>PEAM</v>
      </c>
      <c r="B350" s="15" t="s">
        <v>1061</v>
      </c>
      <c r="C350" s="15" t="s">
        <v>29</v>
      </c>
      <c r="D350" s="15">
        <v>3</v>
      </c>
      <c r="E350" s="15">
        <v>5698</v>
      </c>
    </row>
    <row r="351" spans="1:5" ht="15.75" customHeight="1">
      <c r="A351" s="15" t="str">
        <f t="shared" si="0"/>
        <v>PEBA</v>
      </c>
      <c r="B351" s="15" t="s">
        <v>1061</v>
      </c>
      <c r="C351" s="15" t="s">
        <v>34</v>
      </c>
      <c r="D351" s="15">
        <v>5</v>
      </c>
      <c r="E351" s="15">
        <v>839</v>
      </c>
    </row>
    <row r="352" spans="1:5" ht="15.75" customHeight="1">
      <c r="A352" s="15" t="str">
        <f t="shared" si="0"/>
        <v>PECE</v>
      </c>
      <c r="B352" s="15" t="s">
        <v>1061</v>
      </c>
      <c r="C352" s="15" t="s">
        <v>41</v>
      </c>
      <c r="D352" s="15">
        <v>6</v>
      </c>
      <c r="E352" s="15">
        <v>800</v>
      </c>
    </row>
    <row r="353" spans="1:5" ht="15.75" customHeight="1">
      <c r="A353" s="15" t="str">
        <f t="shared" si="0"/>
        <v>PEDF</v>
      </c>
      <c r="B353" s="15" t="s">
        <v>1061</v>
      </c>
      <c r="C353" s="15" t="s">
        <v>1059</v>
      </c>
      <c r="D353" s="15">
        <v>7</v>
      </c>
      <c r="E353" s="15">
        <v>2135</v>
      </c>
    </row>
    <row r="354" spans="1:5" ht="15.75" customHeight="1">
      <c r="A354" s="15" t="str">
        <f t="shared" si="0"/>
        <v>PEES</v>
      </c>
      <c r="B354" s="15" t="s">
        <v>1061</v>
      </c>
      <c r="C354" s="15" t="s">
        <v>25</v>
      </c>
      <c r="D354" s="15">
        <v>8</v>
      </c>
      <c r="E354" s="15">
        <v>1891</v>
      </c>
    </row>
    <row r="355" spans="1:5" ht="15.75" customHeight="1">
      <c r="A355" s="15" t="str">
        <f t="shared" si="0"/>
        <v>PEGO</v>
      </c>
      <c r="B355" s="15" t="s">
        <v>1061</v>
      </c>
      <c r="C355" s="15" t="s">
        <v>51</v>
      </c>
      <c r="D355" s="15">
        <v>9</v>
      </c>
      <c r="E355" s="15">
        <v>2332</v>
      </c>
    </row>
    <row r="356" spans="1:5" ht="15.75" customHeight="1">
      <c r="A356" s="15" t="str">
        <f t="shared" si="0"/>
        <v>PEMA</v>
      </c>
      <c r="B356" s="15" t="s">
        <v>1061</v>
      </c>
      <c r="C356" s="15" t="s">
        <v>1057</v>
      </c>
      <c r="D356" s="15">
        <v>10</v>
      </c>
      <c r="E356" s="15">
        <v>1573</v>
      </c>
    </row>
    <row r="357" spans="1:5" ht="15.75" customHeight="1">
      <c r="A357" s="15" t="str">
        <f t="shared" si="0"/>
        <v>PEMT</v>
      </c>
      <c r="B357" s="15" t="s">
        <v>1061</v>
      </c>
      <c r="C357" s="15" t="s">
        <v>1052</v>
      </c>
      <c r="D357" s="15">
        <v>13</v>
      </c>
      <c r="E357" s="15">
        <v>3255</v>
      </c>
    </row>
    <row r="358" spans="1:5" ht="15.75" customHeight="1">
      <c r="A358" s="15" t="str">
        <f t="shared" si="0"/>
        <v>PEMS</v>
      </c>
      <c r="B358" s="15" t="s">
        <v>1061</v>
      </c>
      <c r="C358" s="15" t="s">
        <v>1053</v>
      </c>
      <c r="D358" s="15">
        <v>12</v>
      </c>
      <c r="E358" s="15">
        <v>3247</v>
      </c>
    </row>
    <row r="359" spans="1:5" ht="15.75" customHeight="1">
      <c r="A359" s="15" t="str">
        <f t="shared" si="0"/>
        <v>PEMG</v>
      </c>
      <c r="B359" s="15" t="s">
        <v>1061</v>
      </c>
      <c r="C359" s="15" t="s">
        <v>24</v>
      </c>
      <c r="D359" s="15">
        <v>11</v>
      </c>
      <c r="E359" s="15">
        <v>2061</v>
      </c>
    </row>
    <row r="360" spans="1:5" ht="15.75" customHeight="1">
      <c r="A360" s="15" t="str">
        <f t="shared" si="0"/>
        <v>PEPA</v>
      </c>
      <c r="B360" s="15" t="s">
        <v>1061</v>
      </c>
      <c r="C360" s="15" t="s">
        <v>1054</v>
      </c>
      <c r="D360" s="15">
        <v>14</v>
      </c>
      <c r="E360" s="15">
        <v>2074</v>
      </c>
    </row>
    <row r="361" spans="1:5" ht="15.75" customHeight="1">
      <c r="A361" s="15" t="str">
        <f t="shared" si="0"/>
        <v>PEPB</v>
      </c>
      <c r="B361" s="15" t="s">
        <v>1061</v>
      </c>
      <c r="C361" s="15" t="s">
        <v>1055</v>
      </c>
      <c r="D361" s="15">
        <v>15</v>
      </c>
      <c r="E361" s="15">
        <v>120</v>
      </c>
    </row>
    <row r="362" spans="1:5" ht="15.75" customHeight="1">
      <c r="A362" s="15" t="str">
        <f t="shared" si="0"/>
        <v>PEPR</v>
      </c>
      <c r="B362" s="15" t="s">
        <v>1061</v>
      </c>
      <c r="C362" s="15" t="s">
        <v>28</v>
      </c>
      <c r="D362" s="15">
        <v>18</v>
      </c>
      <c r="E362" s="15">
        <v>3078</v>
      </c>
    </row>
    <row r="363" spans="1:5" ht="15.75" customHeight="1">
      <c r="A363" s="15" t="str">
        <f t="shared" si="0"/>
        <v>PEPE</v>
      </c>
      <c r="B363" s="15" t="s">
        <v>1061</v>
      </c>
      <c r="C363" s="15" t="s">
        <v>1061</v>
      </c>
      <c r="D363" s="15">
        <v>16</v>
      </c>
      <c r="E363" s="15">
        <v>0</v>
      </c>
    </row>
    <row r="364" spans="1:5" ht="15.75" customHeight="1">
      <c r="A364" s="15" t="str">
        <f t="shared" si="0"/>
        <v>PEPI</v>
      </c>
      <c r="B364" s="15" t="s">
        <v>1061</v>
      </c>
      <c r="C364" s="15" t="s">
        <v>1062</v>
      </c>
      <c r="D364" s="15">
        <v>17</v>
      </c>
      <c r="E364" s="15">
        <v>1137</v>
      </c>
    </row>
    <row r="365" spans="1:5" ht="15.75" customHeight="1">
      <c r="A365" s="15" t="str">
        <f t="shared" si="0"/>
        <v>PERJ</v>
      </c>
      <c r="B365" s="15" t="s">
        <v>1061</v>
      </c>
      <c r="C365" s="15" t="s">
        <v>27</v>
      </c>
      <c r="D365" s="15">
        <v>19</v>
      </c>
      <c r="E365" s="15">
        <v>2338</v>
      </c>
    </row>
    <row r="366" spans="1:5" ht="15.75" customHeight="1">
      <c r="A366" s="15" t="str">
        <f t="shared" si="0"/>
        <v>PERN</v>
      </c>
      <c r="B366" s="15" t="s">
        <v>1061</v>
      </c>
      <c r="C366" s="15" t="s">
        <v>732</v>
      </c>
      <c r="D366" s="15">
        <v>20</v>
      </c>
      <c r="E366" s="15">
        <v>297</v>
      </c>
    </row>
    <row r="367" spans="1:5" ht="15.75" customHeight="1">
      <c r="A367" s="15" t="str">
        <f t="shared" si="0"/>
        <v>PERS</v>
      </c>
      <c r="B367" s="15" t="s">
        <v>1061</v>
      </c>
      <c r="C367" s="15" t="s">
        <v>736</v>
      </c>
      <c r="D367" s="15">
        <v>23</v>
      </c>
      <c r="E367" s="15">
        <v>3779</v>
      </c>
    </row>
    <row r="368" spans="1:5" ht="15.75" customHeight="1">
      <c r="A368" s="15" t="str">
        <f t="shared" si="0"/>
        <v>PERO</v>
      </c>
      <c r="B368" s="15" t="s">
        <v>1061</v>
      </c>
      <c r="C368" s="15" t="s">
        <v>733</v>
      </c>
      <c r="D368" s="15">
        <v>21</v>
      </c>
      <c r="E368" s="15">
        <v>4712</v>
      </c>
    </row>
    <row r="369" spans="1:5" ht="15.75" customHeight="1">
      <c r="A369" s="15" t="str">
        <f t="shared" si="0"/>
        <v>PERR</v>
      </c>
      <c r="B369" s="15" t="s">
        <v>1061</v>
      </c>
      <c r="C369" s="15" t="s">
        <v>1063</v>
      </c>
      <c r="D369" s="15">
        <v>22</v>
      </c>
      <c r="E369" s="15">
        <v>6483</v>
      </c>
    </row>
    <row r="370" spans="1:5" ht="15.75" customHeight="1">
      <c r="A370" s="15" t="str">
        <f t="shared" si="0"/>
        <v>PESC</v>
      </c>
      <c r="B370" s="15" t="s">
        <v>1061</v>
      </c>
      <c r="C370" s="15" t="s">
        <v>26</v>
      </c>
      <c r="D370" s="15">
        <v>24</v>
      </c>
      <c r="E370" s="15">
        <v>3375</v>
      </c>
    </row>
    <row r="371" spans="1:5" ht="15.75" customHeight="1">
      <c r="A371" s="15" t="str">
        <f t="shared" si="0"/>
        <v>PESP</v>
      </c>
      <c r="B371" s="15" t="s">
        <v>1061</v>
      </c>
      <c r="C371" s="15" t="s">
        <v>23</v>
      </c>
      <c r="D371" s="15">
        <v>26</v>
      </c>
      <c r="E371" s="15">
        <v>2660</v>
      </c>
    </row>
    <row r="372" spans="1:5" ht="15.75" customHeight="1">
      <c r="A372" s="15" t="str">
        <f t="shared" si="0"/>
        <v>PESE</v>
      </c>
      <c r="B372" s="15" t="s">
        <v>1061</v>
      </c>
      <c r="C372" s="15" t="s">
        <v>1060</v>
      </c>
      <c r="D372" s="15">
        <v>25</v>
      </c>
      <c r="E372" s="15">
        <v>294</v>
      </c>
    </row>
    <row r="373" spans="1:5" ht="15.75" customHeight="1">
      <c r="A373" s="15" t="str">
        <f t="shared" si="0"/>
        <v>PETO</v>
      </c>
      <c r="B373" s="15" t="s">
        <v>1061</v>
      </c>
      <c r="C373" s="15" t="s">
        <v>1064</v>
      </c>
      <c r="D373" s="15">
        <v>27</v>
      </c>
      <c r="E373" s="15">
        <v>2058</v>
      </c>
    </row>
    <row r="374" spans="1:5" ht="15.75" customHeight="1">
      <c r="A374" s="15" t="str">
        <f t="shared" si="0"/>
        <v>PIAC</v>
      </c>
      <c r="B374" s="15" t="s">
        <v>1062</v>
      </c>
      <c r="C374" s="15" t="s">
        <v>1051</v>
      </c>
      <c r="D374" s="15">
        <v>1</v>
      </c>
      <c r="E374" s="15">
        <v>4900</v>
      </c>
    </row>
    <row r="375" spans="1:5" ht="15.75" customHeight="1">
      <c r="A375" s="15" t="str">
        <f t="shared" si="0"/>
        <v>PIAL</v>
      </c>
      <c r="B375" s="15" t="s">
        <v>1062</v>
      </c>
      <c r="C375" s="15" t="s">
        <v>1056</v>
      </c>
      <c r="D375" s="15">
        <v>2</v>
      </c>
      <c r="E375" s="15">
        <v>1236</v>
      </c>
    </row>
    <row r="376" spans="1:5" ht="15.75" customHeight="1">
      <c r="A376" s="15" t="str">
        <f t="shared" si="0"/>
        <v>PIAP</v>
      </c>
      <c r="B376" s="15" t="s">
        <v>1062</v>
      </c>
      <c r="C376" s="15" t="s">
        <v>1058</v>
      </c>
      <c r="D376" s="15">
        <v>4</v>
      </c>
      <c r="E376" s="15">
        <v>4900</v>
      </c>
    </row>
    <row r="377" spans="1:5" ht="15.75" customHeight="1">
      <c r="A377" s="15" t="str">
        <f t="shared" si="0"/>
        <v>PIAM</v>
      </c>
      <c r="B377" s="15" t="s">
        <v>1062</v>
      </c>
      <c r="C377" s="15" t="s">
        <v>29</v>
      </c>
      <c r="D377" s="15">
        <v>3</v>
      </c>
      <c r="E377" s="15">
        <v>5267</v>
      </c>
    </row>
    <row r="378" spans="1:5" ht="15.75" customHeight="1">
      <c r="A378" s="15" t="str">
        <f t="shared" si="0"/>
        <v>PIBA</v>
      </c>
      <c r="B378" s="15" t="s">
        <v>1062</v>
      </c>
      <c r="C378" s="15" t="s">
        <v>34</v>
      </c>
      <c r="D378" s="15">
        <v>5</v>
      </c>
      <c r="E378" s="15">
        <v>1163</v>
      </c>
    </row>
    <row r="379" spans="1:5" ht="15.75" customHeight="1">
      <c r="A379" s="15" t="str">
        <f t="shared" si="0"/>
        <v>PICE</v>
      </c>
      <c r="B379" s="15" t="s">
        <v>1062</v>
      </c>
      <c r="C379" s="15" t="s">
        <v>41</v>
      </c>
      <c r="D379" s="15">
        <v>6</v>
      </c>
      <c r="E379" s="15">
        <v>634</v>
      </c>
    </row>
    <row r="380" spans="1:5" ht="15.75" customHeight="1">
      <c r="A380" s="15" t="str">
        <f t="shared" si="0"/>
        <v>PIDF</v>
      </c>
      <c r="B380" s="15" t="s">
        <v>1062</v>
      </c>
      <c r="C380" s="15" t="s">
        <v>1059</v>
      </c>
      <c r="D380" s="15">
        <v>7</v>
      </c>
      <c r="E380" s="15">
        <v>1789</v>
      </c>
    </row>
    <row r="381" spans="1:5" ht="15.75" customHeight="1">
      <c r="A381" s="15" t="str">
        <f t="shared" si="0"/>
        <v>PIES</v>
      </c>
      <c r="B381" s="15" t="s">
        <v>1062</v>
      </c>
      <c r="C381" s="15" t="s">
        <v>25</v>
      </c>
      <c r="D381" s="15">
        <v>8</v>
      </c>
      <c r="E381" s="15">
        <v>2171</v>
      </c>
    </row>
    <row r="382" spans="1:5" ht="15.75" customHeight="1">
      <c r="A382" s="15" t="str">
        <f t="shared" si="0"/>
        <v>PIGO</v>
      </c>
      <c r="B382" s="15" t="s">
        <v>1062</v>
      </c>
      <c r="C382" s="15" t="s">
        <v>51</v>
      </c>
      <c r="D382" s="15">
        <v>9</v>
      </c>
      <c r="E382" s="15">
        <v>1986</v>
      </c>
    </row>
    <row r="383" spans="1:5" ht="15.75" customHeight="1">
      <c r="A383" s="15" t="str">
        <f t="shared" si="0"/>
        <v>PIMA</v>
      </c>
      <c r="B383" s="15" t="s">
        <v>1062</v>
      </c>
      <c r="C383" s="15" t="s">
        <v>1057</v>
      </c>
      <c r="D383" s="15">
        <v>10</v>
      </c>
      <c r="E383" s="15">
        <v>446</v>
      </c>
    </row>
    <row r="384" spans="1:5" ht="15.75" customHeight="1">
      <c r="A384" s="15" t="str">
        <f t="shared" si="0"/>
        <v>PIMT</v>
      </c>
      <c r="B384" s="15" t="s">
        <v>1062</v>
      </c>
      <c r="C384" s="15" t="s">
        <v>1052</v>
      </c>
      <c r="D384" s="15">
        <v>13</v>
      </c>
      <c r="E384" s="15">
        <v>2910</v>
      </c>
    </row>
    <row r="385" spans="1:5" ht="15.75" customHeight="1">
      <c r="A385" s="15" t="str">
        <f t="shared" si="0"/>
        <v>PIMS</v>
      </c>
      <c r="B385" s="15" t="s">
        <v>1062</v>
      </c>
      <c r="C385" s="15" t="s">
        <v>1053</v>
      </c>
      <c r="D385" s="15">
        <v>12</v>
      </c>
      <c r="E385" s="15">
        <v>2911</v>
      </c>
    </row>
    <row r="386" spans="1:5" ht="15.75" customHeight="1">
      <c r="A386" s="15" t="str">
        <f t="shared" si="0"/>
        <v>PIMG</v>
      </c>
      <c r="B386" s="15" t="s">
        <v>1062</v>
      </c>
      <c r="C386" s="15" t="s">
        <v>24</v>
      </c>
      <c r="D386" s="15">
        <v>11</v>
      </c>
      <c r="E386" s="15">
        <v>2302</v>
      </c>
    </row>
    <row r="387" spans="1:5" ht="15.75" customHeight="1">
      <c r="A387" s="15" t="str">
        <f t="shared" si="0"/>
        <v>PIPA</v>
      </c>
      <c r="B387" s="15" t="s">
        <v>1062</v>
      </c>
      <c r="C387" s="15" t="s">
        <v>1054</v>
      </c>
      <c r="D387" s="15">
        <v>14</v>
      </c>
      <c r="E387" s="15">
        <v>947</v>
      </c>
    </row>
    <row r="388" spans="1:5" ht="15.75" customHeight="1">
      <c r="A388" s="15" t="str">
        <f t="shared" si="0"/>
        <v>PIPB</v>
      </c>
      <c r="B388" s="15" t="s">
        <v>1062</v>
      </c>
      <c r="C388" s="15" t="s">
        <v>1055</v>
      </c>
      <c r="D388" s="15">
        <v>15</v>
      </c>
      <c r="E388" s="15">
        <v>1224</v>
      </c>
    </row>
    <row r="389" spans="1:5" ht="15.75" customHeight="1">
      <c r="A389" s="15" t="str">
        <f t="shared" si="0"/>
        <v>PIPR</v>
      </c>
      <c r="B389" s="15" t="s">
        <v>1062</v>
      </c>
      <c r="C389" s="15" t="s">
        <v>28</v>
      </c>
      <c r="D389" s="15">
        <v>18</v>
      </c>
      <c r="E389" s="15">
        <v>3143</v>
      </c>
    </row>
    <row r="390" spans="1:5" ht="15.75" customHeight="1">
      <c r="A390" s="15" t="str">
        <f t="shared" si="0"/>
        <v>PIPE</v>
      </c>
      <c r="B390" s="15" t="s">
        <v>1062</v>
      </c>
      <c r="C390" s="15" t="s">
        <v>1061</v>
      </c>
      <c r="D390" s="15">
        <v>16</v>
      </c>
      <c r="E390" s="15">
        <v>1137</v>
      </c>
    </row>
    <row r="391" spans="1:5" ht="15.75" customHeight="1">
      <c r="A391" s="15" t="str">
        <f t="shared" si="0"/>
        <v>PIPI</v>
      </c>
      <c r="B391" s="15" t="s">
        <v>1062</v>
      </c>
      <c r="C391" s="15" t="s">
        <v>1062</v>
      </c>
      <c r="D391" s="15">
        <v>17</v>
      </c>
      <c r="E391" s="15">
        <v>0</v>
      </c>
    </row>
    <row r="392" spans="1:5" ht="15.75" customHeight="1">
      <c r="A392" s="15" t="str">
        <f t="shared" si="0"/>
        <v>PIRJ</v>
      </c>
      <c r="B392" s="15" t="s">
        <v>1062</v>
      </c>
      <c r="C392" s="15" t="s">
        <v>27</v>
      </c>
      <c r="D392" s="15">
        <v>19</v>
      </c>
      <c r="E392" s="15">
        <v>2579</v>
      </c>
    </row>
    <row r="393" spans="1:5" ht="15.75" customHeight="1">
      <c r="A393" s="15" t="str">
        <f t="shared" si="0"/>
        <v>PIRN</v>
      </c>
      <c r="B393" s="15" t="s">
        <v>1062</v>
      </c>
      <c r="C393" s="15" t="s">
        <v>732</v>
      </c>
      <c r="D393" s="15">
        <v>20</v>
      </c>
      <c r="E393" s="15">
        <v>1171</v>
      </c>
    </row>
    <row r="394" spans="1:5" ht="15.75" customHeight="1">
      <c r="A394" s="15" t="str">
        <f t="shared" si="0"/>
        <v>PIRS</v>
      </c>
      <c r="B394" s="15" t="s">
        <v>1062</v>
      </c>
      <c r="C394" s="15" t="s">
        <v>736</v>
      </c>
      <c r="D394" s="15">
        <v>23</v>
      </c>
      <c r="E394" s="15">
        <v>3804</v>
      </c>
    </row>
    <row r="395" spans="1:5" ht="15.75" customHeight="1">
      <c r="A395" s="15" t="str">
        <f t="shared" si="0"/>
        <v>PIRO</v>
      </c>
      <c r="B395" s="15" t="s">
        <v>1062</v>
      </c>
      <c r="C395" s="15" t="s">
        <v>733</v>
      </c>
      <c r="D395" s="15">
        <v>21</v>
      </c>
      <c r="E395" s="15">
        <v>4366</v>
      </c>
    </row>
    <row r="396" spans="1:5" ht="15.75" customHeight="1">
      <c r="A396" s="15" t="str">
        <f t="shared" si="0"/>
        <v>PIRR</v>
      </c>
      <c r="B396" s="15" t="s">
        <v>1062</v>
      </c>
      <c r="C396" s="15" t="s">
        <v>1063</v>
      </c>
      <c r="D396" s="15">
        <v>22</v>
      </c>
      <c r="E396" s="15">
        <v>6052</v>
      </c>
    </row>
    <row r="397" spans="1:5" ht="15.75" customHeight="1">
      <c r="A397" s="15" t="str">
        <f t="shared" si="0"/>
        <v>PISC</v>
      </c>
      <c r="B397" s="15" t="s">
        <v>1062</v>
      </c>
      <c r="C397" s="15" t="s">
        <v>26</v>
      </c>
      <c r="D397" s="15">
        <v>24</v>
      </c>
      <c r="E397" s="15">
        <v>3450</v>
      </c>
    </row>
    <row r="398" spans="1:5" ht="15.75" customHeight="1">
      <c r="A398" s="15" t="str">
        <f t="shared" si="0"/>
        <v>PISP</v>
      </c>
      <c r="B398" s="15" t="s">
        <v>1062</v>
      </c>
      <c r="C398" s="15" t="s">
        <v>23</v>
      </c>
      <c r="D398" s="15">
        <v>26</v>
      </c>
      <c r="E398" s="15">
        <v>2792</v>
      </c>
    </row>
    <row r="399" spans="1:5" ht="15.75" customHeight="1">
      <c r="A399" s="15" t="str">
        <f t="shared" si="0"/>
        <v>PISE</v>
      </c>
      <c r="B399" s="15" t="s">
        <v>1062</v>
      </c>
      <c r="C399" s="15" t="s">
        <v>1060</v>
      </c>
      <c r="D399" s="15">
        <v>25</v>
      </c>
      <c r="E399" s="15">
        <v>4230</v>
      </c>
    </row>
    <row r="400" spans="1:5" ht="15.75" customHeight="1">
      <c r="A400" s="15" t="str">
        <f t="shared" si="0"/>
        <v>PITO</v>
      </c>
      <c r="B400" s="15" t="s">
        <v>1062</v>
      </c>
      <c r="C400" s="15" t="s">
        <v>1064</v>
      </c>
      <c r="D400" s="15">
        <v>27</v>
      </c>
      <c r="E400" s="15">
        <v>1401</v>
      </c>
    </row>
    <row r="401" spans="1:5" ht="15.75" customHeight="1">
      <c r="A401" s="15" t="str">
        <f t="shared" si="0"/>
        <v>RJAC</v>
      </c>
      <c r="B401" s="15" t="s">
        <v>27</v>
      </c>
      <c r="C401" s="15" t="s">
        <v>1051</v>
      </c>
      <c r="D401" s="15">
        <v>1</v>
      </c>
      <c r="E401" s="15">
        <v>4007</v>
      </c>
    </row>
    <row r="402" spans="1:5" ht="15.75" customHeight="1">
      <c r="A402" s="15" t="str">
        <f t="shared" si="0"/>
        <v>RJAL</v>
      </c>
      <c r="B402" s="15" t="s">
        <v>27</v>
      </c>
      <c r="C402" s="15" t="s">
        <v>1056</v>
      </c>
      <c r="D402" s="15">
        <v>2</v>
      </c>
      <c r="E402" s="15">
        <v>2131</v>
      </c>
    </row>
    <row r="403" spans="1:5" ht="15.75" customHeight="1">
      <c r="A403" s="15" t="str">
        <f t="shared" si="0"/>
        <v>RJAP</v>
      </c>
      <c r="B403" s="15" t="s">
        <v>27</v>
      </c>
      <c r="C403" s="15" t="s">
        <v>1058</v>
      </c>
      <c r="D403" s="15">
        <v>4</v>
      </c>
      <c r="E403" s="15">
        <v>4007</v>
      </c>
    </row>
    <row r="404" spans="1:5" ht="15.75" customHeight="1">
      <c r="A404" s="15" t="str">
        <f t="shared" si="0"/>
        <v>RJAM</v>
      </c>
      <c r="B404" s="15" t="s">
        <v>27</v>
      </c>
      <c r="C404" s="15" t="s">
        <v>29</v>
      </c>
      <c r="D404" s="15">
        <v>3</v>
      </c>
      <c r="E404" s="15">
        <v>4374</v>
      </c>
    </row>
    <row r="405" spans="1:5" ht="15.75" customHeight="1">
      <c r="A405" s="15" t="str">
        <f t="shared" si="0"/>
        <v>RJBA</v>
      </c>
      <c r="B405" s="15" t="s">
        <v>27</v>
      </c>
      <c r="C405" s="15" t="s">
        <v>34</v>
      </c>
      <c r="D405" s="15">
        <v>5</v>
      </c>
      <c r="E405" s="15">
        <v>1649</v>
      </c>
    </row>
    <row r="406" spans="1:5" ht="15.75" customHeight="1">
      <c r="A406" s="15" t="str">
        <f t="shared" si="0"/>
        <v>RJCE</v>
      </c>
      <c r="B406" s="15" t="s">
        <v>27</v>
      </c>
      <c r="C406" s="15" t="s">
        <v>41</v>
      </c>
      <c r="D406" s="15">
        <v>6</v>
      </c>
      <c r="E406" s="15">
        <v>2805</v>
      </c>
    </row>
    <row r="407" spans="1:5" ht="15.75" customHeight="1">
      <c r="A407" s="15" t="str">
        <f t="shared" si="0"/>
        <v>RJDF</v>
      </c>
      <c r="B407" s="15" t="s">
        <v>27</v>
      </c>
      <c r="C407" s="15" t="s">
        <v>1059</v>
      </c>
      <c r="D407" s="15">
        <v>7</v>
      </c>
      <c r="E407" s="15">
        <v>1148</v>
      </c>
    </row>
    <row r="408" spans="1:5" ht="15.75" customHeight="1">
      <c r="A408" s="15" t="str">
        <f t="shared" si="0"/>
        <v>RJES</v>
      </c>
      <c r="B408" s="15" t="s">
        <v>27</v>
      </c>
      <c r="C408" s="15" t="s">
        <v>25</v>
      </c>
      <c r="D408" s="15">
        <v>8</v>
      </c>
      <c r="E408" s="15">
        <v>521</v>
      </c>
    </row>
    <row r="409" spans="1:5" ht="15.75" customHeight="1">
      <c r="A409" s="15" t="str">
        <f t="shared" si="0"/>
        <v>RJGO</v>
      </c>
      <c r="B409" s="15" t="s">
        <v>27</v>
      </c>
      <c r="C409" s="15" t="s">
        <v>51</v>
      </c>
      <c r="D409" s="15">
        <v>9</v>
      </c>
      <c r="E409" s="15">
        <v>1338</v>
      </c>
    </row>
    <row r="410" spans="1:5" ht="15.75" customHeight="1">
      <c r="A410" s="15" t="str">
        <f t="shared" si="0"/>
        <v>RJMA</v>
      </c>
      <c r="B410" s="15" t="s">
        <v>27</v>
      </c>
      <c r="C410" s="15" t="s">
        <v>1057</v>
      </c>
      <c r="D410" s="15">
        <v>10</v>
      </c>
      <c r="E410" s="15">
        <v>3015</v>
      </c>
    </row>
    <row r="411" spans="1:5" ht="15.75" customHeight="1">
      <c r="A411" s="15" t="str">
        <f t="shared" si="0"/>
        <v>RJMT</v>
      </c>
      <c r="B411" s="15" t="s">
        <v>27</v>
      </c>
      <c r="C411" s="15" t="s">
        <v>1052</v>
      </c>
      <c r="D411" s="15">
        <v>13</v>
      </c>
      <c r="E411" s="15">
        <v>2017</v>
      </c>
    </row>
    <row r="412" spans="1:5" ht="15.75" customHeight="1">
      <c r="A412" s="15" t="str">
        <f t="shared" si="0"/>
        <v>RJMS</v>
      </c>
      <c r="B412" s="15" t="s">
        <v>27</v>
      </c>
      <c r="C412" s="15" t="s">
        <v>1053</v>
      </c>
      <c r="D412" s="15">
        <v>12</v>
      </c>
      <c r="E412" s="15">
        <v>1444</v>
      </c>
    </row>
    <row r="413" spans="1:5" ht="15.75" customHeight="1">
      <c r="A413" s="15" t="str">
        <f t="shared" si="0"/>
        <v>RJMG</v>
      </c>
      <c r="B413" s="15" t="s">
        <v>27</v>
      </c>
      <c r="C413" s="15" t="s">
        <v>24</v>
      </c>
      <c r="D413" s="15">
        <v>11</v>
      </c>
      <c r="E413" s="15">
        <v>434</v>
      </c>
    </row>
    <row r="414" spans="1:5" ht="15.75" customHeight="1">
      <c r="A414" s="15" t="str">
        <f t="shared" si="0"/>
        <v>RJPA</v>
      </c>
      <c r="B414" s="15" t="s">
        <v>27</v>
      </c>
      <c r="C414" s="15" t="s">
        <v>1054</v>
      </c>
      <c r="D414" s="15">
        <v>14</v>
      </c>
      <c r="E414" s="15">
        <v>3250</v>
      </c>
    </row>
    <row r="415" spans="1:5" ht="15.75" customHeight="1">
      <c r="A415" s="15" t="str">
        <f t="shared" si="0"/>
        <v>RJPB</v>
      </c>
      <c r="B415" s="15" t="s">
        <v>27</v>
      </c>
      <c r="C415" s="15" t="s">
        <v>1055</v>
      </c>
      <c r="D415" s="15">
        <v>15</v>
      </c>
      <c r="E415" s="15">
        <v>2448</v>
      </c>
    </row>
    <row r="416" spans="1:5" ht="15.75" customHeight="1">
      <c r="A416" s="15" t="str">
        <f t="shared" si="0"/>
        <v>RJPR</v>
      </c>
      <c r="B416" s="15" t="s">
        <v>27</v>
      </c>
      <c r="C416" s="15" t="s">
        <v>28</v>
      </c>
      <c r="D416" s="15">
        <v>18</v>
      </c>
      <c r="E416" s="15">
        <v>852</v>
      </c>
    </row>
    <row r="417" spans="1:5" ht="15.75" customHeight="1">
      <c r="A417" s="15" t="str">
        <f t="shared" si="0"/>
        <v>RJPE</v>
      </c>
      <c r="B417" s="15" t="s">
        <v>27</v>
      </c>
      <c r="C417" s="15" t="s">
        <v>1061</v>
      </c>
      <c r="D417" s="15">
        <v>16</v>
      </c>
      <c r="E417" s="15">
        <v>2338</v>
      </c>
    </row>
    <row r="418" spans="1:5" ht="15.75" customHeight="1">
      <c r="A418" s="15" t="str">
        <f t="shared" si="0"/>
        <v>RJPI</v>
      </c>
      <c r="B418" s="15" t="s">
        <v>27</v>
      </c>
      <c r="C418" s="15" t="s">
        <v>1062</v>
      </c>
      <c r="D418" s="15">
        <v>17</v>
      </c>
      <c r="E418" s="15">
        <v>2579</v>
      </c>
    </row>
    <row r="419" spans="1:5" ht="15.75" customHeight="1">
      <c r="A419" s="15" t="str">
        <f t="shared" si="0"/>
        <v>RJRJ</v>
      </c>
      <c r="B419" s="15" t="s">
        <v>27</v>
      </c>
      <c r="C419" s="15" t="s">
        <v>27</v>
      </c>
      <c r="D419" s="15">
        <v>19</v>
      </c>
      <c r="E419" s="15">
        <v>0</v>
      </c>
    </row>
    <row r="420" spans="1:5" ht="15.75" customHeight="1">
      <c r="A420" s="15" t="str">
        <f t="shared" si="0"/>
        <v>RJRN</v>
      </c>
      <c r="B420" s="15" t="s">
        <v>27</v>
      </c>
      <c r="C420" s="15" t="s">
        <v>732</v>
      </c>
      <c r="D420" s="15">
        <v>20</v>
      </c>
      <c r="E420" s="15">
        <v>2625</v>
      </c>
    </row>
    <row r="421" spans="1:5" ht="15.75" customHeight="1">
      <c r="A421" s="15" t="str">
        <f t="shared" si="0"/>
        <v>RJRS</v>
      </c>
      <c r="B421" s="15" t="s">
        <v>27</v>
      </c>
      <c r="C421" s="15" t="s">
        <v>736</v>
      </c>
      <c r="D421" s="15">
        <v>23</v>
      </c>
      <c r="E421" s="15">
        <v>1553</v>
      </c>
    </row>
    <row r="422" spans="1:5" ht="15.75" customHeight="1">
      <c r="A422" s="15" t="str">
        <f t="shared" si="0"/>
        <v>RJRO</v>
      </c>
      <c r="B422" s="15" t="s">
        <v>27</v>
      </c>
      <c r="C422" s="15" t="s">
        <v>733</v>
      </c>
      <c r="D422" s="15">
        <v>21</v>
      </c>
      <c r="E422" s="15">
        <v>3473</v>
      </c>
    </row>
    <row r="423" spans="1:5" ht="15.75" customHeight="1">
      <c r="A423" s="15" t="str">
        <f t="shared" si="0"/>
        <v>RJRR</v>
      </c>
      <c r="B423" s="15" t="s">
        <v>27</v>
      </c>
      <c r="C423" s="15" t="s">
        <v>1063</v>
      </c>
      <c r="D423" s="15">
        <v>22</v>
      </c>
      <c r="E423" s="15">
        <v>5159</v>
      </c>
    </row>
    <row r="424" spans="1:5" ht="15.75" customHeight="1">
      <c r="A424" s="15" t="str">
        <f t="shared" si="0"/>
        <v>RJSC</v>
      </c>
      <c r="B424" s="15" t="s">
        <v>27</v>
      </c>
      <c r="C424" s="15" t="s">
        <v>26</v>
      </c>
      <c r="D424" s="15">
        <v>24</v>
      </c>
      <c r="E424" s="15">
        <v>1144</v>
      </c>
    </row>
    <row r="425" spans="1:5" ht="15.75" customHeight="1">
      <c r="A425" s="15" t="str">
        <f t="shared" si="0"/>
        <v>RJSP</v>
      </c>
      <c r="B425" s="15" t="s">
        <v>27</v>
      </c>
      <c r="C425" s="15" t="s">
        <v>23</v>
      </c>
      <c r="D425" s="15">
        <v>26</v>
      </c>
      <c r="E425" s="15">
        <v>429</v>
      </c>
    </row>
    <row r="426" spans="1:5" ht="15.75" customHeight="1">
      <c r="A426" s="15" t="str">
        <f t="shared" si="0"/>
        <v>RJSE</v>
      </c>
      <c r="B426" s="15" t="s">
        <v>27</v>
      </c>
      <c r="C426" s="15" t="s">
        <v>1060</v>
      </c>
      <c r="D426" s="15">
        <v>25</v>
      </c>
      <c r="E426" s="15">
        <v>788</v>
      </c>
    </row>
    <row r="427" spans="1:5" ht="15.75" customHeight="1">
      <c r="A427" s="15" t="str">
        <f t="shared" si="0"/>
        <v>RJTO</v>
      </c>
      <c r="B427" s="15" t="s">
        <v>27</v>
      </c>
      <c r="C427" s="15" t="s">
        <v>1064</v>
      </c>
      <c r="D427" s="15">
        <v>27</v>
      </c>
      <c r="E427" s="15">
        <v>2124</v>
      </c>
    </row>
    <row r="428" spans="1:5" ht="15.75" customHeight="1">
      <c r="A428" s="15" t="str">
        <f t="shared" si="0"/>
        <v>RNAC</v>
      </c>
      <c r="B428" s="15" t="s">
        <v>732</v>
      </c>
      <c r="C428" s="15" t="s">
        <v>1051</v>
      </c>
      <c r="D428" s="15">
        <v>1</v>
      </c>
      <c r="E428" s="15">
        <v>5533</v>
      </c>
    </row>
    <row r="429" spans="1:5" ht="15.75" customHeight="1">
      <c r="A429" s="15" t="str">
        <f t="shared" si="0"/>
        <v>RNAL</v>
      </c>
      <c r="B429" s="15" t="s">
        <v>732</v>
      </c>
      <c r="C429" s="15" t="s">
        <v>1056</v>
      </c>
      <c r="D429" s="15">
        <v>2</v>
      </c>
      <c r="E429" s="15">
        <v>572</v>
      </c>
    </row>
    <row r="430" spans="1:5" ht="15.75" customHeight="1">
      <c r="A430" s="15" t="str">
        <f t="shared" si="0"/>
        <v>RNAP</v>
      </c>
      <c r="B430" s="15" t="s">
        <v>732</v>
      </c>
      <c r="C430" s="15" t="s">
        <v>1058</v>
      </c>
      <c r="D430" s="15">
        <v>4</v>
      </c>
      <c r="E430" s="15">
        <v>5533</v>
      </c>
    </row>
    <row r="431" spans="1:5" ht="15.75" customHeight="1">
      <c r="A431" s="15" t="str">
        <f t="shared" si="0"/>
        <v>RNAM</v>
      </c>
      <c r="B431" s="15" t="s">
        <v>732</v>
      </c>
      <c r="C431" s="15" t="s">
        <v>29</v>
      </c>
      <c r="D431" s="15">
        <v>3</v>
      </c>
      <c r="E431" s="15">
        <v>5985</v>
      </c>
    </row>
    <row r="432" spans="1:5" ht="15.75" customHeight="1">
      <c r="A432" s="15" t="str">
        <f t="shared" si="0"/>
        <v>RNBA</v>
      </c>
      <c r="B432" s="15" t="s">
        <v>732</v>
      </c>
      <c r="C432" s="15" t="s">
        <v>34</v>
      </c>
      <c r="D432" s="15">
        <v>5</v>
      </c>
      <c r="E432" s="15">
        <v>1126</v>
      </c>
    </row>
    <row r="433" spans="1:5" ht="15.75" customHeight="1">
      <c r="A433" s="15" t="str">
        <f t="shared" si="0"/>
        <v>RNCE</v>
      </c>
      <c r="B433" s="15" t="s">
        <v>732</v>
      </c>
      <c r="C433" s="15" t="s">
        <v>41</v>
      </c>
      <c r="D433" s="15">
        <v>6</v>
      </c>
      <c r="E433" s="15">
        <v>537</v>
      </c>
    </row>
    <row r="434" spans="1:5" ht="15.75" customHeight="1">
      <c r="A434" s="15" t="str">
        <f t="shared" si="0"/>
        <v>RNDF</v>
      </c>
      <c r="B434" s="15" t="s">
        <v>732</v>
      </c>
      <c r="C434" s="15" t="s">
        <v>1059</v>
      </c>
      <c r="D434" s="15">
        <v>7</v>
      </c>
      <c r="E434" s="15">
        <v>2422</v>
      </c>
    </row>
    <row r="435" spans="1:5" ht="15.75" customHeight="1">
      <c r="A435" s="15" t="str">
        <f t="shared" si="0"/>
        <v>RNES</v>
      </c>
      <c r="B435" s="15" t="s">
        <v>732</v>
      </c>
      <c r="C435" s="15" t="s">
        <v>25</v>
      </c>
      <c r="D435" s="15">
        <v>8</v>
      </c>
      <c r="E435" s="15">
        <v>2178</v>
      </c>
    </row>
    <row r="436" spans="1:5" ht="15.75" customHeight="1">
      <c r="A436" s="15" t="str">
        <f t="shared" si="0"/>
        <v>RNGO</v>
      </c>
      <c r="B436" s="15" t="s">
        <v>732</v>
      </c>
      <c r="C436" s="15" t="s">
        <v>51</v>
      </c>
      <c r="D436" s="15">
        <v>9</v>
      </c>
      <c r="E436" s="15">
        <v>2618</v>
      </c>
    </row>
    <row r="437" spans="1:5" ht="15.75" customHeight="1">
      <c r="A437" s="15" t="str">
        <f t="shared" si="0"/>
        <v>RNMA</v>
      </c>
      <c r="B437" s="15" t="s">
        <v>732</v>
      </c>
      <c r="C437" s="15" t="s">
        <v>1057</v>
      </c>
      <c r="D437" s="15">
        <v>10</v>
      </c>
      <c r="E437" s="15">
        <v>1607</v>
      </c>
    </row>
    <row r="438" spans="1:5" ht="15.75" customHeight="1">
      <c r="A438" s="15" t="str">
        <f t="shared" si="0"/>
        <v>RNMT</v>
      </c>
      <c r="B438" s="15" t="s">
        <v>732</v>
      </c>
      <c r="C438" s="15" t="s">
        <v>1052</v>
      </c>
      <c r="D438" s="15">
        <v>13</v>
      </c>
      <c r="E438" s="15">
        <v>3543</v>
      </c>
    </row>
    <row r="439" spans="1:5" ht="15.75" customHeight="1">
      <c r="A439" s="15" t="str">
        <f t="shared" si="0"/>
        <v>RNMS</v>
      </c>
      <c r="B439" s="15" t="s">
        <v>732</v>
      </c>
      <c r="C439" s="15" t="s">
        <v>1053</v>
      </c>
      <c r="D439" s="15">
        <v>12</v>
      </c>
      <c r="E439" s="15">
        <v>3534</v>
      </c>
    </row>
    <row r="440" spans="1:5" ht="15.75" customHeight="1">
      <c r="A440" s="15" t="str">
        <f t="shared" si="0"/>
        <v>RNMG</v>
      </c>
      <c r="B440" s="15" t="s">
        <v>732</v>
      </c>
      <c r="C440" s="15" t="s">
        <v>24</v>
      </c>
      <c r="D440" s="15">
        <v>11</v>
      </c>
      <c r="E440" s="15">
        <v>2348</v>
      </c>
    </row>
    <row r="441" spans="1:5" ht="15.75" customHeight="1">
      <c r="A441" s="15" t="str">
        <f t="shared" si="0"/>
        <v>RNPA</v>
      </c>
      <c r="B441" s="15" t="s">
        <v>732</v>
      </c>
      <c r="C441" s="15" t="s">
        <v>1054</v>
      </c>
      <c r="D441" s="15">
        <v>14</v>
      </c>
      <c r="E441" s="15">
        <v>2108</v>
      </c>
    </row>
    <row r="442" spans="1:5" ht="15.75" customHeight="1">
      <c r="A442" s="15" t="str">
        <f t="shared" si="0"/>
        <v>RNPB</v>
      </c>
      <c r="B442" s="15" t="s">
        <v>732</v>
      </c>
      <c r="C442" s="15" t="s">
        <v>1055</v>
      </c>
      <c r="D442" s="15">
        <v>15</v>
      </c>
      <c r="E442" s="15">
        <v>185</v>
      </c>
    </row>
    <row r="443" spans="1:5" ht="15.75" customHeight="1">
      <c r="A443" s="15" t="str">
        <f t="shared" si="0"/>
        <v>RNPR</v>
      </c>
      <c r="B443" s="15" t="s">
        <v>732</v>
      </c>
      <c r="C443" s="15" t="s">
        <v>28</v>
      </c>
      <c r="D443" s="15">
        <v>18</v>
      </c>
      <c r="E443" s="15">
        <v>3365</v>
      </c>
    </row>
    <row r="444" spans="1:5" ht="15.75" customHeight="1">
      <c r="A444" s="15" t="str">
        <f t="shared" si="0"/>
        <v>RNPE</v>
      </c>
      <c r="B444" s="15" t="s">
        <v>732</v>
      </c>
      <c r="C444" s="15" t="s">
        <v>1061</v>
      </c>
      <c r="D444" s="15">
        <v>16</v>
      </c>
      <c r="E444" s="15">
        <v>297</v>
      </c>
    </row>
    <row r="445" spans="1:5" ht="15.75" customHeight="1">
      <c r="A445" s="15" t="str">
        <f t="shared" si="0"/>
        <v>RNPI</v>
      </c>
      <c r="B445" s="15" t="s">
        <v>732</v>
      </c>
      <c r="C445" s="15" t="s">
        <v>1062</v>
      </c>
      <c r="D445" s="15">
        <v>17</v>
      </c>
      <c r="E445" s="15">
        <v>1171</v>
      </c>
    </row>
    <row r="446" spans="1:5" ht="15.75" customHeight="1">
      <c r="A446" s="15" t="str">
        <f t="shared" si="0"/>
        <v>RNRJ</v>
      </c>
      <c r="B446" s="15" t="s">
        <v>732</v>
      </c>
      <c r="C446" s="15" t="s">
        <v>27</v>
      </c>
      <c r="D446" s="15">
        <v>19</v>
      </c>
      <c r="E446" s="15">
        <v>2625</v>
      </c>
    </row>
    <row r="447" spans="1:5" ht="15.75" customHeight="1">
      <c r="A447" s="15" t="str">
        <f t="shared" si="0"/>
        <v>RNRN</v>
      </c>
      <c r="B447" s="15" t="s">
        <v>732</v>
      </c>
      <c r="C447" s="15" t="s">
        <v>732</v>
      </c>
      <c r="D447" s="15">
        <v>20</v>
      </c>
      <c r="E447" s="15">
        <v>0</v>
      </c>
    </row>
    <row r="448" spans="1:5" ht="15.75" customHeight="1">
      <c r="A448" s="15" t="str">
        <f t="shared" si="0"/>
        <v>RNRS</v>
      </c>
      <c r="B448" s="15" t="s">
        <v>732</v>
      </c>
      <c r="C448" s="15" t="s">
        <v>736</v>
      </c>
      <c r="D448" s="15">
        <v>23</v>
      </c>
      <c r="E448" s="15">
        <v>4066</v>
      </c>
    </row>
    <row r="449" spans="1:5" ht="15.75" customHeight="1">
      <c r="A449" s="15" t="str">
        <f t="shared" si="0"/>
        <v>RNRO</v>
      </c>
      <c r="B449" s="15" t="s">
        <v>732</v>
      </c>
      <c r="C449" s="15" t="s">
        <v>733</v>
      </c>
      <c r="D449" s="15">
        <v>21</v>
      </c>
      <c r="E449" s="15">
        <v>4999</v>
      </c>
    </row>
    <row r="450" spans="1:5" ht="15.75" customHeight="1">
      <c r="A450" s="15" t="str">
        <f t="shared" si="0"/>
        <v>RNRR</v>
      </c>
      <c r="B450" s="15" t="s">
        <v>732</v>
      </c>
      <c r="C450" s="15" t="s">
        <v>1063</v>
      </c>
      <c r="D450" s="15">
        <v>22</v>
      </c>
      <c r="E450" s="15">
        <v>6770</v>
      </c>
    </row>
    <row r="451" spans="1:5" ht="15.75" customHeight="1">
      <c r="A451" s="15" t="str">
        <f t="shared" si="0"/>
        <v>RNSC</v>
      </c>
      <c r="B451" s="15" t="s">
        <v>732</v>
      </c>
      <c r="C451" s="15" t="s">
        <v>26</v>
      </c>
      <c r="D451" s="15">
        <v>24</v>
      </c>
      <c r="E451" s="15">
        <v>3662</v>
      </c>
    </row>
    <row r="452" spans="1:5" ht="15.75" customHeight="1">
      <c r="A452" s="15" t="str">
        <f t="shared" si="0"/>
        <v>RNSP</v>
      </c>
      <c r="B452" s="15" t="s">
        <v>732</v>
      </c>
      <c r="C452" s="15" t="s">
        <v>23</v>
      </c>
      <c r="D452" s="15">
        <v>26</v>
      </c>
      <c r="E452" s="15">
        <v>2947</v>
      </c>
    </row>
    <row r="453" spans="1:5" ht="15.75" customHeight="1">
      <c r="A453" s="15" t="str">
        <f t="shared" si="0"/>
        <v>RNSE</v>
      </c>
      <c r="B453" s="15" t="s">
        <v>732</v>
      </c>
      <c r="C453" s="15" t="s">
        <v>1060</v>
      </c>
      <c r="D453" s="15">
        <v>25</v>
      </c>
      <c r="E453" s="15">
        <v>611</v>
      </c>
    </row>
    <row r="454" spans="1:5" ht="15.75" customHeight="1">
      <c r="A454" s="15" t="str">
        <f t="shared" si="0"/>
        <v>RNTO</v>
      </c>
      <c r="B454" s="15" t="s">
        <v>732</v>
      </c>
      <c r="C454" s="15" t="s">
        <v>1064</v>
      </c>
      <c r="D454" s="15">
        <v>27</v>
      </c>
      <c r="E454" s="15">
        <v>2345</v>
      </c>
    </row>
    <row r="455" spans="1:5" ht="15.75" customHeight="1">
      <c r="A455" s="15" t="str">
        <f t="shared" si="0"/>
        <v>RSAC</v>
      </c>
      <c r="B455" s="15" t="s">
        <v>736</v>
      </c>
      <c r="C455" s="15" t="s">
        <v>1051</v>
      </c>
      <c r="D455" s="15">
        <v>1</v>
      </c>
      <c r="E455" s="15">
        <v>4196</v>
      </c>
    </row>
    <row r="456" spans="1:5" ht="15.75" customHeight="1">
      <c r="A456" s="15" t="str">
        <f t="shared" si="0"/>
        <v>RSAL</v>
      </c>
      <c r="B456" s="15" t="s">
        <v>736</v>
      </c>
      <c r="C456" s="15" t="s">
        <v>1056</v>
      </c>
      <c r="D456" s="15">
        <v>2</v>
      </c>
      <c r="E456" s="15">
        <v>3572</v>
      </c>
    </row>
    <row r="457" spans="1:5" ht="15.75" customHeight="1">
      <c r="A457" s="15" t="str">
        <f t="shared" si="0"/>
        <v>RSAP</v>
      </c>
      <c r="B457" s="15" t="s">
        <v>736</v>
      </c>
      <c r="C457" s="15" t="s">
        <v>1058</v>
      </c>
      <c r="D457" s="15">
        <v>4</v>
      </c>
      <c r="E457" s="15">
        <v>4196</v>
      </c>
    </row>
    <row r="458" spans="1:5" ht="15.75" customHeight="1">
      <c r="A458" s="15" t="str">
        <f t="shared" si="0"/>
        <v>RSAM</v>
      </c>
      <c r="B458" s="15" t="s">
        <v>736</v>
      </c>
      <c r="C458" s="15" t="s">
        <v>29</v>
      </c>
      <c r="D458" s="15">
        <v>3</v>
      </c>
      <c r="E458" s="15">
        <v>4563</v>
      </c>
    </row>
    <row r="459" spans="1:5" ht="15.75" customHeight="1">
      <c r="A459" s="15" t="str">
        <f t="shared" si="0"/>
        <v>RSBA</v>
      </c>
      <c r="B459" s="15" t="s">
        <v>736</v>
      </c>
      <c r="C459" s="15" t="s">
        <v>34</v>
      </c>
      <c r="D459" s="15">
        <v>5</v>
      </c>
      <c r="E459" s="15">
        <v>3090</v>
      </c>
    </row>
    <row r="460" spans="1:5" ht="15.75" customHeight="1">
      <c r="A460" s="15" t="str">
        <f t="shared" si="0"/>
        <v>RSCE</v>
      </c>
      <c r="B460" s="15" t="s">
        <v>736</v>
      </c>
      <c r="C460" s="15" t="s">
        <v>41</v>
      </c>
      <c r="D460" s="15">
        <v>6</v>
      </c>
      <c r="E460" s="15">
        <v>4242</v>
      </c>
    </row>
    <row r="461" spans="1:5" ht="15.75" customHeight="1">
      <c r="A461" s="15" t="str">
        <f t="shared" si="0"/>
        <v>RSDF</v>
      </c>
      <c r="B461" s="15" t="s">
        <v>736</v>
      </c>
      <c r="C461" s="15" t="s">
        <v>1059</v>
      </c>
      <c r="D461" s="15">
        <v>7</v>
      </c>
      <c r="E461" s="15">
        <v>2027</v>
      </c>
    </row>
    <row r="462" spans="1:5" ht="15.75" customHeight="1">
      <c r="A462" s="15" t="str">
        <f t="shared" si="0"/>
        <v>RSES</v>
      </c>
      <c r="B462" s="15" t="s">
        <v>736</v>
      </c>
      <c r="C462" s="15" t="s">
        <v>25</v>
      </c>
      <c r="D462" s="15">
        <v>8</v>
      </c>
      <c r="E462" s="15">
        <v>2001</v>
      </c>
    </row>
    <row r="463" spans="1:5" ht="15.75" customHeight="1">
      <c r="A463" s="15" t="str">
        <f t="shared" si="0"/>
        <v>RSGO</v>
      </c>
      <c r="B463" s="15" t="s">
        <v>736</v>
      </c>
      <c r="C463" s="15" t="s">
        <v>51</v>
      </c>
      <c r="D463" s="15">
        <v>9</v>
      </c>
      <c r="E463" s="15">
        <v>1847</v>
      </c>
    </row>
    <row r="464" spans="1:5" ht="15.75" customHeight="1">
      <c r="A464" s="15" t="str">
        <f t="shared" si="0"/>
        <v>RSMA</v>
      </c>
      <c r="B464" s="15" t="s">
        <v>736</v>
      </c>
      <c r="C464" s="15" t="s">
        <v>1057</v>
      </c>
      <c r="D464" s="15">
        <v>10</v>
      </c>
      <c r="E464" s="15">
        <v>3891</v>
      </c>
    </row>
    <row r="465" spans="1:5" ht="15.75" customHeight="1">
      <c r="A465" s="15" t="str">
        <f t="shared" si="0"/>
        <v>RSMT</v>
      </c>
      <c r="B465" s="15" t="s">
        <v>736</v>
      </c>
      <c r="C465" s="15" t="s">
        <v>1052</v>
      </c>
      <c r="D465" s="15">
        <v>13</v>
      </c>
      <c r="E465" s="15">
        <v>2206</v>
      </c>
    </row>
    <row r="466" spans="1:5" ht="15.75" customHeight="1">
      <c r="A466" s="15" t="str">
        <f t="shared" si="0"/>
        <v>RSMS</v>
      </c>
      <c r="B466" s="15" t="s">
        <v>736</v>
      </c>
      <c r="C466" s="15" t="s">
        <v>1053</v>
      </c>
      <c r="D466" s="15">
        <v>12</v>
      </c>
      <c r="E466" s="15">
        <v>1518</v>
      </c>
    </row>
    <row r="467" spans="1:5" ht="15.75" customHeight="1">
      <c r="A467" s="15" t="str">
        <f t="shared" si="0"/>
        <v>RSMG</v>
      </c>
      <c r="B467" s="15" t="s">
        <v>736</v>
      </c>
      <c r="C467" s="15" t="s">
        <v>24</v>
      </c>
      <c r="D467" s="15">
        <v>11</v>
      </c>
      <c r="E467" s="15">
        <v>1712</v>
      </c>
    </row>
    <row r="468" spans="1:5" ht="15.75" customHeight="1">
      <c r="A468" s="15" t="str">
        <f t="shared" si="0"/>
        <v>RSPA</v>
      </c>
      <c r="B468" s="15" t="s">
        <v>736</v>
      </c>
      <c r="C468" s="15" t="s">
        <v>1054</v>
      </c>
      <c r="D468" s="15">
        <v>14</v>
      </c>
      <c r="E468" s="15">
        <v>3852</v>
      </c>
    </row>
    <row r="469" spans="1:5" ht="15.75" customHeight="1">
      <c r="A469" s="15" t="str">
        <f t="shared" si="0"/>
        <v>RSPB</v>
      </c>
      <c r="B469" s="15" t="s">
        <v>736</v>
      </c>
      <c r="C469" s="15" t="s">
        <v>1055</v>
      </c>
      <c r="D469" s="15">
        <v>15</v>
      </c>
      <c r="E469" s="15">
        <v>3889</v>
      </c>
    </row>
    <row r="470" spans="1:5" ht="15.75" customHeight="1">
      <c r="A470" s="15" t="str">
        <f t="shared" si="0"/>
        <v>RSPR</v>
      </c>
      <c r="B470" s="15" t="s">
        <v>736</v>
      </c>
      <c r="C470" s="15" t="s">
        <v>28</v>
      </c>
      <c r="D470" s="15">
        <v>18</v>
      </c>
      <c r="E470" s="15">
        <v>711</v>
      </c>
    </row>
    <row r="471" spans="1:5" ht="15.75" customHeight="1">
      <c r="A471" s="15" t="str">
        <f t="shared" si="0"/>
        <v>RSPE</v>
      </c>
      <c r="B471" s="15" t="s">
        <v>736</v>
      </c>
      <c r="C471" s="15" t="s">
        <v>1061</v>
      </c>
      <c r="D471" s="15">
        <v>16</v>
      </c>
      <c r="E471" s="15">
        <v>3779</v>
      </c>
    </row>
    <row r="472" spans="1:5" ht="15.75" customHeight="1">
      <c r="A472" s="15" t="str">
        <f t="shared" si="0"/>
        <v>RSPI</v>
      </c>
      <c r="B472" s="15" t="s">
        <v>736</v>
      </c>
      <c r="C472" s="15" t="s">
        <v>1062</v>
      </c>
      <c r="D472" s="15">
        <v>17</v>
      </c>
      <c r="E472" s="15">
        <v>3804</v>
      </c>
    </row>
    <row r="473" spans="1:5" ht="15.75" customHeight="1">
      <c r="A473" s="15" t="str">
        <f t="shared" si="0"/>
        <v>RSRJ</v>
      </c>
      <c r="B473" s="15" t="s">
        <v>736</v>
      </c>
      <c r="C473" s="15" t="s">
        <v>27</v>
      </c>
      <c r="D473" s="15">
        <v>19</v>
      </c>
      <c r="E473" s="15">
        <v>1553</v>
      </c>
    </row>
    <row r="474" spans="1:5" ht="15.75" customHeight="1">
      <c r="A474" s="15" t="str">
        <f t="shared" si="0"/>
        <v>RSRN</v>
      </c>
      <c r="B474" s="15" t="s">
        <v>736</v>
      </c>
      <c r="C474" s="15" t="s">
        <v>732</v>
      </c>
      <c r="D474" s="15">
        <v>20</v>
      </c>
      <c r="E474" s="15">
        <v>4066</v>
      </c>
    </row>
    <row r="475" spans="1:5" ht="15.75" customHeight="1">
      <c r="A475" s="15" t="str">
        <f t="shared" si="0"/>
        <v>RSRS</v>
      </c>
      <c r="B475" s="15" t="s">
        <v>736</v>
      </c>
      <c r="C475" s="15" t="s">
        <v>736</v>
      </c>
      <c r="D475" s="15">
        <v>23</v>
      </c>
      <c r="E475" s="15">
        <v>0</v>
      </c>
    </row>
    <row r="476" spans="1:5" ht="15.75" customHeight="1">
      <c r="A476" s="15" t="str">
        <f t="shared" si="0"/>
        <v>RSRO</v>
      </c>
      <c r="B476" s="15" t="s">
        <v>736</v>
      </c>
      <c r="C476" s="15" t="s">
        <v>733</v>
      </c>
      <c r="D476" s="15">
        <v>21</v>
      </c>
      <c r="E476" s="15">
        <v>3662</v>
      </c>
    </row>
    <row r="477" spans="1:5" ht="15.75" customHeight="1">
      <c r="A477" s="15" t="str">
        <f t="shared" si="0"/>
        <v>RSRR</v>
      </c>
      <c r="B477" s="15" t="s">
        <v>736</v>
      </c>
      <c r="C477" s="15" t="s">
        <v>1063</v>
      </c>
      <c r="D477" s="15">
        <v>22</v>
      </c>
      <c r="E477" s="15">
        <v>5348</v>
      </c>
    </row>
    <row r="478" spans="1:5" ht="15.75" customHeight="1">
      <c r="A478" s="15" t="str">
        <f t="shared" si="0"/>
        <v>RSSC</v>
      </c>
      <c r="B478" s="15" t="s">
        <v>736</v>
      </c>
      <c r="C478" s="15" t="s">
        <v>26</v>
      </c>
      <c r="D478" s="15">
        <v>24</v>
      </c>
      <c r="E478" s="15">
        <v>476</v>
      </c>
    </row>
    <row r="479" spans="1:5" ht="15.75" customHeight="1">
      <c r="A479" s="15" t="str">
        <f t="shared" si="0"/>
        <v>RSSP</v>
      </c>
      <c r="B479" s="15" t="s">
        <v>736</v>
      </c>
      <c r="C479" s="15" t="s">
        <v>23</v>
      </c>
      <c r="D479" s="15">
        <v>26</v>
      </c>
      <c r="E479" s="15">
        <v>1109</v>
      </c>
    </row>
    <row r="480" spans="1:5" ht="15.75" customHeight="1">
      <c r="A480" s="15" t="str">
        <f t="shared" si="0"/>
        <v>RSSE</v>
      </c>
      <c r="B480" s="15" t="s">
        <v>736</v>
      </c>
      <c r="C480" s="15" t="s">
        <v>1060</v>
      </c>
      <c r="D480" s="15">
        <v>25</v>
      </c>
      <c r="E480" s="15">
        <v>1718</v>
      </c>
    </row>
    <row r="481" spans="1:5" ht="15.75" customHeight="1">
      <c r="A481" s="15" t="str">
        <f t="shared" si="0"/>
        <v>RSTO</v>
      </c>
      <c r="B481" s="15" t="s">
        <v>736</v>
      </c>
      <c r="C481" s="15" t="s">
        <v>1064</v>
      </c>
      <c r="D481" s="15">
        <v>27</v>
      </c>
      <c r="E481" s="15">
        <v>2747</v>
      </c>
    </row>
    <row r="482" spans="1:5" ht="15.75" customHeight="1">
      <c r="A482" s="15" t="str">
        <f t="shared" si="0"/>
        <v>ROAC</v>
      </c>
      <c r="B482" s="15" t="s">
        <v>733</v>
      </c>
      <c r="C482" s="15" t="s">
        <v>1051</v>
      </c>
      <c r="D482" s="15">
        <v>1</v>
      </c>
      <c r="E482" s="15">
        <v>544</v>
      </c>
    </row>
    <row r="483" spans="1:5" ht="15.75" customHeight="1">
      <c r="A483" s="15" t="str">
        <f t="shared" si="0"/>
        <v>ROAL</v>
      </c>
      <c r="B483" s="15" t="s">
        <v>733</v>
      </c>
      <c r="C483" s="15" t="s">
        <v>1056</v>
      </c>
      <c r="D483" s="15">
        <v>2</v>
      </c>
      <c r="E483" s="15">
        <v>4505</v>
      </c>
    </row>
    <row r="484" spans="1:5" ht="15.75" customHeight="1">
      <c r="A484" s="15" t="str">
        <f t="shared" si="0"/>
        <v>ROAP</v>
      </c>
      <c r="B484" s="15" t="s">
        <v>733</v>
      </c>
      <c r="C484" s="15" t="s">
        <v>1058</v>
      </c>
      <c r="D484" s="15">
        <v>4</v>
      </c>
      <c r="E484" s="15">
        <v>544</v>
      </c>
    </row>
    <row r="485" spans="1:5" ht="15.75" customHeight="1">
      <c r="A485" s="15" t="str">
        <f t="shared" si="0"/>
        <v>ROAM</v>
      </c>
      <c r="B485" s="15" t="s">
        <v>733</v>
      </c>
      <c r="C485" s="15" t="s">
        <v>29</v>
      </c>
      <c r="D485" s="15">
        <v>3</v>
      </c>
      <c r="E485" s="15">
        <v>901</v>
      </c>
    </row>
    <row r="486" spans="1:5" ht="15.75" customHeight="1">
      <c r="A486" s="15" t="str">
        <f t="shared" si="0"/>
        <v>ROBA</v>
      </c>
      <c r="B486" s="15" t="s">
        <v>733</v>
      </c>
      <c r="C486" s="15" t="s">
        <v>34</v>
      </c>
      <c r="D486" s="15">
        <v>5</v>
      </c>
      <c r="E486" s="15">
        <v>4023</v>
      </c>
    </row>
    <row r="487" spans="1:5" ht="15.75" customHeight="1">
      <c r="A487" s="15" t="str">
        <f t="shared" si="0"/>
        <v>ROCE</v>
      </c>
      <c r="B487" s="15" t="s">
        <v>733</v>
      </c>
      <c r="C487" s="15" t="s">
        <v>41</v>
      </c>
      <c r="D487" s="15">
        <v>6</v>
      </c>
      <c r="E487" s="15">
        <v>4862</v>
      </c>
    </row>
    <row r="488" spans="1:5" ht="15.75" customHeight="1">
      <c r="A488" s="15" t="str">
        <f t="shared" si="0"/>
        <v>RODF</v>
      </c>
      <c r="B488" s="15" t="s">
        <v>733</v>
      </c>
      <c r="C488" s="15" t="s">
        <v>1059</v>
      </c>
      <c r="D488" s="15">
        <v>7</v>
      </c>
      <c r="E488" s="15">
        <v>2589</v>
      </c>
    </row>
    <row r="489" spans="1:5" ht="15.75" customHeight="1">
      <c r="A489" s="15" t="str">
        <f t="shared" si="0"/>
        <v>ROES</v>
      </c>
      <c r="B489" s="15" t="s">
        <v>733</v>
      </c>
      <c r="C489" s="15" t="s">
        <v>25</v>
      </c>
      <c r="D489" s="15">
        <v>8</v>
      </c>
      <c r="E489" s="15">
        <v>3575</v>
      </c>
    </row>
    <row r="490" spans="1:5" ht="15.75" customHeight="1">
      <c r="A490" s="15" t="str">
        <f t="shared" si="0"/>
        <v>ROGO</v>
      </c>
      <c r="B490" s="15" t="s">
        <v>733</v>
      </c>
      <c r="C490" s="15" t="s">
        <v>51</v>
      </c>
      <c r="D490" s="15">
        <v>9</v>
      </c>
      <c r="E490" s="15">
        <v>2390</v>
      </c>
    </row>
    <row r="491" spans="1:5" ht="15.75" customHeight="1">
      <c r="A491" s="15" t="str">
        <f t="shared" si="0"/>
        <v>ROMA</v>
      </c>
      <c r="B491" s="15" t="s">
        <v>733</v>
      </c>
      <c r="C491" s="15" t="s">
        <v>1057</v>
      </c>
      <c r="D491" s="15">
        <v>10</v>
      </c>
      <c r="E491" s="15">
        <v>4434</v>
      </c>
    </row>
    <row r="492" spans="1:5" ht="15.75" customHeight="1">
      <c r="A492" s="15" t="str">
        <f t="shared" si="0"/>
        <v>ROMT</v>
      </c>
      <c r="B492" s="15" t="s">
        <v>733</v>
      </c>
      <c r="C492" s="15" t="s">
        <v>1052</v>
      </c>
      <c r="D492" s="15">
        <v>13</v>
      </c>
      <c r="E492" s="15">
        <v>1456</v>
      </c>
    </row>
    <row r="493" spans="1:5" ht="15.75" customHeight="1">
      <c r="A493" s="15" t="str">
        <f t="shared" si="0"/>
        <v>ROMS</v>
      </c>
      <c r="B493" s="15" t="s">
        <v>733</v>
      </c>
      <c r="C493" s="15" t="s">
        <v>1053</v>
      </c>
      <c r="D493" s="15">
        <v>12</v>
      </c>
      <c r="E493" s="15">
        <v>2150</v>
      </c>
    </row>
    <row r="494" spans="1:5" ht="15.75" customHeight="1">
      <c r="A494" s="15" t="str">
        <f t="shared" si="0"/>
        <v>ROMG</v>
      </c>
      <c r="B494" s="15" t="s">
        <v>733</v>
      </c>
      <c r="C494" s="15" t="s">
        <v>24</v>
      </c>
      <c r="D494" s="15">
        <v>11</v>
      </c>
      <c r="E494" s="15">
        <v>3050</v>
      </c>
    </row>
    <row r="495" spans="1:5" ht="15.75" customHeight="1">
      <c r="A495" s="15" t="str">
        <f t="shared" si="0"/>
        <v>ROPA</v>
      </c>
      <c r="B495" s="15" t="s">
        <v>733</v>
      </c>
      <c r="C495" s="15" t="s">
        <v>1054</v>
      </c>
      <c r="D495" s="15">
        <v>14</v>
      </c>
      <c r="E495" s="15">
        <v>4397</v>
      </c>
    </row>
    <row r="496" spans="1:5" ht="15.75" customHeight="1">
      <c r="A496" s="15" t="str">
        <f t="shared" si="0"/>
        <v>ROPB</v>
      </c>
      <c r="B496" s="15" t="s">
        <v>733</v>
      </c>
      <c r="C496" s="15" t="s">
        <v>1055</v>
      </c>
      <c r="D496" s="15">
        <v>15</v>
      </c>
      <c r="E496" s="15">
        <v>4822</v>
      </c>
    </row>
    <row r="497" spans="1:5" ht="15.75" customHeight="1">
      <c r="A497" s="15" t="str">
        <f t="shared" si="0"/>
        <v>ROPR</v>
      </c>
      <c r="B497" s="15" t="s">
        <v>733</v>
      </c>
      <c r="C497" s="15" t="s">
        <v>28</v>
      </c>
      <c r="D497" s="15">
        <v>18</v>
      </c>
      <c r="E497" s="15">
        <v>3135</v>
      </c>
    </row>
    <row r="498" spans="1:5" ht="15.75" customHeight="1">
      <c r="A498" s="15" t="str">
        <f t="shared" si="0"/>
        <v>ROPE</v>
      </c>
      <c r="B498" s="15" t="s">
        <v>733</v>
      </c>
      <c r="C498" s="15" t="s">
        <v>1061</v>
      </c>
      <c r="D498" s="15">
        <v>16</v>
      </c>
      <c r="E498" s="15">
        <v>4712</v>
      </c>
    </row>
    <row r="499" spans="1:5" ht="15.75" customHeight="1">
      <c r="A499" s="15" t="str">
        <f t="shared" si="0"/>
        <v>ROPI</v>
      </c>
      <c r="B499" s="15" t="s">
        <v>733</v>
      </c>
      <c r="C499" s="15" t="s">
        <v>1062</v>
      </c>
      <c r="D499" s="15">
        <v>17</v>
      </c>
      <c r="E499" s="15">
        <v>4366</v>
      </c>
    </row>
    <row r="500" spans="1:5" ht="15.75" customHeight="1">
      <c r="A500" s="15" t="str">
        <f t="shared" si="0"/>
        <v>RORJ</v>
      </c>
      <c r="B500" s="15" t="s">
        <v>733</v>
      </c>
      <c r="C500" s="15" t="s">
        <v>27</v>
      </c>
      <c r="D500" s="15">
        <v>19</v>
      </c>
      <c r="E500" s="15">
        <v>3473</v>
      </c>
    </row>
    <row r="501" spans="1:5" ht="15.75" customHeight="1">
      <c r="A501" s="15" t="str">
        <f t="shared" si="0"/>
        <v>RORN</v>
      </c>
      <c r="B501" s="15" t="s">
        <v>733</v>
      </c>
      <c r="C501" s="15" t="s">
        <v>732</v>
      </c>
      <c r="D501" s="15">
        <v>20</v>
      </c>
      <c r="E501" s="15">
        <v>4998</v>
      </c>
    </row>
    <row r="502" spans="1:5" ht="15.75" customHeight="1">
      <c r="A502" s="15" t="str">
        <f t="shared" si="0"/>
        <v>RORS</v>
      </c>
      <c r="B502" s="15" t="s">
        <v>733</v>
      </c>
      <c r="C502" s="15" t="s">
        <v>736</v>
      </c>
      <c r="D502" s="15">
        <v>23</v>
      </c>
      <c r="E502" s="15">
        <v>3662</v>
      </c>
    </row>
    <row r="503" spans="1:5" ht="15.75" customHeight="1">
      <c r="A503" s="15" t="str">
        <f t="shared" si="0"/>
        <v>RORO</v>
      </c>
      <c r="B503" s="15" t="s">
        <v>733</v>
      </c>
      <c r="C503" s="15" t="s">
        <v>733</v>
      </c>
      <c r="D503" s="15">
        <v>21</v>
      </c>
      <c r="E503" s="15">
        <v>0</v>
      </c>
    </row>
    <row r="504" spans="1:5" ht="15.75" customHeight="1">
      <c r="A504" s="15" t="str">
        <f t="shared" si="0"/>
        <v>RORR</v>
      </c>
      <c r="B504" s="15" t="s">
        <v>733</v>
      </c>
      <c r="C504" s="15" t="s">
        <v>1063</v>
      </c>
      <c r="D504" s="15">
        <v>22</v>
      </c>
      <c r="E504" s="15">
        <v>1686</v>
      </c>
    </row>
    <row r="505" spans="1:5" ht="15.75" customHeight="1">
      <c r="A505" s="15" t="str">
        <f t="shared" si="0"/>
        <v>ROSC</v>
      </c>
      <c r="B505" s="15" t="s">
        <v>733</v>
      </c>
      <c r="C505" s="15" t="s">
        <v>26</v>
      </c>
      <c r="D505" s="15">
        <v>24</v>
      </c>
      <c r="E505" s="15">
        <v>3442</v>
      </c>
    </row>
    <row r="506" spans="1:5" ht="15.75" customHeight="1">
      <c r="A506" s="15" t="str">
        <f t="shared" si="0"/>
        <v>ROSP</v>
      </c>
      <c r="B506" s="15" t="s">
        <v>733</v>
      </c>
      <c r="C506" s="15" t="s">
        <v>23</v>
      </c>
      <c r="D506" s="15">
        <v>26</v>
      </c>
      <c r="E506" s="15">
        <v>3070</v>
      </c>
    </row>
    <row r="507" spans="1:5" ht="15.75" customHeight="1">
      <c r="A507" s="15" t="str">
        <f t="shared" si="0"/>
        <v>ROSE</v>
      </c>
      <c r="B507" s="15" t="s">
        <v>733</v>
      </c>
      <c r="C507" s="15" t="s">
        <v>1060</v>
      </c>
      <c r="D507" s="15">
        <v>25</v>
      </c>
      <c r="E507" s="15">
        <v>2584</v>
      </c>
    </row>
    <row r="508" spans="1:5" ht="15.75" customHeight="1">
      <c r="A508" s="15" t="str">
        <f t="shared" si="0"/>
        <v>ROTO</v>
      </c>
      <c r="B508" s="15" t="s">
        <v>733</v>
      </c>
      <c r="C508" s="15" t="s">
        <v>1064</v>
      </c>
      <c r="D508" s="15">
        <v>27</v>
      </c>
      <c r="E508" s="15">
        <v>3240</v>
      </c>
    </row>
    <row r="509" spans="1:5" ht="15.75" customHeight="1">
      <c r="A509" s="15" t="str">
        <f t="shared" si="0"/>
        <v>RRAC</v>
      </c>
      <c r="B509" s="15" t="s">
        <v>1063</v>
      </c>
      <c r="C509" s="15" t="s">
        <v>1051</v>
      </c>
      <c r="D509" s="15">
        <v>1</v>
      </c>
      <c r="E509" s="15">
        <v>2230</v>
      </c>
    </row>
    <row r="510" spans="1:5" ht="15.75" customHeight="1">
      <c r="A510" s="15" t="str">
        <f t="shared" si="0"/>
        <v>RRAL</v>
      </c>
      <c r="B510" s="15" t="s">
        <v>1063</v>
      </c>
      <c r="C510" s="15" t="s">
        <v>1056</v>
      </c>
      <c r="D510" s="15">
        <v>2</v>
      </c>
      <c r="E510" s="15">
        <v>6276</v>
      </c>
    </row>
    <row r="511" spans="1:5" ht="15.75" customHeight="1">
      <c r="A511" s="15" t="str">
        <f t="shared" si="0"/>
        <v>RRAP</v>
      </c>
      <c r="B511" s="15" t="s">
        <v>1063</v>
      </c>
      <c r="C511" s="15" t="s">
        <v>1058</v>
      </c>
      <c r="D511" s="15">
        <v>4</v>
      </c>
      <c r="E511" s="15">
        <v>2230</v>
      </c>
    </row>
    <row r="512" spans="1:5" ht="15.75" customHeight="1">
      <c r="A512" s="15" t="str">
        <f t="shared" si="0"/>
        <v>RRAM</v>
      </c>
      <c r="B512" s="15" t="s">
        <v>1063</v>
      </c>
      <c r="C512" s="15" t="s">
        <v>29</v>
      </c>
      <c r="D512" s="15">
        <v>3</v>
      </c>
      <c r="E512" s="15">
        <v>785</v>
      </c>
    </row>
    <row r="513" spans="1:5" ht="15.75" customHeight="1">
      <c r="A513" s="15" t="str">
        <f t="shared" si="0"/>
        <v>RRBA</v>
      </c>
      <c r="B513" s="15" t="s">
        <v>1063</v>
      </c>
      <c r="C513" s="15" t="s">
        <v>34</v>
      </c>
      <c r="D513" s="15">
        <v>5</v>
      </c>
      <c r="E513" s="15">
        <v>5749</v>
      </c>
    </row>
    <row r="514" spans="1:5" ht="15.75" customHeight="1">
      <c r="A514" s="15" t="str">
        <f t="shared" si="0"/>
        <v>RRCE</v>
      </c>
      <c r="B514" s="15" t="s">
        <v>1063</v>
      </c>
      <c r="C514" s="15" t="s">
        <v>41</v>
      </c>
      <c r="D514" s="15">
        <v>6</v>
      </c>
      <c r="E514" s="15">
        <v>6548</v>
      </c>
    </row>
    <row r="515" spans="1:5" ht="15.75" customHeight="1">
      <c r="A515" s="15" t="str">
        <f t="shared" si="0"/>
        <v>RRDF</v>
      </c>
      <c r="B515" s="15" t="s">
        <v>1063</v>
      </c>
      <c r="C515" s="15" t="s">
        <v>1059</v>
      </c>
      <c r="D515" s="15">
        <v>7</v>
      </c>
      <c r="E515" s="15">
        <v>4275</v>
      </c>
    </row>
    <row r="516" spans="1:5" ht="15.75" customHeight="1">
      <c r="A516" s="15" t="str">
        <f t="shared" si="0"/>
        <v>RRES</v>
      </c>
      <c r="B516" s="15" t="s">
        <v>1063</v>
      </c>
      <c r="C516" s="15" t="s">
        <v>25</v>
      </c>
      <c r="D516" s="15">
        <v>8</v>
      </c>
      <c r="E516" s="15">
        <v>5261</v>
      </c>
    </row>
    <row r="517" spans="1:5" ht="15.75" customHeight="1">
      <c r="A517" s="15" t="str">
        <f t="shared" si="0"/>
        <v>RRGO</v>
      </c>
      <c r="B517" s="15" t="s">
        <v>1063</v>
      </c>
      <c r="C517" s="15" t="s">
        <v>51</v>
      </c>
      <c r="D517" s="15">
        <v>9</v>
      </c>
      <c r="E517" s="15">
        <v>4076</v>
      </c>
    </row>
    <row r="518" spans="1:5" ht="15.75" customHeight="1">
      <c r="A518" s="15" t="str">
        <f t="shared" si="0"/>
        <v>RRMA</v>
      </c>
      <c r="B518" s="15" t="s">
        <v>1063</v>
      </c>
      <c r="C518" s="15" t="s">
        <v>1057</v>
      </c>
      <c r="D518" s="15">
        <v>10</v>
      </c>
      <c r="E518" s="15">
        <v>6120</v>
      </c>
    </row>
    <row r="519" spans="1:5" ht="15.75" customHeight="1">
      <c r="A519" s="15" t="str">
        <f t="shared" si="0"/>
        <v>RRMT</v>
      </c>
      <c r="B519" s="15" t="s">
        <v>1063</v>
      </c>
      <c r="C519" s="15" t="s">
        <v>1052</v>
      </c>
      <c r="D519" s="15">
        <v>13</v>
      </c>
      <c r="E519" s="15">
        <v>3142</v>
      </c>
    </row>
    <row r="520" spans="1:5" ht="15.75" customHeight="1">
      <c r="A520" s="15" t="str">
        <f t="shared" si="0"/>
        <v>RRMS</v>
      </c>
      <c r="B520" s="15" t="s">
        <v>1063</v>
      </c>
      <c r="C520" s="15" t="s">
        <v>1053</v>
      </c>
      <c r="D520" s="15">
        <v>12</v>
      </c>
      <c r="E520" s="15">
        <v>3836</v>
      </c>
    </row>
    <row r="521" spans="1:5" ht="15.75" customHeight="1">
      <c r="A521" s="15" t="str">
        <f t="shared" si="0"/>
        <v>RRMG</v>
      </c>
      <c r="B521" s="15" t="s">
        <v>1063</v>
      </c>
      <c r="C521" s="15" t="s">
        <v>24</v>
      </c>
      <c r="D521" s="15">
        <v>11</v>
      </c>
      <c r="E521" s="15">
        <v>4736</v>
      </c>
    </row>
    <row r="522" spans="1:5" ht="15.75" customHeight="1">
      <c r="A522" s="15" t="str">
        <f t="shared" si="0"/>
        <v>RRPA</v>
      </c>
      <c r="B522" s="15" t="s">
        <v>1063</v>
      </c>
      <c r="C522" s="15" t="s">
        <v>1054</v>
      </c>
      <c r="D522" s="15">
        <v>14</v>
      </c>
      <c r="E522" s="15">
        <v>6083</v>
      </c>
    </row>
    <row r="523" spans="1:5" ht="15.75" customHeight="1">
      <c r="A523" s="15" t="str">
        <f t="shared" si="0"/>
        <v>RRPB</v>
      </c>
      <c r="B523" s="15" t="s">
        <v>1063</v>
      </c>
      <c r="C523" s="15" t="s">
        <v>1055</v>
      </c>
      <c r="D523" s="15">
        <v>15</v>
      </c>
      <c r="E523" s="15">
        <v>6539</v>
      </c>
    </row>
    <row r="524" spans="1:5" ht="15.75" customHeight="1">
      <c r="A524" s="15" t="str">
        <f t="shared" si="0"/>
        <v>RRPR</v>
      </c>
      <c r="B524" s="15" t="s">
        <v>1063</v>
      </c>
      <c r="C524" s="15" t="s">
        <v>28</v>
      </c>
      <c r="D524" s="15">
        <v>18</v>
      </c>
      <c r="E524" s="15">
        <v>4821</v>
      </c>
    </row>
    <row r="525" spans="1:5" ht="15.75" customHeight="1">
      <c r="A525" s="15" t="str">
        <f t="shared" si="0"/>
        <v>RRPE</v>
      </c>
      <c r="B525" s="15" t="s">
        <v>1063</v>
      </c>
      <c r="C525" s="15" t="s">
        <v>1061</v>
      </c>
      <c r="D525" s="15">
        <v>16</v>
      </c>
      <c r="E525" s="15">
        <v>6483</v>
      </c>
    </row>
    <row r="526" spans="1:5" ht="15.75" customHeight="1">
      <c r="A526" s="15" t="str">
        <f t="shared" si="0"/>
        <v>RRPI</v>
      </c>
      <c r="B526" s="15" t="s">
        <v>1063</v>
      </c>
      <c r="C526" s="15" t="s">
        <v>1062</v>
      </c>
      <c r="D526" s="15">
        <v>17</v>
      </c>
      <c r="E526" s="15">
        <v>6052</v>
      </c>
    </row>
    <row r="527" spans="1:5" ht="15.75" customHeight="1">
      <c r="A527" s="15" t="str">
        <f t="shared" si="0"/>
        <v>RRRJ</v>
      </c>
      <c r="B527" s="15" t="s">
        <v>1063</v>
      </c>
      <c r="C527" s="15" t="s">
        <v>27</v>
      </c>
      <c r="D527" s="15">
        <v>19</v>
      </c>
      <c r="E527" s="15">
        <v>5159</v>
      </c>
    </row>
    <row r="528" spans="1:5" ht="15.75" customHeight="1">
      <c r="A528" s="15" t="str">
        <f t="shared" si="0"/>
        <v>RRRN</v>
      </c>
      <c r="B528" s="15" t="s">
        <v>1063</v>
      </c>
      <c r="C528" s="15" t="s">
        <v>732</v>
      </c>
      <c r="D528" s="15">
        <v>20</v>
      </c>
      <c r="E528" s="15">
        <v>6770</v>
      </c>
    </row>
    <row r="529" spans="1:5" ht="15.75" customHeight="1">
      <c r="A529" s="15" t="str">
        <f t="shared" si="0"/>
        <v>RRRS</v>
      </c>
      <c r="B529" s="15" t="s">
        <v>1063</v>
      </c>
      <c r="C529" s="15" t="s">
        <v>736</v>
      </c>
      <c r="D529" s="15">
        <v>23</v>
      </c>
      <c r="E529" s="15">
        <v>5348</v>
      </c>
    </row>
    <row r="530" spans="1:5" ht="15.75" customHeight="1">
      <c r="A530" s="15" t="str">
        <f t="shared" si="0"/>
        <v>RRRO</v>
      </c>
      <c r="B530" s="15" t="s">
        <v>1063</v>
      </c>
      <c r="C530" s="15" t="s">
        <v>733</v>
      </c>
      <c r="D530" s="15">
        <v>21</v>
      </c>
      <c r="E530" s="15">
        <v>1686</v>
      </c>
    </row>
    <row r="531" spans="1:5" ht="15.75" customHeight="1">
      <c r="A531" s="15" t="str">
        <f t="shared" si="0"/>
        <v>RRRR</v>
      </c>
      <c r="B531" s="15" t="s">
        <v>1063</v>
      </c>
      <c r="C531" s="15" t="s">
        <v>1063</v>
      </c>
      <c r="D531" s="15">
        <v>22</v>
      </c>
      <c r="E531" s="15">
        <v>0</v>
      </c>
    </row>
    <row r="532" spans="1:5" ht="15.75" customHeight="1">
      <c r="A532" s="15" t="str">
        <f t="shared" si="0"/>
        <v>RRSC</v>
      </c>
      <c r="B532" s="15" t="s">
        <v>1063</v>
      </c>
      <c r="C532" s="15" t="s">
        <v>26</v>
      </c>
      <c r="D532" s="15">
        <v>24</v>
      </c>
      <c r="E532" s="15">
        <v>5128</v>
      </c>
    </row>
    <row r="533" spans="1:5" ht="15.75" customHeight="1">
      <c r="A533" s="15" t="str">
        <f t="shared" si="0"/>
        <v>RRSP</v>
      </c>
      <c r="B533" s="15" t="s">
        <v>1063</v>
      </c>
      <c r="C533" s="15" t="s">
        <v>23</v>
      </c>
      <c r="D533" s="15">
        <v>26</v>
      </c>
      <c r="E533" s="15">
        <v>4756</v>
      </c>
    </row>
    <row r="534" spans="1:5" ht="15.75" customHeight="1">
      <c r="A534" s="15" t="str">
        <f t="shared" si="0"/>
        <v>RRSE</v>
      </c>
      <c r="B534" s="15" t="s">
        <v>1063</v>
      </c>
      <c r="C534" s="15" t="s">
        <v>1060</v>
      </c>
      <c r="D534" s="15">
        <v>25</v>
      </c>
      <c r="E534" s="15">
        <v>6000</v>
      </c>
    </row>
    <row r="535" spans="1:5" ht="15.75" customHeight="1">
      <c r="A535" s="15" t="str">
        <f t="shared" si="0"/>
        <v>RRTO</v>
      </c>
      <c r="B535" s="15" t="s">
        <v>1063</v>
      </c>
      <c r="C535" s="15" t="s">
        <v>1064</v>
      </c>
      <c r="D535" s="15">
        <v>27</v>
      </c>
      <c r="E535" s="15">
        <v>4926</v>
      </c>
    </row>
    <row r="536" spans="1:5" ht="15.75" customHeight="1">
      <c r="A536" s="15" t="str">
        <f t="shared" si="0"/>
        <v>SCAC</v>
      </c>
      <c r="B536" s="15" t="s">
        <v>26</v>
      </c>
      <c r="C536" s="15" t="s">
        <v>1051</v>
      </c>
      <c r="D536" s="15">
        <v>1</v>
      </c>
      <c r="E536" s="15">
        <v>3976</v>
      </c>
    </row>
    <row r="537" spans="1:5" ht="15.75" customHeight="1">
      <c r="A537" s="15" t="str">
        <f t="shared" si="0"/>
        <v>SCAL</v>
      </c>
      <c r="B537" s="15" t="s">
        <v>26</v>
      </c>
      <c r="C537" s="15" t="s">
        <v>1056</v>
      </c>
      <c r="D537" s="15">
        <v>2</v>
      </c>
      <c r="E537" s="15">
        <v>3168</v>
      </c>
    </row>
    <row r="538" spans="1:5" ht="15.75" customHeight="1">
      <c r="A538" s="15" t="str">
        <f t="shared" si="0"/>
        <v>SCAP</v>
      </c>
      <c r="B538" s="15" t="s">
        <v>26</v>
      </c>
      <c r="C538" s="15" t="s">
        <v>1058</v>
      </c>
      <c r="D538" s="15">
        <v>4</v>
      </c>
      <c r="E538" s="15">
        <v>3976</v>
      </c>
    </row>
    <row r="539" spans="1:5" ht="15.75" customHeight="1">
      <c r="A539" s="15" t="str">
        <f t="shared" si="0"/>
        <v>SCAM</v>
      </c>
      <c r="B539" s="15" t="s">
        <v>26</v>
      </c>
      <c r="C539" s="15" t="s">
        <v>29</v>
      </c>
      <c r="D539" s="15">
        <v>3</v>
      </c>
      <c r="E539" s="15">
        <v>4343</v>
      </c>
    </row>
    <row r="540" spans="1:5" ht="15.75" customHeight="1">
      <c r="A540" s="15" t="str">
        <f t="shared" si="0"/>
        <v>SCBA</v>
      </c>
      <c r="B540" s="15" t="s">
        <v>26</v>
      </c>
      <c r="C540" s="15" t="s">
        <v>34</v>
      </c>
      <c r="D540" s="15">
        <v>5</v>
      </c>
      <c r="E540" s="15">
        <v>2682</v>
      </c>
    </row>
    <row r="541" spans="1:5" ht="15.75" customHeight="1">
      <c r="A541" s="15" t="str">
        <f t="shared" si="0"/>
        <v>SCCE</v>
      </c>
      <c r="B541" s="15" t="s">
        <v>26</v>
      </c>
      <c r="C541" s="15" t="s">
        <v>41</v>
      </c>
      <c r="D541" s="15">
        <v>6</v>
      </c>
      <c r="E541" s="15">
        <v>3838</v>
      </c>
    </row>
    <row r="542" spans="1:5" ht="15.75" customHeight="1">
      <c r="A542" s="15" t="str">
        <f t="shared" si="0"/>
        <v>SCDF</v>
      </c>
      <c r="B542" s="15" t="s">
        <v>26</v>
      </c>
      <c r="C542" s="15" t="s">
        <v>1059</v>
      </c>
      <c r="D542" s="15">
        <v>7</v>
      </c>
      <c r="E542" s="15">
        <v>1673</v>
      </c>
    </row>
    <row r="543" spans="1:5" ht="15.75" customHeight="1">
      <c r="A543" s="15" t="str">
        <f t="shared" si="0"/>
        <v>SCES</v>
      </c>
      <c r="B543" s="15" t="s">
        <v>26</v>
      </c>
      <c r="C543" s="15" t="s">
        <v>25</v>
      </c>
      <c r="D543" s="15">
        <v>8</v>
      </c>
      <c r="E543" s="15">
        <v>1597</v>
      </c>
    </row>
    <row r="544" spans="1:5" ht="15.75" customHeight="1">
      <c r="A544" s="15" t="str">
        <f t="shared" si="0"/>
        <v>SCGO</v>
      </c>
      <c r="B544" s="15" t="s">
        <v>26</v>
      </c>
      <c r="C544" s="15" t="s">
        <v>51</v>
      </c>
      <c r="D544" s="15">
        <v>9</v>
      </c>
      <c r="E544" s="15">
        <v>1493</v>
      </c>
    </row>
    <row r="545" spans="1:5" ht="15.75" customHeight="1">
      <c r="A545" s="15" t="str">
        <f t="shared" si="0"/>
        <v>SCMA</v>
      </c>
      <c r="B545" s="15" t="s">
        <v>26</v>
      </c>
      <c r="C545" s="15" t="s">
        <v>1057</v>
      </c>
      <c r="D545" s="15">
        <v>10</v>
      </c>
      <c r="E545" s="15">
        <v>3537</v>
      </c>
    </row>
    <row r="546" spans="1:5" ht="15.75" customHeight="1">
      <c r="A546" s="15" t="str">
        <f t="shared" si="0"/>
        <v>SCMT</v>
      </c>
      <c r="B546" s="15" t="s">
        <v>26</v>
      </c>
      <c r="C546" s="15" t="s">
        <v>1052</v>
      </c>
      <c r="D546" s="15">
        <v>13</v>
      </c>
      <c r="E546" s="15">
        <v>1986</v>
      </c>
    </row>
    <row r="547" spans="1:5" ht="15.75" customHeight="1">
      <c r="A547" s="15" t="str">
        <f t="shared" si="0"/>
        <v>SCMS</v>
      </c>
      <c r="B547" s="15" t="s">
        <v>26</v>
      </c>
      <c r="C547" s="15" t="s">
        <v>1053</v>
      </c>
      <c r="D547" s="15">
        <v>12</v>
      </c>
      <c r="E547" s="15">
        <v>1298</v>
      </c>
    </row>
    <row r="548" spans="1:5" ht="15.75" customHeight="1">
      <c r="A548" s="15" t="str">
        <f t="shared" si="0"/>
        <v>SCMG</v>
      </c>
      <c r="B548" s="15" t="s">
        <v>26</v>
      </c>
      <c r="C548" s="15" t="s">
        <v>24</v>
      </c>
      <c r="D548" s="15">
        <v>11</v>
      </c>
      <c r="E548" s="15">
        <v>1301</v>
      </c>
    </row>
    <row r="549" spans="1:5" ht="15.75" customHeight="1">
      <c r="A549" s="15" t="str">
        <f t="shared" si="0"/>
        <v>SCPA</v>
      </c>
      <c r="B549" s="15" t="s">
        <v>26</v>
      </c>
      <c r="C549" s="15" t="s">
        <v>1054</v>
      </c>
      <c r="D549" s="15">
        <v>14</v>
      </c>
      <c r="E549" s="15">
        <v>3500</v>
      </c>
    </row>
    <row r="550" spans="1:5" ht="15.75" customHeight="1">
      <c r="A550" s="15" t="str">
        <f t="shared" si="0"/>
        <v>SCPB</v>
      </c>
      <c r="B550" s="15" t="s">
        <v>26</v>
      </c>
      <c r="C550" s="15" t="s">
        <v>1055</v>
      </c>
      <c r="D550" s="15">
        <v>15</v>
      </c>
      <c r="E550" s="15">
        <v>3485</v>
      </c>
    </row>
    <row r="551" spans="1:5" ht="15.75" customHeight="1">
      <c r="A551" s="15" t="str">
        <f t="shared" si="0"/>
        <v>SCPR</v>
      </c>
      <c r="B551" s="15" t="s">
        <v>26</v>
      </c>
      <c r="C551" s="15" t="s">
        <v>28</v>
      </c>
      <c r="D551" s="15">
        <v>18</v>
      </c>
      <c r="E551" s="15">
        <v>300</v>
      </c>
    </row>
    <row r="552" spans="1:5" ht="15.75" customHeight="1">
      <c r="A552" s="15" t="str">
        <f t="shared" si="0"/>
        <v>SCPE</v>
      </c>
      <c r="B552" s="15" t="s">
        <v>26</v>
      </c>
      <c r="C552" s="15" t="s">
        <v>1061</v>
      </c>
      <c r="D552" s="15">
        <v>16</v>
      </c>
      <c r="E552" s="15">
        <v>3375</v>
      </c>
    </row>
    <row r="553" spans="1:5" ht="15.75" customHeight="1">
      <c r="A553" s="15" t="str">
        <f t="shared" si="0"/>
        <v>SCPI</v>
      </c>
      <c r="B553" s="15" t="s">
        <v>26</v>
      </c>
      <c r="C553" s="15" t="s">
        <v>1062</v>
      </c>
      <c r="D553" s="15">
        <v>17</v>
      </c>
      <c r="E553" s="15">
        <v>3450</v>
      </c>
    </row>
    <row r="554" spans="1:5" ht="15.75" customHeight="1">
      <c r="A554" s="15" t="str">
        <f t="shared" si="0"/>
        <v>SCRJ</v>
      </c>
      <c r="B554" s="15" t="s">
        <v>26</v>
      </c>
      <c r="C554" s="15" t="s">
        <v>27</v>
      </c>
      <c r="D554" s="15">
        <v>19</v>
      </c>
      <c r="E554" s="15">
        <v>1144</v>
      </c>
    </row>
    <row r="555" spans="1:5" ht="15.75" customHeight="1">
      <c r="A555" s="15" t="str">
        <f t="shared" si="0"/>
        <v>SCRN</v>
      </c>
      <c r="B555" s="15" t="s">
        <v>26</v>
      </c>
      <c r="C555" s="15" t="s">
        <v>732</v>
      </c>
      <c r="D555" s="15">
        <v>20</v>
      </c>
      <c r="E555" s="15">
        <v>3662</v>
      </c>
    </row>
    <row r="556" spans="1:5" ht="15.75" customHeight="1">
      <c r="A556" s="15" t="str">
        <f t="shared" si="0"/>
        <v>SCRS</v>
      </c>
      <c r="B556" s="15" t="s">
        <v>26</v>
      </c>
      <c r="C556" s="15" t="s">
        <v>736</v>
      </c>
      <c r="D556" s="15">
        <v>23</v>
      </c>
      <c r="E556" s="15">
        <v>476</v>
      </c>
    </row>
    <row r="557" spans="1:5" ht="15.75" customHeight="1">
      <c r="A557" s="15" t="str">
        <f t="shared" si="0"/>
        <v>SCRO</v>
      </c>
      <c r="B557" s="15" t="s">
        <v>26</v>
      </c>
      <c r="C557" s="15" t="s">
        <v>733</v>
      </c>
      <c r="D557" s="15">
        <v>21</v>
      </c>
      <c r="E557" s="15">
        <v>3442</v>
      </c>
    </row>
    <row r="558" spans="1:5" ht="15.75" customHeight="1">
      <c r="A558" s="15" t="str">
        <f t="shared" si="0"/>
        <v>SCRR</v>
      </c>
      <c r="B558" s="15" t="s">
        <v>26</v>
      </c>
      <c r="C558" s="15" t="s">
        <v>1063</v>
      </c>
      <c r="D558" s="15">
        <v>22</v>
      </c>
      <c r="E558" s="15">
        <v>5128</v>
      </c>
    </row>
    <row r="559" spans="1:5" ht="15.75" customHeight="1">
      <c r="A559" s="15" t="str">
        <f t="shared" si="0"/>
        <v>SCSC</v>
      </c>
      <c r="B559" s="15" t="s">
        <v>26</v>
      </c>
      <c r="C559" s="15" t="s">
        <v>26</v>
      </c>
      <c r="D559" s="15">
        <v>24</v>
      </c>
      <c r="E559" s="15">
        <v>0</v>
      </c>
    </row>
    <row r="560" spans="1:5" ht="15.75" customHeight="1">
      <c r="A560" s="15" t="str">
        <f t="shared" si="0"/>
        <v>SCSP</v>
      </c>
      <c r="B560" s="15" t="s">
        <v>26</v>
      </c>
      <c r="C560" s="15" t="s">
        <v>23</v>
      </c>
      <c r="D560" s="15">
        <v>26</v>
      </c>
      <c r="E560" s="15">
        <v>705</v>
      </c>
    </row>
    <row r="561" spans="1:5" ht="15.75" customHeight="1">
      <c r="A561" s="15" t="str">
        <f t="shared" si="0"/>
        <v>SCSE</v>
      </c>
      <c r="B561" s="15" t="s">
        <v>26</v>
      </c>
      <c r="C561" s="15" t="s">
        <v>1060</v>
      </c>
      <c r="D561" s="15">
        <v>25</v>
      </c>
      <c r="E561" s="15">
        <v>2775</v>
      </c>
    </row>
    <row r="562" spans="1:5" ht="15.75" customHeight="1">
      <c r="A562" s="15" t="str">
        <f t="shared" si="0"/>
        <v>SCTO</v>
      </c>
      <c r="B562" s="15" t="s">
        <v>26</v>
      </c>
      <c r="C562" s="15" t="s">
        <v>1064</v>
      </c>
      <c r="D562" s="15">
        <v>27</v>
      </c>
      <c r="E562" s="15">
        <v>2336</v>
      </c>
    </row>
    <row r="563" spans="1:5" ht="15.75" customHeight="1">
      <c r="A563" s="15" t="str">
        <f t="shared" si="0"/>
        <v>SPAC</v>
      </c>
      <c r="B563" s="15" t="s">
        <v>23</v>
      </c>
      <c r="C563" s="15" t="s">
        <v>1051</v>
      </c>
      <c r="D563" s="15">
        <v>1</v>
      </c>
      <c r="E563" s="15">
        <v>3604</v>
      </c>
    </row>
    <row r="564" spans="1:5" ht="15.75" customHeight="1">
      <c r="A564" s="15" t="str">
        <f t="shared" si="0"/>
        <v>SPAL</v>
      </c>
      <c r="B564" s="15" t="s">
        <v>23</v>
      </c>
      <c r="C564" s="15" t="s">
        <v>1056</v>
      </c>
      <c r="D564" s="15">
        <v>2</v>
      </c>
      <c r="E564" s="15">
        <v>2453</v>
      </c>
    </row>
    <row r="565" spans="1:5" ht="15.75" customHeight="1">
      <c r="A565" s="15" t="str">
        <f t="shared" si="0"/>
        <v>SPAP</v>
      </c>
      <c r="B565" s="15" t="s">
        <v>23</v>
      </c>
      <c r="C565" s="15" t="s">
        <v>1058</v>
      </c>
      <c r="D565" s="15">
        <v>4</v>
      </c>
      <c r="E565" s="15">
        <v>3604</v>
      </c>
    </row>
    <row r="566" spans="1:5" ht="15.75" customHeight="1">
      <c r="A566" s="15" t="str">
        <f t="shared" si="0"/>
        <v>SPAM</v>
      </c>
      <c r="B566" s="15" t="s">
        <v>23</v>
      </c>
      <c r="C566" s="15" t="s">
        <v>29</v>
      </c>
      <c r="D566" s="15">
        <v>3</v>
      </c>
      <c r="E566" s="15">
        <v>3971</v>
      </c>
    </row>
    <row r="567" spans="1:5" ht="15.75" customHeight="1">
      <c r="A567" s="15" t="str">
        <f t="shared" si="0"/>
        <v>SPBA</v>
      </c>
      <c r="B567" s="15" t="s">
        <v>23</v>
      </c>
      <c r="C567" s="15" t="s">
        <v>34</v>
      </c>
      <c r="D567" s="15">
        <v>5</v>
      </c>
      <c r="E567" s="15">
        <v>1962</v>
      </c>
    </row>
    <row r="568" spans="1:5" ht="15.75" customHeight="1">
      <c r="A568" s="15" t="str">
        <f t="shared" si="0"/>
        <v>SPCE</v>
      </c>
      <c r="B568" s="15" t="s">
        <v>23</v>
      </c>
      <c r="C568" s="15" t="s">
        <v>41</v>
      </c>
      <c r="D568" s="15">
        <v>6</v>
      </c>
      <c r="E568" s="15">
        <v>3127</v>
      </c>
    </row>
    <row r="569" spans="1:5" ht="15.75" customHeight="1">
      <c r="A569" s="15" t="str">
        <f t="shared" si="0"/>
        <v>SPDF</v>
      </c>
      <c r="B569" s="15" t="s">
        <v>23</v>
      </c>
      <c r="C569" s="15" t="s">
        <v>1059</v>
      </c>
      <c r="D569" s="15">
        <v>7</v>
      </c>
      <c r="E569" s="15">
        <v>1015</v>
      </c>
    </row>
    <row r="570" spans="1:5" ht="15.75" customHeight="1">
      <c r="A570" s="15" t="str">
        <f t="shared" si="0"/>
        <v>SPES</v>
      </c>
      <c r="B570" s="15" t="s">
        <v>23</v>
      </c>
      <c r="C570" s="15" t="s">
        <v>25</v>
      </c>
      <c r="D570" s="15">
        <v>8</v>
      </c>
      <c r="E570" s="15">
        <v>882</v>
      </c>
    </row>
    <row r="571" spans="1:5" ht="15.75" customHeight="1">
      <c r="A571" s="15" t="str">
        <f t="shared" si="0"/>
        <v>SPGO</v>
      </c>
      <c r="B571" s="15" t="s">
        <v>23</v>
      </c>
      <c r="C571" s="15" t="s">
        <v>51</v>
      </c>
      <c r="D571" s="15">
        <v>9</v>
      </c>
      <c r="E571" s="15">
        <v>926</v>
      </c>
    </row>
    <row r="572" spans="1:5" ht="15.75" customHeight="1">
      <c r="A572" s="15" t="str">
        <f t="shared" si="0"/>
        <v>SPMA</v>
      </c>
      <c r="B572" s="15" t="s">
        <v>23</v>
      </c>
      <c r="C572" s="15" t="s">
        <v>1057</v>
      </c>
      <c r="D572" s="15">
        <v>10</v>
      </c>
      <c r="E572" s="15">
        <v>2970</v>
      </c>
    </row>
    <row r="573" spans="1:5" ht="15.75" customHeight="1">
      <c r="A573" s="15" t="str">
        <f t="shared" si="0"/>
        <v>SPMT</v>
      </c>
      <c r="B573" s="15" t="s">
        <v>23</v>
      </c>
      <c r="C573" s="15" t="s">
        <v>1052</v>
      </c>
      <c r="D573" s="15">
        <v>13</v>
      </c>
      <c r="E573" s="15">
        <v>1614</v>
      </c>
    </row>
    <row r="574" spans="1:5" ht="15.75" customHeight="1">
      <c r="A574" s="15" t="str">
        <f t="shared" si="0"/>
        <v>SPMS</v>
      </c>
      <c r="B574" s="15" t="s">
        <v>23</v>
      </c>
      <c r="C574" s="15" t="s">
        <v>1053</v>
      </c>
      <c r="D574" s="15">
        <v>12</v>
      </c>
      <c r="E574" s="15">
        <v>1014</v>
      </c>
    </row>
    <row r="575" spans="1:5" ht="15.75" customHeight="1">
      <c r="A575" s="15" t="str">
        <f t="shared" si="0"/>
        <v>SPMG</v>
      </c>
      <c r="B575" s="15" t="s">
        <v>23</v>
      </c>
      <c r="C575" s="15" t="s">
        <v>24</v>
      </c>
      <c r="D575" s="15">
        <v>11</v>
      </c>
      <c r="E575" s="15">
        <v>586</v>
      </c>
    </row>
    <row r="576" spans="1:5" ht="15.75" customHeight="1">
      <c r="A576" s="15" t="str">
        <f t="shared" si="0"/>
        <v>SPPA</v>
      </c>
      <c r="B576" s="15" t="s">
        <v>23</v>
      </c>
      <c r="C576" s="15" t="s">
        <v>1054</v>
      </c>
      <c r="D576" s="15">
        <v>14</v>
      </c>
      <c r="E576" s="15">
        <v>2933</v>
      </c>
    </row>
    <row r="577" spans="1:5" ht="15.75" customHeight="1">
      <c r="A577" s="15" t="str">
        <f t="shared" si="0"/>
        <v>SPPB</v>
      </c>
      <c r="B577" s="15" t="s">
        <v>23</v>
      </c>
      <c r="C577" s="15" t="s">
        <v>1055</v>
      </c>
      <c r="D577" s="15">
        <v>15</v>
      </c>
      <c r="E577" s="15">
        <v>2770</v>
      </c>
    </row>
    <row r="578" spans="1:5" ht="15.75" customHeight="1">
      <c r="A578" s="15" t="str">
        <f t="shared" si="0"/>
        <v>SPPR</v>
      </c>
      <c r="B578" s="15" t="s">
        <v>23</v>
      </c>
      <c r="C578" s="15" t="s">
        <v>28</v>
      </c>
      <c r="D578" s="15">
        <v>18</v>
      </c>
      <c r="E578" s="15">
        <v>408</v>
      </c>
    </row>
    <row r="579" spans="1:5" ht="15.75" customHeight="1">
      <c r="A579" s="15" t="str">
        <f t="shared" si="0"/>
        <v>SPPE</v>
      </c>
      <c r="B579" s="15" t="s">
        <v>23</v>
      </c>
      <c r="C579" s="15" t="s">
        <v>1061</v>
      </c>
      <c r="D579" s="15">
        <v>16</v>
      </c>
      <c r="E579" s="15">
        <v>2660</v>
      </c>
    </row>
    <row r="580" spans="1:5" ht="15.75" customHeight="1">
      <c r="A580" s="15" t="str">
        <f t="shared" si="0"/>
        <v>SPPI</v>
      </c>
      <c r="B580" s="15" t="s">
        <v>23</v>
      </c>
      <c r="C580" s="15" t="s">
        <v>1062</v>
      </c>
      <c r="D580" s="15">
        <v>17</v>
      </c>
      <c r="E580" s="15">
        <v>2792</v>
      </c>
    </row>
    <row r="581" spans="1:5" ht="15.75" customHeight="1">
      <c r="A581" s="15" t="str">
        <f t="shared" si="0"/>
        <v>SPRJ</v>
      </c>
      <c r="B581" s="15" t="s">
        <v>23</v>
      </c>
      <c r="C581" s="15" t="s">
        <v>27</v>
      </c>
      <c r="D581" s="15">
        <v>19</v>
      </c>
      <c r="E581" s="15">
        <v>429</v>
      </c>
    </row>
    <row r="582" spans="1:5" ht="15.75" customHeight="1">
      <c r="A582" s="15" t="str">
        <f t="shared" si="0"/>
        <v>SPRN</v>
      </c>
      <c r="B582" s="15" t="s">
        <v>23</v>
      </c>
      <c r="C582" s="15" t="s">
        <v>732</v>
      </c>
      <c r="D582" s="15">
        <v>20</v>
      </c>
      <c r="E582" s="15">
        <v>2947</v>
      </c>
    </row>
    <row r="583" spans="1:5" ht="15.75" customHeight="1">
      <c r="A583" s="15" t="str">
        <f t="shared" si="0"/>
        <v>SPRS</v>
      </c>
      <c r="B583" s="15" t="s">
        <v>23</v>
      </c>
      <c r="C583" s="15" t="s">
        <v>736</v>
      </c>
      <c r="D583" s="15">
        <v>23</v>
      </c>
      <c r="E583" s="15">
        <v>1109</v>
      </c>
    </row>
    <row r="584" spans="1:5" ht="15.75" customHeight="1">
      <c r="A584" s="15" t="str">
        <f t="shared" si="0"/>
        <v>SPRO</v>
      </c>
      <c r="B584" s="15" t="s">
        <v>23</v>
      </c>
      <c r="C584" s="15" t="s">
        <v>733</v>
      </c>
      <c r="D584" s="15">
        <v>21</v>
      </c>
      <c r="E584" s="15">
        <v>3070</v>
      </c>
    </row>
    <row r="585" spans="1:5" ht="15.75" customHeight="1">
      <c r="A585" s="15" t="str">
        <f t="shared" si="0"/>
        <v>SPRR</v>
      </c>
      <c r="B585" s="15" t="s">
        <v>23</v>
      </c>
      <c r="C585" s="15" t="s">
        <v>1063</v>
      </c>
      <c r="D585" s="15">
        <v>22</v>
      </c>
      <c r="E585" s="15">
        <v>4756</v>
      </c>
    </row>
    <row r="586" spans="1:5" ht="15.75" customHeight="1">
      <c r="A586" s="15" t="str">
        <f t="shared" si="0"/>
        <v>SPSC</v>
      </c>
      <c r="B586" s="15" t="s">
        <v>23</v>
      </c>
      <c r="C586" s="15" t="s">
        <v>26</v>
      </c>
      <c r="D586" s="15">
        <v>24</v>
      </c>
      <c r="E586" s="15">
        <v>705</v>
      </c>
    </row>
    <row r="587" spans="1:5" ht="15.75" customHeight="1">
      <c r="A587" s="15" t="str">
        <f t="shared" si="0"/>
        <v>SPSP</v>
      </c>
      <c r="B587" s="15" t="s">
        <v>23</v>
      </c>
      <c r="C587" s="15" t="s">
        <v>23</v>
      </c>
      <c r="D587" s="15">
        <v>26</v>
      </c>
      <c r="E587" s="15">
        <v>0</v>
      </c>
    </row>
    <row r="588" spans="1:5" ht="15.75" customHeight="1">
      <c r="A588" s="15" t="str">
        <f t="shared" si="0"/>
        <v>SPSE</v>
      </c>
      <c r="B588" s="15" t="s">
        <v>23</v>
      </c>
      <c r="C588" s="15" t="s">
        <v>1060</v>
      </c>
      <c r="D588" s="15">
        <v>25</v>
      </c>
      <c r="E588" s="15">
        <v>3296</v>
      </c>
    </row>
    <row r="589" spans="1:5" ht="15.75" customHeight="1">
      <c r="A589" s="15" t="str">
        <f t="shared" si="0"/>
        <v>SPTO</v>
      </c>
      <c r="B589" s="15" t="s">
        <v>23</v>
      </c>
      <c r="C589" s="15" t="s">
        <v>1064</v>
      </c>
      <c r="D589" s="15">
        <v>27</v>
      </c>
      <c r="E589" s="15">
        <v>1776</v>
      </c>
    </row>
    <row r="590" spans="1:5" ht="15.75" customHeight="1">
      <c r="A590" s="15" t="str">
        <f t="shared" si="0"/>
        <v>SEAC</v>
      </c>
      <c r="B590" s="15" t="s">
        <v>1060</v>
      </c>
      <c r="C590" s="15" t="s">
        <v>1051</v>
      </c>
      <c r="D590" s="15">
        <v>1</v>
      </c>
      <c r="E590" s="15">
        <v>4763</v>
      </c>
    </row>
    <row r="591" spans="1:5" ht="15.75" customHeight="1">
      <c r="A591" s="15" t="str">
        <f t="shared" si="0"/>
        <v>SEAL</v>
      </c>
      <c r="B591" s="15" t="s">
        <v>1060</v>
      </c>
      <c r="C591" s="15" t="s">
        <v>1056</v>
      </c>
      <c r="D591" s="15">
        <v>2</v>
      </c>
      <c r="E591" s="15">
        <v>294</v>
      </c>
    </row>
    <row r="592" spans="1:5" ht="15.75" customHeight="1">
      <c r="A592" s="15" t="str">
        <f t="shared" si="0"/>
        <v>SEAP</v>
      </c>
      <c r="B592" s="15" t="s">
        <v>1060</v>
      </c>
      <c r="C592" s="15" t="s">
        <v>1058</v>
      </c>
      <c r="D592" s="15">
        <v>4</v>
      </c>
      <c r="E592" s="15">
        <v>4763</v>
      </c>
    </row>
    <row r="593" spans="1:5" ht="15.75" customHeight="1">
      <c r="A593" s="15" t="str">
        <f t="shared" si="0"/>
        <v>SEAM</v>
      </c>
      <c r="B593" s="15" t="s">
        <v>1060</v>
      </c>
      <c r="C593" s="15" t="s">
        <v>29</v>
      </c>
      <c r="D593" s="15">
        <v>3</v>
      </c>
      <c r="E593" s="15">
        <v>5215</v>
      </c>
    </row>
    <row r="594" spans="1:5" ht="15.75" customHeight="1">
      <c r="A594" s="15" t="str">
        <f t="shared" si="0"/>
        <v>SEBA</v>
      </c>
      <c r="B594" s="15" t="s">
        <v>1060</v>
      </c>
      <c r="C594" s="15" t="s">
        <v>34</v>
      </c>
      <c r="D594" s="15">
        <v>5</v>
      </c>
      <c r="E594" s="15">
        <v>356</v>
      </c>
    </row>
    <row r="595" spans="1:5" ht="15.75" customHeight="1">
      <c r="A595" s="15" t="str">
        <f t="shared" si="0"/>
        <v>SECE</v>
      </c>
      <c r="B595" s="15" t="s">
        <v>1060</v>
      </c>
      <c r="C595" s="15" t="s">
        <v>41</v>
      </c>
      <c r="D595" s="15">
        <v>6</v>
      </c>
      <c r="E595" s="15">
        <v>1183</v>
      </c>
    </row>
    <row r="596" spans="1:5" ht="15.75" customHeight="1">
      <c r="A596" s="15" t="str">
        <f t="shared" si="0"/>
        <v>SEDF</v>
      </c>
      <c r="B596" s="15" t="s">
        <v>1060</v>
      </c>
      <c r="C596" s="15" t="s">
        <v>1059</v>
      </c>
      <c r="D596" s="15">
        <v>7</v>
      </c>
      <c r="E596" s="15">
        <v>1650</v>
      </c>
    </row>
    <row r="597" spans="1:5" ht="15.75" customHeight="1">
      <c r="A597" s="15" t="str">
        <f t="shared" si="0"/>
        <v>SEES</v>
      </c>
      <c r="B597" s="15" t="s">
        <v>1060</v>
      </c>
      <c r="C597" s="15" t="s">
        <v>25</v>
      </c>
      <c r="D597" s="15">
        <v>8</v>
      </c>
      <c r="E597" s="15">
        <v>1408</v>
      </c>
    </row>
    <row r="598" spans="1:5" ht="15.75" customHeight="1">
      <c r="A598" s="15" t="str">
        <f t="shared" si="0"/>
        <v>SEGO</v>
      </c>
      <c r="B598" s="15" t="s">
        <v>1060</v>
      </c>
      <c r="C598" s="15" t="s">
        <v>51</v>
      </c>
      <c r="D598" s="15">
        <v>9</v>
      </c>
      <c r="E598" s="15">
        <v>1849</v>
      </c>
    </row>
    <row r="599" spans="1:5" ht="15.75" customHeight="1">
      <c r="A599" s="15" t="str">
        <f t="shared" si="0"/>
        <v>SEMA</v>
      </c>
      <c r="B599" s="15" t="s">
        <v>1060</v>
      </c>
      <c r="C599" s="15" t="s">
        <v>1057</v>
      </c>
      <c r="D599" s="15">
        <v>10</v>
      </c>
      <c r="E599" s="15">
        <v>1578</v>
      </c>
    </row>
    <row r="600" spans="1:5" ht="15.75" customHeight="1">
      <c r="A600" s="15" t="str">
        <f t="shared" si="0"/>
        <v>SEMT</v>
      </c>
      <c r="B600" s="15" t="s">
        <v>1060</v>
      </c>
      <c r="C600" s="15" t="s">
        <v>1052</v>
      </c>
      <c r="D600" s="15">
        <v>13</v>
      </c>
      <c r="E600" s="15">
        <v>2773</v>
      </c>
    </row>
    <row r="601" spans="1:5" ht="15.75" customHeight="1">
      <c r="A601" s="15" t="str">
        <f t="shared" si="0"/>
        <v>SEMS</v>
      </c>
      <c r="B601" s="15" t="s">
        <v>1060</v>
      </c>
      <c r="C601" s="15" t="s">
        <v>1053</v>
      </c>
      <c r="D601" s="15">
        <v>12</v>
      </c>
      <c r="E601" s="15">
        <v>2764</v>
      </c>
    </row>
    <row r="602" spans="1:5" ht="15.75" customHeight="1">
      <c r="A602" s="15" t="str">
        <f t="shared" si="0"/>
        <v>SEMG</v>
      </c>
      <c r="B602" s="15" t="s">
        <v>1060</v>
      </c>
      <c r="C602" s="15" t="s">
        <v>24</v>
      </c>
      <c r="D602" s="15">
        <v>11</v>
      </c>
      <c r="E602" s="15">
        <v>1578</v>
      </c>
    </row>
    <row r="603" spans="1:5" ht="15.75" customHeight="1">
      <c r="A603" s="15" t="str">
        <f t="shared" si="0"/>
        <v>SEPA</v>
      </c>
      <c r="B603" s="15" t="s">
        <v>1060</v>
      </c>
      <c r="C603" s="15" t="s">
        <v>1054</v>
      </c>
      <c r="D603" s="15">
        <v>14</v>
      </c>
      <c r="E603" s="15">
        <v>2079</v>
      </c>
    </row>
    <row r="604" spans="1:5" ht="15.75" customHeight="1">
      <c r="A604" s="15" t="str">
        <f t="shared" si="0"/>
        <v>SEPB</v>
      </c>
      <c r="B604" s="15" t="s">
        <v>1060</v>
      </c>
      <c r="C604" s="15" t="s">
        <v>1055</v>
      </c>
      <c r="D604" s="15">
        <v>15</v>
      </c>
      <c r="E604" s="15">
        <v>611</v>
      </c>
    </row>
    <row r="605" spans="1:5" ht="15.75" customHeight="1">
      <c r="A605" s="15" t="str">
        <f t="shared" si="0"/>
        <v>SEPR</v>
      </c>
      <c r="B605" s="15" t="s">
        <v>1060</v>
      </c>
      <c r="C605" s="15" t="s">
        <v>28</v>
      </c>
      <c r="D605" s="15">
        <v>18</v>
      </c>
      <c r="E605" s="15">
        <v>2595</v>
      </c>
    </row>
    <row r="606" spans="1:5" ht="15.75" customHeight="1">
      <c r="A606" s="15" t="str">
        <f t="shared" si="0"/>
        <v>SEPE</v>
      </c>
      <c r="B606" s="15" t="s">
        <v>1060</v>
      </c>
      <c r="C606" s="15" t="s">
        <v>1061</v>
      </c>
      <c r="D606" s="15">
        <v>16</v>
      </c>
      <c r="E606" s="15">
        <v>501</v>
      </c>
    </row>
    <row r="607" spans="1:5" ht="15.75" customHeight="1">
      <c r="A607" s="15" t="str">
        <f t="shared" si="0"/>
        <v>SEPI</v>
      </c>
      <c r="B607" s="15" t="s">
        <v>1060</v>
      </c>
      <c r="C607" s="15" t="s">
        <v>1062</v>
      </c>
      <c r="D607" s="15">
        <v>17</v>
      </c>
      <c r="E607" s="15">
        <v>1142</v>
      </c>
    </row>
    <row r="608" spans="1:5" ht="15.75" customHeight="1">
      <c r="A608" s="15" t="str">
        <f t="shared" si="0"/>
        <v>SERJ</v>
      </c>
      <c r="B608" s="15" t="s">
        <v>1060</v>
      </c>
      <c r="C608" s="15" t="s">
        <v>27</v>
      </c>
      <c r="D608" s="15">
        <v>19</v>
      </c>
      <c r="E608" s="15">
        <v>1855</v>
      </c>
    </row>
    <row r="609" spans="1:5" ht="15.75" customHeight="1">
      <c r="A609" s="15" t="str">
        <f t="shared" si="0"/>
        <v>SERN</v>
      </c>
      <c r="B609" s="15" t="s">
        <v>1060</v>
      </c>
      <c r="C609" s="15" t="s">
        <v>732</v>
      </c>
      <c r="D609" s="15">
        <v>20</v>
      </c>
      <c r="E609" s="15">
        <v>788</v>
      </c>
    </row>
    <row r="610" spans="1:5" ht="15.75" customHeight="1">
      <c r="A610" s="15" t="str">
        <f t="shared" si="0"/>
        <v>SERS</v>
      </c>
      <c r="B610" s="15" t="s">
        <v>1060</v>
      </c>
      <c r="C610" s="15" t="s">
        <v>736</v>
      </c>
      <c r="D610" s="15">
        <v>23</v>
      </c>
      <c r="E610" s="15">
        <v>3296</v>
      </c>
    </row>
    <row r="611" spans="1:5" ht="15.75" customHeight="1">
      <c r="A611" s="15" t="str">
        <f t="shared" si="0"/>
        <v>SERO</v>
      </c>
      <c r="B611" s="15" t="s">
        <v>1060</v>
      </c>
      <c r="C611" s="15" t="s">
        <v>733</v>
      </c>
      <c r="D611" s="15">
        <v>21</v>
      </c>
      <c r="E611" s="15">
        <v>4229</v>
      </c>
    </row>
    <row r="612" spans="1:5" ht="15.75" customHeight="1">
      <c r="A612" s="15" t="str">
        <f t="shared" si="0"/>
        <v>SERR</v>
      </c>
      <c r="B612" s="15" t="s">
        <v>1060</v>
      </c>
      <c r="C612" s="15" t="s">
        <v>1063</v>
      </c>
      <c r="D612" s="15">
        <v>22</v>
      </c>
      <c r="E612" s="15">
        <v>6000</v>
      </c>
    </row>
    <row r="613" spans="1:5" ht="15.75" customHeight="1">
      <c r="A613" s="15" t="str">
        <f t="shared" si="0"/>
        <v>SESC</v>
      </c>
      <c r="B613" s="15" t="s">
        <v>1060</v>
      </c>
      <c r="C613" s="15" t="s">
        <v>26</v>
      </c>
      <c r="D613" s="15">
        <v>24</v>
      </c>
      <c r="E613" s="15">
        <v>2892</v>
      </c>
    </row>
    <row r="614" spans="1:5" ht="15.75" customHeight="1">
      <c r="A614" s="15" t="str">
        <f t="shared" si="0"/>
        <v>SESP</v>
      </c>
      <c r="B614" s="15" t="s">
        <v>1060</v>
      </c>
      <c r="C614" s="15" t="s">
        <v>23</v>
      </c>
      <c r="D614" s="15">
        <v>26</v>
      </c>
      <c r="E614" s="15">
        <v>2188</v>
      </c>
    </row>
    <row r="615" spans="1:5" ht="15.75" customHeight="1">
      <c r="A615" s="15" t="str">
        <f t="shared" si="0"/>
        <v>SESE</v>
      </c>
      <c r="B615" s="15" t="s">
        <v>1060</v>
      </c>
      <c r="C615" s="15" t="s">
        <v>1060</v>
      </c>
      <c r="D615" s="15">
        <v>25</v>
      </c>
      <c r="E615" s="15">
        <v>0</v>
      </c>
    </row>
    <row r="616" spans="1:5" ht="15.75" customHeight="1">
      <c r="A616" s="15" t="str">
        <f t="shared" si="0"/>
        <v>SETO</v>
      </c>
      <c r="B616" s="15" t="s">
        <v>1060</v>
      </c>
      <c r="C616" s="15" t="s">
        <v>1064</v>
      </c>
      <c r="D616" s="15">
        <v>27</v>
      </c>
      <c r="E616" s="15">
        <v>2722</v>
      </c>
    </row>
    <row r="617" spans="1:5" ht="15.75" customHeight="1">
      <c r="A617" s="15" t="str">
        <f t="shared" si="0"/>
        <v>TOAC</v>
      </c>
      <c r="B617" s="15" t="s">
        <v>1064</v>
      </c>
      <c r="C617" s="15" t="s">
        <v>1051</v>
      </c>
      <c r="D617" s="15">
        <v>1</v>
      </c>
      <c r="E617" s="15">
        <v>3764</v>
      </c>
    </row>
    <row r="618" spans="1:5" ht="15.75" customHeight="1">
      <c r="A618" s="15" t="str">
        <f t="shared" si="0"/>
        <v>TOAL</v>
      </c>
      <c r="B618" s="15" t="s">
        <v>1064</v>
      </c>
      <c r="C618" s="15" t="s">
        <v>1056</v>
      </c>
      <c r="D618" s="15">
        <v>2</v>
      </c>
      <c r="E618" s="15">
        <v>1851</v>
      </c>
    </row>
    <row r="619" spans="1:5" ht="15.75" customHeight="1">
      <c r="A619" s="15" t="str">
        <f t="shared" si="0"/>
        <v>TOAP</v>
      </c>
      <c r="B619" s="15" t="s">
        <v>1064</v>
      </c>
      <c r="C619" s="15" t="s">
        <v>1058</v>
      </c>
      <c r="D619" s="15">
        <v>4</v>
      </c>
      <c r="E619" s="15">
        <v>3764</v>
      </c>
    </row>
    <row r="620" spans="1:5" ht="15.75" customHeight="1">
      <c r="A620" s="15" t="str">
        <f t="shared" si="0"/>
        <v>TOAM</v>
      </c>
      <c r="B620" s="15" t="s">
        <v>1064</v>
      </c>
      <c r="C620" s="15" t="s">
        <v>29</v>
      </c>
      <c r="D620" s="15">
        <v>3</v>
      </c>
      <c r="E620" s="15">
        <v>4141</v>
      </c>
    </row>
    <row r="621" spans="1:5" ht="15.75" customHeight="1">
      <c r="A621" s="15" t="str">
        <f t="shared" si="0"/>
        <v>TOBA</v>
      </c>
      <c r="B621" s="15" t="s">
        <v>1064</v>
      </c>
      <c r="C621" s="15" t="s">
        <v>34</v>
      </c>
      <c r="D621" s="15">
        <v>5</v>
      </c>
      <c r="E621" s="15">
        <v>1454</v>
      </c>
    </row>
    <row r="622" spans="1:5" ht="15.75" customHeight="1">
      <c r="A622" s="15" t="str">
        <f t="shared" si="0"/>
        <v>TOCE</v>
      </c>
      <c r="B622" s="15" t="s">
        <v>1064</v>
      </c>
      <c r="C622" s="15" t="s">
        <v>41</v>
      </c>
      <c r="D622" s="15">
        <v>6</v>
      </c>
      <c r="E622" s="15">
        <v>2035</v>
      </c>
    </row>
    <row r="623" spans="1:5" ht="15.75" customHeight="1">
      <c r="A623" s="15" t="str">
        <f t="shared" si="0"/>
        <v>TODF</v>
      </c>
      <c r="B623" s="15" t="s">
        <v>1064</v>
      </c>
      <c r="C623" s="15" t="s">
        <v>1059</v>
      </c>
      <c r="D623" s="15">
        <v>7</v>
      </c>
      <c r="E623" s="15">
        <v>973</v>
      </c>
    </row>
    <row r="624" spans="1:5" ht="15.75" customHeight="1">
      <c r="A624" s="15" t="str">
        <f t="shared" si="0"/>
        <v>TOES</v>
      </c>
      <c r="B624" s="15" t="s">
        <v>1064</v>
      </c>
      <c r="C624" s="15" t="s">
        <v>25</v>
      </c>
      <c r="D624" s="15">
        <v>8</v>
      </c>
      <c r="E624" s="15">
        <v>2214</v>
      </c>
    </row>
    <row r="625" spans="1:5" ht="15.75" customHeight="1">
      <c r="A625" s="15" t="str">
        <f t="shared" si="0"/>
        <v>TOGO</v>
      </c>
      <c r="B625" s="15" t="s">
        <v>1064</v>
      </c>
      <c r="C625" s="15" t="s">
        <v>51</v>
      </c>
      <c r="D625" s="15">
        <v>9</v>
      </c>
      <c r="E625" s="15">
        <v>874</v>
      </c>
    </row>
    <row r="626" spans="1:5" ht="15.75" customHeight="1">
      <c r="A626" s="15" t="str">
        <f t="shared" si="0"/>
        <v>TOMA</v>
      </c>
      <c r="B626" s="15" t="s">
        <v>1064</v>
      </c>
      <c r="C626" s="15" t="s">
        <v>1057</v>
      </c>
      <c r="D626" s="15">
        <v>10</v>
      </c>
      <c r="E626" s="15">
        <v>1386</v>
      </c>
    </row>
    <row r="627" spans="1:5" ht="15.75" customHeight="1">
      <c r="A627" s="15" t="str">
        <f t="shared" si="0"/>
        <v>TOMT</v>
      </c>
      <c r="B627" s="15" t="s">
        <v>1064</v>
      </c>
      <c r="C627" s="15" t="s">
        <v>1052</v>
      </c>
      <c r="D627" s="15">
        <v>13</v>
      </c>
      <c r="E627" s="15">
        <v>1784</v>
      </c>
    </row>
    <row r="628" spans="1:5" ht="15.75" customHeight="1">
      <c r="A628" s="15" t="str">
        <f t="shared" si="0"/>
        <v>TOMS</v>
      </c>
      <c r="B628" s="15" t="s">
        <v>1064</v>
      </c>
      <c r="C628" s="15" t="s">
        <v>1053</v>
      </c>
      <c r="D628" s="15">
        <v>12</v>
      </c>
      <c r="E628" s="15">
        <v>1785</v>
      </c>
    </row>
    <row r="629" spans="1:5" ht="15.75" customHeight="1">
      <c r="A629" s="15" t="str">
        <f t="shared" si="0"/>
        <v>TOMG</v>
      </c>
      <c r="B629" s="15" t="s">
        <v>1064</v>
      </c>
      <c r="C629" s="15" t="s">
        <v>24</v>
      </c>
      <c r="D629" s="15">
        <v>11</v>
      </c>
      <c r="E629" s="15">
        <v>1690</v>
      </c>
    </row>
    <row r="630" spans="1:5" ht="15.75" customHeight="1">
      <c r="A630" s="15" t="str">
        <f t="shared" si="0"/>
        <v>TOPA</v>
      </c>
      <c r="B630" s="15" t="s">
        <v>1064</v>
      </c>
      <c r="C630" s="15" t="s">
        <v>1054</v>
      </c>
      <c r="D630" s="15">
        <v>14</v>
      </c>
      <c r="E630" s="15">
        <v>1283</v>
      </c>
    </row>
    <row r="631" spans="1:5" ht="15.75" customHeight="1">
      <c r="A631" s="15" t="str">
        <f t="shared" si="0"/>
        <v>TOPB</v>
      </c>
      <c r="B631" s="15" t="s">
        <v>1064</v>
      </c>
      <c r="C631" s="15" t="s">
        <v>1055</v>
      </c>
      <c r="D631" s="15">
        <v>15</v>
      </c>
      <c r="E631" s="15">
        <v>2253</v>
      </c>
    </row>
    <row r="632" spans="1:5" ht="15.75" customHeight="1">
      <c r="A632" s="15" t="str">
        <f t="shared" si="0"/>
        <v>TOPR</v>
      </c>
      <c r="B632" s="15" t="s">
        <v>1064</v>
      </c>
      <c r="C632" s="15" t="s">
        <v>28</v>
      </c>
      <c r="D632" s="15">
        <v>18</v>
      </c>
      <c r="E632" s="15">
        <v>2036</v>
      </c>
    </row>
    <row r="633" spans="1:5" ht="15.75" customHeight="1">
      <c r="A633" s="15" t="str">
        <f t="shared" si="0"/>
        <v>TOPE</v>
      </c>
      <c r="B633" s="15" t="s">
        <v>1064</v>
      </c>
      <c r="C633" s="15" t="s">
        <v>1061</v>
      </c>
      <c r="D633" s="15">
        <v>16</v>
      </c>
      <c r="E633" s="15">
        <v>2058</v>
      </c>
    </row>
    <row r="634" spans="1:5" ht="15.75" customHeight="1">
      <c r="A634" s="15" t="str">
        <f t="shared" si="0"/>
        <v>TOPI</v>
      </c>
      <c r="B634" s="15" t="s">
        <v>1064</v>
      </c>
      <c r="C634" s="15" t="s">
        <v>1062</v>
      </c>
      <c r="D634" s="15">
        <v>17</v>
      </c>
      <c r="E634" s="15">
        <v>1401</v>
      </c>
    </row>
    <row r="635" spans="1:5" ht="15.75" customHeight="1">
      <c r="A635" s="15" t="str">
        <f t="shared" si="0"/>
        <v>TORJ</v>
      </c>
      <c r="B635" s="15" t="s">
        <v>1064</v>
      </c>
      <c r="C635" s="15" t="s">
        <v>27</v>
      </c>
      <c r="D635" s="15">
        <v>19</v>
      </c>
      <c r="E635" s="15">
        <v>2124</v>
      </c>
    </row>
    <row r="636" spans="1:5" ht="15.75" customHeight="1">
      <c r="A636" s="15" t="str">
        <f t="shared" si="0"/>
        <v>TORN</v>
      </c>
      <c r="B636" s="15" t="s">
        <v>1064</v>
      </c>
      <c r="C636" s="15" t="s">
        <v>732</v>
      </c>
      <c r="D636" s="15">
        <v>20</v>
      </c>
      <c r="E636" s="15">
        <v>2345</v>
      </c>
    </row>
    <row r="637" spans="1:5" ht="15.75" customHeight="1">
      <c r="A637" s="15" t="str">
        <f t="shared" si="0"/>
        <v>TORS</v>
      </c>
      <c r="B637" s="15" t="s">
        <v>1064</v>
      </c>
      <c r="C637" s="15" t="s">
        <v>736</v>
      </c>
      <c r="D637" s="15">
        <v>23</v>
      </c>
      <c r="E637" s="15">
        <v>2747</v>
      </c>
    </row>
    <row r="638" spans="1:5" ht="15.75" customHeight="1">
      <c r="A638" s="15" t="str">
        <f t="shared" si="0"/>
        <v>TORO</v>
      </c>
      <c r="B638" s="15" t="s">
        <v>1064</v>
      </c>
      <c r="C638" s="15" t="s">
        <v>733</v>
      </c>
      <c r="D638" s="15">
        <v>21</v>
      </c>
      <c r="E638" s="15">
        <v>3240</v>
      </c>
    </row>
    <row r="639" spans="1:5" ht="15.75" customHeight="1">
      <c r="A639" s="15" t="str">
        <f t="shared" si="0"/>
        <v>TORR</v>
      </c>
      <c r="B639" s="15" t="s">
        <v>1064</v>
      </c>
      <c r="C639" s="15" t="s">
        <v>1063</v>
      </c>
      <c r="D639" s="15">
        <v>22</v>
      </c>
      <c r="E639" s="15">
        <v>4926</v>
      </c>
    </row>
    <row r="640" spans="1:5" ht="15.75" customHeight="1">
      <c r="A640" s="15" t="str">
        <f t="shared" si="0"/>
        <v>TOSC</v>
      </c>
      <c r="B640" s="15" t="s">
        <v>1064</v>
      </c>
      <c r="C640" s="15" t="s">
        <v>26</v>
      </c>
      <c r="D640" s="15">
        <v>24</v>
      </c>
      <c r="E640" s="15">
        <v>2336</v>
      </c>
    </row>
    <row r="641" spans="1:5" ht="15.75" customHeight="1">
      <c r="A641" s="15" t="str">
        <f t="shared" si="0"/>
        <v>TOSP</v>
      </c>
      <c r="B641" s="15" t="s">
        <v>1064</v>
      </c>
      <c r="C641" s="15" t="s">
        <v>23</v>
      </c>
      <c r="D641" s="15">
        <v>26</v>
      </c>
      <c r="E641" s="15">
        <v>1776</v>
      </c>
    </row>
    <row r="642" spans="1:5" ht="15.75" customHeight="1">
      <c r="A642" s="15" t="str">
        <f t="shared" si="0"/>
        <v>TOSE</v>
      </c>
      <c r="B642" s="15" t="s">
        <v>1064</v>
      </c>
      <c r="C642" s="15" t="s">
        <v>1060</v>
      </c>
      <c r="D642" s="15">
        <v>25</v>
      </c>
      <c r="E642" s="15">
        <v>2722</v>
      </c>
    </row>
    <row r="643" spans="1:5" ht="15.75" customHeight="1">
      <c r="A643" s="15" t="str">
        <f t="shared" si="0"/>
        <v>TOTO</v>
      </c>
      <c r="B643" s="15" t="s">
        <v>1064</v>
      </c>
      <c r="C643" s="15" t="s">
        <v>1064</v>
      </c>
      <c r="D643" s="15">
        <v>27</v>
      </c>
      <c r="E643" s="15">
        <v>0</v>
      </c>
    </row>
    <row r="644" spans="1:5" ht="15.75" customHeight="1">
      <c r="A644" s="15" t="str">
        <f t="shared" si="0"/>
        <v>ACAC</v>
      </c>
      <c r="B644" s="15" t="s">
        <v>1051</v>
      </c>
      <c r="C644" s="15" t="s">
        <v>1051</v>
      </c>
      <c r="D644" s="15">
        <v>1</v>
      </c>
      <c r="E644" s="15">
        <v>0</v>
      </c>
    </row>
    <row r="645" spans="1:5" ht="15.75" customHeight="1">
      <c r="A645" s="15" t="str">
        <f t="shared" si="0"/>
        <v>ACAL</v>
      </c>
      <c r="B645" s="15" t="s">
        <v>1051</v>
      </c>
      <c r="C645" s="15" t="s">
        <v>1056</v>
      </c>
      <c r="D645" s="15">
        <v>2</v>
      </c>
      <c r="E645" s="15">
        <v>5039</v>
      </c>
    </row>
    <row r="646" spans="1:5" ht="15.75" customHeight="1">
      <c r="A646" s="15" t="str">
        <f t="shared" si="0"/>
        <v>ACAP</v>
      </c>
      <c r="B646" s="15" t="s">
        <v>1051</v>
      </c>
      <c r="C646" s="15" t="s">
        <v>1058</v>
      </c>
      <c r="D646" s="15">
        <v>4</v>
      </c>
      <c r="E646" s="15">
        <v>0</v>
      </c>
    </row>
    <row r="647" spans="1:5" ht="15.75" customHeight="1">
      <c r="A647" s="15" t="str">
        <f t="shared" si="0"/>
        <v>ACAM</v>
      </c>
      <c r="B647" s="15" t="s">
        <v>1051</v>
      </c>
      <c r="C647" s="15" t="s">
        <v>29</v>
      </c>
      <c r="D647" s="15">
        <v>3</v>
      </c>
      <c r="E647" s="15">
        <v>1445</v>
      </c>
    </row>
    <row r="648" spans="1:5" ht="15.75" customHeight="1">
      <c r="A648" s="15" t="str">
        <f t="shared" si="0"/>
        <v>ACBA</v>
      </c>
      <c r="B648" s="15" t="s">
        <v>1051</v>
      </c>
      <c r="C648" s="15" t="s">
        <v>34</v>
      </c>
      <c r="D648" s="15">
        <v>5</v>
      </c>
      <c r="E648" s="15">
        <v>4457</v>
      </c>
    </row>
    <row r="649" spans="1:5" ht="15.75" customHeight="1">
      <c r="A649" s="15" t="str">
        <f t="shared" si="0"/>
        <v>ACCE</v>
      </c>
      <c r="B649" s="15" t="s">
        <v>1051</v>
      </c>
      <c r="C649" s="15" t="s">
        <v>41</v>
      </c>
      <c r="D649" s="15">
        <v>6</v>
      </c>
      <c r="E649" s="15">
        <v>5396</v>
      </c>
    </row>
    <row r="650" spans="1:5" ht="15.75" customHeight="1">
      <c r="A650" s="15" t="str">
        <f t="shared" si="0"/>
        <v>ACDF</v>
      </c>
      <c r="B650" s="15" t="s">
        <v>1051</v>
      </c>
      <c r="C650" s="15" t="s">
        <v>1059</v>
      </c>
      <c r="D650" s="15">
        <v>7</v>
      </c>
      <c r="E650" s="15">
        <v>3123</v>
      </c>
    </row>
    <row r="651" spans="1:5" ht="15.75" customHeight="1">
      <c r="A651" s="15" t="str">
        <f t="shared" si="0"/>
        <v>ACES</v>
      </c>
      <c r="B651" s="15" t="s">
        <v>1051</v>
      </c>
      <c r="C651" s="15" t="s">
        <v>25</v>
      </c>
      <c r="D651" s="15">
        <v>8</v>
      </c>
      <c r="E651" s="15">
        <v>4109</v>
      </c>
    </row>
    <row r="652" spans="1:5" ht="15.75" customHeight="1">
      <c r="A652" s="15" t="str">
        <f t="shared" si="0"/>
        <v>ACGO</v>
      </c>
      <c r="B652" s="15" t="s">
        <v>1051</v>
      </c>
      <c r="C652" s="15" t="s">
        <v>51</v>
      </c>
      <c r="D652" s="15">
        <v>9</v>
      </c>
      <c r="E652" s="15">
        <v>2924</v>
      </c>
    </row>
    <row r="653" spans="1:5" ht="15.75" customHeight="1">
      <c r="A653" s="15" t="str">
        <f t="shared" si="0"/>
        <v>ACMA</v>
      </c>
      <c r="B653" s="15" t="s">
        <v>1051</v>
      </c>
      <c r="C653" s="15" t="s">
        <v>1057</v>
      </c>
      <c r="D653" s="15">
        <v>10</v>
      </c>
      <c r="E653" s="15">
        <v>4968</v>
      </c>
    </row>
    <row r="654" spans="1:5" ht="15.75" customHeight="1">
      <c r="A654" s="15" t="str">
        <f t="shared" si="0"/>
        <v>ACMT</v>
      </c>
      <c r="B654" s="15" t="s">
        <v>1051</v>
      </c>
      <c r="C654" s="15" t="s">
        <v>1052</v>
      </c>
      <c r="D654" s="15">
        <v>13</v>
      </c>
      <c r="E654" s="15">
        <v>1990</v>
      </c>
    </row>
    <row r="655" spans="1:5" ht="15.75" customHeight="1">
      <c r="A655" s="15" t="str">
        <f t="shared" si="0"/>
        <v>ACMS</v>
      </c>
      <c r="B655" s="15" t="s">
        <v>1051</v>
      </c>
      <c r="C655" s="15" t="s">
        <v>1053</v>
      </c>
      <c r="D655" s="15">
        <v>12</v>
      </c>
      <c r="E655" s="15">
        <v>2684</v>
      </c>
    </row>
    <row r="656" spans="1:5" ht="15.75" customHeight="1">
      <c r="A656" s="15" t="str">
        <f t="shared" si="0"/>
        <v>ACMG</v>
      </c>
      <c r="B656" s="15" t="s">
        <v>1051</v>
      </c>
      <c r="C656" s="15" t="s">
        <v>24</v>
      </c>
      <c r="D656" s="15">
        <v>11</v>
      </c>
      <c r="E656" s="15">
        <v>3584</v>
      </c>
    </row>
    <row r="657" spans="1:5" ht="15.75" customHeight="1">
      <c r="A657" s="15" t="str">
        <f t="shared" si="0"/>
        <v>ACPA</v>
      </c>
      <c r="B657" s="15" t="s">
        <v>1051</v>
      </c>
      <c r="C657" s="15" t="s">
        <v>1054</v>
      </c>
      <c r="D657" s="15">
        <v>14</v>
      </c>
      <c r="E657" s="15">
        <v>4931</v>
      </c>
    </row>
    <row r="658" spans="1:5" ht="15.75" customHeight="1">
      <c r="A658" s="15" t="str">
        <f t="shared" si="0"/>
        <v>ACPB</v>
      </c>
      <c r="B658" s="15" t="s">
        <v>1051</v>
      </c>
      <c r="C658" s="15" t="s">
        <v>1055</v>
      </c>
      <c r="D658" s="15">
        <v>15</v>
      </c>
      <c r="E658" s="15">
        <v>5356</v>
      </c>
    </row>
    <row r="659" spans="1:5" ht="15.75" customHeight="1">
      <c r="A659" s="15" t="str">
        <f t="shared" si="0"/>
        <v>ACPR</v>
      </c>
      <c r="B659" s="15" t="s">
        <v>1051</v>
      </c>
      <c r="C659" s="15" t="s">
        <v>28</v>
      </c>
      <c r="D659" s="15">
        <v>18</v>
      </c>
      <c r="E659" s="15">
        <v>3669</v>
      </c>
    </row>
    <row r="660" spans="1:5" ht="15.75" customHeight="1">
      <c r="A660" s="15" t="str">
        <f t="shared" si="0"/>
        <v>ACPE</v>
      </c>
      <c r="B660" s="15" t="s">
        <v>1051</v>
      </c>
      <c r="C660" s="15" t="s">
        <v>1061</v>
      </c>
      <c r="D660" s="15">
        <v>16</v>
      </c>
      <c r="E660" s="15">
        <v>5243</v>
      </c>
    </row>
    <row r="661" spans="1:5" ht="15.75" customHeight="1">
      <c r="A661" s="15" t="str">
        <f t="shared" si="0"/>
        <v>ACPI</v>
      </c>
      <c r="B661" s="15" t="s">
        <v>1051</v>
      </c>
      <c r="C661" s="15" t="s">
        <v>1062</v>
      </c>
      <c r="D661" s="15">
        <v>17</v>
      </c>
      <c r="E661" s="15">
        <v>4900</v>
      </c>
    </row>
    <row r="662" spans="1:5" ht="15.75" customHeight="1">
      <c r="A662" s="15" t="str">
        <f t="shared" si="0"/>
        <v>ACRJ</v>
      </c>
      <c r="B662" s="15" t="s">
        <v>1051</v>
      </c>
      <c r="C662" s="15" t="s">
        <v>27</v>
      </c>
      <c r="D662" s="15">
        <v>19</v>
      </c>
      <c r="E662" s="15">
        <v>4007</v>
      </c>
    </row>
    <row r="663" spans="1:5" ht="15.75" customHeight="1">
      <c r="A663" s="15" t="str">
        <f t="shared" si="0"/>
        <v>ACRN</v>
      </c>
      <c r="B663" s="15" t="s">
        <v>1051</v>
      </c>
      <c r="C663" s="15" t="s">
        <v>732</v>
      </c>
      <c r="D663" s="15">
        <v>20</v>
      </c>
      <c r="E663" s="15">
        <v>5533</v>
      </c>
    </row>
    <row r="664" spans="1:5" ht="15.75" customHeight="1">
      <c r="A664" s="15" t="str">
        <f t="shared" si="0"/>
        <v>ACRS</v>
      </c>
      <c r="B664" s="15" t="s">
        <v>1051</v>
      </c>
      <c r="C664" s="15" t="s">
        <v>736</v>
      </c>
      <c r="D664" s="15">
        <v>23</v>
      </c>
      <c r="E664" s="15">
        <v>4196</v>
      </c>
    </row>
    <row r="665" spans="1:5" ht="15.75" customHeight="1">
      <c r="A665" s="15" t="str">
        <f t="shared" si="0"/>
        <v>ACRO</v>
      </c>
      <c r="B665" s="15" t="s">
        <v>1051</v>
      </c>
      <c r="C665" s="15" t="s">
        <v>733</v>
      </c>
      <c r="D665" s="15">
        <v>21</v>
      </c>
      <c r="E665" s="15">
        <v>544</v>
      </c>
    </row>
    <row r="666" spans="1:5" ht="15.75" customHeight="1">
      <c r="A666" s="15" t="str">
        <f t="shared" si="0"/>
        <v>ACRR</v>
      </c>
      <c r="B666" s="15" t="s">
        <v>1051</v>
      </c>
      <c r="C666" s="15" t="s">
        <v>1063</v>
      </c>
      <c r="D666" s="15">
        <v>22</v>
      </c>
      <c r="E666" s="15">
        <v>2230</v>
      </c>
    </row>
    <row r="667" spans="1:5" ht="15.75" customHeight="1">
      <c r="A667" s="15" t="str">
        <f t="shared" si="0"/>
        <v>ACSC</v>
      </c>
      <c r="B667" s="15" t="s">
        <v>1051</v>
      </c>
      <c r="C667" s="15" t="s">
        <v>26</v>
      </c>
      <c r="D667" s="15">
        <v>24</v>
      </c>
      <c r="E667" s="15">
        <v>3976</v>
      </c>
    </row>
    <row r="668" spans="1:5" ht="15.75" customHeight="1">
      <c r="A668" s="15" t="str">
        <f t="shared" si="0"/>
        <v>ACSP</v>
      </c>
      <c r="B668" s="15" t="s">
        <v>1051</v>
      </c>
      <c r="C668" s="15" t="s">
        <v>23</v>
      </c>
      <c r="D668" s="15">
        <v>26</v>
      </c>
      <c r="E668" s="15">
        <v>3604</v>
      </c>
    </row>
    <row r="669" spans="1:5" ht="15.75" customHeight="1">
      <c r="A669" s="15" t="str">
        <f t="shared" si="0"/>
        <v>ACSE</v>
      </c>
      <c r="B669" s="15" t="s">
        <v>1051</v>
      </c>
      <c r="C669" s="15" t="s">
        <v>1060</v>
      </c>
      <c r="D669" s="15">
        <v>25</v>
      </c>
      <c r="E669" s="15">
        <v>5215</v>
      </c>
    </row>
    <row r="670" spans="1:5" ht="15.75" customHeight="1">
      <c r="A670" s="15" t="str">
        <f t="shared" si="0"/>
        <v>ACTO</v>
      </c>
      <c r="B670" s="15" t="s">
        <v>1051</v>
      </c>
      <c r="C670" s="15" t="s">
        <v>1064</v>
      </c>
      <c r="D670" s="15">
        <v>27</v>
      </c>
      <c r="E670" s="15">
        <v>3764</v>
      </c>
    </row>
    <row r="671" spans="1:5" ht="15.75" customHeight="1">
      <c r="A671" s="15" t="str">
        <f t="shared" si="0"/>
        <v>ALAC</v>
      </c>
      <c r="B671" s="15" t="s">
        <v>1056</v>
      </c>
      <c r="C671" s="15" t="s">
        <v>1051</v>
      </c>
      <c r="D671" s="15">
        <v>1</v>
      </c>
      <c r="E671" s="15">
        <v>5039</v>
      </c>
    </row>
    <row r="672" spans="1:5" ht="15.75" customHeight="1">
      <c r="A672" s="15" t="str">
        <f t="shared" si="0"/>
        <v>ALAL</v>
      </c>
      <c r="B672" s="15" t="s">
        <v>1056</v>
      </c>
      <c r="C672" s="15" t="s">
        <v>1056</v>
      </c>
      <c r="D672" s="15">
        <v>2</v>
      </c>
      <c r="E672" s="15">
        <v>0</v>
      </c>
    </row>
    <row r="673" spans="1:5" ht="15.75" customHeight="1">
      <c r="A673" s="15" t="str">
        <f t="shared" si="0"/>
        <v>ALAP</v>
      </c>
      <c r="B673" s="15" t="s">
        <v>1056</v>
      </c>
      <c r="C673" s="15" t="s">
        <v>1058</v>
      </c>
      <c r="D673" s="15">
        <v>4</v>
      </c>
      <c r="E673" s="15">
        <v>5039</v>
      </c>
    </row>
    <row r="674" spans="1:5" ht="15.75" customHeight="1">
      <c r="A674" s="15" t="str">
        <f t="shared" si="0"/>
        <v>ALAM</v>
      </c>
      <c r="B674" s="15" t="s">
        <v>1056</v>
      </c>
      <c r="C674" s="15" t="s">
        <v>29</v>
      </c>
      <c r="D674" s="15">
        <v>3</v>
      </c>
      <c r="E674" s="15">
        <v>5491</v>
      </c>
    </row>
    <row r="675" spans="1:5" ht="15.75" customHeight="1">
      <c r="A675" s="15" t="str">
        <f t="shared" si="0"/>
        <v>ALBA</v>
      </c>
      <c r="B675" s="15" t="s">
        <v>1056</v>
      </c>
      <c r="C675" s="15" t="s">
        <v>34</v>
      </c>
      <c r="D675" s="15">
        <v>5</v>
      </c>
      <c r="E675" s="15">
        <v>632</v>
      </c>
    </row>
    <row r="676" spans="1:5" ht="15.75" customHeight="1">
      <c r="A676" s="15" t="str">
        <f t="shared" si="0"/>
        <v>ALCE</v>
      </c>
      <c r="B676" s="15" t="s">
        <v>1056</v>
      </c>
      <c r="C676" s="15" t="s">
        <v>41</v>
      </c>
      <c r="D676" s="15">
        <v>6</v>
      </c>
      <c r="E676" s="15">
        <v>1075</v>
      </c>
    </row>
    <row r="677" spans="1:5" ht="15.75" customHeight="1">
      <c r="A677" s="15" t="str">
        <f t="shared" si="0"/>
        <v>ALDF</v>
      </c>
      <c r="B677" s="15" t="s">
        <v>1056</v>
      </c>
      <c r="C677" s="15" t="s">
        <v>1059</v>
      </c>
      <c r="D677" s="15">
        <v>7</v>
      </c>
      <c r="E677" s="15">
        <v>1930</v>
      </c>
    </row>
    <row r="678" spans="1:5" ht="15.75" customHeight="1">
      <c r="A678" s="15" t="str">
        <f t="shared" si="0"/>
        <v>ALES</v>
      </c>
      <c r="B678" s="15" t="s">
        <v>1056</v>
      </c>
      <c r="C678" s="15" t="s">
        <v>25</v>
      </c>
      <c r="D678" s="15">
        <v>8</v>
      </c>
      <c r="E678" s="15">
        <v>1684</v>
      </c>
    </row>
    <row r="679" spans="1:5" ht="15.75" customHeight="1">
      <c r="A679" s="15" t="str">
        <f t="shared" si="0"/>
        <v>ALGO</v>
      </c>
      <c r="B679" s="15" t="s">
        <v>1056</v>
      </c>
      <c r="C679" s="15" t="s">
        <v>51</v>
      </c>
      <c r="D679" s="15">
        <v>9</v>
      </c>
      <c r="E679" s="15">
        <v>2125</v>
      </c>
    </row>
    <row r="680" spans="1:5" ht="15.75" customHeight="1">
      <c r="A680" s="15" t="str">
        <f t="shared" si="0"/>
        <v>ALMA</v>
      </c>
      <c r="B680" s="15" t="s">
        <v>1056</v>
      </c>
      <c r="C680" s="15" t="s">
        <v>1057</v>
      </c>
      <c r="D680" s="15">
        <v>10</v>
      </c>
      <c r="E680" s="15">
        <v>1672</v>
      </c>
    </row>
    <row r="681" spans="1:5" ht="15.75" customHeight="1">
      <c r="A681" s="15" t="str">
        <f t="shared" si="0"/>
        <v>ALMT</v>
      </c>
      <c r="B681" s="15" t="s">
        <v>1056</v>
      </c>
      <c r="C681" s="15" t="s">
        <v>1052</v>
      </c>
      <c r="D681" s="15">
        <v>13</v>
      </c>
      <c r="E681" s="15">
        <v>3049</v>
      </c>
    </row>
    <row r="682" spans="1:5" ht="15.75" customHeight="1">
      <c r="A682" s="15" t="str">
        <f t="shared" si="0"/>
        <v>ALMS</v>
      </c>
      <c r="B682" s="15" t="s">
        <v>1056</v>
      </c>
      <c r="C682" s="15" t="s">
        <v>1053</v>
      </c>
      <c r="D682" s="15">
        <v>12</v>
      </c>
      <c r="E682" s="15">
        <v>3040</v>
      </c>
    </row>
    <row r="683" spans="1:5" ht="15.75" customHeight="1">
      <c r="A683" s="15" t="str">
        <f t="shared" si="0"/>
        <v>ALMG</v>
      </c>
      <c r="B683" s="15" t="s">
        <v>1056</v>
      </c>
      <c r="C683" s="15" t="s">
        <v>24</v>
      </c>
      <c r="D683" s="15">
        <v>11</v>
      </c>
      <c r="E683" s="15">
        <v>1854</v>
      </c>
    </row>
    <row r="684" spans="1:5" ht="15.75" customHeight="1">
      <c r="A684" s="15" t="str">
        <f t="shared" si="0"/>
        <v>ALPA</v>
      </c>
      <c r="B684" s="15" t="s">
        <v>1056</v>
      </c>
      <c r="C684" s="15" t="s">
        <v>1054</v>
      </c>
      <c r="D684" s="15">
        <v>14</v>
      </c>
      <c r="E684" s="15">
        <v>2173</v>
      </c>
    </row>
    <row r="685" spans="1:5" ht="15.75" customHeight="1">
      <c r="A685" s="15" t="str">
        <f t="shared" si="0"/>
        <v>ALPB</v>
      </c>
      <c r="B685" s="15" t="s">
        <v>1056</v>
      </c>
      <c r="C685" s="15" t="s">
        <v>1055</v>
      </c>
      <c r="D685" s="15">
        <v>15</v>
      </c>
      <c r="E685" s="15">
        <v>395</v>
      </c>
    </row>
    <row r="686" spans="1:5" ht="15.75" customHeight="1">
      <c r="A686" s="15" t="str">
        <f t="shared" si="0"/>
        <v>ALPR</v>
      </c>
      <c r="B686" s="15" t="s">
        <v>1056</v>
      </c>
      <c r="C686" s="15" t="s">
        <v>28</v>
      </c>
      <c r="D686" s="15">
        <v>18</v>
      </c>
      <c r="E686" s="15">
        <v>2871</v>
      </c>
    </row>
    <row r="687" spans="1:5" ht="15.75" customHeight="1">
      <c r="A687" s="15" t="str">
        <f t="shared" si="0"/>
        <v>ALPE</v>
      </c>
      <c r="B687" s="15" t="s">
        <v>1056</v>
      </c>
      <c r="C687" s="15" t="s">
        <v>1061</v>
      </c>
      <c r="D687" s="15">
        <v>16</v>
      </c>
      <c r="E687" s="15">
        <v>285</v>
      </c>
    </row>
    <row r="688" spans="1:5" ht="15.75" customHeight="1">
      <c r="A688" s="15" t="str">
        <f t="shared" si="0"/>
        <v>ALPI</v>
      </c>
      <c r="B688" s="15" t="s">
        <v>1056</v>
      </c>
      <c r="C688" s="15" t="s">
        <v>1062</v>
      </c>
      <c r="D688" s="15">
        <v>17</v>
      </c>
      <c r="E688" s="15">
        <v>1236</v>
      </c>
    </row>
    <row r="689" spans="1:5" ht="15.75" customHeight="1">
      <c r="A689" s="15" t="str">
        <f t="shared" si="0"/>
        <v>ALRJ</v>
      </c>
      <c r="B689" s="15" t="s">
        <v>1056</v>
      </c>
      <c r="C689" s="15" t="s">
        <v>27</v>
      </c>
      <c r="D689" s="15">
        <v>19</v>
      </c>
      <c r="E689" s="15">
        <v>2131</v>
      </c>
    </row>
    <row r="690" spans="1:5" ht="15.75" customHeight="1">
      <c r="A690" s="15" t="str">
        <f t="shared" si="0"/>
        <v>ALRN</v>
      </c>
      <c r="B690" s="15" t="s">
        <v>1056</v>
      </c>
      <c r="C690" s="15" t="s">
        <v>732</v>
      </c>
      <c r="D690" s="15">
        <v>20</v>
      </c>
      <c r="E690" s="15">
        <v>572</v>
      </c>
    </row>
    <row r="691" spans="1:5" ht="15.75" customHeight="1">
      <c r="A691" s="15" t="str">
        <f t="shared" si="0"/>
        <v>ALRS</v>
      </c>
      <c r="B691" s="15" t="s">
        <v>1056</v>
      </c>
      <c r="C691" s="15" t="s">
        <v>736</v>
      </c>
      <c r="D691" s="15">
        <v>23</v>
      </c>
      <c r="E691" s="15">
        <v>3572</v>
      </c>
    </row>
    <row r="692" spans="1:5" ht="15.75" customHeight="1">
      <c r="A692" s="15" t="str">
        <f t="shared" si="0"/>
        <v>ALRO</v>
      </c>
      <c r="B692" s="15" t="s">
        <v>1056</v>
      </c>
      <c r="C692" s="15" t="s">
        <v>733</v>
      </c>
      <c r="D692" s="15">
        <v>21</v>
      </c>
      <c r="E692" s="15">
        <v>4505</v>
      </c>
    </row>
    <row r="693" spans="1:5" ht="15.75" customHeight="1">
      <c r="A693" s="15" t="str">
        <f t="shared" si="0"/>
        <v>ALRR</v>
      </c>
      <c r="B693" s="15" t="s">
        <v>1056</v>
      </c>
      <c r="C693" s="15" t="s">
        <v>1063</v>
      </c>
      <c r="D693" s="15">
        <v>22</v>
      </c>
      <c r="E693" s="15">
        <v>6279</v>
      </c>
    </row>
    <row r="694" spans="1:5" ht="15.75" customHeight="1">
      <c r="A694" s="15" t="str">
        <f t="shared" si="0"/>
        <v>ALSC</v>
      </c>
      <c r="B694" s="15" t="s">
        <v>1056</v>
      </c>
      <c r="C694" s="15" t="s">
        <v>26</v>
      </c>
      <c r="D694" s="15">
        <v>24</v>
      </c>
      <c r="E694" s="15">
        <v>3168</v>
      </c>
    </row>
    <row r="695" spans="1:5" ht="15.75" customHeight="1">
      <c r="A695" s="15" t="str">
        <f t="shared" si="0"/>
        <v>ALSP</v>
      </c>
      <c r="B695" s="15" t="s">
        <v>1056</v>
      </c>
      <c r="C695" s="15" t="s">
        <v>23</v>
      </c>
      <c r="D695" s="15">
        <v>26</v>
      </c>
      <c r="E695" s="15">
        <v>2453</v>
      </c>
    </row>
    <row r="696" spans="1:5" ht="15.75" customHeight="1">
      <c r="A696" s="15" t="str">
        <f t="shared" si="0"/>
        <v>ALSE</v>
      </c>
      <c r="B696" s="15" t="s">
        <v>1056</v>
      </c>
      <c r="C696" s="15" t="s">
        <v>1060</v>
      </c>
      <c r="D696" s="15">
        <v>25</v>
      </c>
      <c r="E696" s="15">
        <v>1183</v>
      </c>
    </row>
    <row r="697" spans="1:5" ht="15.75" customHeight="1">
      <c r="A697" s="15" t="str">
        <f t="shared" si="0"/>
        <v>ALTO</v>
      </c>
      <c r="B697" s="15" t="s">
        <v>1056</v>
      </c>
      <c r="C697" s="15" t="s">
        <v>1064</v>
      </c>
      <c r="D697" s="15">
        <v>27</v>
      </c>
      <c r="E697" s="15">
        <v>1851</v>
      </c>
    </row>
    <row r="698" spans="1:5" ht="15.75" customHeight="1">
      <c r="A698" s="15" t="str">
        <f t="shared" si="0"/>
        <v>APAC</v>
      </c>
      <c r="B698" s="15" t="s">
        <v>1058</v>
      </c>
      <c r="C698" s="15" t="s">
        <v>1051</v>
      </c>
      <c r="D698" s="15">
        <v>1</v>
      </c>
      <c r="E698" s="15">
        <v>0</v>
      </c>
    </row>
    <row r="699" spans="1:5" ht="15.75" customHeight="1">
      <c r="A699" s="15" t="str">
        <f t="shared" si="0"/>
        <v>APAL</v>
      </c>
      <c r="B699" s="15" t="s">
        <v>1058</v>
      </c>
      <c r="C699" s="15" t="s">
        <v>1056</v>
      </c>
      <c r="D699" s="15">
        <v>2</v>
      </c>
      <c r="E699" s="15">
        <v>5039</v>
      </c>
    </row>
    <row r="700" spans="1:5" ht="15.75" customHeight="1">
      <c r="A700" s="15" t="str">
        <f t="shared" si="0"/>
        <v>APAP</v>
      </c>
      <c r="B700" s="15" t="s">
        <v>1058</v>
      </c>
      <c r="C700" s="15" t="s">
        <v>1058</v>
      </c>
      <c r="D700" s="15">
        <v>4</v>
      </c>
      <c r="E700" s="15">
        <v>0</v>
      </c>
    </row>
    <row r="701" spans="1:5" ht="15.75" customHeight="1">
      <c r="A701" s="15" t="str">
        <f t="shared" si="0"/>
        <v>APAM</v>
      </c>
      <c r="B701" s="15" t="s">
        <v>1058</v>
      </c>
      <c r="C701" s="15" t="s">
        <v>29</v>
      </c>
      <c r="D701" s="15">
        <v>3</v>
      </c>
      <c r="E701" s="15">
        <v>1445</v>
      </c>
    </row>
    <row r="702" spans="1:5" ht="15.75" customHeight="1">
      <c r="A702" s="15" t="str">
        <f t="shared" si="0"/>
        <v>APBA</v>
      </c>
      <c r="B702" s="15" t="s">
        <v>1058</v>
      </c>
      <c r="C702" s="15" t="s">
        <v>34</v>
      </c>
      <c r="D702" s="15">
        <v>5</v>
      </c>
      <c r="E702" s="15">
        <v>4457</v>
      </c>
    </row>
    <row r="703" spans="1:5" ht="15.75" customHeight="1">
      <c r="A703" s="15" t="str">
        <f t="shared" si="0"/>
        <v>APCE</v>
      </c>
      <c r="B703" s="15" t="s">
        <v>1058</v>
      </c>
      <c r="C703" s="15" t="s">
        <v>41</v>
      </c>
      <c r="D703" s="15">
        <v>6</v>
      </c>
      <c r="E703" s="15">
        <v>5396</v>
      </c>
    </row>
    <row r="704" spans="1:5" ht="15.75" customHeight="1">
      <c r="A704" s="15" t="str">
        <f t="shared" si="0"/>
        <v>APDF</v>
      </c>
      <c r="B704" s="15" t="s">
        <v>1058</v>
      </c>
      <c r="C704" s="15" t="s">
        <v>1059</v>
      </c>
      <c r="D704" s="15">
        <v>7</v>
      </c>
      <c r="E704" s="15">
        <v>3123</v>
      </c>
    </row>
    <row r="705" spans="1:5" ht="15.75" customHeight="1">
      <c r="A705" s="15" t="str">
        <f t="shared" si="0"/>
        <v>APES</v>
      </c>
      <c r="B705" s="15" t="s">
        <v>1058</v>
      </c>
      <c r="C705" s="15" t="s">
        <v>25</v>
      </c>
      <c r="D705" s="15">
        <v>8</v>
      </c>
      <c r="E705" s="15">
        <v>4109</v>
      </c>
    </row>
    <row r="706" spans="1:5" ht="15.75" customHeight="1">
      <c r="A706" s="15" t="str">
        <f t="shared" si="0"/>
        <v>APGO</v>
      </c>
      <c r="B706" s="15" t="s">
        <v>1058</v>
      </c>
      <c r="C706" s="15" t="s">
        <v>51</v>
      </c>
      <c r="D706" s="15">
        <v>9</v>
      </c>
      <c r="E706" s="15">
        <v>2924</v>
      </c>
    </row>
    <row r="707" spans="1:5" ht="15.75" customHeight="1">
      <c r="A707" s="15" t="str">
        <f t="shared" si="0"/>
        <v>APMA</v>
      </c>
      <c r="B707" s="15" t="s">
        <v>1058</v>
      </c>
      <c r="C707" s="15" t="s">
        <v>1057</v>
      </c>
      <c r="D707" s="15">
        <v>10</v>
      </c>
      <c r="E707" s="15">
        <v>4968</v>
      </c>
    </row>
    <row r="708" spans="1:5" ht="15.75" customHeight="1">
      <c r="A708" s="15" t="str">
        <f t="shared" si="0"/>
        <v>APMT</v>
      </c>
      <c r="B708" s="15" t="s">
        <v>1058</v>
      </c>
      <c r="C708" s="15" t="s">
        <v>1052</v>
      </c>
      <c r="D708" s="15">
        <v>13</v>
      </c>
      <c r="E708" s="15">
        <v>1990</v>
      </c>
    </row>
    <row r="709" spans="1:5" ht="15.75" customHeight="1">
      <c r="A709" s="15" t="str">
        <f t="shared" si="0"/>
        <v>APMS</v>
      </c>
      <c r="B709" s="15" t="s">
        <v>1058</v>
      </c>
      <c r="C709" s="15" t="s">
        <v>1053</v>
      </c>
      <c r="D709" s="15">
        <v>12</v>
      </c>
      <c r="E709" s="15">
        <v>2684</v>
      </c>
    </row>
    <row r="710" spans="1:5" ht="15.75" customHeight="1">
      <c r="A710" s="15" t="str">
        <f t="shared" si="0"/>
        <v>APMG</v>
      </c>
      <c r="B710" s="15" t="s">
        <v>1058</v>
      </c>
      <c r="C710" s="15" t="s">
        <v>24</v>
      </c>
      <c r="D710" s="15">
        <v>11</v>
      </c>
      <c r="E710" s="15">
        <v>3584</v>
      </c>
    </row>
    <row r="711" spans="1:5" ht="15.75" customHeight="1">
      <c r="A711" s="15" t="str">
        <f t="shared" si="0"/>
        <v>APPA</v>
      </c>
      <c r="B711" s="15" t="s">
        <v>1058</v>
      </c>
      <c r="C711" s="15" t="s">
        <v>1054</v>
      </c>
      <c r="D711" s="15">
        <v>14</v>
      </c>
      <c r="E711" s="15">
        <v>4931</v>
      </c>
    </row>
    <row r="712" spans="1:5" ht="15.75" customHeight="1">
      <c r="A712" s="15" t="str">
        <f t="shared" si="0"/>
        <v>APPB</v>
      </c>
      <c r="B712" s="15" t="s">
        <v>1058</v>
      </c>
      <c r="C712" s="15" t="s">
        <v>1055</v>
      </c>
      <c r="D712" s="15">
        <v>15</v>
      </c>
      <c r="E712" s="15">
        <v>5356</v>
      </c>
    </row>
    <row r="713" spans="1:5" ht="15.75" customHeight="1">
      <c r="A713" s="15" t="str">
        <f t="shared" si="0"/>
        <v>APPR</v>
      </c>
      <c r="B713" s="15" t="s">
        <v>1058</v>
      </c>
      <c r="C713" s="15" t="s">
        <v>28</v>
      </c>
      <c r="D713" s="15">
        <v>18</v>
      </c>
      <c r="E713" s="15">
        <v>3669</v>
      </c>
    </row>
    <row r="714" spans="1:5" ht="15.75" customHeight="1">
      <c r="A714" s="15" t="str">
        <f t="shared" si="0"/>
        <v>APPE</v>
      </c>
      <c r="B714" s="15" t="s">
        <v>1058</v>
      </c>
      <c r="C714" s="15" t="s">
        <v>1061</v>
      </c>
      <c r="D714" s="15">
        <v>16</v>
      </c>
      <c r="E714" s="15">
        <v>5243</v>
      </c>
    </row>
    <row r="715" spans="1:5" ht="15.75" customHeight="1">
      <c r="A715" s="15" t="str">
        <f t="shared" si="0"/>
        <v>APPI</v>
      </c>
      <c r="B715" s="15" t="s">
        <v>1058</v>
      </c>
      <c r="C715" s="15" t="s">
        <v>1062</v>
      </c>
      <c r="D715" s="15">
        <v>17</v>
      </c>
      <c r="E715" s="15">
        <v>4900</v>
      </c>
    </row>
    <row r="716" spans="1:5" ht="15.75" customHeight="1">
      <c r="A716" s="15" t="str">
        <f t="shared" si="0"/>
        <v>APRJ</v>
      </c>
      <c r="B716" s="15" t="s">
        <v>1058</v>
      </c>
      <c r="C716" s="15" t="s">
        <v>27</v>
      </c>
      <c r="D716" s="15">
        <v>19</v>
      </c>
      <c r="E716" s="15">
        <v>4007</v>
      </c>
    </row>
    <row r="717" spans="1:5" ht="15.75" customHeight="1">
      <c r="A717" s="15" t="str">
        <f t="shared" si="0"/>
        <v>APRN</v>
      </c>
      <c r="B717" s="15" t="s">
        <v>1058</v>
      </c>
      <c r="C717" s="15" t="s">
        <v>732</v>
      </c>
      <c r="D717" s="15">
        <v>20</v>
      </c>
      <c r="E717" s="15">
        <v>5533</v>
      </c>
    </row>
    <row r="718" spans="1:5" ht="15.75" customHeight="1">
      <c r="A718" s="15" t="str">
        <f t="shared" si="0"/>
        <v>APRS</v>
      </c>
      <c r="B718" s="15" t="s">
        <v>1058</v>
      </c>
      <c r="C718" s="15" t="s">
        <v>736</v>
      </c>
      <c r="D718" s="15">
        <v>23</v>
      </c>
      <c r="E718" s="15">
        <v>4196</v>
      </c>
    </row>
    <row r="719" spans="1:5" ht="15.75" customHeight="1">
      <c r="A719" s="15" t="str">
        <f t="shared" si="0"/>
        <v>APRO</v>
      </c>
      <c r="B719" s="15" t="s">
        <v>1058</v>
      </c>
      <c r="C719" s="15" t="s">
        <v>733</v>
      </c>
      <c r="D719" s="15">
        <v>21</v>
      </c>
      <c r="E719" s="15">
        <v>544</v>
      </c>
    </row>
    <row r="720" spans="1:5" ht="15.75" customHeight="1">
      <c r="A720" s="15" t="str">
        <f t="shared" si="0"/>
        <v>APRR</v>
      </c>
      <c r="B720" s="15" t="s">
        <v>1058</v>
      </c>
      <c r="C720" s="15" t="s">
        <v>1063</v>
      </c>
      <c r="D720" s="15">
        <v>22</v>
      </c>
      <c r="E720" s="15">
        <v>2230</v>
      </c>
    </row>
    <row r="721" spans="1:5" ht="15.75" customHeight="1">
      <c r="A721" s="15" t="str">
        <f t="shared" si="0"/>
        <v>APSC</v>
      </c>
      <c r="B721" s="15" t="s">
        <v>1058</v>
      </c>
      <c r="C721" s="15" t="s">
        <v>26</v>
      </c>
      <c r="D721" s="15">
        <v>24</v>
      </c>
      <c r="E721" s="15">
        <v>3976</v>
      </c>
    </row>
    <row r="722" spans="1:5" ht="15.75" customHeight="1">
      <c r="A722" s="15" t="str">
        <f t="shared" si="0"/>
        <v>APSP</v>
      </c>
      <c r="B722" s="15" t="s">
        <v>1058</v>
      </c>
      <c r="C722" s="15" t="s">
        <v>23</v>
      </c>
      <c r="D722" s="15">
        <v>26</v>
      </c>
      <c r="E722" s="15">
        <v>3604</v>
      </c>
    </row>
    <row r="723" spans="1:5" ht="15.75" customHeight="1">
      <c r="A723" s="15" t="str">
        <f t="shared" si="0"/>
        <v>APSE</v>
      </c>
      <c r="B723" s="15" t="s">
        <v>1058</v>
      </c>
      <c r="C723" s="15" t="s">
        <v>1060</v>
      </c>
      <c r="D723" s="15">
        <v>25</v>
      </c>
      <c r="E723" s="15">
        <v>5215</v>
      </c>
    </row>
    <row r="724" spans="1:5" ht="15.75" customHeight="1">
      <c r="A724" s="15" t="str">
        <f t="shared" si="0"/>
        <v>APTO</v>
      </c>
      <c r="B724" s="15" t="s">
        <v>1058</v>
      </c>
      <c r="C724" s="15" t="s">
        <v>1064</v>
      </c>
      <c r="D724" s="15">
        <v>27</v>
      </c>
      <c r="E724" s="15">
        <v>3764</v>
      </c>
    </row>
    <row r="725" spans="1:5" ht="15.75" customHeight="1">
      <c r="A725" s="15" t="str">
        <f t="shared" si="0"/>
        <v>AMAC</v>
      </c>
      <c r="B725" s="15" t="s">
        <v>29</v>
      </c>
      <c r="C725" s="15" t="s">
        <v>1051</v>
      </c>
      <c r="D725" s="15">
        <v>1</v>
      </c>
      <c r="E725" s="15">
        <v>1445</v>
      </c>
    </row>
    <row r="726" spans="1:5" ht="15.75" customHeight="1">
      <c r="A726" s="15" t="str">
        <f t="shared" si="0"/>
        <v>AMAL</v>
      </c>
      <c r="B726" s="15" t="s">
        <v>29</v>
      </c>
      <c r="C726" s="15" t="s">
        <v>1056</v>
      </c>
      <c r="D726" s="15">
        <v>2</v>
      </c>
      <c r="E726" s="15">
        <v>5491</v>
      </c>
    </row>
    <row r="727" spans="1:5" ht="15.75" customHeight="1">
      <c r="A727" s="15" t="str">
        <f t="shared" si="0"/>
        <v>AMAP</v>
      </c>
      <c r="B727" s="15" t="s">
        <v>29</v>
      </c>
      <c r="C727" s="15" t="s">
        <v>1058</v>
      </c>
      <c r="D727" s="15">
        <v>4</v>
      </c>
      <c r="E727" s="15">
        <v>1445</v>
      </c>
    </row>
    <row r="728" spans="1:5" ht="15.75" customHeight="1">
      <c r="A728" s="15" t="str">
        <f t="shared" si="0"/>
        <v>AMAM</v>
      </c>
      <c r="B728" s="15" t="s">
        <v>29</v>
      </c>
      <c r="C728" s="15" t="s">
        <v>29</v>
      </c>
      <c r="D728" s="15">
        <v>3</v>
      </c>
      <c r="E728" s="15">
        <v>0</v>
      </c>
    </row>
    <row r="729" spans="1:5" ht="15.75" customHeight="1">
      <c r="A729" s="15" t="str">
        <f t="shared" si="0"/>
        <v>AMBA</v>
      </c>
      <c r="B729" s="15" t="s">
        <v>29</v>
      </c>
      <c r="C729" s="15" t="s">
        <v>34</v>
      </c>
      <c r="D729" s="15">
        <v>5</v>
      </c>
      <c r="E729" s="15">
        <v>5009</v>
      </c>
    </row>
    <row r="730" spans="1:5" ht="15.75" customHeight="1">
      <c r="A730" s="15" t="str">
        <f t="shared" si="0"/>
        <v>AMCE</v>
      </c>
      <c r="B730" s="15" t="s">
        <v>29</v>
      </c>
      <c r="C730" s="15" t="s">
        <v>41</v>
      </c>
      <c r="D730" s="15">
        <v>6</v>
      </c>
      <c r="E730" s="15">
        <v>5763</v>
      </c>
    </row>
    <row r="731" spans="1:5" ht="15.75" customHeight="1">
      <c r="A731" s="15" t="str">
        <f t="shared" si="0"/>
        <v>AMDF</v>
      </c>
      <c r="B731" s="15" t="s">
        <v>29</v>
      </c>
      <c r="C731" s="15" t="s">
        <v>1059</v>
      </c>
      <c r="D731" s="15">
        <v>7</v>
      </c>
      <c r="E731" s="15">
        <v>3490</v>
      </c>
    </row>
    <row r="732" spans="1:5" ht="15.75" customHeight="1">
      <c r="A732" s="15" t="str">
        <f t="shared" si="0"/>
        <v>AMES</v>
      </c>
      <c r="B732" s="15" t="s">
        <v>29</v>
      </c>
      <c r="C732" s="15" t="s">
        <v>25</v>
      </c>
      <c r="D732" s="15">
        <v>8</v>
      </c>
      <c r="E732" s="15">
        <v>4476</v>
      </c>
    </row>
    <row r="733" spans="1:5" ht="15.75" customHeight="1">
      <c r="A733" s="15" t="str">
        <f t="shared" si="0"/>
        <v>AMGO</v>
      </c>
      <c r="B733" s="15" t="s">
        <v>29</v>
      </c>
      <c r="C733" s="15" t="s">
        <v>51</v>
      </c>
      <c r="D733" s="15">
        <v>9</v>
      </c>
      <c r="E733" s="15">
        <v>3291</v>
      </c>
    </row>
    <row r="734" spans="1:5" ht="15.75" customHeight="1">
      <c r="A734" s="15" t="str">
        <f t="shared" si="0"/>
        <v>AMMA</v>
      </c>
      <c r="B734" s="15" t="s">
        <v>29</v>
      </c>
      <c r="C734" s="15" t="s">
        <v>1057</v>
      </c>
      <c r="D734" s="15">
        <v>10</v>
      </c>
      <c r="E734" s="15">
        <v>5335</v>
      </c>
    </row>
    <row r="735" spans="1:5" ht="15.75" customHeight="1">
      <c r="A735" s="15" t="str">
        <f t="shared" si="0"/>
        <v>AMMT</v>
      </c>
      <c r="B735" s="15" t="s">
        <v>29</v>
      </c>
      <c r="C735" s="15" t="s">
        <v>1052</v>
      </c>
      <c r="D735" s="15">
        <v>13</v>
      </c>
      <c r="E735" s="15">
        <v>2357</v>
      </c>
    </row>
    <row r="736" spans="1:5" ht="15.75" customHeight="1">
      <c r="A736" s="15" t="str">
        <f t="shared" si="0"/>
        <v>AMMS</v>
      </c>
      <c r="B736" s="15" t="s">
        <v>29</v>
      </c>
      <c r="C736" s="15" t="s">
        <v>1053</v>
      </c>
      <c r="D736" s="15">
        <v>12</v>
      </c>
      <c r="E736" s="15">
        <v>3051</v>
      </c>
    </row>
    <row r="737" spans="1:5" ht="15.75" customHeight="1">
      <c r="A737" s="15" t="str">
        <f t="shared" si="0"/>
        <v>AMMG</v>
      </c>
      <c r="B737" s="15" t="s">
        <v>29</v>
      </c>
      <c r="C737" s="15" t="s">
        <v>24</v>
      </c>
      <c r="D737" s="15">
        <v>11</v>
      </c>
      <c r="E737" s="15">
        <v>3951</v>
      </c>
    </row>
    <row r="738" spans="1:5" ht="15.75" customHeight="1">
      <c r="A738" s="15" t="str">
        <f t="shared" si="0"/>
        <v>AMPA</v>
      </c>
      <c r="B738" s="15" t="s">
        <v>29</v>
      </c>
      <c r="C738" s="15" t="s">
        <v>1054</v>
      </c>
      <c r="D738" s="15">
        <v>14</v>
      </c>
      <c r="E738" s="15">
        <v>5298</v>
      </c>
    </row>
    <row r="739" spans="1:5" ht="15.75" customHeight="1">
      <c r="A739" s="15" t="str">
        <f t="shared" si="0"/>
        <v>AMPB</v>
      </c>
      <c r="B739" s="15" t="s">
        <v>29</v>
      </c>
      <c r="C739" s="15" t="s">
        <v>1055</v>
      </c>
      <c r="D739" s="15">
        <v>15</v>
      </c>
      <c r="E739" s="15">
        <v>5808</v>
      </c>
    </row>
    <row r="740" spans="1:5" ht="15.75" customHeight="1">
      <c r="A740" s="15" t="str">
        <f t="shared" si="0"/>
        <v>AMPR</v>
      </c>
      <c r="B740" s="15" t="s">
        <v>29</v>
      </c>
      <c r="C740" s="15" t="s">
        <v>28</v>
      </c>
      <c r="D740" s="15">
        <v>18</v>
      </c>
      <c r="E740" s="15">
        <v>4036</v>
      </c>
    </row>
    <row r="741" spans="1:5" ht="15.75" customHeight="1">
      <c r="A741" s="15" t="str">
        <f t="shared" si="0"/>
        <v>AMPE</v>
      </c>
      <c r="B741" s="15" t="s">
        <v>29</v>
      </c>
      <c r="C741" s="15" t="s">
        <v>1061</v>
      </c>
      <c r="D741" s="15">
        <v>16</v>
      </c>
      <c r="E741" s="15">
        <v>5698</v>
      </c>
    </row>
    <row r="742" spans="1:5" ht="15.75" customHeight="1">
      <c r="A742" s="15" t="str">
        <f t="shared" si="0"/>
        <v>AMPI</v>
      </c>
      <c r="B742" s="15" t="s">
        <v>29</v>
      </c>
      <c r="C742" s="15" t="s">
        <v>1062</v>
      </c>
      <c r="D742" s="15">
        <v>17</v>
      </c>
      <c r="E742" s="15">
        <v>5267</v>
      </c>
    </row>
    <row r="743" spans="1:5" ht="15.75" customHeight="1">
      <c r="A743" s="15" t="str">
        <f t="shared" si="0"/>
        <v>AMRJ</v>
      </c>
      <c r="B743" s="15" t="s">
        <v>29</v>
      </c>
      <c r="C743" s="15" t="s">
        <v>27</v>
      </c>
      <c r="D743" s="15">
        <v>19</v>
      </c>
      <c r="E743" s="15">
        <v>4374</v>
      </c>
    </row>
    <row r="744" spans="1:5" ht="15.75" customHeight="1">
      <c r="A744" s="15" t="str">
        <f t="shared" si="0"/>
        <v>AMRN</v>
      </c>
      <c r="B744" s="15" t="s">
        <v>29</v>
      </c>
      <c r="C744" s="15" t="s">
        <v>732</v>
      </c>
      <c r="D744" s="15">
        <v>20</v>
      </c>
      <c r="E744" s="15">
        <v>5985</v>
      </c>
    </row>
    <row r="745" spans="1:5" ht="15.75" customHeight="1">
      <c r="A745" s="15" t="str">
        <f t="shared" si="0"/>
        <v>AMRS</v>
      </c>
      <c r="B745" s="15" t="s">
        <v>29</v>
      </c>
      <c r="C745" s="15" t="s">
        <v>736</v>
      </c>
      <c r="D745" s="15">
        <v>23</v>
      </c>
      <c r="E745" s="15">
        <v>4563</v>
      </c>
    </row>
    <row r="746" spans="1:5" ht="15.75" customHeight="1">
      <c r="A746" s="15" t="str">
        <f t="shared" si="0"/>
        <v>AMRO</v>
      </c>
      <c r="B746" s="15" t="s">
        <v>29</v>
      </c>
      <c r="C746" s="15" t="s">
        <v>733</v>
      </c>
      <c r="D746" s="15">
        <v>21</v>
      </c>
      <c r="E746" s="15">
        <v>901</v>
      </c>
    </row>
    <row r="747" spans="1:5" ht="15.75" customHeight="1">
      <c r="A747" s="15" t="str">
        <f t="shared" si="0"/>
        <v>AMRR</v>
      </c>
      <c r="B747" s="15" t="s">
        <v>29</v>
      </c>
      <c r="C747" s="15" t="s">
        <v>1063</v>
      </c>
      <c r="D747" s="15">
        <v>22</v>
      </c>
      <c r="E747" s="15">
        <v>785</v>
      </c>
    </row>
    <row r="748" spans="1:5" ht="15.75" customHeight="1">
      <c r="A748" s="15" t="str">
        <f t="shared" si="0"/>
        <v>AMSC</v>
      </c>
      <c r="B748" s="15" t="s">
        <v>29</v>
      </c>
      <c r="C748" s="15" t="s">
        <v>26</v>
      </c>
      <c r="D748" s="15">
        <v>24</v>
      </c>
      <c r="E748" s="15">
        <v>4443</v>
      </c>
    </row>
    <row r="749" spans="1:5" ht="15.75" customHeight="1">
      <c r="A749" s="15" t="str">
        <f t="shared" si="0"/>
        <v>AMSP</v>
      </c>
      <c r="B749" s="15" t="s">
        <v>29</v>
      </c>
      <c r="C749" s="15" t="s">
        <v>23</v>
      </c>
      <c r="D749" s="15">
        <v>26</v>
      </c>
      <c r="E749" s="15">
        <v>3971</v>
      </c>
    </row>
    <row r="750" spans="1:5" ht="15.75" customHeight="1">
      <c r="A750" s="15" t="str">
        <f t="shared" si="0"/>
        <v>AMSE</v>
      </c>
      <c r="B750" s="15" t="s">
        <v>29</v>
      </c>
      <c r="C750" s="15" t="s">
        <v>1060</v>
      </c>
      <c r="D750" s="15">
        <v>25</v>
      </c>
      <c r="E750" s="15">
        <v>1848</v>
      </c>
    </row>
    <row r="751" spans="1:5" ht="15.75" customHeight="1">
      <c r="A751" s="15" t="str">
        <f t="shared" si="0"/>
        <v>AMTO</v>
      </c>
      <c r="B751" s="15" t="s">
        <v>29</v>
      </c>
      <c r="C751" s="15" t="s">
        <v>1064</v>
      </c>
      <c r="D751" s="15">
        <v>27</v>
      </c>
      <c r="E751" s="15">
        <v>4141</v>
      </c>
    </row>
    <row r="752" spans="1:5" ht="15.75" customHeight="1">
      <c r="A752" s="15" t="str">
        <f t="shared" si="0"/>
        <v>BAAC</v>
      </c>
      <c r="B752" s="15" t="s">
        <v>34</v>
      </c>
      <c r="C752" s="15" t="s">
        <v>1051</v>
      </c>
      <c r="D752" s="15">
        <v>1</v>
      </c>
      <c r="E752" s="15">
        <v>4457</v>
      </c>
    </row>
    <row r="753" spans="1:5" ht="15.75" customHeight="1">
      <c r="A753" s="15" t="str">
        <f t="shared" si="0"/>
        <v>BAAL</v>
      </c>
      <c r="B753" s="15" t="s">
        <v>34</v>
      </c>
      <c r="C753" s="15" t="s">
        <v>1056</v>
      </c>
      <c r="D753" s="15">
        <v>2</v>
      </c>
      <c r="E753" s="15">
        <v>632</v>
      </c>
    </row>
    <row r="754" spans="1:5" ht="15.75" customHeight="1">
      <c r="A754" s="15" t="str">
        <f t="shared" si="0"/>
        <v>BAAP</v>
      </c>
      <c r="B754" s="15" t="s">
        <v>34</v>
      </c>
      <c r="C754" s="15" t="s">
        <v>1058</v>
      </c>
      <c r="D754" s="15">
        <v>4</v>
      </c>
      <c r="E754" s="15">
        <v>4457</v>
      </c>
    </row>
    <row r="755" spans="1:5" ht="15.75" customHeight="1">
      <c r="A755" s="15" t="str">
        <f t="shared" si="0"/>
        <v>BAAM</v>
      </c>
      <c r="B755" s="15" t="s">
        <v>34</v>
      </c>
      <c r="C755" s="15" t="s">
        <v>29</v>
      </c>
      <c r="D755" s="15">
        <v>3</v>
      </c>
      <c r="E755" s="15">
        <v>5009</v>
      </c>
    </row>
    <row r="756" spans="1:5" ht="15.75" customHeight="1">
      <c r="A756" s="15" t="str">
        <f t="shared" si="0"/>
        <v>BABA</v>
      </c>
      <c r="B756" s="15" t="s">
        <v>34</v>
      </c>
      <c r="C756" s="15" t="s">
        <v>34</v>
      </c>
      <c r="D756" s="15">
        <v>5</v>
      </c>
      <c r="E756" s="15">
        <v>0</v>
      </c>
    </row>
    <row r="757" spans="1:5" ht="15.75" customHeight="1">
      <c r="A757" s="15" t="str">
        <f t="shared" si="0"/>
        <v>BACE</v>
      </c>
      <c r="B757" s="15" t="s">
        <v>34</v>
      </c>
      <c r="C757" s="15" t="s">
        <v>41</v>
      </c>
      <c r="D757" s="15">
        <v>6</v>
      </c>
      <c r="E757" s="15">
        <v>1389</v>
      </c>
    </row>
    <row r="758" spans="1:5" ht="15.75" customHeight="1">
      <c r="A758" s="15" t="str">
        <f t="shared" si="0"/>
        <v>BADF</v>
      </c>
      <c r="B758" s="15" t="s">
        <v>34</v>
      </c>
      <c r="C758" s="15" t="s">
        <v>1059</v>
      </c>
      <c r="D758" s="15">
        <v>7</v>
      </c>
      <c r="E758" s="15">
        <v>1446</v>
      </c>
    </row>
    <row r="759" spans="1:5" ht="15.75" customHeight="1">
      <c r="A759" s="15" t="str">
        <f t="shared" si="0"/>
        <v>BAES</v>
      </c>
      <c r="B759" s="15" t="s">
        <v>34</v>
      </c>
      <c r="C759" s="15" t="s">
        <v>25</v>
      </c>
      <c r="D759" s="15">
        <v>8</v>
      </c>
      <c r="E759" s="15">
        <v>1202</v>
      </c>
    </row>
    <row r="760" spans="1:5" ht="15.75" customHeight="1">
      <c r="A760" s="15" t="str">
        <f t="shared" si="0"/>
        <v>BAGO</v>
      </c>
      <c r="B760" s="15" t="s">
        <v>34</v>
      </c>
      <c r="C760" s="15" t="s">
        <v>51</v>
      </c>
      <c r="D760" s="15">
        <v>9</v>
      </c>
      <c r="E760" s="15">
        <v>1643</v>
      </c>
    </row>
    <row r="761" spans="1:5" ht="15.75" customHeight="1">
      <c r="A761" s="15" t="str">
        <f t="shared" si="0"/>
        <v>BAMA</v>
      </c>
      <c r="B761" s="15" t="s">
        <v>34</v>
      </c>
      <c r="C761" s="15" t="s">
        <v>1057</v>
      </c>
      <c r="D761" s="15">
        <v>10</v>
      </c>
      <c r="E761" s="15">
        <v>1599</v>
      </c>
    </row>
    <row r="762" spans="1:5" ht="15.75" customHeight="1">
      <c r="A762" s="15" t="str">
        <f t="shared" si="0"/>
        <v>BAMT</v>
      </c>
      <c r="B762" s="15" t="s">
        <v>34</v>
      </c>
      <c r="C762" s="15" t="s">
        <v>1052</v>
      </c>
      <c r="D762" s="15">
        <v>13</v>
      </c>
      <c r="E762" s="15">
        <v>2566</v>
      </c>
    </row>
    <row r="763" spans="1:5" ht="15.75" customHeight="1">
      <c r="A763" s="15" t="str">
        <f t="shared" si="0"/>
        <v>BAMS</v>
      </c>
      <c r="B763" s="15" t="s">
        <v>34</v>
      </c>
      <c r="C763" s="15" t="s">
        <v>1053</v>
      </c>
      <c r="D763" s="15">
        <v>12</v>
      </c>
      <c r="E763" s="15">
        <v>2568</v>
      </c>
    </row>
    <row r="764" spans="1:5" ht="15.75" customHeight="1">
      <c r="A764" s="15" t="str">
        <f t="shared" si="0"/>
        <v>BAMG</v>
      </c>
      <c r="B764" s="15" t="s">
        <v>34</v>
      </c>
      <c r="C764" s="15" t="s">
        <v>24</v>
      </c>
      <c r="D764" s="15">
        <v>11</v>
      </c>
      <c r="E764" s="15">
        <v>1372</v>
      </c>
    </row>
    <row r="765" spans="1:5" ht="15.75" customHeight="1">
      <c r="A765" s="15" t="str">
        <f t="shared" si="0"/>
        <v>BAPA</v>
      </c>
      <c r="B765" s="15" t="s">
        <v>34</v>
      </c>
      <c r="C765" s="15" t="s">
        <v>1054</v>
      </c>
      <c r="D765" s="15">
        <v>14</v>
      </c>
      <c r="E765" s="15">
        <v>2100</v>
      </c>
    </row>
    <row r="766" spans="1:5" ht="15.75" customHeight="1">
      <c r="A766" s="15" t="str">
        <f t="shared" si="0"/>
        <v>BAPB</v>
      </c>
      <c r="B766" s="15" t="s">
        <v>34</v>
      </c>
      <c r="C766" s="15" t="s">
        <v>1055</v>
      </c>
      <c r="D766" s="15">
        <v>15</v>
      </c>
      <c r="E766" s="15">
        <v>949</v>
      </c>
    </row>
    <row r="767" spans="1:5" ht="15.75" customHeight="1">
      <c r="A767" s="15" t="str">
        <f t="shared" si="0"/>
        <v>BAPR</v>
      </c>
      <c r="B767" s="15" t="s">
        <v>34</v>
      </c>
      <c r="C767" s="15" t="s">
        <v>28</v>
      </c>
      <c r="D767" s="15">
        <v>18</v>
      </c>
      <c r="E767" s="15">
        <v>2385</v>
      </c>
    </row>
    <row r="768" spans="1:5" ht="15.75" customHeight="1">
      <c r="A768" s="15" t="str">
        <f t="shared" si="0"/>
        <v>BAPE</v>
      </c>
      <c r="B768" s="15" t="s">
        <v>34</v>
      </c>
      <c r="C768" s="15" t="s">
        <v>1061</v>
      </c>
      <c r="D768" s="15">
        <v>16</v>
      </c>
      <c r="E768" s="15">
        <v>839</v>
      </c>
    </row>
    <row r="769" spans="1:5" ht="15.75" customHeight="1">
      <c r="A769" s="15" t="str">
        <f t="shared" si="0"/>
        <v>BAPI</v>
      </c>
      <c r="B769" s="15" t="s">
        <v>34</v>
      </c>
      <c r="C769" s="15" t="s">
        <v>1062</v>
      </c>
      <c r="D769" s="15">
        <v>17</v>
      </c>
      <c r="E769" s="15">
        <v>1163</v>
      </c>
    </row>
    <row r="770" spans="1:5" ht="15.75" customHeight="1">
      <c r="A770" s="15" t="str">
        <f t="shared" si="0"/>
        <v>BARJ</v>
      </c>
      <c r="B770" s="15" t="s">
        <v>34</v>
      </c>
      <c r="C770" s="15" t="s">
        <v>27</v>
      </c>
      <c r="D770" s="15">
        <v>19</v>
      </c>
      <c r="E770" s="15">
        <v>1649</v>
      </c>
    </row>
    <row r="771" spans="1:5" ht="15.75" customHeight="1">
      <c r="A771" s="15" t="str">
        <f t="shared" si="0"/>
        <v>BARN</v>
      </c>
      <c r="B771" s="15" t="s">
        <v>34</v>
      </c>
      <c r="C771" s="15" t="s">
        <v>732</v>
      </c>
      <c r="D771" s="15">
        <v>20</v>
      </c>
      <c r="E771" s="15">
        <v>1126</v>
      </c>
    </row>
    <row r="772" spans="1:5" ht="15.75" customHeight="1">
      <c r="A772" s="15" t="str">
        <f t="shared" si="0"/>
        <v>BARS</v>
      </c>
      <c r="B772" s="15" t="s">
        <v>34</v>
      </c>
      <c r="C772" s="15" t="s">
        <v>736</v>
      </c>
      <c r="D772" s="15">
        <v>23</v>
      </c>
      <c r="E772" s="15">
        <v>3090</v>
      </c>
    </row>
    <row r="773" spans="1:5" ht="15.75" customHeight="1">
      <c r="A773" s="15" t="str">
        <f t="shared" si="0"/>
        <v>BARO</v>
      </c>
      <c r="B773" s="15" t="s">
        <v>34</v>
      </c>
      <c r="C773" s="15" t="s">
        <v>733</v>
      </c>
      <c r="D773" s="15">
        <v>21</v>
      </c>
      <c r="E773" s="15">
        <v>4023</v>
      </c>
    </row>
    <row r="774" spans="1:5" ht="15.75" customHeight="1">
      <c r="A774" s="15" t="str">
        <f t="shared" si="0"/>
        <v>BARR</v>
      </c>
      <c r="B774" s="15" t="s">
        <v>34</v>
      </c>
      <c r="C774" s="15" t="s">
        <v>1063</v>
      </c>
      <c r="D774" s="15">
        <v>22</v>
      </c>
      <c r="E774" s="15">
        <v>5794</v>
      </c>
    </row>
    <row r="775" spans="1:5" ht="15.75" customHeight="1">
      <c r="A775" s="15" t="str">
        <f t="shared" si="0"/>
        <v>BASC</v>
      </c>
      <c r="B775" s="15" t="s">
        <v>34</v>
      </c>
      <c r="C775" s="15" t="s">
        <v>26</v>
      </c>
      <c r="D775" s="15">
        <v>24</v>
      </c>
      <c r="E775" s="15">
        <v>2682</v>
      </c>
    </row>
    <row r="776" spans="1:5" ht="15.75" customHeight="1">
      <c r="A776" s="15" t="str">
        <f t="shared" si="0"/>
        <v>BASP</v>
      </c>
      <c r="B776" s="15" t="s">
        <v>34</v>
      </c>
      <c r="C776" s="15" t="s">
        <v>23</v>
      </c>
      <c r="D776" s="15">
        <v>26</v>
      </c>
      <c r="E776" s="15">
        <v>1962</v>
      </c>
    </row>
    <row r="777" spans="1:5" ht="15.75" customHeight="1">
      <c r="A777" s="15" t="str">
        <f t="shared" si="0"/>
        <v>BASE</v>
      </c>
      <c r="B777" s="15" t="s">
        <v>34</v>
      </c>
      <c r="C777" s="15" t="s">
        <v>1060</v>
      </c>
      <c r="D777" s="15">
        <v>25</v>
      </c>
      <c r="E777" s="15">
        <v>1662</v>
      </c>
    </row>
    <row r="778" spans="1:5" ht="15.75" customHeight="1">
      <c r="A778" s="15" t="str">
        <f t="shared" si="0"/>
        <v>BATO</v>
      </c>
      <c r="B778" s="15" t="s">
        <v>34</v>
      </c>
      <c r="C778" s="15" t="s">
        <v>1064</v>
      </c>
      <c r="D778" s="15">
        <v>27</v>
      </c>
      <c r="E778" s="15">
        <v>1454</v>
      </c>
    </row>
    <row r="779" spans="1:5" ht="15.75" customHeight="1">
      <c r="A779" s="15" t="str">
        <f t="shared" si="0"/>
        <v>CEAC</v>
      </c>
      <c r="B779" s="15" t="s">
        <v>41</v>
      </c>
      <c r="C779" s="15" t="s">
        <v>1051</v>
      </c>
      <c r="D779" s="15">
        <v>1</v>
      </c>
      <c r="E779" s="15">
        <v>5396</v>
      </c>
    </row>
    <row r="780" spans="1:5" ht="15.75" customHeight="1">
      <c r="A780" s="15" t="str">
        <f t="shared" si="0"/>
        <v>CEAL</v>
      </c>
      <c r="B780" s="15" t="s">
        <v>41</v>
      </c>
      <c r="C780" s="15" t="s">
        <v>1056</v>
      </c>
      <c r="D780" s="15">
        <v>2</v>
      </c>
      <c r="E780" s="15">
        <v>1075</v>
      </c>
    </row>
    <row r="781" spans="1:5" ht="15.75" customHeight="1">
      <c r="A781" s="15" t="str">
        <f t="shared" si="0"/>
        <v>CEAP</v>
      </c>
      <c r="B781" s="15" t="s">
        <v>41</v>
      </c>
      <c r="C781" s="15" t="s">
        <v>1058</v>
      </c>
      <c r="D781" s="15">
        <v>4</v>
      </c>
      <c r="E781" s="15">
        <v>5396</v>
      </c>
    </row>
    <row r="782" spans="1:5" ht="15.75" customHeight="1">
      <c r="A782" s="15" t="str">
        <f t="shared" si="0"/>
        <v>CEAM</v>
      </c>
      <c r="B782" s="15" t="s">
        <v>41</v>
      </c>
      <c r="C782" s="15" t="s">
        <v>29</v>
      </c>
      <c r="D782" s="15">
        <v>3</v>
      </c>
      <c r="E782" s="15">
        <v>5763</v>
      </c>
    </row>
    <row r="783" spans="1:5" ht="15.75" customHeight="1">
      <c r="A783" s="15" t="str">
        <f t="shared" si="0"/>
        <v>CEBA</v>
      </c>
      <c r="B783" s="15" t="s">
        <v>41</v>
      </c>
      <c r="C783" s="15" t="s">
        <v>34</v>
      </c>
      <c r="D783" s="15">
        <v>5</v>
      </c>
      <c r="E783" s="15">
        <v>1389</v>
      </c>
    </row>
    <row r="784" spans="1:5" ht="15.75" customHeight="1">
      <c r="A784" s="15" t="str">
        <f t="shared" si="0"/>
        <v>CECE</v>
      </c>
      <c r="B784" s="15" t="s">
        <v>41</v>
      </c>
      <c r="C784" s="15" t="s">
        <v>41</v>
      </c>
      <c r="D784" s="15">
        <v>6</v>
      </c>
      <c r="E784" s="15">
        <v>0</v>
      </c>
    </row>
    <row r="785" spans="1:5" ht="15.75" customHeight="1">
      <c r="A785" s="15" t="str">
        <f t="shared" si="0"/>
        <v>CEDF</v>
      </c>
      <c r="B785" s="15" t="s">
        <v>41</v>
      </c>
      <c r="C785" s="15" t="s">
        <v>1059</v>
      </c>
      <c r="D785" s="15">
        <v>7</v>
      </c>
      <c r="E785" s="15">
        <v>2200</v>
      </c>
    </row>
    <row r="786" spans="1:5" ht="15.75" customHeight="1">
      <c r="A786" s="15" t="str">
        <f t="shared" si="0"/>
        <v>CEES</v>
      </c>
      <c r="B786" s="15" t="s">
        <v>41</v>
      </c>
      <c r="C786" s="15" t="s">
        <v>25</v>
      </c>
      <c r="D786" s="15">
        <v>8</v>
      </c>
      <c r="E786" s="15">
        <v>2397</v>
      </c>
    </row>
    <row r="787" spans="1:5" ht="15.75" customHeight="1">
      <c r="A787" s="15" t="str">
        <f t="shared" si="0"/>
        <v>CEGO</v>
      </c>
      <c r="B787" s="15" t="s">
        <v>41</v>
      </c>
      <c r="C787" s="15" t="s">
        <v>51</v>
      </c>
      <c r="D787" s="15">
        <v>9</v>
      </c>
      <c r="E787" s="15">
        <v>2482</v>
      </c>
    </row>
    <row r="788" spans="1:5" ht="15.75" customHeight="1">
      <c r="A788" s="15" t="str">
        <f t="shared" si="0"/>
        <v>CEMA</v>
      </c>
      <c r="B788" s="15" t="s">
        <v>41</v>
      </c>
      <c r="C788" s="15" t="s">
        <v>1057</v>
      </c>
      <c r="D788" s="15">
        <v>10</v>
      </c>
      <c r="E788" s="15">
        <v>1070</v>
      </c>
    </row>
    <row r="789" spans="1:5" ht="15.75" customHeight="1">
      <c r="A789" s="15" t="str">
        <f t="shared" si="0"/>
        <v>CEMT</v>
      </c>
      <c r="B789" s="15" t="s">
        <v>41</v>
      </c>
      <c r="C789" s="15" t="s">
        <v>1052</v>
      </c>
      <c r="D789" s="15">
        <v>13</v>
      </c>
      <c r="E789" s="15">
        <v>3406</v>
      </c>
    </row>
    <row r="790" spans="1:5" ht="15.75" customHeight="1">
      <c r="A790" s="15" t="str">
        <f t="shared" si="0"/>
        <v>CEMS</v>
      </c>
      <c r="B790" s="15" t="s">
        <v>41</v>
      </c>
      <c r="C790" s="15" t="s">
        <v>1053</v>
      </c>
      <c r="D790" s="15">
        <v>12</v>
      </c>
      <c r="E790" s="15">
        <v>3407</v>
      </c>
    </row>
    <row r="791" spans="1:5" ht="15.75" customHeight="1">
      <c r="A791" s="15" t="str">
        <f t="shared" si="0"/>
        <v>CEMG</v>
      </c>
      <c r="B791" s="15" t="s">
        <v>41</v>
      </c>
      <c r="C791" s="15" t="s">
        <v>24</v>
      </c>
      <c r="D791" s="15">
        <v>11</v>
      </c>
      <c r="E791" s="15">
        <v>2528</v>
      </c>
    </row>
    <row r="792" spans="1:5" ht="15.75" customHeight="1">
      <c r="A792" s="15" t="str">
        <f t="shared" si="0"/>
        <v>CEPA</v>
      </c>
      <c r="B792" s="15" t="s">
        <v>41</v>
      </c>
      <c r="C792" s="15" t="s">
        <v>1054</v>
      </c>
      <c r="D792" s="15">
        <v>14</v>
      </c>
      <c r="E792" s="15">
        <v>1610</v>
      </c>
    </row>
    <row r="793" spans="1:5" ht="15.75" customHeight="1">
      <c r="A793" s="15" t="str">
        <f t="shared" si="0"/>
        <v>CEPB</v>
      </c>
      <c r="B793" s="15" t="s">
        <v>41</v>
      </c>
      <c r="C793" s="15" t="s">
        <v>1055</v>
      </c>
      <c r="D793" s="15">
        <v>15</v>
      </c>
      <c r="E793" s="15">
        <v>688</v>
      </c>
    </row>
    <row r="794" spans="1:5" ht="15.75" customHeight="1">
      <c r="A794" s="15" t="str">
        <f t="shared" si="0"/>
        <v>CEPR</v>
      </c>
      <c r="B794" s="15" t="s">
        <v>41</v>
      </c>
      <c r="C794" s="15" t="s">
        <v>28</v>
      </c>
      <c r="D794" s="15">
        <v>18</v>
      </c>
      <c r="E794" s="15">
        <v>3541</v>
      </c>
    </row>
    <row r="795" spans="1:5" ht="15.75" customHeight="1">
      <c r="A795" s="15" t="str">
        <f t="shared" si="0"/>
        <v>CEPE</v>
      </c>
      <c r="B795" s="15" t="s">
        <v>41</v>
      </c>
      <c r="C795" s="15" t="s">
        <v>1061</v>
      </c>
      <c r="D795" s="15">
        <v>16</v>
      </c>
      <c r="E795" s="15">
        <v>800</v>
      </c>
    </row>
    <row r="796" spans="1:5" ht="15.75" customHeight="1">
      <c r="A796" s="15" t="str">
        <f t="shared" si="0"/>
        <v>CEPI</v>
      </c>
      <c r="B796" s="15" t="s">
        <v>41</v>
      </c>
      <c r="C796" s="15" t="s">
        <v>1062</v>
      </c>
      <c r="D796" s="15">
        <v>17</v>
      </c>
      <c r="E796" s="15">
        <v>634</v>
      </c>
    </row>
    <row r="797" spans="1:5" ht="15.75" customHeight="1">
      <c r="A797" s="15" t="str">
        <f t="shared" si="0"/>
        <v>CERJ</v>
      </c>
      <c r="B797" s="15" t="s">
        <v>41</v>
      </c>
      <c r="C797" s="15" t="s">
        <v>27</v>
      </c>
      <c r="D797" s="15">
        <v>19</v>
      </c>
      <c r="E797" s="15">
        <v>2805</v>
      </c>
    </row>
    <row r="798" spans="1:5" ht="15.75" customHeight="1">
      <c r="A798" s="15" t="str">
        <f t="shared" si="0"/>
        <v>CERN</v>
      </c>
      <c r="B798" s="15" t="s">
        <v>41</v>
      </c>
      <c r="C798" s="15" t="s">
        <v>732</v>
      </c>
      <c r="D798" s="15">
        <v>20</v>
      </c>
      <c r="E798" s="15">
        <v>537</v>
      </c>
    </row>
    <row r="799" spans="1:5" ht="15.75" customHeight="1">
      <c r="A799" s="15" t="str">
        <f t="shared" si="0"/>
        <v>CERS</v>
      </c>
      <c r="B799" s="15" t="s">
        <v>41</v>
      </c>
      <c r="C799" s="15" t="s">
        <v>736</v>
      </c>
      <c r="D799" s="15">
        <v>23</v>
      </c>
      <c r="E799" s="15">
        <v>4242</v>
      </c>
    </row>
    <row r="800" spans="1:5" ht="15.75" customHeight="1">
      <c r="A800" s="15" t="str">
        <f t="shared" si="0"/>
        <v>CERO</v>
      </c>
      <c r="B800" s="15" t="s">
        <v>41</v>
      </c>
      <c r="C800" s="15" t="s">
        <v>733</v>
      </c>
      <c r="D800" s="15">
        <v>21</v>
      </c>
      <c r="E800" s="15">
        <v>4865</v>
      </c>
    </row>
    <row r="801" spans="1:5" ht="15.75" customHeight="1">
      <c r="A801" s="15" t="str">
        <f t="shared" si="0"/>
        <v>CERR</v>
      </c>
      <c r="B801" s="15" t="s">
        <v>41</v>
      </c>
      <c r="C801" s="15" t="s">
        <v>1063</v>
      </c>
      <c r="D801" s="15">
        <v>22</v>
      </c>
      <c r="E801" s="15">
        <v>6548</v>
      </c>
    </row>
    <row r="802" spans="1:5" ht="15.75" customHeight="1">
      <c r="A802" s="15" t="str">
        <f t="shared" si="0"/>
        <v>CESC</v>
      </c>
      <c r="B802" s="15" t="s">
        <v>41</v>
      </c>
      <c r="C802" s="15" t="s">
        <v>26</v>
      </c>
      <c r="D802" s="15">
        <v>24</v>
      </c>
      <c r="E802" s="15">
        <v>3838</v>
      </c>
    </row>
    <row r="803" spans="1:5" ht="15.75" customHeight="1">
      <c r="A803" s="15" t="str">
        <f t="shared" si="0"/>
        <v>CESP</v>
      </c>
      <c r="B803" s="15" t="s">
        <v>41</v>
      </c>
      <c r="C803" s="15" t="s">
        <v>23</v>
      </c>
      <c r="D803" s="15">
        <v>26</v>
      </c>
      <c r="E803" s="15">
        <v>3127</v>
      </c>
    </row>
    <row r="804" spans="1:5" ht="15.75" customHeight="1">
      <c r="A804" s="15" t="str">
        <f t="shared" si="0"/>
        <v>CESE</v>
      </c>
      <c r="B804" s="15" t="s">
        <v>41</v>
      </c>
      <c r="C804" s="15" t="s">
        <v>1060</v>
      </c>
      <c r="D804" s="15">
        <v>25</v>
      </c>
      <c r="E804" s="15">
        <v>2595</v>
      </c>
    </row>
    <row r="805" spans="1:5" ht="15.75" customHeight="1">
      <c r="A805" s="15" t="str">
        <f t="shared" si="0"/>
        <v>CETO</v>
      </c>
      <c r="B805" s="15" t="s">
        <v>41</v>
      </c>
      <c r="C805" s="15" t="s">
        <v>1064</v>
      </c>
      <c r="D805" s="15">
        <v>27</v>
      </c>
      <c r="E805" s="15">
        <v>2035</v>
      </c>
    </row>
    <row r="806" spans="1:5" ht="15.75" customHeight="1">
      <c r="A806" s="15" t="str">
        <f t="shared" si="0"/>
        <v>DFAC</v>
      </c>
      <c r="B806" s="15" t="s">
        <v>1059</v>
      </c>
      <c r="C806" s="15" t="s">
        <v>1051</v>
      </c>
      <c r="D806" s="15">
        <v>1</v>
      </c>
      <c r="E806" s="15">
        <v>3123</v>
      </c>
    </row>
    <row r="807" spans="1:5" ht="15.75" customHeight="1">
      <c r="A807" s="15" t="str">
        <f t="shared" si="0"/>
        <v>DFAL</v>
      </c>
      <c r="B807" s="15" t="s">
        <v>1059</v>
      </c>
      <c r="C807" s="15" t="s">
        <v>1056</v>
      </c>
      <c r="D807" s="15">
        <v>2</v>
      </c>
      <c r="E807" s="15">
        <v>1928</v>
      </c>
    </row>
    <row r="808" spans="1:5" ht="15.75" customHeight="1">
      <c r="A808" s="15" t="str">
        <f t="shared" si="0"/>
        <v>DFAP</v>
      </c>
      <c r="B808" s="15" t="s">
        <v>1059</v>
      </c>
      <c r="C808" s="15" t="s">
        <v>1058</v>
      </c>
      <c r="D808" s="15">
        <v>4</v>
      </c>
      <c r="E808" s="15">
        <v>3123</v>
      </c>
    </row>
    <row r="809" spans="1:5" ht="15.75" customHeight="1">
      <c r="A809" s="15" t="str">
        <f t="shared" si="0"/>
        <v>DFAM</v>
      </c>
      <c r="B809" s="15" t="s">
        <v>1059</v>
      </c>
      <c r="C809" s="15" t="s">
        <v>29</v>
      </c>
      <c r="D809" s="15">
        <v>3</v>
      </c>
      <c r="E809" s="15">
        <v>3490</v>
      </c>
    </row>
    <row r="810" spans="1:5" ht="15.75" customHeight="1">
      <c r="A810" s="15" t="str">
        <f t="shared" si="0"/>
        <v>DFBA</v>
      </c>
      <c r="B810" s="15" t="s">
        <v>1059</v>
      </c>
      <c r="C810" s="15" t="s">
        <v>34</v>
      </c>
      <c r="D810" s="15">
        <v>5</v>
      </c>
      <c r="E810" s="15">
        <v>1446</v>
      </c>
    </row>
    <row r="811" spans="1:5" ht="15.75" customHeight="1">
      <c r="A811" s="15" t="str">
        <f t="shared" si="0"/>
        <v>DFCE</v>
      </c>
      <c r="B811" s="15" t="s">
        <v>1059</v>
      </c>
      <c r="C811" s="15" t="s">
        <v>41</v>
      </c>
      <c r="D811" s="15">
        <v>6</v>
      </c>
      <c r="E811" s="15">
        <v>2208</v>
      </c>
    </row>
    <row r="812" spans="1:5" ht="15.75" customHeight="1">
      <c r="A812" s="15" t="str">
        <f t="shared" si="0"/>
        <v>DFDF</v>
      </c>
      <c r="B812" s="15" t="s">
        <v>1059</v>
      </c>
      <c r="C812" s="15" t="s">
        <v>1059</v>
      </c>
      <c r="D812" s="15">
        <v>7</v>
      </c>
      <c r="E812" s="15">
        <v>0</v>
      </c>
    </row>
    <row r="813" spans="1:5" ht="15.75" customHeight="1">
      <c r="A813" s="15" t="str">
        <f t="shared" si="0"/>
        <v>DFES</v>
      </c>
      <c r="B813" s="15" t="s">
        <v>1059</v>
      </c>
      <c r="C813" s="15" t="s">
        <v>25</v>
      </c>
      <c r="D813" s="15">
        <v>8</v>
      </c>
      <c r="E813" s="15">
        <v>1238</v>
      </c>
    </row>
    <row r="814" spans="1:5" ht="15.75" customHeight="1">
      <c r="A814" s="15" t="str">
        <f t="shared" si="0"/>
        <v>DFGO</v>
      </c>
      <c r="B814" s="15" t="s">
        <v>1059</v>
      </c>
      <c r="C814" s="15" t="s">
        <v>51</v>
      </c>
      <c r="D814" s="15">
        <v>9</v>
      </c>
      <c r="E814" s="15">
        <v>209</v>
      </c>
    </row>
    <row r="815" spans="1:5" ht="15.75" customHeight="1">
      <c r="A815" s="15" t="str">
        <f t="shared" si="0"/>
        <v>DFMA</v>
      </c>
      <c r="B815" s="15" t="s">
        <v>1059</v>
      </c>
      <c r="C815" s="15" t="s">
        <v>1057</v>
      </c>
      <c r="D815" s="15">
        <v>10</v>
      </c>
      <c r="E815" s="15">
        <v>2157</v>
      </c>
    </row>
    <row r="816" spans="1:5" ht="15.75" customHeight="1">
      <c r="A816" s="15" t="str">
        <f t="shared" si="0"/>
        <v>DFMT</v>
      </c>
      <c r="B816" s="15" t="s">
        <v>1059</v>
      </c>
      <c r="C816" s="15" t="s">
        <v>1052</v>
      </c>
      <c r="D816" s="15">
        <v>13</v>
      </c>
      <c r="E816" s="15">
        <v>1133</v>
      </c>
    </row>
    <row r="817" spans="1:5" ht="15.75" customHeight="1">
      <c r="A817" s="15" t="str">
        <f t="shared" si="0"/>
        <v>DFMS</v>
      </c>
      <c r="B817" s="15" t="s">
        <v>1059</v>
      </c>
      <c r="C817" s="15" t="s">
        <v>1053</v>
      </c>
      <c r="D817" s="15">
        <v>12</v>
      </c>
      <c r="E817" s="15">
        <v>1134</v>
      </c>
    </row>
    <row r="818" spans="1:5" ht="15.75" customHeight="1">
      <c r="A818" s="15" t="str">
        <f t="shared" si="0"/>
        <v>DFMG</v>
      </c>
      <c r="B818" s="15" t="s">
        <v>1059</v>
      </c>
      <c r="C818" s="15" t="s">
        <v>24</v>
      </c>
      <c r="D818" s="15">
        <v>11</v>
      </c>
      <c r="E818" s="15">
        <v>716</v>
      </c>
    </row>
    <row r="819" spans="1:5" ht="15.75" customHeight="1">
      <c r="A819" s="15" t="str">
        <f t="shared" si="0"/>
        <v>DFPA</v>
      </c>
      <c r="B819" s="15" t="s">
        <v>1059</v>
      </c>
      <c r="C819" s="15" t="s">
        <v>1054</v>
      </c>
      <c r="D819" s="15">
        <v>14</v>
      </c>
      <c r="E819" s="15">
        <v>2120</v>
      </c>
    </row>
    <row r="820" spans="1:5" ht="15.75" customHeight="1">
      <c r="A820" s="15" t="str">
        <f t="shared" si="0"/>
        <v>DFPB</v>
      </c>
      <c r="B820" s="15" t="s">
        <v>1059</v>
      </c>
      <c r="C820" s="15" t="s">
        <v>1055</v>
      </c>
      <c r="D820" s="15">
        <v>15</v>
      </c>
      <c r="E820" s="15">
        <v>2245</v>
      </c>
    </row>
    <row r="821" spans="1:5" ht="15.75" customHeight="1">
      <c r="A821" s="15" t="str">
        <f t="shared" si="0"/>
        <v>DFPR</v>
      </c>
      <c r="B821" s="15" t="s">
        <v>1059</v>
      </c>
      <c r="C821" s="15" t="s">
        <v>28</v>
      </c>
      <c r="D821" s="15">
        <v>18</v>
      </c>
      <c r="E821" s="15">
        <v>1366</v>
      </c>
    </row>
    <row r="822" spans="1:5" ht="15.75" customHeight="1">
      <c r="A822" s="15" t="str">
        <f t="shared" si="0"/>
        <v>DFPE</v>
      </c>
      <c r="B822" s="15" t="s">
        <v>1059</v>
      </c>
      <c r="C822" s="15" t="s">
        <v>1061</v>
      </c>
      <c r="D822" s="15">
        <v>16</v>
      </c>
      <c r="E822" s="15">
        <v>2135</v>
      </c>
    </row>
    <row r="823" spans="1:5" ht="15.75" customHeight="1">
      <c r="A823" s="15" t="str">
        <f t="shared" si="0"/>
        <v>DFPI</v>
      </c>
      <c r="B823" s="15" t="s">
        <v>1059</v>
      </c>
      <c r="C823" s="15" t="s">
        <v>1062</v>
      </c>
      <c r="D823" s="15">
        <v>17</v>
      </c>
      <c r="E823" s="15">
        <v>1789</v>
      </c>
    </row>
    <row r="824" spans="1:5" ht="15.75" customHeight="1">
      <c r="A824" s="15" t="str">
        <f t="shared" si="0"/>
        <v>DFRJ</v>
      </c>
      <c r="B824" s="15" t="s">
        <v>1059</v>
      </c>
      <c r="C824" s="15" t="s">
        <v>27</v>
      </c>
      <c r="D824" s="15">
        <v>19</v>
      </c>
      <c r="E824" s="15">
        <v>1148</v>
      </c>
    </row>
    <row r="825" spans="1:5" ht="15.75" customHeight="1">
      <c r="A825" s="15" t="str">
        <f t="shared" si="0"/>
        <v>DFRN</v>
      </c>
      <c r="B825" s="15" t="s">
        <v>1059</v>
      </c>
      <c r="C825" s="15" t="s">
        <v>732</v>
      </c>
      <c r="D825" s="15">
        <v>20</v>
      </c>
      <c r="E825" s="15">
        <v>2422</v>
      </c>
    </row>
    <row r="826" spans="1:5" ht="15.75" customHeight="1">
      <c r="A826" s="15" t="str">
        <f t="shared" si="0"/>
        <v>DFRS</v>
      </c>
      <c r="B826" s="15" t="s">
        <v>1059</v>
      </c>
      <c r="C826" s="15" t="s">
        <v>736</v>
      </c>
      <c r="D826" s="15">
        <v>23</v>
      </c>
      <c r="E826" s="15">
        <v>2027</v>
      </c>
    </row>
    <row r="827" spans="1:5" ht="15.75" customHeight="1">
      <c r="A827" s="15" t="str">
        <f t="shared" si="0"/>
        <v>DFRO</v>
      </c>
      <c r="B827" s="15" t="s">
        <v>1059</v>
      </c>
      <c r="C827" s="15" t="s">
        <v>733</v>
      </c>
      <c r="D827" s="15">
        <v>21</v>
      </c>
      <c r="E827" s="15">
        <v>2589</v>
      </c>
    </row>
    <row r="828" spans="1:5" ht="15.75" customHeight="1">
      <c r="A828" s="15" t="str">
        <f t="shared" si="0"/>
        <v>DFRR</v>
      </c>
      <c r="B828" s="15" t="s">
        <v>1059</v>
      </c>
      <c r="C828" s="15" t="s">
        <v>1063</v>
      </c>
      <c r="D828" s="15">
        <v>22</v>
      </c>
      <c r="E828" s="15">
        <v>4275</v>
      </c>
    </row>
    <row r="829" spans="1:5" ht="15.75" customHeight="1">
      <c r="A829" s="15" t="str">
        <f t="shared" si="0"/>
        <v>DFSC</v>
      </c>
      <c r="B829" s="15" t="s">
        <v>1059</v>
      </c>
      <c r="C829" s="15" t="s">
        <v>26</v>
      </c>
      <c r="D829" s="15">
        <v>24</v>
      </c>
      <c r="E829" s="15">
        <v>1673</v>
      </c>
    </row>
    <row r="830" spans="1:5" ht="15.75" customHeight="1">
      <c r="A830" s="15" t="str">
        <f t="shared" si="0"/>
        <v>DFSP</v>
      </c>
      <c r="B830" s="15" t="s">
        <v>1059</v>
      </c>
      <c r="C830" s="15" t="s">
        <v>23</v>
      </c>
      <c r="D830" s="15">
        <v>26</v>
      </c>
      <c r="E830" s="15">
        <v>1015</v>
      </c>
    </row>
    <row r="831" spans="1:5" ht="15.75" customHeight="1">
      <c r="A831" s="15" t="str">
        <f t="shared" si="0"/>
        <v>DFSE</v>
      </c>
      <c r="B831" s="15" t="s">
        <v>1059</v>
      </c>
      <c r="C831" s="15" t="s">
        <v>1060</v>
      </c>
      <c r="D831" s="15">
        <v>25</v>
      </c>
      <c r="E831" s="15">
        <v>1652</v>
      </c>
    </row>
    <row r="832" spans="1:5" ht="15.75" customHeight="1">
      <c r="A832" s="15" t="str">
        <f t="shared" si="0"/>
        <v>DFTO</v>
      </c>
      <c r="B832" s="15" t="s">
        <v>1059</v>
      </c>
      <c r="C832" s="15" t="s">
        <v>1064</v>
      </c>
      <c r="D832" s="15">
        <v>27</v>
      </c>
      <c r="E832" s="15">
        <v>973</v>
      </c>
    </row>
    <row r="833" spans="1:5" ht="15.75" customHeight="1">
      <c r="A833" s="15" t="str">
        <f t="shared" si="0"/>
        <v>ESAC</v>
      </c>
      <c r="B833" s="15" t="s">
        <v>25</v>
      </c>
      <c r="C833" s="15" t="s">
        <v>1051</v>
      </c>
      <c r="D833" s="15">
        <v>1</v>
      </c>
      <c r="E833" s="15">
        <v>4109</v>
      </c>
    </row>
    <row r="834" spans="1:5" ht="15.75" customHeight="1">
      <c r="A834" s="15" t="str">
        <f t="shared" si="0"/>
        <v>ESAL</v>
      </c>
      <c r="B834" s="15" t="s">
        <v>25</v>
      </c>
      <c r="C834" s="15" t="s">
        <v>1056</v>
      </c>
      <c r="D834" s="15">
        <v>2</v>
      </c>
      <c r="E834" s="15">
        <v>1684</v>
      </c>
    </row>
    <row r="835" spans="1:5" ht="15.75" customHeight="1">
      <c r="A835" s="15" t="str">
        <f t="shared" si="0"/>
        <v>ESAP</v>
      </c>
      <c r="B835" s="15" t="s">
        <v>25</v>
      </c>
      <c r="C835" s="15" t="s">
        <v>1058</v>
      </c>
      <c r="D835" s="15">
        <v>4</v>
      </c>
      <c r="E835" s="15">
        <v>4109</v>
      </c>
    </row>
    <row r="836" spans="1:5" ht="15.75" customHeight="1">
      <c r="A836" s="15" t="str">
        <f t="shared" si="0"/>
        <v>ESAM</v>
      </c>
      <c r="B836" s="15" t="s">
        <v>25</v>
      </c>
      <c r="C836" s="15" t="s">
        <v>29</v>
      </c>
      <c r="D836" s="15">
        <v>3</v>
      </c>
      <c r="E836" s="15">
        <v>4476</v>
      </c>
    </row>
    <row r="837" spans="1:5" ht="15.75" customHeight="1">
      <c r="A837" s="15" t="str">
        <f t="shared" si="0"/>
        <v>ESBA</v>
      </c>
      <c r="B837" s="15" t="s">
        <v>25</v>
      </c>
      <c r="C837" s="15" t="s">
        <v>34</v>
      </c>
      <c r="D837" s="15">
        <v>5</v>
      </c>
      <c r="E837" s="15">
        <v>1202</v>
      </c>
    </row>
    <row r="838" spans="1:5" ht="15.75" customHeight="1">
      <c r="A838" s="15" t="str">
        <f t="shared" si="0"/>
        <v>ESCE</v>
      </c>
      <c r="B838" s="15" t="s">
        <v>25</v>
      </c>
      <c r="C838" s="15" t="s">
        <v>41</v>
      </c>
      <c r="D838" s="15">
        <v>6</v>
      </c>
      <c r="E838" s="15">
        <v>2397</v>
      </c>
    </row>
    <row r="839" spans="1:5" ht="15.75" customHeight="1">
      <c r="A839" s="15" t="str">
        <f t="shared" si="0"/>
        <v>ESDF</v>
      </c>
      <c r="B839" s="15" t="s">
        <v>25</v>
      </c>
      <c r="C839" s="15" t="s">
        <v>1059</v>
      </c>
      <c r="D839" s="15">
        <v>7</v>
      </c>
      <c r="E839" s="15">
        <v>1239</v>
      </c>
    </row>
    <row r="840" spans="1:5" ht="15.75" customHeight="1">
      <c r="A840" s="15" t="str">
        <f t="shared" si="0"/>
        <v>ESES</v>
      </c>
      <c r="B840" s="15" t="s">
        <v>25</v>
      </c>
      <c r="C840" s="15" t="s">
        <v>25</v>
      </c>
      <c r="D840" s="15">
        <v>8</v>
      </c>
      <c r="E840" s="15">
        <v>0</v>
      </c>
    </row>
    <row r="841" spans="1:5" ht="15.75" customHeight="1">
      <c r="A841" s="15" t="str">
        <f t="shared" si="0"/>
        <v>ESGO</v>
      </c>
      <c r="B841" s="15" t="s">
        <v>25</v>
      </c>
      <c r="C841" s="15" t="s">
        <v>51</v>
      </c>
      <c r="D841" s="15">
        <v>9</v>
      </c>
      <c r="E841" s="15">
        <v>1428</v>
      </c>
    </row>
    <row r="842" spans="1:5" ht="15.75" customHeight="1">
      <c r="A842" s="15" t="str">
        <f t="shared" si="0"/>
        <v>ESMA</v>
      </c>
      <c r="B842" s="15" t="s">
        <v>25</v>
      </c>
      <c r="C842" s="15" t="s">
        <v>1057</v>
      </c>
      <c r="D842" s="15">
        <v>10</v>
      </c>
      <c r="E842" s="15">
        <v>2607</v>
      </c>
    </row>
    <row r="843" spans="1:5" ht="15.75" customHeight="1">
      <c r="A843" s="15" t="str">
        <f t="shared" si="0"/>
        <v>ESMT</v>
      </c>
      <c r="B843" s="15" t="s">
        <v>25</v>
      </c>
      <c r="C843" s="15" t="s">
        <v>1052</v>
      </c>
      <c r="D843" s="15">
        <v>13</v>
      </c>
      <c r="E843" s="15">
        <v>2119</v>
      </c>
    </row>
    <row r="844" spans="1:5" ht="15.75" customHeight="1">
      <c r="A844" s="15" t="str">
        <f t="shared" si="0"/>
        <v>ESMS</v>
      </c>
      <c r="B844" s="15" t="s">
        <v>25</v>
      </c>
      <c r="C844" s="15" t="s">
        <v>1053</v>
      </c>
      <c r="D844" s="15">
        <v>12</v>
      </c>
      <c r="E844" s="15">
        <v>1892</v>
      </c>
    </row>
    <row r="845" spans="1:5" ht="15.75" customHeight="1">
      <c r="A845" s="15" t="str">
        <f t="shared" si="0"/>
        <v>ESMG</v>
      </c>
      <c r="B845" s="15" t="s">
        <v>25</v>
      </c>
      <c r="C845" s="15" t="s">
        <v>24</v>
      </c>
      <c r="D845" s="15">
        <v>11</v>
      </c>
      <c r="E845" s="15">
        <v>524</v>
      </c>
    </row>
    <row r="846" spans="1:5" ht="15.75" customHeight="1">
      <c r="A846" s="15" t="str">
        <f t="shared" si="0"/>
        <v>ESPA</v>
      </c>
      <c r="B846" s="15" t="s">
        <v>25</v>
      </c>
      <c r="C846" s="15" t="s">
        <v>1054</v>
      </c>
      <c r="D846" s="15">
        <v>14</v>
      </c>
      <c r="E846" s="15">
        <v>3108</v>
      </c>
    </row>
    <row r="847" spans="1:5" ht="15.75" customHeight="1">
      <c r="A847" s="15" t="str">
        <f t="shared" si="0"/>
        <v>ESPB</v>
      </c>
      <c r="B847" s="15" t="s">
        <v>25</v>
      </c>
      <c r="C847" s="15" t="s">
        <v>1055</v>
      </c>
      <c r="D847" s="15">
        <v>15</v>
      </c>
      <c r="E847" s="15">
        <v>2001</v>
      </c>
    </row>
    <row r="848" spans="1:5" ht="15.75" customHeight="1">
      <c r="A848" s="15" t="str">
        <f t="shared" si="0"/>
        <v>ESPR</v>
      </c>
      <c r="B848" s="15" t="s">
        <v>25</v>
      </c>
      <c r="C848" s="15" t="s">
        <v>28</v>
      </c>
      <c r="D848" s="15">
        <v>18</v>
      </c>
      <c r="E848" s="15">
        <v>1300</v>
      </c>
    </row>
    <row r="849" spans="1:5" ht="15.75" customHeight="1">
      <c r="A849" s="15" t="str">
        <f t="shared" si="0"/>
        <v>ESPE</v>
      </c>
      <c r="B849" s="15" t="s">
        <v>25</v>
      </c>
      <c r="C849" s="15" t="s">
        <v>1061</v>
      </c>
      <c r="D849" s="15">
        <v>16</v>
      </c>
      <c r="E849" s="15">
        <v>1891</v>
      </c>
    </row>
    <row r="850" spans="1:5" ht="15.75" customHeight="1">
      <c r="A850" s="15" t="str">
        <f t="shared" si="0"/>
        <v>ESPI</v>
      </c>
      <c r="B850" s="15" t="s">
        <v>25</v>
      </c>
      <c r="C850" s="15" t="s">
        <v>1062</v>
      </c>
      <c r="D850" s="15">
        <v>17</v>
      </c>
      <c r="E850" s="15">
        <v>2171</v>
      </c>
    </row>
    <row r="851" spans="1:5" ht="15.75" customHeight="1">
      <c r="A851" s="15" t="str">
        <f t="shared" si="0"/>
        <v>ESRJ</v>
      </c>
      <c r="B851" s="15" t="s">
        <v>25</v>
      </c>
      <c r="C851" s="15" t="s">
        <v>27</v>
      </c>
      <c r="D851" s="15">
        <v>19</v>
      </c>
      <c r="E851" s="15">
        <v>521</v>
      </c>
    </row>
    <row r="852" spans="1:5" ht="15.75" customHeight="1">
      <c r="A852" s="15" t="str">
        <f t="shared" si="0"/>
        <v>ESRN</v>
      </c>
      <c r="B852" s="15" t="s">
        <v>25</v>
      </c>
      <c r="C852" s="15" t="s">
        <v>732</v>
      </c>
      <c r="D852" s="15">
        <v>20</v>
      </c>
      <c r="E852" s="15">
        <v>2178</v>
      </c>
    </row>
    <row r="853" spans="1:5" ht="15.75" customHeight="1">
      <c r="A853" s="15" t="str">
        <f t="shared" si="0"/>
        <v>ESRS</v>
      </c>
      <c r="B853" s="15" t="s">
        <v>25</v>
      </c>
      <c r="C853" s="15" t="s">
        <v>736</v>
      </c>
      <c r="D853" s="15">
        <v>23</v>
      </c>
      <c r="E853" s="15">
        <v>2001</v>
      </c>
    </row>
    <row r="854" spans="1:5" ht="15.75" customHeight="1">
      <c r="A854" s="15" t="str">
        <f t="shared" si="0"/>
        <v>ESRO</v>
      </c>
      <c r="B854" s="15" t="s">
        <v>25</v>
      </c>
      <c r="C854" s="15" t="s">
        <v>733</v>
      </c>
      <c r="D854" s="15">
        <v>21</v>
      </c>
      <c r="E854" s="15">
        <v>3575</v>
      </c>
    </row>
    <row r="855" spans="1:5" ht="15.75" customHeight="1">
      <c r="A855" s="15" t="str">
        <f t="shared" si="0"/>
        <v>ESRR</v>
      </c>
      <c r="B855" s="15" t="s">
        <v>25</v>
      </c>
      <c r="C855" s="15" t="s">
        <v>1063</v>
      </c>
      <c r="D855" s="15">
        <v>22</v>
      </c>
      <c r="E855" s="15">
        <v>5261</v>
      </c>
    </row>
    <row r="856" spans="1:5" ht="15.75" customHeight="1">
      <c r="A856" s="15" t="str">
        <f t="shared" si="0"/>
        <v>ESSC</v>
      </c>
      <c r="B856" s="15" t="s">
        <v>25</v>
      </c>
      <c r="C856" s="15" t="s">
        <v>26</v>
      </c>
      <c r="D856" s="15">
        <v>24</v>
      </c>
      <c r="E856" s="15">
        <v>1597</v>
      </c>
    </row>
    <row r="857" spans="1:5" ht="15.75" customHeight="1">
      <c r="A857" s="15" t="str">
        <f t="shared" si="0"/>
        <v>ESSP</v>
      </c>
      <c r="B857" s="15" t="s">
        <v>25</v>
      </c>
      <c r="C857" s="15" t="s">
        <v>23</v>
      </c>
      <c r="D857" s="15">
        <v>26</v>
      </c>
      <c r="E857" s="15">
        <v>882</v>
      </c>
    </row>
    <row r="858" spans="1:5" ht="15.75" customHeight="1">
      <c r="A858" s="15" t="str">
        <f t="shared" si="0"/>
        <v>ESSE</v>
      </c>
      <c r="B858" s="15" t="s">
        <v>25</v>
      </c>
      <c r="C858" s="15" t="s">
        <v>1060</v>
      </c>
      <c r="D858" s="15">
        <v>25</v>
      </c>
      <c r="E858" s="15">
        <v>501</v>
      </c>
    </row>
    <row r="859" spans="1:5" ht="15.75" customHeight="1">
      <c r="A859" s="15" t="str">
        <f t="shared" si="0"/>
        <v>ESTO</v>
      </c>
      <c r="B859" s="15" t="s">
        <v>25</v>
      </c>
      <c r="C859" s="15" t="s">
        <v>1064</v>
      </c>
      <c r="D859" s="15">
        <v>27</v>
      </c>
      <c r="E859" s="15">
        <v>2214</v>
      </c>
    </row>
    <row r="860" spans="1:5" ht="15.75" customHeight="1">
      <c r="A860" s="15" t="str">
        <f t="shared" si="0"/>
        <v>GOAC</v>
      </c>
      <c r="B860" s="15" t="s">
        <v>51</v>
      </c>
      <c r="C860" s="15" t="s">
        <v>1051</v>
      </c>
      <c r="D860" s="15">
        <v>1</v>
      </c>
      <c r="E860" s="15">
        <v>2924</v>
      </c>
    </row>
    <row r="861" spans="1:5" ht="15.75" customHeight="1">
      <c r="A861" s="15" t="str">
        <f t="shared" si="0"/>
        <v>GOAL</v>
      </c>
      <c r="B861" s="15" t="s">
        <v>51</v>
      </c>
      <c r="C861" s="15" t="s">
        <v>1056</v>
      </c>
      <c r="D861" s="15">
        <v>2</v>
      </c>
      <c r="E861" s="15">
        <v>2105</v>
      </c>
    </row>
    <row r="862" spans="1:5" ht="15.75" customHeight="1">
      <c r="A862" s="15" t="str">
        <f t="shared" si="0"/>
        <v>GOAP</v>
      </c>
      <c r="B862" s="15" t="s">
        <v>51</v>
      </c>
      <c r="C862" s="15" t="s">
        <v>1058</v>
      </c>
      <c r="D862" s="15">
        <v>4</v>
      </c>
      <c r="E862" s="15">
        <v>2924</v>
      </c>
    </row>
    <row r="863" spans="1:5" ht="15.75" customHeight="1">
      <c r="A863" s="15" t="str">
        <f t="shared" si="0"/>
        <v>GOAM</v>
      </c>
      <c r="B863" s="15" t="s">
        <v>51</v>
      </c>
      <c r="C863" s="15" t="s">
        <v>29</v>
      </c>
      <c r="D863" s="15">
        <v>3</v>
      </c>
      <c r="E863" s="15">
        <v>3291</v>
      </c>
    </row>
    <row r="864" spans="1:5" ht="15.75" customHeight="1">
      <c r="A864" s="15" t="str">
        <f t="shared" si="0"/>
        <v>GOBA</v>
      </c>
      <c r="B864" s="15" t="s">
        <v>51</v>
      </c>
      <c r="C864" s="15" t="s">
        <v>34</v>
      </c>
      <c r="D864" s="15">
        <v>5</v>
      </c>
      <c r="E864" s="15">
        <v>1643</v>
      </c>
    </row>
    <row r="865" spans="1:5" ht="15.75" customHeight="1">
      <c r="A865" s="15" t="str">
        <f t="shared" si="0"/>
        <v>GOCE</v>
      </c>
      <c r="B865" s="15" t="s">
        <v>51</v>
      </c>
      <c r="C865" s="15" t="s">
        <v>41</v>
      </c>
      <c r="D865" s="15">
        <v>6</v>
      </c>
      <c r="E865" s="15">
        <v>2482</v>
      </c>
    </row>
    <row r="866" spans="1:5" ht="15.75" customHeight="1">
      <c r="A866" s="15" t="str">
        <f t="shared" si="0"/>
        <v>GODF</v>
      </c>
      <c r="B866" s="15" t="s">
        <v>51</v>
      </c>
      <c r="C866" s="15" t="s">
        <v>1059</v>
      </c>
      <c r="D866" s="15">
        <v>7</v>
      </c>
      <c r="E866" s="15">
        <v>209</v>
      </c>
    </row>
    <row r="867" spans="1:5" ht="15.75" customHeight="1">
      <c r="A867" s="15" t="str">
        <f t="shared" si="0"/>
        <v>GOES</v>
      </c>
      <c r="B867" s="15" t="s">
        <v>51</v>
      </c>
      <c r="C867" s="15" t="s">
        <v>25</v>
      </c>
      <c r="D867" s="15">
        <v>8</v>
      </c>
      <c r="E867" s="15">
        <v>1428</v>
      </c>
    </row>
    <row r="868" spans="1:5" ht="15.75" customHeight="1">
      <c r="A868" s="15" t="str">
        <f t="shared" si="0"/>
        <v>GOGO</v>
      </c>
      <c r="B868" s="15" t="s">
        <v>51</v>
      </c>
      <c r="C868" s="15" t="s">
        <v>51</v>
      </c>
      <c r="D868" s="15">
        <v>9</v>
      </c>
      <c r="E868" s="15">
        <v>0</v>
      </c>
    </row>
    <row r="869" spans="1:5" ht="15.75" customHeight="1">
      <c r="A869" s="15" t="str">
        <f t="shared" si="0"/>
        <v>GOMA</v>
      </c>
      <c r="B869" s="15" t="s">
        <v>51</v>
      </c>
      <c r="C869" s="15" t="s">
        <v>1057</v>
      </c>
      <c r="D869" s="15">
        <v>10</v>
      </c>
      <c r="E869" s="15">
        <v>2054</v>
      </c>
    </row>
    <row r="870" spans="1:5" ht="15.75" customHeight="1">
      <c r="A870" s="15" t="str">
        <f t="shared" si="0"/>
        <v>GOMT</v>
      </c>
      <c r="B870" s="15" t="s">
        <v>51</v>
      </c>
      <c r="C870" s="15" t="s">
        <v>1052</v>
      </c>
      <c r="D870" s="15">
        <v>13</v>
      </c>
      <c r="E870" s="15">
        <v>934</v>
      </c>
    </row>
    <row r="871" spans="1:5" ht="15.75" customHeight="1">
      <c r="A871" s="15" t="str">
        <f t="shared" si="0"/>
        <v>GOMS</v>
      </c>
      <c r="B871" s="15" t="s">
        <v>51</v>
      </c>
      <c r="C871" s="15" t="s">
        <v>1053</v>
      </c>
      <c r="D871" s="15">
        <v>12</v>
      </c>
      <c r="E871" s="15">
        <v>935</v>
      </c>
    </row>
    <row r="872" spans="1:5" ht="15.75" customHeight="1">
      <c r="A872" s="15" t="str">
        <f t="shared" si="0"/>
        <v>GOMG</v>
      </c>
      <c r="B872" s="15" t="s">
        <v>51</v>
      </c>
      <c r="C872" s="15" t="s">
        <v>24</v>
      </c>
      <c r="D872" s="15">
        <v>11</v>
      </c>
      <c r="E872" s="15">
        <v>906</v>
      </c>
    </row>
    <row r="873" spans="1:5" ht="15.75" customHeight="1">
      <c r="A873" s="15" t="str">
        <f t="shared" si="0"/>
        <v>GOPA</v>
      </c>
      <c r="B873" s="15" t="s">
        <v>51</v>
      </c>
      <c r="C873" s="15" t="s">
        <v>1054</v>
      </c>
      <c r="D873" s="15">
        <v>14</v>
      </c>
      <c r="E873" s="15">
        <v>2017</v>
      </c>
    </row>
    <row r="874" spans="1:5" ht="15.75" customHeight="1">
      <c r="A874" s="15" t="str">
        <f t="shared" si="0"/>
        <v>GOPB</v>
      </c>
      <c r="B874" s="15" t="s">
        <v>51</v>
      </c>
      <c r="C874" s="15" t="s">
        <v>1055</v>
      </c>
      <c r="D874" s="15">
        <v>15</v>
      </c>
      <c r="E874" s="15">
        <v>2442</v>
      </c>
    </row>
    <row r="875" spans="1:5" ht="15.75" customHeight="1">
      <c r="A875" s="15" t="str">
        <f t="shared" si="0"/>
        <v>GOPR</v>
      </c>
      <c r="B875" s="15" t="s">
        <v>51</v>
      </c>
      <c r="C875" s="15" t="s">
        <v>28</v>
      </c>
      <c r="D875" s="15">
        <v>18</v>
      </c>
      <c r="E875" s="15">
        <v>1186</v>
      </c>
    </row>
    <row r="876" spans="1:5" ht="15.75" customHeight="1">
      <c r="A876" s="15" t="str">
        <f t="shared" si="0"/>
        <v>GOPE</v>
      </c>
      <c r="B876" s="15" t="s">
        <v>51</v>
      </c>
      <c r="C876" s="15" t="s">
        <v>1061</v>
      </c>
      <c r="D876" s="15">
        <v>16</v>
      </c>
      <c r="E876" s="15">
        <v>2332</v>
      </c>
    </row>
    <row r="877" spans="1:5" ht="15.75" customHeight="1">
      <c r="A877" s="15" t="str">
        <f t="shared" si="0"/>
        <v>GOPI</v>
      </c>
      <c r="B877" s="15" t="s">
        <v>51</v>
      </c>
      <c r="C877" s="15" t="s">
        <v>1062</v>
      </c>
      <c r="D877" s="15">
        <v>17</v>
      </c>
      <c r="E877" s="15">
        <v>1986</v>
      </c>
    </row>
    <row r="878" spans="1:5" ht="15.75" customHeight="1">
      <c r="A878" s="15" t="str">
        <f t="shared" si="0"/>
        <v>GORJ</v>
      </c>
      <c r="B878" s="15" t="s">
        <v>51</v>
      </c>
      <c r="C878" s="15" t="s">
        <v>27</v>
      </c>
      <c r="D878" s="15">
        <v>19</v>
      </c>
      <c r="E878" s="15">
        <v>1338</v>
      </c>
    </row>
    <row r="879" spans="1:5" ht="15.75" customHeight="1">
      <c r="A879" s="15" t="str">
        <f t="shared" si="0"/>
        <v>GORN</v>
      </c>
      <c r="B879" s="15" t="s">
        <v>51</v>
      </c>
      <c r="C879" s="15" t="s">
        <v>732</v>
      </c>
      <c r="D879" s="15">
        <v>20</v>
      </c>
      <c r="E879" s="15">
        <v>2619</v>
      </c>
    </row>
    <row r="880" spans="1:5" ht="15.75" customHeight="1">
      <c r="A880" s="15" t="str">
        <f t="shared" si="0"/>
        <v>GORS</v>
      </c>
      <c r="B880" s="15" t="s">
        <v>51</v>
      </c>
      <c r="C880" s="15" t="s">
        <v>736</v>
      </c>
      <c r="D880" s="15">
        <v>23</v>
      </c>
      <c r="E880" s="15">
        <v>1847</v>
      </c>
    </row>
    <row r="881" spans="1:5" ht="15.75" customHeight="1">
      <c r="A881" s="15" t="str">
        <f t="shared" si="0"/>
        <v>GORO</v>
      </c>
      <c r="B881" s="15" t="s">
        <v>51</v>
      </c>
      <c r="C881" s="15" t="s">
        <v>733</v>
      </c>
      <c r="D881" s="15">
        <v>21</v>
      </c>
      <c r="E881" s="15">
        <v>2390</v>
      </c>
    </row>
    <row r="882" spans="1:5" ht="15.75" customHeight="1">
      <c r="A882" s="15" t="str">
        <f t="shared" si="0"/>
        <v>GORR</v>
      </c>
      <c r="B882" s="15" t="s">
        <v>51</v>
      </c>
      <c r="C882" s="15" t="s">
        <v>1063</v>
      </c>
      <c r="D882" s="15">
        <v>22</v>
      </c>
      <c r="E882" s="15">
        <v>4076</v>
      </c>
    </row>
    <row r="883" spans="1:5" ht="15.75" customHeight="1">
      <c r="A883" s="15" t="str">
        <f t="shared" si="0"/>
        <v>GOSC</v>
      </c>
      <c r="B883" s="15" t="s">
        <v>51</v>
      </c>
      <c r="C883" s="15" t="s">
        <v>26</v>
      </c>
      <c r="D883" s="15">
        <v>24</v>
      </c>
      <c r="E883" s="15">
        <v>1493</v>
      </c>
    </row>
    <row r="884" spans="1:5" ht="15.75" customHeight="1">
      <c r="A884" s="15" t="str">
        <f t="shared" si="0"/>
        <v>GOSP</v>
      </c>
      <c r="B884" s="15" t="s">
        <v>51</v>
      </c>
      <c r="C884" s="15" t="s">
        <v>23</v>
      </c>
      <c r="D884" s="15">
        <v>26</v>
      </c>
      <c r="E884" s="15">
        <v>926</v>
      </c>
    </row>
    <row r="885" spans="1:5" ht="15.75" customHeight="1">
      <c r="A885" s="15" t="str">
        <f t="shared" si="0"/>
        <v>GOSE</v>
      </c>
      <c r="B885" s="15" t="s">
        <v>51</v>
      </c>
      <c r="C885" s="15" t="s">
        <v>1060</v>
      </c>
      <c r="D885" s="15">
        <v>25</v>
      </c>
      <c r="E885" s="15">
        <v>322</v>
      </c>
    </row>
    <row r="886" spans="1:5" ht="15.75" customHeight="1">
      <c r="A886" s="15" t="str">
        <f t="shared" si="0"/>
        <v>GOTO</v>
      </c>
      <c r="B886" s="15" t="s">
        <v>51</v>
      </c>
      <c r="C886" s="15" t="s">
        <v>1064</v>
      </c>
      <c r="D886" s="15">
        <v>27</v>
      </c>
      <c r="E886" s="15">
        <v>874</v>
      </c>
    </row>
    <row r="887" spans="1:5" ht="15.75" customHeight="1">
      <c r="A887" s="15" t="str">
        <f t="shared" si="0"/>
        <v>MAAC</v>
      </c>
      <c r="B887" s="15" t="s">
        <v>1057</v>
      </c>
      <c r="C887" s="15" t="s">
        <v>1051</v>
      </c>
      <c r="D887" s="15">
        <v>1</v>
      </c>
      <c r="E887" s="15">
        <v>4968</v>
      </c>
    </row>
    <row r="888" spans="1:5" ht="15.75" customHeight="1">
      <c r="A888" s="15" t="str">
        <f t="shared" si="0"/>
        <v>MAAL</v>
      </c>
      <c r="B888" s="15" t="s">
        <v>1057</v>
      </c>
      <c r="C888" s="15" t="s">
        <v>1056</v>
      </c>
      <c r="D888" s="15">
        <v>2</v>
      </c>
      <c r="E888" s="15">
        <v>1672</v>
      </c>
    </row>
    <row r="889" spans="1:5" ht="15.75" customHeight="1">
      <c r="A889" s="15" t="str">
        <f t="shared" si="0"/>
        <v>MAAP</v>
      </c>
      <c r="B889" s="15" t="s">
        <v>1057</v>
      </c>
      <c r="C889" s="15" t="s">
        <v>1058</v>
      </c>
      <c r="D889" s="15">
        <v>4</v>
      </c>
      <c r="E889" s="15">
        <v>4968</v>
      </c>
    </row>
    <row r="890" spans="1:5" ht="15.75" customHeight="1">
      <c r="A890" s="15" t="str">
        <f t="shared" si="0"/>
        <v>MAAM</v>
      </c>
      <c r="B890" s="15" t="s">
        <v>1057</v>
      </c>
      <c r="C890" s="15" t="s">
        <v>29</v>
      </c>
      <c r="D890" s="15">
        <v>3</v>
      </c>
      <c r="E890" s="15">
        <v>5335</v>
      </c>
    </row>
    <row r="891" spans="1:5" ht="15.75" customHeight="1">
      <c r="A891" s="15" t="str">
        <f t="shared" si="0"/>
        <v>MABA</v>
      </c>
      <c r="B891" s="15" t="s">
        <v>1057</v>
      </c>
      <c r="C891" s="15" t="s">
        <v>34</v>
      </c>
      <c r="D891" s="15">
        <v>5</v>
      </c>
      <c r="E891" s="15">
        <v>1599</v>
      </c>
    </row>
    <row r="892" spans="1:5" ht="15.75" customHeight="1">
      <c r="A892" s="15" t="str">
        <f t="shared" si="0"/>
        <v>MACE</v>
      </c>
      <c r="B892" s="15" t="s">
        <v>1057</v>
      </c>
      <c r="C892" s="15" t="s">
        <v>41</v>
      </c>
      <c r="D892" s="15">
        <v>6</v>
      </c>
      <c r="E892" s="15">
        <v>1070</v>
      </c>
    </row>
    <row r="893" spans="1:5" ht="15.75" customHeight="1">
      <c r="A893" s="15" t="str">
        <f t="shared" si="0"/>
        <v>MADF</v>
      </c>
      <c r="B893" s="15" t="s">
        <v>1057</v>
      </c>
      <c r="C893" s="15" t="s">
        <v>1059</v>
      </c>
      <c r="D893" s="15">
        <v>7</v>
      </c>
      <c r="E893" s="15">
        <v>2157</v>
      </c>
    </row>
    <row r="894" spans="1:5" ht="15.75" customHeight="1">
      <c r="A894" s="15" t="str">
        <f t="shared" si="0"/>
        <v>MAES</v>
      </c>
      <c r="B894" s="15" t="s">
        <v>1057</v>
      </c>
      <c r="C894" s="15" t="s">
        <v>25</v>
      </c>
      <c r="D894" s="15">
        <v>8</v>
      </c>
      <c r="E894" s="15">
        <v>2607</v>
      </c>
    </row>
    <row r="895" spans="1:5" ht="15.75" customHeight="1">
      <c r="A895" s="15" t="str">
        <f t="shared" si="0"/>
        <v>MAGO</v>
      </c>
      <c r="B895" s="15" t="s">
        <v>1057</v>
      </c>
      <c r="C895" s="15" t="s">
        <v>51</v>
      </c>
      <c r="D895" s="15">
        <v>9</v>
      </c>
      <c r="E895" s="15">
        <v>2054</v>
      </c>
    </row>
    <row r="896" spans="1:5" ht="15.75" customHeight="1">
      <c r="A896" s="15" t="str">
        <f t="shared" si="0"/>
        <v>MAMA</v>
      </c>
      <c r="B896" s="15" t="s">
        <v>1057</v>
      </c>
      <c r="C896" s="15" t="s">
        <v>1057</v>
      </c>
      <c r="D896" s="15">
        <v>10</v>
      </c>
      <c r="E896" s="15">
        <v>0</v>
      </c>
    </row>
    <row r="897" spans="1:5" ht="15.75" customHeight="1">
      <c r="A897" s="15" t="str">
        <f t="shared" si="0"/>
        <v>MAMT</v>
      </c>
      <c r="B897" s="15" t="s">
        <v>1057</v>
      </c>
      <c r="C897" s="15" t="s">
        <v>1052</v>
      </c>
      <c r="D897" s="15">
        <v>13</v>
      </c>
      <c r="E897" s="15">
        <v>2978</v>
      </c>
    </row>
    <row r="898" spans="1:5" ht="15.75" customHeight="1">
      <c r="A898" s="15" t="str">
        <f t="shared" si="0"/>
        <v>MAMS</v>
      </c>
      <c r="B898" s="15" t="s">
        <v>1057</v>
      </c>
      <c r="C898" s="15" t="s">
        <v>1053</v>
      </c>
      <c r="D898" s="15">
        <v>12</v>
      </c>
      <c r="E898" s="15">
        <v>2979</v>
      </c>
    </row>
    <row r="899" spans="1:5" ht="15.75" customHeight="1">
      <c r="A899" s="15" t="str">
        <f t="shared" si="0"/>
        <v>MAMG</v>
      </c>
      <c r="B899" s="15" t="s">
        <v>1057</v>
      </c>
      <c r="C899" s="15" t="s">
        <v>24</v>
      </c>
      <c r="D899" s="15">
        <v>11</v>
      </c>
      <c r="E899" s="15">
        <v>2738</v>
      </c>
    </row>
    <row r="900" spans="1:5" ht="15.75" customHeight="1">
      <c r="A900" s="15" t="str">
        <f t="shared" si="0"/>
        <v>MAPA</v>
      </c>
      <c r="B900" s="15" t="s">
        <v>1057</v>
      </c>
      <c r="C900" s="15" t="s">
        <v>1054</v>
      </c>
      <c r="D900" s="15">
        <v>14</v>
      </c>
      <c r="E900" s="15">
        <v>806</v>
      </c>
    </row>
    <row r="901" spans="1:5" ht="15.75" customHeight="1">
      <c r="A901" s="15" t="str">
        <f t="shared" si="0"/>
        <v>MAPB</v>
      </c>
      <c r="B901" s="15" t="s">
        <v>1057</v>
      </c>
      <c r="C901" s="15" t="s">
        <v>1055</v>
      </c>
      <c r="D901" s="15">
        <v>15</v>
      </c>
      <c r="E901" s="15">
        <v>1660</v>
      </c>
    </row>
    <row r="902" spans="1:5" ht="15.75" customHeight="1">
      <c r="A902" s="15" t="str">
        <f t="shared" si="0"/>
        <v>MAPR</v>
      </c>
      <c r="B902" s="15" t="s">
        <v>1057</v>
      </c>
      <c r="C902" s="15" t="s">
        <v>28</v>
      </c>
      <c r="D902" s="15">
        <v>18</v>
      </c>
      <c r="E902" s="15">
        <v>3230</v>
      </c>
    </row>
    <row r="903" spans="1:5" ht="15.75" customHeight="1">
      <c r="A903" s="15" t="str">
        <f t="shared" si="0"/>
        <v>MAPE</v>
      </c>
      <c r="B903" s="15" t="s">
        <v>1057</v>
      </c>
      <c r="C903" s="15" t="s">
        <v>1061</v>
      </c>
      <c r="D903" s="15">
        <v>16</v>
      </c>
      <c r="E903" s="15">
        <v>1573</v>
      </c>
    </row>
    <row r="904" spans="1:5" ht="15.75" customHeight="1">
      <c r="A904" s="15" t="str">
        <f t="shared" si="0"/>
        <v>MAPI</v>
      </c>
      <c r="B904" s="15" t="s">
        <v>1057</v>
      </c>
      <c r="C904" s="15" t="s">
        <v>1062</v>
      </c>
      <c r="D904" s="15">
        <v>17</v>
      </c>
      <c r="E904" s="15">
        <v>446</v>
      </c>
    </row>
    <row r="905" spans="1:5" ht="15.75" customHeight="1">
      <c r="A905" s="15" t="str">
        <f t="shared" si="0"/>
        <v>MARJ</v>
      </c>
      <c r="B905" s="15" t="s">
        <v>1057</v>
      </c>
      <c r="C905" s="15" t="s">
        <v>27</v>
      </c>
      <c r="D905" s="15">
        <v>19</v>
      </c>
      <c r="E905" s="15">
        <v>3015</v>
      </c>
    </row>
    <row r="906" spans="1:5" ht="15.75" customHeight="1">
      <c r="A906" s="15" t="str">
        <f t="shared" si="0"/>
        <v>MARN</v>
      </c>
      <c r="B906" s="15" t="s">
        <v>1057</v>
      </c>
      <c r="C906" s="15" t="s">
        <v>732</v>
      </c>
      <c r="D906" s="15">
        <v>20</v>
      </c>
      <c r="E906" s="15">
        <v>1607</v>
      </c>
    </row>
    <row r="907" spans="1:5" ht="15.75" customHeight="1">
      <c r="A907" s="15" t="str">
        <f t="shared" si="0"/>
        <v>MARS</v>
      </c>
      <c r="B907" s="15" t="s">
        <v>1057</v>
      </c>
      <c r="C907" s="15" t="s">
        <v>736</v>
      </c>
      <c r="D907" s="15">
        <v>23</v>
      </c>
      <c r="E907" s="15">
        <v>3891</v>
      </c>
    </row>
    <row r="908" spans="1:5" ht="15.75" customHeight="1">
      <c r="A908" s="15" t="str">
        <f t="shared" si="0"/>
        <v>MARO</v>
      </c>
      <c r="B908" s="15" t="s">
        <v>1057</v>
      </c>
      <c r="C908" s="15" t="s">
        <v>733</v>
      </c>
      <c r="D908" s="15">
        <v>21</v>
      </c>
      <c r="E908" s="15">
        <v>4434</v>
      </c>
    </row>
    <row r="909" spans="1:5" ht="15.75" customHeight="1">
      <c r="A909" s="15" t="str">
        <f t="shared" si="0"/>
        <v>MARR</v>
      </c>
      <c r="B909" s="15" t="s">
        <v>1057</v>
      </c>
      <c r="C909" s="15" t="s">
        <v>1063</v>
      </c>
      <c r="D909" s="15">
        <v>22</v>
      </c>
      <c r="E909" s="15">
        <v>6120</v>
      </c>
    </row>
    <row r="910" spans="1:5" ht="15.75" customHeight="1">
      <c r="A910" s="15" t="str">
        <f t="shared" si="0"/>
        <v>MASC</v>
      </c>
      <c r="B910" s="15" t="s">
        <v>1057</v>
      </c>
      <c r="C910" s="15" t="s">
        <v>26</v>
      </c>
      <c r="D910" s="15">
        <v>24</v>
      </c>
      <c r="E910" s="15">
        <v>3537</v>
      </c>
    </row>
    <row r="911" spans="1:5" ht="15.75" customHeight="1">
      <c r="A911" s="15" t="str">
        <f t="shared" si="0"/>
        <v>MASP</v>
      </c>
      <c r="B911" s="15" t="s">
        <v>1057</v>
      </c>
      <c r="C911" s="15" t="s">
        <v>23</v>
      </c>
      <c r="D911" s="15">
        <v>26</v>
      </c>
      <c r="E911" s="15">
        <v>2970</v>
      </c>
    </row>
    <row r="912" spans="1:5" ht="15.75" customHeight="1">
      <c r="A912" s="15" t="str">
        <f t="shared" si="0"/>
        <v>MASE</v>
      </c>
      <c r="B912" s="15" t="s">
        <v>1057</v>
      </c>
      <c r="C912" s="15" t="s">
        <v>1060</v>
      </c>
      <c r="D912" s="15">
        <v>25</v>
      </c>
      <c r="E912" s="15">
        <v>3559</v>
      </c>
    </row>
    <row r="913" spans="1:5" ht="15.75" customHeight="1">
      <c r="A913" s="15" t="str">
        <f t="shared" si="0"/>
        <v>MATO</v>
      </c>
      <c r="B913" s="15" t="s">
        <v>1057</v>
      </c>
      <c r="C913" s="15" t="s">
        <v>1064</v>
      </c>
      <c r="D913" s="15">
        <v>27</v>
      </c>
      <c r="E913" s="15">
        <v>1386</v>
      </c>
    </row>
    <row r="914" spans="1:5" ht="15.75" customHeight="1">
      <c r="A914" s="15" t="str">
        <f t="shared" si="0"/>
        <v>MTAC</v>
      </c>
      <c r="B914" s="15" t="s">
        <v>1052</v>
      </c>
      <c r="C914" s="15" t="s">
        <v>1051</v>
      </c>
      <c r="D914" s="15">
        <v>1</v>
      </c>
      <c r="E914" s="15">
        <v>1990</v>
      </c>
    </row>
    <row r="915" spans="1:5" ht="15.75" customHeight="1">
      <c r="A915" s="15" t="str">
        <f t="shared" si="0"/>
        <v>MTAL</v>
      </c>
      <c r="B915" s="15" t="s">
        <v>1052</v>
      </c>
      <c r="C915" s="15" t="s">
        <v>1056</v>
      </c>
      <c r="D915" s="15">
        <v>2</v>
      </c>
      <c r="E915" s="15">
        <v>3049</v>
      </c>
    </row>
    <row r="916" spans="1:5" ht="15.75" customHeight="1">
      <c r="A916" s="15" t="str">
        <f t="shared" si="0"/>
        <v>MTAP</v>
      </c>
      <c r="B916" s="15" t="s">
        <v>1052</v>
      </c>
      <c r="C916" s="15" t="s">
        <v>1058</v>
      </c>
      <c r="D916" s="15">
        <v>4</v>
      </c>
      <c r="E916" s="15">
        <v>1990</v>
      </c>
    </row>
    <row r="917" spans="1:5" ht="15.75" customHeight="1">
      <c r="A917" s="15" t="str">
        <f t="shared" si="0"/>
        <v>MTAM</v>
      </c>
      <c r="B917" s="15" t="s">
        <v>1052</v>
      </c>
      <c r="C917" s="15" t="s">
        <v>29</v>
      </c>
      <c r="D917" s="15">
        <v>3</v>
      </c>
      <c r="E917" s="15">
        <v>2357</v>
      </c>
    </row>
    <row r="918" spans="1:5" ht="15.75" customHeight="1">
      <c r="A918" s="15" t="str">
        <f t="shared" si="0"/>
        <v>MTBA</v>
      </c>
      <c r="B918" s="15" t="s">
        <v>1052</v>
      </c>
      <c r="C918" s="15" t="s">
        <v>34</v>
      </c>
      <c r="D918" s="15">
        <v>5</v>
      </c>
      <c r="E918" s="15">
        <v>2567</v>
      </c>
    </row>
    <row r="919" spans="1:5" ht="15.75" customHeight="1">
      <c r="A919" s="15" t="str">
        <f t="shared" si="0"/>
        <v>MTCE</v>
      </c>
      <c r="B919" s="15" t="s">
        <v>1052</v>
      </c>
      <c r="C919" s="15" t="s">
        <v>41</v>
      </c>
      <c r="D919" s="15">
        <v>6</v>
      </c>
      <c r="E919" s="15">
        <v>3406</v>
      </c>
    </row>
    <row r="920" spans="1:5" ht="15.75" customHeight="1">
      <c r="A920" s="15" t="str">
        <f t="shared" si="0"/>
        <v>MTDF</v>
      </c>
      <c r="B920" s="15" t="s">
        <v>1052</v>
      </c>
      <c r="C920" s="15" t="s">
        <v>1059</v>
      </c>
      <c r="D920" s="15">
        <v>7</v>
      </c>
      <c r="E920" s="15">
        <v>1133</v>
      </c>
    </row>
    <row r="921" spans="1:5" ht="15.75" customHeight="1">
      <c r="A921" s="15" t="str">
        <f t="shared" si="0"/>
        <v>MTES</v>
      </c>
      <c r="B921" s="15" t="s">
        <v>1052</v>
      </c>
      <c r="C921" s="15" t="s">
        <v>25</v>
      </c>
      <c r="D921" s="15">
        <v>8</v>
      </c>
      <c r="E921" s="15">
        <v>2119</v>
      </c>
    </row>
    <row r="922" spans="1:5" ht="15.75" customHeight="1">
      <c r="A922" s="15" t="str">
        <f t="shared" si="0"/>
        <v>MTGO</v>
      </c>
      <c r="B922" s="15" t="s">
        <v>1052</v>
      </c>
      <c r="C922" s="15" t="s">
        <v>51</v>
      </c>
      <c r="D922" s="15">
        <v>9</v>
      </c>
      <c r="E922" s="15">
        <v>934</v>
      </c>
    </row>
    <row r="923" spans="1:5" ht="15.75" customHeight="1">
      <c r="A923" s="15" t="str">
        <f t="shared" si="0"/>
        <v>MTMA</v>
      </c>
      <c r="B923" s="15" t="s">
        <v>1052</v>
      </c>
      <c r="C923" s="15" t="s">
        <v>1057</v>
      </c>
      <c r="D923" s="15">
        <v>10</v>
      </c>
      <c r="E923" s="15">
        <v>2978</v>
      </c>
    </row>
    <row r="924" spans="1:5" ht="15.75" customHeight="1">
      <c r="A924" s="15" t="str">
        <f t="shared" si="0"/>
        <v>MTMT</v>
      </c>
      <c r="B924" s="15" t="s">
        <v>1052</v>
      </c>
      <c r="C924" s="15" t="s">
        <v>1052</v>
      </c>
      <c r="D924" s="15">
        <v>13</v>
      </c>
      <c r="E924" s="15">
        <v>0</v>
      </c>
    </row>
    <row r="925" spans="1:5" ht="15.75" customHeight="1">
      <c r="A925" s="15" t="str">
        <f t="shared" si="0"/>
        <v>MTMS</v>
      </c>
      <c r="B925" s="15" t="s">
        <v>1052</v>
      </c>
      <c r="C925" s="15" t="s">
        <v>1053</v>
      </c>
      <c r="D925" s="15">
        <v>12</v>
      </c>
      <c r="E925" s="15">
        <v>694</v>
      </c>
    </row>
    <row r="926" spans="1:5" ht="15.75" customHeight="1">
      <c r="A926" s="15" t="str">
        <f t="shared" si="0"/>
        <v>MTMG</v>
      </c>
      <c r="B926" s="15" t="s">
        <v>1052</v>
      </c>
      <c r="C926" s="15" t="s">
        <v>24</v>
      </c>
      <c r="D926" s="15">
        <v>11</v>
      </c>
      <c r="E926" s="15">
        <v>1594</v>
      </c>
    </row>
    <row r="927" spans="1:5" ht="15.75" customHeight="1">
      <c r="A927" s="15" t="str">
        <f t="shared" si="0"/>
        <v>MTPA</v>
      </c>
      <c r="B927" s="15" t="s">
        <v>1052</v>
      </c>
      <c r="C927" s="15" t="s">
        <v>1054</v>
      </c>
      <c r="D927" s="15">
        <v>14</v>
      </c>
      <c r="E927" s="15">
        <v>2941</v>
      </c>
    </row>
    <row r="928" spans="1:5" ht="15.75" customHeight="1">
      <c r="A928" s="15" t="str">
        <f t="shared" si="0"/>
        <v>MTPB</v>
      </c>
      <c r="B928" s="15" t="s">
        <v>1052</v>
      </c>
      <c r="C928" s="15" t="s">
        <v>1055</v>
      </c>
      <c r="D928" s="15">
        <v>15</v>
      </c>
      <c r="E928" s="15">
        <v>3366</v>
      </c>
    </row>
    <row r="929" spans="1:5" ht="15.75" customHeight="1">
      <c r="A929" s="15" t="str">
        <f t="shared" si="0"/>
        <v>MTPR</v>
      </c>
      <c r="B929" s="15" t="s">
        <v>1052</v>
      </c>
      <c r="C929" s="15" t="s">
        <v>28</v>
      </c>
      <c r="D929" s="15">
        <v>18</v>
      </c>
      <c r="E929" s="15">
        <v>1679</v>
      </c>
    </row>
    <row r="930" spans="1:5" ht="15.75" customHeight="1">
      <c r="A930" s="15" t="str">
        <f t="shared" si="0"/>
        <v>MTPE</v>
      </c>
      <c r="B930" s="15" t="s">
        <v>1052</v>
      </c>
      <c r="C930" s="15" t="s">
        <v>1061</v>
      </c>
      <c r="D930" s="15">
        <v>16</v>
      </c>
      <c r="E930" s="15">
        <v>3256</v>
      </c>
    </row>
    <row r="931" spans="1:5" ht="15.75" customHeight="1">
      <c r="A931" s="15" t="str">
        <f t="shared" si="0"/>
        <v>MTPI</v>
      </c>
      <c r="B931" s="15" t="s">
        <v>1052</v>
      </c>
      <c r="C931" s="15" t="s">
        <v>1062</v>
      </c>
      <c r="D931" s="15">
        <v>17</v>
      </c>
      <c r="E931" s="15">
        <v>2910</v>
      </c>
    </row>
    <row r="932" spans="1:5" ht="15.75" customHeight="1">
      <c r="A932" s="15" t="str">
        <f t="shared" si="0"/>
        <v>MTRJ</v>
      </c>
      <c r="B932" s="15" t="s">
        <v>1052</v>
      </c>
      <c r="C932" s="15" t="s">
        <v>27</v>
      </c>
      <c r="D932" s="15">
        <v>19</v>
      </c>
      <c r="E932" s="15">
        <v>2017</v>
      </c>
    </row>
    <row r="933" spans="1:5" ht="15.75" customHeight="1">
      <c r="A933" s="15" t="str">
        <f t="shared" si="0"/>
        <v>MTRN</v>
      </c>
      <c r="B933" s="15" t="s">
        <v>1052</v>
      </c>
      <c r="C933" s="15" t="s">
        <v>732</v>
      </c>
      <c r="D933" s="15">
        <v>20</v>
      </c>
      <c r="E933" s="15">
        <v>3543</v>
      </c>
    </row>
    <row r="934" spans="1:5" ht="15.75" customHeight="1">
      <c r="A934" s="15" t="str">
        <f t="shared" si="0"/>
        <v>MTRS</v>
      </c>
      <c r="B934" s="15" t="s">
        <v>1052</v>
      </c>
      <c r="C934" s="15" t="s">
        <v>736</v>
      </c>
      <c r="D934" s="15">
        <v>23</v>
      </c>
      <c r="E934" s="15">
        <v>2206</v>
      </c>
    </row>
    <row r="935" spans="1:5" ht="15.75" customHeight="1">
      <c r="A935" s="15" t="str">
        <f t="shared" si="0"/>
        <v>MTRO</v>
      </c>
      <c r="B935" s="15" t="s">
        <v>1052</v>
      </c>
      <c r="C935" s="15" t="s">
        <v>733</v>
      </c>
      <c r="D935" s="15">
        <v>21</v>
      </c>
      <c r="E935" s="15">
        <v>1456</v>
      </c>
    </row>
    <row r="936" spans="1:5" ht="15.75" customHeight="1">
      <c r="A936" s="15" t="str">
        <f t="shared" si="0"/>
        <v>MTRR</v>
      </c>
      <c r="B936" s="15" t="s">
        <v>1052</v>
      </c>
      <c r="C936" s="15" t="s">
        <v>1063</v>
      </c>
      <c r="D936" s="15">
        <v>22</v>
      </c>
      <c r="E936" s="15">
        <v>3142</v>
      </c>
    </row>
    <row r="937" spans="1:5" ht="15.75" customHeight="1">
      <c r="A937" s="15" t="str">
        <f t="shared" si="0"/>
        <v>MTSC</v>
      </c>
      <c r="B937" s="15" t="s">
        <v>1052</v>
      </c>
      <c r="C937" s="15" t="s">
        <v>26</v>
      </c>
      <c r="D937" s="15">
        <v>24</v>
      </c>
      <c r="E937" s="15">
        <v>1986</v>
      </c>
    </row>
    <row r="938" spans="1:5" ht="15.75" customHeight="1">
      <c r="A938" s="15" t="str">
        <f t="shared" si="0"/>
        <v>MTSP</v>
      </c>
      <c r="B938" s="15" t="s">
        <v>1052</v>
      </c>
      <c r="C938" s="15" t="s">
        <v>23</v>
      </c>
      <c r="D938" s="15">
        <v>26</v>
      </c>
      <c r="E938" s="15">
        <v>1614</v>
      </c>
    </row>
    <row r="939" spans="1:5" ht="15.75" customHeight="1">
      <c r="A939" s="15" t="str">
        <f t="shared" si="0"/>
        <v>MTSE</v>
      </c>
      <c r="B939" s="15" t="s">
        <v>1052</v>
      </c>
      <c r="C939" s="15" t="s">
        <v>1060</v>
      </c>
      <c r="D939" s="15">
        <v>25</v>
      </c>
      <c r="E939" s="15">
        <v>2765</v>
      </c>
    </row>
    <row r="940" spans="1:5" ht="15.75" customHeight="1">
      <c r="A940" s="15" t="str">
        <f t="shared" si="0"/>
        <v>MTTO</v>
      </c>
      <c r="B940" s="15" t="s">
        <v>1052</v>
      </c>
      <c r="C940" s="15" t="s">
        <v>1064</v>
      </c>
      <c r="D940" s="15">
        <v>27</v>
      </c>
      <c r="E940" s="15">
        <v>1784</v>
      </c>
    </row>
    <row r="941" spans="1:5" ht="15.75" customHeight="1">
      <c r="A941" s="15" t="str">
        <f t="shared" si="0"/>
        <v>MSAC</v>
      </c>
      <c r="B941" s="15" t="s">
        <v>1053</v>
      </c>
      <c r="C941" s="15" t="s">
        <v>1051</v>
      </c>
      <c r="D941" s="15">
        <v>1</v>
      </c>
      <c r="E941" s="15">
        <v>2684</v>
      </c>
    </row>
    <row r="942" spans="1:5" ht="15.75" customHeight="1">
      <c r="A942" s="15" t="str">
        <f t="shared" si="0"/>
        <v>MSAL</v>
      </c>
      <c r="B942" s="15" t="s">
        <v>1053</v>
      </c>
      <c r="C942" s="15" t="s">
        <v>1056</v>
      </c>
      <c r="D942" s="15">
        <v>2</v>
      </c>
      <c r="E942" s="15">
        <v>3040</v>
      </c>
    </row>
    <row r="943" spans="1:5" ht="15.75" customHeight="1">
      <c r="A943" s="15" t="str">
        <f t="shared" si="0"/>
        <v>MSAP</v>
      </c>
      <c r="B943" s="15" t="s">
        <v>1053</v>
      </c>
      <c r="C943" s="15" t="s">
        <v>1058</v>
      </c>
      <c r="D943" s="15">
        <v>4</v>
      </c>
      <c r="E943" s="15">
        <v>2684</v>
      </c>
    </row>
    <row r="944" spans="1:5" ht="15.75" customHeight="1">
      <c r="A944" s="15" t="str">
        <f t="shared" si="0"/>
        <v>MSAM</v>
      </c>
      <c r="B944" s="15" t="s">
        <v>1053</v>
      </c>
      <c r="C944" s="15" t="s">
        <v>29</v>
      </c>
      <c r="D944" s="15">
        <v>3</v>
      </c>
      <c r="E944" s="15">
        <v>3051</v>
      </c>
    </row>
    <row r="945" spans="1:5" ht="15.75" customHeight="1">
      <c r="A945" s="15" t="str">
        <f t="shared" si="0"/>
        <v>MSBA</v>
      </c>
      <c r="B945" s="15" t="s">
        <v>1053</v>
      </c>
      <c r="C945" s="15" t="s">
        <v>34</v>
      </c>
      <c r="D945" s="15">
        <v>5</v>
      </c>
      <c r="E945" s="15">
        <v>2568</v>
      </c>
    </row>
    <row r="946" spans="1:5" ht="15.75" customHeight="1">
      <c r="A946" s="15" t="str">
        <f t="shared" si="0"/>
        <v>MSCE</v>
      </c>
      <c r="B946" s="15" t="s">
        <v>1053</v>
      </c>
      <c r="C946" s="15" t="s">
        <v>41</v>
      </c>
      <c r="D946" s="15">
        <v>6</v>
      </c>
      <c r="E946" s="15">
        <v>3407</v>
      </c>
    </row>
    <row r="947" spans="1:5" ht="15.75" customHeight="1">
      <c r="A947" s="15" t="str">
        <f t="shared" si="0"/>
        <v>MSDF</v>
      </c>
      <c r="B947" s="15" t="s">
        <v>1053</v>
      </c>
      <c r="C947" s="15" t="s">
        <v>1059</v>
      </c>
      <c r="D947" s="15">
        <v>7</v>
      </c>
      <c r="E947" s="15">
        <v>1134</v>
      </c>
    </row>
    <row r="948" spans="1:5" ht="15.75" customHeight="1">
      <c r="A948" s="15" t="str">
        <f t="shared" si="0"/>
        <v>MSES</v>
      </c>
      <c r="B948" s="15" t="s">
        <v>1053</v>
      </c>
      <c r="C948" s="15" t="s">
        <v>25</v>
      </c>
      <c r="D948" s="15">
        <v>8</v>
      </c>
      <c r="E948" s="15">
        <v>1892</v>
      </c>
    </row>
    <row r="949" spans="1:5" ht="15.75" customHeight="1">
      <c r="A949" s="15" t="str">
        <f t="shared" si="0"/>
        <v>MSGO</v>
      </c>
      <c r="B949" s="15" t="s">
        <v>1053</v>
      </c>
      <c r="C949" s="15" t="s">
        <v>51</v>
      </c>
      <c r="D949" s="15">
        <v>9</v>
      </c>
      <c r="E949" s="15">
        <v>935</v>
      </c>
    </row>
    <row r="950" spans="1:5" ht="15.75" customHeight="1">
      <c r="A950" s="15" t="str">
        <f t="shared" si="0"/>
        <v>MSMA</v>
      </c>
      <c r="B950" s="15" t="s">
        <v>1053</v>
      </c>
      <c r="C950" s="15" t="s">
        <v>1057</v>
      </c>
      <c r="D950" s="15">
        <v>10</v>
      </c>
      <c r="E950" s="15">
        <v>2979</v>
      </c>
    </row>
    <row r="951" spans="1:5" ht="15.75" customHeight="1">
      <c r="A951" s="15" t="str">
        <f t="shared" si="0"/>
        <v>MSMT</v>
      </c>
      <c r="B951" s="15" t="s">
        <v>1053</v>
      </c>
      <c r="C951" s="15" t="s">
        <v>1052</v>
      </c>
      <c r="D951" s="15">
        <v>13</v>
      </c>
      <c r="E951" s="15">
        <v>694</v>
      </c>
    </row>
    <row r="952" spans="1:5" ht="15.75" customHeight="1">
      <c r="A952" s="15" t="str">
        <f t="shared" si="0"/>
        <v>MSMS</v>
      </c>
      <c r="B952" s="15" t="s">
        <v>1053</v>
      </c>
      <c r="C952" s="15" t="s">
        <v>1053</v>
      </c>
      <c r="D952" s="15">
        <v>12</v>
      </c>
      <c r="E952" s="15">
        <v>0</v>
      </c>
    </row>
    <row r="953" spans="1:5" ht="15.75" customHeight="1">
      <c r="A953" s="15" t="str">
        <f t="shared" si="0"/>
        <v>MSMG</v>
      </c>
      <c r="B953" s="15" t="s">
        <v>1053</v>
      </c>
      <c r="C953" s="15" t="s">
        <v>24</v>
      </c>
      <c r="D953" s="15">
        <v>11</v>
      </c>
      <c r="E953" s="15">
        <v>1453</v>
      </c>
    </row>
    <row r="954" spans="1:5" ht="15.75" customHeight="1">
      <c r="A954" s="15" t="str">
        <f t="shared" si="0"/>
        <v>MSPA</v>
      </c>
      <c r="B954" s="15" t="s">
        <v>1053</v>
      </c>
      <c r="C954" s="15" t="s">
        <v>1054</v>
      </c>
      <c r="D954" s="15">
        <v>14</v>
      </c>
      <c r="E954" s="15">
        <v>2942</v>
      </c>
    </row>
    <row r="955" spans="1:5" ht="15.75" customHeight="1">
      <c r="A955" s="15" t="str">
        <f t="shared" si="0"/>
        <v>MSPB</v>
      </c>
      <c r="B955" s="15" t="s">
        <v>1053</v>
      </c>
      <c r="C955" s="15" t="s">
        <v>1055</v>
      </c>
      <c r="D955" s="15">
        <v>15</v>
      </c>
      <c r="E955" s="15">
        <v>3357</v>
      </c>
    </row>
    <row r="956" spans="1:5" ht="15.75" customHeight="1">
      <c r="A956" s="15" t="str">
        <f t="shared" si="0"/>
        <v>MSPR</v>
      </c>
      <c r="B956" s="15" t="s">
        <v>1053</v>
      </c>
      <c r="C956" s="15" t="s">
        <v>28</v>
      </c>
      <c r="D956" s="15">
        <v>18</v>
      </c>
      <c r="E956" s="15">
        <v>991</v>
      </c>
    </row>
    <row r="957" spans="1:5" ht="15.75" customHeight="1">
      <c r="A957" s="15" t="str">
        <f t="shared" si="0"/>
        <v>MSPE</v>
      </c>
      <c r="B957" s="15" t="s">
        <v>1053</v>
      </c>
      <c r="C957" s="15" t="s">
        <v>1061</v>
      </c>
      <c r="D957" s="15">
        <v>16</v>
      </c>
      <c r="E957" s="15">
        <v>3247</v>
      </c>
    </row>
    <row r="958" spans="1:5" ht="15.75" customHeight="1">
      <c r="A958" s="15" t="str">
        <f t="shared" si="0"/>
        <v>MSPI</v>
      </c>
      <c r="B958" s="15" t="s">
        <v>1053</v>
      </c>
      <c r="C958" s="15" t="s">
        <v>1062</v>
      </c>
      <c r="D958" s="15">
        <v>17</v>
      </c>
      <c r="E958" s="15">
        <v>2911</v>
      </c>
    </row>
    <row r="959" spans="1:5" ht="15.75" customHeight="1">
      <c r="A959" s="15" t="str">
        <f t="shared" si="0"/>
        <v>MSRJ</v>
      </c>
      <c r="B959" s="15" t="s">
        <v>1053</v>
      </c>
      <c r="C959" s="15" t="s">
        <v>27</v>
      </c>
      <c r="D959" s="15">
        <v>19</v>
      </c>
      <c r="E959" s="15">
        <v>1444</v>
      </c>
    </row>
    <row r="960" spans="1:5" ht="15.75" customHeight="1">
      <c r="A960" s="15" t="str">
        <f t="shared" si="0"/>
        <v>MSRN</v>
      </c>
      <c r="B960" s="15" t="s">
        <v>1053</v>
      </c>
      <c r="C960" s="15" t="s">
        <v>732</v>
      </c>
      <c r="D960" s="15">
        <v>20</v>
      </c>
      <c r="E960" s="15">
        <v>3537</v>
      </c>
    </row>
    <row r="961" spans="1:5" ht="15.75" customHeight="1">
      <c r="A961" s="15" t="str">
        <f t="shared" si="0"/>
        <v>MSRS</v>
      </c>
      <c r="B961" s="15" t="s">
        <v>1053</v>
      </c>
      <c r="C961" s="15" t="s">
        <v>736</v>
      </c>
      <c r="D961" s="15">
        <v>23</v>
      </c>
      <c r="E961" s="15">
        <v>1518</v>
      </c>
    </row>
    <row r="962" spans="1:5" ht="15.75" customHeight="1">
      <c r="A962" s="15" t="str">
        <f t="shared" si="0"/>
        <v>MSRO</v>
      </c>
      <c r="B962" s="15" t="s">
        <v>1053</v>
      </c>
      <c r="C962" s="15" t="s">
        <v>733</v>
      </c>
      <c r="D962" s="15">
        <v>21</v>
      </c>
      <c r="E962" s="15">
        <v>2150</v>
      </c>
    </row>
    <row r="963" spans="1:5" ht="15.75" customHeight="1">
      <c r="A963" s="15" t="str">
        <f t="shared" si="0"/>
        <v>MSRR</v>
      </c>
      <c r="B963" s="15" t="s">
        <v>1053</v>
      </c>
      <c r="C963" s="15" t="s">
        <v>1063</v>
      </c>
      <c r="D963" s="15">
        <v>22</v>
      </c>
      <c r="E963" s="15">
        <v>3836</v>
      </c>
    </row>
    <row r="964" spans="1:5" ht="15.75" customHeight="1">
      <c r="A964" s="15" t="str">
        <f t="shared" si="0"/>
        <v>MSSC</v>
      </c>
      <c r="B964" s="15" t="s">
        <v>1053</v>
      </c>
      <c r="C964" s="15" t="s">
        <v>26</v>
      </c>
      <c r="D964" s="15">
        <v>24</v>
      </c>
      <c r="E964" s="15">
        <v>1298</v>
      </c>
    </row>
    <row r="965" spans="1:5" ht="15.75" customHeight="1">
      <c r="A965" s="15" t="str">
        <f t="shared" si="0"/>
        <v>MSSP</v>
      </c>
      <c r="B965" s="15" t="s">
        <v>1053</v>
      </c>
      <c r="C965" s="15" t="s">
        <v>23</v>
      </c>
      <c r="D965" s="15">
        <v>26</v>
      </c>
      <c r="E965" s="15">
        <v>1014</v>
      </c>
    </row>
    <row r="966" spans="1:5" ht="15.75" customHeight="1">
      <c r="A966" s="15" t="str">
        <f t="shared" si="0"/>
        <v>MSSE</v>
      </c>
      <c r="B966" s="15" t="s">
        <v>1053</v>
      </c>
      <c r="C966" s="15" t="s">
        <v>1060</v>
      </c>
      <c r="D966" s="15">
        <v>25</v>
      </c>
      <c r="E966" s="15">
        <v>2182</v>
      </c>
    </row>
    <row r="967" spans="1:5" ht="15.75" customHeight="1">
      <c r="A967" s="15" t="str">
        <f t="shared" si="0"/>
        <v>MSTO</v>
      </c>
      <c r="B967" s="15" t="s">
        <v>1053</v>
      </c>
      <c r="C967" s="15" t="s">
        <v>1064</v>
      </c>
      <c r="D967" s="15">
        <v>27</v>
      </c>
      <c r="E967" s="15">
        <v>1785</v>
      </c>
    </row>
    <row r="968" spans="1:5" ht="15.75" customHeight="1">
      <c r="A968" s="15" t="str">
        <f t="shared" si="0"/>
        <v>MGAC</v>
      </c>
      <c r="B968" s="15" t="s">
        <v>24</v>
      </c>
      <c r="C968" s="15" t="s">
        <v>1051</v>
      </c>
      <c r="D968" s="15">
        <v>1</v>
      </c>
      <c r="E968" s="15">
        <v>3584</v>
      </c>
    </row>
    <row r="969" spans="1:5" ht="15.75" customHeight="1">
      <c r="A969" s="15" t="str">
        <f t="shared" si="0"/>
        <v>MGAL</v>
      </c>
      <c r="B969" s="15" t="s">
        <v>24</v>
      </c>
      <c r="C969" s="15" t="s">
        <v>1056</v>
      </c>
      <c r="D969" s="15">
        <v>2</v>
      </c>
      <c r="E969" s="15">
        <v>1854</v>
      </c>
    </row>
    <row r="970" spans="1:5" ht="15.75" customHeight="1">
      <c r="A970" s="15" t="str">
        <f t="shared" si="0"/>
        <v>MGAP</v>
      </c>
      <c r="B970" s="15" t="s">
        <v>24</v>
      </c>
      <c r="C970" s="15" t="s">
        <v>1058</v>
      </c>
      <c r="D970" s="15">
        <v>4</v>
      </c>
      <c r="E970" s="15">
        <v>3584</v>
      </c>
    </row>
    <row r="971" spans="1:5" ht="15.75" customHeight="1">
      <c r="A971" s="15" t="str">
        <f t="shared" si="0"/>
        <v>MGAM</v>
      </c>
      <c r="B971" s="15" t="s">
        <v>24</v>
      </c>
      <c r="C971" s="15" t="s">
        <v>29</v>
      </c>
      <c r="D971" s="15">
        <v>3</v>
      </c>
      <c r="E971" s="15">
        <v>3951</v>
      </c>
    </row>
    <row r="972" spans="1:5" ht="15.75" customHeight="1">
      <c r="A972" s="15" t="str">
        <f t="shared" si="0"/>
        <v>MGBA</v>
      </c>
      <c r="B972" s="15" t="s">
        <v>24</v>
      </c>
      <c r="C972" s="15" t="s">
        <v>34</v>
      </c>
      <c r="D972" s="15">
        <v>5</v>
      </c>
      <c r="E972" s="15">
        <v>1372</v>
      </c>
    </row>
    <row r="973" spans="1:5" ht="15.75" customHeight="1">
      <c r="A973" s="15" t="str">
        <f t="shared" si="0"/>
        <v>MGCE</v>
      </c>
      <c r="B973" s="15" t="s">
        <v>24</v>
      </c>
      <c r="C973" s="15" t="s">
        <v>41</v>
      </c>
      <c r="D973" s="15">
        <v>6</v>
      </c>
      <c r="E973" s="15">
        <v>2528</v>
      </c>
    </row>
    <row r="974" spans="1:5" ht="15.75" customHeight="1">
      <c r="A974" s="15" t="str">
        <f t="shared" si="0"/>
        <v>MGDF</v>
      </c>
      <c r="B974" s="15" t="s">
        <v>24</v>
      </c>
      <c r="C974" s="15" t="s">
        <v>1059</v>
      </c>
      <c r="D974" s="15">
        <v>7</v>
      </c>
      <c r="E974" s="15">
        <v>741</v>
      </c>
    </row>
    <row r="975" spans="1:5" ht="15.75" customHeight="1">
      <c r="A975" s="15" t="str">
        <f t="shared" si="0"/>
        <v>MGES</v>
      </c>
      <c r="B975" s="15" t="s">
        <v>24</v>
      </c>
      <c r="C975" s="15" t="s">
        <v>25</v>
      </c>
      <c r="D975" s="15">
        <v>8</v>
      </c>
      <c r="E975" s="15">
        <v>524</v>
      </c>
    </row>
    <row r="976" spans="1:5" ht="15.75" customHeight="1">
      <c r="A976" s="15" t="str">
        <f t="shared" si="0"/>
        <v>MGGO</v>
      </c>
      <c r="B976" s="15" t="s">
        <v>24</v>
      </c>
      <c r="C976" s="15" t="s">
        <v>51</v>
      </c>
      <c r="D976" s="15">
        <v>9</v>
      </c>
      <c r="E976" s="15">
        <v>906</v>
      </c>
    </row>
    <row r="977" spans="1:5" ht="15.75" customHeight="1">
      <c r="A977" s="15" t="str">
        <f t="shared" si="0"/>
        <v>MGMA</v>
      </c>
      <c r="B977" s="15" t="s">
        <v>24</v>
      </c>
      <c r="C977" s="15" t="s">
        <v>1057</v>
      </c>
      <c r="D977" s="15">
        <v>10</v>
      </c>
      <c r="E977" s="15">
        <v>2738</v>
      </c>
    </row>
    <row r="978" spans="1:5" ht="15.75" customHeight="1">
      <c r="A978" s="15" t="str">
        <f t="shared" si="0"/>
        <v>MGMT</v>
      </c>
      <c r="B978" s="15" t="s">
        <v>24</v>
      </c>
      <c r="C978" s="15" t="s">
        <v>1052</v>
      </c>
      <c r="D978" s="15">
        <v>13</v>
      </c>
      <c r="E978" s="15">
        <v>1594</v>
      </c>
    </row>
    <row r="979" spans="1:5" ht="15.75" customHeight="1">
      <c r="A979" s="15" t="str">
        <f t="shared" si="0"/>
        <v>MGMS</v>
      </c>
      <c r="B979" s="15" t="s">
        <v>24</v>
      </c>
      <c r="C979" s="15" t="s">
        <v>1053</v>
      </c>
      <c r="D979" s="15">
        <v>12</v>
      </c>
      <c r="E979" s="15">
        <v>1453</v>
      </c>
    </row>
    <row r="980" spans="1:5" ht="15.75" customHeight="1">
      <c r="A980" s="15" t="str">
        <f t="shared" si="0"/>
        <v>MGMG</v>
      </c>
      <c r="B980" s="15" t="s">
        <v>24</v>
      </c>
      <c r="C980" s="15" t="s">
        <v>24</v>
      </c>
      <c r="D980" s="15">
        <v>11</v>
      </c>
      <c r="E980" s="15">
        <v>0</v>
      </c>
    </row>
    <row r="981" spans="1:5" ht="15.75" customHeight="1">
      <c r="A981" s="15" t="str">
        <f t="shared" si="0"/>
        <v>MGPA</v>
      </c>
      <c r="B981" s="15" t="s">
        <v>24</v>
      </c>
      <c r="C981" s="15" t="s">
        <v>1054</v>
      </c>
      <c r="D981" s="15">
        <v>14</v>
      </c>
      <c r="E981" s="15">
        <v>2824</v>
      </c>
    </row>
    <row r="982" spans="1:5" ht="15.75" customHeight="1">
      <c r="A982" s="15" t="str">
        <f t="shared" si="0"/>
        <v>MGPB</v>
      </c>
      <c r="B982" s="15" t="s">
        <v>24</v>
      </c>
      <c r="C982" s="15" t="s">
        <v>1055</v>
      </c>
      <c r="D982" s="15">
        <v>15</v>
      </c>
      <c r="E982" s="15">
        <v>2171</v>
      </c>
    </row>
    <row r="983" spans="1:5" ht="15.75" customHeight="1">
      <c r="A983" s="15" t="str">
        <f t="shared" si="0"/>
        <v>MGPR</v>
      </c>
      <c r="B983" s="15" t="s">
        <v>24</v>
      </c>
      <c r="C983" s="15" t="s">
        <v>28</v>
      </c>
      <c r="D983" s="15">
        <v>18</v>
      </c>
      <c r="E983" s="15">
        <v>1004</v>
      </c>
    </row>
    <row r="984" spans="1:5" ht="15.75" customHeight="1">
      <c r="A984" s="15" t="str">
        <f t="shared" si="0"/>
        <v>MGPE</v>
      </c>
      <c r="B984" s="15" t="s">
        <v>24</v>
      </c>
      <c r="C984" s="15" t="s">
        <v>1061</v>
      </c>
      <c r="D984" s="15">
        <v>16</v>
      </c>
      <c r="E984" s="15">
        <v>2061</v>
      </c>
    </row>
    <row r="985" spans="1:5" ht="15.75" customHeight="1">
      <c r="A985" s="15" t="str">
        <f t="shared" si="0"/>
        <v>MGPI</v>
      </c>
      <c r="B985" s="15" t="s">
        <v>24</v>
      </c>
      <c r="C985" s="15" t="s">
        <v>1062</v>
      </c>
      <c r="D985" s="15">
        <v>17</v>
      </c>
      <c r="E985" s="15">
        <v>2302</v>
      </c>
    </row>
    <row r="986" spans="1:5" ht="15.75" customHeight="1">
      <c r="A986" s="15" t="str">
        <f t="shared" si="0"/>
        <v>MGRJ</v>
      </c>
      <c r="B986" s="15" t="s">
        <v>24</v>
      </c>
      <c r="C986" s="15" t="s">
        <v>27</v>
      </c>
      <c r="D986" s="15">
        <v>19</v>
      </c>
      <c r="E986" s="15">
        <v>434</v>
      </c>
    </row>
    <row r="987" spans="1:5" ht="15.75" customHeight="1">
      <c r="A987" s="15" t="str">
        <f t="shared" si="0"/>
        <v>MGRN</v>
      </c>
      <c r="B987" s="15" t="s">
        <v>24</v>
      </c>
      <c r="C987" s="15" t="s">
        <v>732</v>
      </c>
      <c r="D987" s="15">
        <v>20</v>
      </c>
      <c r="E987" s="15">
        <v>2348</v>
      </c>
    </row>
    <row r="988" spans="1:5" ht="15.75" customHeight="1">
      <c r="A988" s="15" t="str">
        <f t="shared" si="0"/>
        <v>MGRS</v>
      </c>
      <c r="B988" s="15" t="s">
        <v>24</v>
      </c>
      <c r="C988" s="15" t="s">
        <v>736</v>
      </c>
      <c r="D988" s="15">
        <v>23</v>
      </c>
      <c r="E988" s="15">
        <v>1712</v>
      </c>
    </row>
    <row r="989" spans="1:5" ht="15.75" customHeight="1">
      <c r="A989" s="15" t="str">
        <f t="shared" si="0"/>
        <v>MGRO</v>
      </c>
      <c r="B989" s="15" t="s">
        <v>24</v>
      </c>
      <c r="C989" s="15" t="s">
        <v>733</v>
      </c>
      <c r="D989" s="15">
        <v>21</v>
      </c>
      <c r="E989" s="15">
        <v>3050</v>
      </c>
    </row>
    <row r="990" spans="1:5" ht="15.75" customHeight="1">
      <c r="A990" s="15" t="str">
        <f t="shared" si="0"/>
        <v>MGRR</v>
      </c>
      <c r="B990" s="15" t="s">
        <v>24</v>
      </c>
      <c r="C990" s="15" t="s">
        <v>1063</v>
      </c>
      <c r="D990" s="15">
        <v>22</v>
      </c>
      <c r="E990" s="15">
        <v>4736</v>
      </c>
    </row>
    <row r="991" spans="1:5" ht="15.75" customHeight="1">
      <c r="A991" s="15" t="str">
        <f t="shared" si="0"/>
        <v>MGSC</v>
      </c>
      <c r="B991" s="15" t="s">
        <v>24</v>
      </c>
      <c r="C991" s="15" t="s">
        <v>26</v>
      </c>
      <c r="D991" s="15">
        <v>24</v>
      </c>
      <c r="E991" s="15">
        <v>1301</v>
      </c>
    </row>
    <row r="992" spans="1:5" ht="15.75" customHeight="1">
      <c r="A992" s="15" t="str">
        <f t="shared" si="0"/>
        <v>MGSP</v>
      </c>
      <c r="B992" s="15" t="s">
        <v>24</v>
      </c>
      <c r="C992" s="15" t="s">
        <v>23</v>
      </c>
      <c r="D992" s="15">
        <v>26</v>
      </c>
      <c r="E992" s="15">
        <v>586</v>
      </c>
    </row>
    <row r="993" spans="1:5" ht="15.75" customHeight="1">
      <c r="A993" s="15" t="str">
        <f t="shared" si="0"/>
        <v>MGSE</v>
      </c>
      <c r="B993" s="15" t="s">
        <v>24</v>
      </c>
      <c r="C993" s="15" t="s">
        <v>1060</v>
      </c>
      <c r="D993" s="15">
        <v>25</v>
      </c>
      <c r="E993" s="15">
        <v>1578</v>
      </c>
    </row>
    <row r="994" spans="1:5" ht="15.75" customHeight="1">
      <c r="A994" s="15" t="str">
        <f t="shared" si="0"/>
        <v>MGTO</v>
      </c>
      <c r="B994" s="15" t="s">
        <v>24</v>
      </c>
      <c r="C994" s="15" t="s">
        <v>1064</v>
      </c>
      <c r="D994" s="15">
        <v>27</v>
      </c>
      <c r="E994" s="15">
        <v>1690</v>
      </c>
    </row>
    <row r="995" spans="1:5" ht="15.75" customHeight="1">
      <c r="A995" s="15" t="str">
        <f t="shared" si="0"/>
        <v>PAAC</v>
      </c>
      <c r="B995" s="15" t="s">
        <v>1054</v>
      </c>
      <c r="C995" s="15" t="s">
        <v>1051</v>
      </c>
      <c r="D995" s="15">
        <v>1</v>
      </c>
      <c r="E995" s="15">
        <v>4931</v>
      </c>
    </row>
    <row r="996" spans="1:5" ht="15.75" customHeight="1">
      <c r="A996" s="15" t="str">
        <f t="shared" si="0"/>
        <v>PAAL</v>
      </c>
      <c r="B996" s="15" t="s">
        <v>1054</v>
      </c>
      <c r="C996" s="15" t="s">
        <v>1056</v>
      </c>
      <c r="D996" s="15">
        <v>2</v>
      </c>
      <c r="E996" s="15">
        <v>2173</v>
      </c>
    </row>
    <row r="997" spans="1:5" ht="15.75" customHeight="1">
      <c r="A997" s="15" t="str">
        <f t="shared" si="0"/>
        <v>PAAP</v>
      </c>
      <c r="B997" s="15" t="s">
        <v>1054</v>
      </c>
      <c r="C997" s="15" t="s">
        <v>1058</v>
      </c>
      <c r="D997" s="15">
        <v>4</v>
      </c>
      <c r="E997" s="15">
        <v>4931</v>
      </c>
    </row>
    <row r="998" spans="1:5" ht="15.75" customHeight="1">
      <c r="A998" s="15" t="str">
        <f t="shared" si="0"/>
        <v>PAAM</v>
      </c>
      <c r="B998" s="15" t="s">
        <v>1054</v>
      </c>
      <c r="C998" s="15" t="s">
        <v>29</v>
      </c>
      <c r="D998" s="15">
        <v>3</v>
      </c>
      <c r="E998" s="15">
        <v>5298</v>
      </c>
    </row>
    <row r="999" spans="1:5" ht="15.75" customHeight="1">
      <c r="A999" s="15" t="str">
        <f t="shared" si="0"/>
        <v>PABA</v>
      </c>
      <c r="B999" s="15" t="s">
        <v>1054</v>
      </c>
      <c r="C999" s="15" t="s">
        <v>34</v>
      </c>
      <c r="D999" s="15">
        <v>5</v>
      </c>
      <c r="E999" s="15">
        <v>2100</v>
      </c>
    </row>
    <row r="1000" spans="1:5" ht="15.75" customHeight="1">
      <c r="A1000" s="15" t="str">
        <f t="shared" si="0"/>
        <v>PACE</v>
      </c>
      <c r="B1000" s="15" t="s">
        <v>1054</v>
      </c>
      <c r="C1000" s="15" t="s">
        <v>41</v>
      </c>
      <c r="D1000" s="15">
        <v>6</v>
      </c>
      <c r="E1000" s="15">
        <v>1611</v>
      </c>
    </row>
    <row r="1001" spans="1:5" ht="15.75" customHeight="1">
      <c r="A1001" s="15" t="str">
        <f t="shared" si="0"/>
        <v>PADF</v>
      </c>
      <c r="B1001" s="15" t="s">
        <v>1054</v>
      </c>
      <c r="C1001" s="15" t="s">
        <v>1059</v>
      </c>
      <c r="D1001" s="15">
        <v>7</v>
      </c>
      <c r="E1001" s="15">
        <v>2140</v>
      </c>
    </row>
    <row r="1002" spans="1:5" ht="15.75" customHeight="1">
      <c r="A1002" s="15" t="str">
        <f t="shared" si="0"/>
        <v>PAES</v>
      </c>
      <c r="B1002" s="15" t="s">
        <v>1054</v>
      </c>
      <c r="C1002" s="15" t="s">
        <v>25</v>
      </c>
      <c r="D1002" s="15">
        <v>8</v>
      </c>
      <c r="E1002" s="15">
        <v>3108</v>
      </c>
    </row>
    <row r="1003" spans="1:5" ht="15.75" customHeight="1">
      <c r="A1003" s="15" t="str">
        <f t="shared" si="0"/>
        <v>PAGO</v>
      </c>
      <c r="B1003" s="15" t="s">
        <v>1054</v>
      </c>
      <c r="C1003" s="15" t="s">
        <v>51</v>
      </c>
      <c r="D1003" s="15">
        <v>9</v>
      </c>
      <c r="E1003" s="15">
        <v>2017</v>
      </c>
    </row>
    <row r="1004" spans="1:5" ht="15.75" customHeight="1">
      <c r="A1004" s="15" t="str">
        <f t="shared" si="0"/>
        <v>PAMA</v>
      </c>
      <c r="B1004" s="15" t="s">
        <v>1054</v>
      </c>
      <c r="C1004" s="15" t="s">
        <v>1057</v>
      </c>
      <c r="D1004" s="15">
        <v>10</v>
      </c>
      <c r="E1004" s="15">
        <v>806</v>
      </c>
    </row>
    <row r="1005" spans="1:5" ht="15.75" customHeight="1">
      <c r="A1005" s="15" t="str">
        <f t="shared" si="0"/>
        <v>PAMT</v>
      </c>
      <c r="B1005" s="15" t="s">
        <v>1054</v>
      </c>
      <c r="C1005" s="15" t="s">
        <v>1052</v>
      </c>
      <c r="D1005" s="15">
        <v>13</v>
      </c>
      <c r="E1005" s="15">
        <v>2941</v>
      </c>
    </row>
    <row r="1006" spans="1:5" ht="15.75" customHeight="1">
      <c r="A1006" s="15" t="str">
        <f t="shared" si="0"/>
        <v>PAMS</v>
      </c>
      <c r="B1006" s="15" t="s">
        <v>1054</v>
      </c>
      <c r="C1006" s="15" t="s">
        <v>1053</v>
      </c>
      <c r="D1006" s="15">
        <v>12</v>
      </c>
      <c r="E1006" s="15">
        <v>2942</v>
      </c>
    </row>
    <row r="1007" spans="1:5" ht="15.75" customHeight="1">
      <c r="A1007" s="15" t="str">
        <f t="shared" si="0"/>
        <v>PAMG</v>
      </c>
      <c r="B1007" s="15" t="s">
        <v>1054</v>
      </c>
      <c r="C1007" s="15" t="s">
        <v>24</v>
      </c>
      <c r="D1007" s="15">
        <v>11</v>
      </c>
      <c r="E1007" s="15">
        <v>2824</v>
      </c>
    </row>
    <row r="1008" spans="1:5" ht="15.75" customHeight="1">
      <c r="A1008" s="15" t="str">
        <f t="shared" si="0"/>
        <v>PAPA</v>
      </c>
      <c r="B1008" s="15" t="s">
        <v>1054</v>
      </c>
      <c r="C1008" s="15" t="s">
        <v>1054</v>
      </c>
      <c r="D1008" s="15">
        <v>14</v>
      </c>
      <c r="E1008" s="15">
        <v>0</v>
      </c>
    </row>
    <row r="1009" spans="1:5" ht="15.75" customHeight="1">
      <c r="A1009" s="15" t="str">
        <f t="shared" si="0"/>
        <v>PAPB</v>
      </c>
      <c r="B1009" s="15" t="s">
        <v>1054</v>
      </c>
      <c r="C1009" s="15" t="s">
        <v>1055</v>
      </c>
      <c r="D1009" s="15">
        <v>15</v>
      </c>
      <c r="E1009" s="15">
        <v>2161</v>
      </c>
    </row>
    <row r="1010" spans="1:5" ht="15.75" customHeight="1">
      <c r="A1010" s="15" t="str">
        <f t="shared" si="0"/>
        <v>PAPR</v>
      </c>
      <c r="B1010" s="15" t="s">
        <v>1054</v>
      </c>
      <c r="C1010" s="15" t="s">
        <v>28</v>
      </c>
      <c r="D1010" s="15">
        <v>18</v>
      </c>
      <c r="E1010" s="15">
        <v>3193</v>
      </c>
    </row>
    <row r="1011" spans="1:5" ht="15.75" customHeight="1">
      <c r="A1011" s="15" t="str">
        <f t="shared" si="0"/>
        <v>PAPE</v>
      </c>
      <c r="B1011" s="15" t="s">
        <v>1054</v>
      </c>
      <c r="C1011" s="15" t="s">
        <v>1061</v>
      </c>
      <c r="D1011" s="15">
        <v>16</v>
      </c>
      <c r="E1011" s="15">
        <v>2074</v>
      </c>
    </row>
    <row r="1012" spans="1:5" ht="15.75" customHeight="1">
      <c r="A1012" s="15" t="str">
        <f t="shared" si="0"/>
        <v>PAPI</v>
      </c>
      <c r="B1012" s="15" t="s">
        <v>1054</v>
      </c>
      <c r="C1012" s="15" t="s">
        <v>1062</v>
      </c>
      <c r="D1012" s="15">
        <v>17</v>
      </c>
      <c r="E1012" s="15">
        <v>947</v>
      </c>
    </row>
    <row r="1013" spans="1:5" ht="15.75" customHeight="1">
      <c r="A1013" s="15" t="str">
        <f t="shared" si="0"/>
        <v>PARJ</v>
      </c>
      <c r="B1013" s="15" t="s">
        <v>1054</v>
      </c>
      <c r="C1013" s="15" t="s">
        <v>27</v>
      </c>
      <c r="D1013" s="15">
        <v>19</v>
      </c>
      <c r="E1013" s="15">
        <v>3250</v>
      </c>
    </row>
    <row r="1014" spans="1:5" ht="15.75" customHeight="1">
      <c r="A1014" s="15" t="str">
        <f t="shared" si="0"/>
        <v>PARN</v>
      </c>
      <c r="B1014" s="15" t="s">
        <v>1054</v>
      </c>
      <c r="C1014" s="15" t="s">
        <v>732</v>
      </c>
      <c r="D1014" s="15">
        <v>20</v>
      </c>
      <c r="E1014" s="15">
        <v>2108</v>
      </c>
    </row>
    <row r="1015" spans="1:5" ht="15.75" customHeight="1">
      <c r="A1015" s="15" t="str">
        <f t="shared" si="0"/>
        <v>PARS</v>
      </c>
      <c r="B1015" s="15" t="s">
        <v>1054</v>
      </c>
      <c r="C1015" s="15" t="s">
        <v>736</v>
      </c>
      <c r="D1015" s="15">
        <v>23</v>
      </c>
      <c r="E1015" s="15">
        <v>3854</v>
      </c>
    </row>
    <row r="1016" spans="1:5" ht="15.75" customHeight="1">
      <c r="A1016" s="15" t="str">
        <f t="shared" si="0"/>
        <v>PARO</v>
      </c>
      <c r="B1016" s="15" t="s">
        <v>1054</v>
      </c>
      <c r="C1016" s="15" t="s">
        <v>733</v>
      </c>
      <c r="D1016" s="15">
        <v>21</v>
      </c>
      <c r="E1016" s="15">
        <v>4397</v>
      </c>
    </row>
    <row r="1017" spans="1:5" ht="15.75" customHeight="1">
      <c r="A1017" s="15" t="str">
        <f t="shared" si="0"/>
        <v>PARR</v>
      </c>
      <c r="B1017" s="15" t="s">
        <v>1054</v>
      </c>
      <c r="C1017" s="15" t="s">
        <v>1063</v>
      </c>
      <c r="D1017" s="15">
        <v>22</v>
      </c>
      <c r="E1017" s="15">
        <v>6083</v>
      </c>
    </row>
    <row r="1018" spans="1:5" ht="15.75" customHeight="1">
      <c r="A1018" s="15" t="str">
        <f t="shared" si="0"/>
        <v>PASC</v>
      </c>
      <c r="B1018" s="15" t="s">
        <v>1054</v>
      </c>
      <c r="C1018" s="15" t="s">
        <v>26</v>
      </c>
      <c r="D1018" s="15">
        <v>24</v>
      </c>
      <c r="E1018" s="15">
        <v>3500</v>
      </c>
    </row>
    <row r="1019" spans="1:5" ht="15.75" customHeight="1">
      <c r="A1019" s="15" t="str">
        <f t="shared" si="0"/>
        <v>PASP</v>
      </c>
      <c r="B1019" s="15" t="s">
        <v>1054</v>
      </c>
      <c r="C1019" s="15" t="s">
        <v>23</v>
      </c>
      <c r="D1019" s="15">
        <v>26</v>
      </c>
      <c r="E1019" s="15">
        <v>2933</v>
      </c>
    </row>
    <row r="1020" spans="1:5" ht="15.75" customHeight="1">
      <c r="A1020" s="15" t="str">
        <f t="shared" si="0"/>
        <v>PASE</v>
      </c>
      <c r="B1020" s="15" t="s">
        <v>1054</v>
      </c>
      <c r="C1020" s="15" t="s">
        <v>1060</v>
      </c>
      <c r="D1020" s="15">
        <v>25</v>
      </c>
      <c r="E1020" s="15">
        <v>2079</v>
      </c>
    </row>
    <row r="1021" spans="1:5" ht="15.75" customHeight="1">
      <c r="A1021" s="15" t="str">
        <f t="shared" si="0"/>
        <v>PATO</v>
      </c>
      <c r="B1021" s="15" t="s">
        <v>1054</v>
      </c>
      <c r="C1021" s="15" t="s">
        <v>1064</v>
      </c>
      <c r="D1021" s="15">
        <v>27</v>
      </c>
      <c r="E1021" s="15">
        <v>1283</v>
      </c>
    </row>
    <row r="1022" spans="1:5" ht="15.75" customHeight="1">
      <c r="A1022" s="15" t="str">
        <f t="shared" si="0"/>
        <v>PBAC</v>
      </c>
      <c r="B1022" s="15" t="s">
        <v>1055</v>
      </c>
      <c r="C1022" s="15" t="s">
        <v>1051</v>
      </c>
      <c r="D1022" s="15">
        <v>1</v>
      </c>
      <c r="E1022" s="15">
        <v>5356</v>
      </c>
    </row>
    <row r="1023" spans="1:5" ht="15.75" customHeight="1">
      <c r="A1023" s="15" t="str">
        <f t="shared" si="0"/>
        <v>PBAL</v>
      </c>
      <c r="B1023" s="15" t="s">
        <v>1055</v>
      </c>
      <c r="C1023" s="15" t="s">
        <v>1056</v>
      </c>
      <c r="D1023" s="15">
        <v>2</v>
      </c>
      <c r="E1023" s="15">
        <v>395</v>
      </c>
    </row>
    <row r="1024" spans="1:5" ht="15.75" customHeight="1">
      <c r="A1024" s="15" t="str">
        <f t="shared" si="0"/>
        <v>PBAP</v>
      </c>
      <c r="B1024" s="15" t="s">
        <v>1055</v>
      </c>
      <c r="C1024" s="15" t="s">
        <v>1058</v>
      </c>
      <c r="D1024" s="15">
        <v>4</v>
      </c>
      <c r="E1024" s="15">
        <v>5356</v>
      </c>
    </row>
    <row r="1025" spans="1:5" ht="15.75" customHeight="1">
      <c r="A1025" s="15" t="str">
        <f t="shared" si="0"/>
        <v>PBAM</v>
      </c>
      <c r="B1025" s="15" t="s">
        <v>1055</v>
      </c>
      <c r="C1025" s="15" t="s">
        <v>29</v>
      </c>
      <c r="D1025" s="15">
        <v>3</v>
      </c>
      <c r="E1025" s="15">
        <v>5808</v>
      </c>
    </row>
    <row r="1026" spans="1:5" ht="15.75" customHeight="1">
      <c r="A1026" s="15" t="str">
        <f t="shared" si="0"/>
        <v>PBBA</v>
      </c>
      <c r="B1026" s="15" t="s">
        <v>1055</v>
      </c>
      <c r="C1026" s="15" t="s">
        <v>34</v>
      </c>
      <c r="D1026" s="15">
        <v>5</v>
      </c>
      <c r="E1026" s="15">
        <v>949</v>
      </c>
    </row>
    <row r="1027" spans="1:5" ht="15.75" customHeight="1">
      <c r="A1027" s="15" t="str">
        <f t="shared" si="0"/>
        <v>PBCE</v>
      </c>
      <c r="B1027" s="15" t="s">
        <v>1055</v>
      </c>
      <c r="C1027" s="15" t="s">
        <v>41</v>
      </c>
      <c r="D1027" s="15">
        <v>6</v>
      </c>
      <c r="E1027" s="15">
        <v>688</v>
      </c>
    </row>
    <row r="1028" spans="1:5" ht="15.75" customHeight="1">
      <c r="A1028" s="15" t="str">
        <f t="shared" si="0"/>
        <v>PBDF</v>
      </c>
      <c r="B1028" s="15" t="s">
        <v>1055</v>
      </c>
      <c r="C1028" s="15" t="s">
        <v>1059</v>
      </c>
      <c r="D1028" s="15">
        <v>7</v>
      </c>
      <c r="E1028" s="15">
        <v>2245</v>
      </c>
    </row>
    <row r="1029" spans="1:5" ht="15.75" customHeight="1">
      <c r="A1029" s="15" t="str">
        <f t="shared" si="0"/>
        <v>PBES</v>
      </c>
      <c r="B1029" s="15" t="s">
        <v>1055</v>
      </c>
      <c r="C1029" s="15" t="s">
        <v>25</v>
      </c>
      <c r="D1029" s="15">
        <v>8</v>
      </c>
      <c r="E1029" s="15">
        <v>2001</v>
      </c>
    </row>
    <row r="1030" spans="1:5" ht="15.75" customHeight="1">
      <c r="A1030" s="15" t="str">
        <f t="shared" si="0"/>
        <v>PBGO</v>
      </c>
      <c r="B1030" s="15" t="s">
        <v>1055</v>
      </c>
      <c r="C1030" s="15" t="s">
        <v>51</v>
      </c>
      <c r="D1030" s="15">
        <v>9</v>
      </c>
      <c r="E1030" s="15">
        <v>2442</v>
      </c>
    </row>
    <row r="1031" spans="1:5" ht="15.75" customHeight="1">
      <c r="A1031" s="15" t="str">
        <f t="shared" si="0"/>
        <v>PBMA</v>
      </c>
      <c r="B1031" s="15" t="s">
        <v>1055</v>
      </c>
      <c r="C1031" s="15" t="s">
        <v>1057</v>
      </c>
      <c r="D1031" s="15">
        <v>10</v>
      </c>
      <c r="E1031" s="15">
        <v>1660</v>
      </c>
    </row>
    <row r="1032" spans="1:5" ht="15.75" customHeight="1">
      <c r="A1032" s="15" t="str">
        <f t="shared" si="0"/>
        <v>PBMT</v>
      </c>
      <c r="B1032" s="15" t="s">
        <v>1055</v>
      </c>
      <c r="C1032" s="15" t="s">
        <v>1052</v>
      </c>
      <c r="D1032" s="15">
        <v>13</v>
      </c>
      <c r="E1032" s="15">
        <v>3366</v>
      </c>
    </row>
    <row r="1033" spans="1:5" ht="15.75" customHeight="1">
      <c r="A1033" s="15" t="str">
        <f t="shared" si="0"/>
        <v>PBMS</v>
      </c>
      <c r="B1033" s="15" t="s">
        <v>1055</v>
      </c>
      <c r="C1033" s="15" t="s">
        <v>1053</v>
      </c>
      <c r="D1033" s="15">
        <v>12</v>
      </c>
      <c r="E1033" s="15">
        <v>3357</v>
      </c>
    </row>
    <row r="1034" spans="1:5" ht="15.75" customHeight="1">
      <c r="A1034" s="15" t="str">
        <f t="shared" si="0"/>
        <v>PBMG</v>
      </c>
      <c r="B1034" s="15" t="s">
        <v>1055</v>
      </c>
      <c r="C1034" s="15" t="s">
        <v>24</v>
      </c>
      <c r="D1034" s="15">
        <v>11</v>
      </c>
      <c r="E1034" s="15">
        <v>2171</v>
      </c>
    </row>
    <row r="1035" spans="1:5" ht="15.75" customHeight="1">
      <c r="A1035" s="15" t="str">
        <f t="shared" si="0"/>
        <v>PBPA</v>
      </c>
      <c r="B1035" s="15" t="s">
        <v>1055</v>
      </c>
      <c r="C1035" s="15" t="s">
        <v>1054</v>
      </c>
      <c r="D1035" s="15">
        <v>14</v>
      </c>
      <c r="E1035" s="15">
        <v>2161</v>
      </c>
    </row>
    <row r="1036" spans="1:5" ht="15.75" customHeight="1">
      <c r="A1036" s="15" t="str">
        <f t="shared" si="0"/>
        <v>PBPB</v>
      </c>
      <c r="B1036" s="15" t="s">
        <v>1055</v>
      </c>
      <c r="C1036" s="15" t="s">
        <v>1055</v>
      </c>
      <c r="D1036" s="15">
        <v>15</v>
      </c>
      <c r="E1036" s="15">
        <v>0</v>
      </c>
    </row>
    <row r="1037" spans="1:5" ht="15.75" customHeight="1">
      <c r="A1037" s="15" t="str">
        <f t="shared" si="0"/>
        <v>PBPR</v>
      </c>
      <c r="B1037" s="15" t="s">
        <v>1055</v>
      </c>
      <c r="C1037" s="15" t="s">
        <v>28</v>
      </c>
      <c r="D1037" s="15">
        <v>18</v>
      </c>
      <c r="E1037" s="15">
        <v>3188</v>
      </c>
    </row>
    <row r="1038" spans="1:5" ht="15.75" customHeight="1">
      <c r="A1038" s="15" t="str">
        <f t="shared" si="0"/>
        <v>PBPE</v>
      </c>
      <c r="B1038" s="15" t="s">
        <v>1055</v>
      </c>
      <c r="C1038" s="15" t="s">
        <v>1061</v>
      </c>
      <c r="D1038" s="15">
        <v>16</v>
      </c>
      <c r="E1038" s="15">
        <v>120</v>
      </c>
    </row>
    <row r="1039" spans="1:5" ht="15.75" customHeight="1">
      <c r="A1039" s="15" t="str">
        <f t="shared" si="0"/>
        <v>PBPI</v>
      </c>
      <c r="B1039" s="15" t="s">
        <v>1055</v>
      </c>
      <c r="C1039" s="15" t="s">
        <v>1062</v>
      </c>
      <c r="D1039" s="15">
        <v>17</v>
      </c>
      <c r="E1039" s="15">
        <v>1224</v>
      </c>
    </row>
    <row r="1040" spans="1:5" ht="15.75" customHeight="1">
      <c r="A1040" s="15" t="str">
        <f t="shared" si="0"/>
        <v>PBRJ</v>
      </c>
      <c r="B1040" s="15" t="s">
        <v>1055</v>
      </c>
      <c r="C1040" s="15" t="s">
        <v>27</v>
      </c>
      <c r="D1040" s="15">
        <v>19</v>
      </c>
      <c r="E1040" s="15">
        <v>2448</v>
      </c>
    </row>
    <row r="1041" spans="1:5" ht="15.75" customHeight="1">
      <c r="A1041" s="15" t="str">
        <f t="shared" si="0"/>
        <v>PBRN</v>
      </c>
      <c r="B1041" s="15" t="s">
        <v>1055</v>
      </c>
      <c r="C1041" s="15" t="s">
        <v>732</v>
      </c>
      <c r="D1041" s="15">
        <v>20</v>
      </c>
      <c r="E1041" s="15">
        <v>185</v>
      </c>
    </row>
    <row r="1042" spans="1:5" ht="15.75" customHeight="1">
      <c r="A1042" s="15" t="str">
        <f t="shared" si="0"/>
        <v>PBRS</v>
      </c>
      <c r="B1042" s="15" t="s">
        <v>1055</v>
      </c>
      <c r="C1042" s="15" t="s">
        <v>736</v>
      </c>
      <c r="D1042" s="15">
        <v>23</v>
      </c>
      <c r="E1042" s="15">
        <v>3889</v>
      </c>
    </row>
    <row r="1043" spans="1:5" ht="15.75" customHeight="1">
      <c r="A1043" s="15" t="str">
        <f t="shared" si="0"/>
        <v>PBRO</v>
      </c>
      <c r="B1043" s="15" t="s">
        <v>1055</v>
      </c>
      <c r="C1043" s="15" t="s">
        <v>733</v>
      </c>
      <c r="D1043" s="15">
        <v>21</v>
      </c>
      <c r="E1043" s="15">
        <v>4822</v>
      </c>
    </row>
    <row r="1044" spans="1:5" ht="15.75" customHeight="1">
      <c r="A1044" s="15" t="str">
        <f t="shared" si="0"/>
        <v>PBRR</v>
      </c>
      <c r="B1044" s="15" t="s">
        <v>1055</v>
      </c>
      <c r="C1044" s="15" t="s">
        <v>1063</v>
      </c>
      <c r="D1044" s="15">
        <v>22</v>
      </c>
      <c r="E1044" s="15">
        <v>6593</v>
      </c>
    </row>
    <row r="1045" spans="1:5" ht="15.75" customHeight="1">
      <c r="A1045" s="15" t="str">
        <f t="shared" si="0"/>
        <v>PBSC</v>
      </c>
      <c r="B1045" s="15" t="s">
        <v>1055</v>
      </c>
      <c r="C1045" s="15" t="s">
        <v>26</v>
      </c>
      <c r="D1045" s="15">
        <v>24</v>
      </c>
      <c r="E1045" s="15">
        <v>3485</v>
      </c>
    </row>
    <row r="1046" spans="1:5" ht="15.75" customHeight="1">
      <c r="A1046" s="15" t="str">
        <f t="shared" si="0"/>
        <v>PBSP</v>
      </c>
      <c r="B1046" s="15" t="s">
        <v>1055</v>
      </c>
      <c r="C1046" s="15" t="s">
        <v>23</v>
      </c>
      <c r="D1046" s="15">
        <v>26</v>
      </c>
      <c r="E1046" s="15">
        <v>2770</v>
      </c>
    </row>
    <row r="1047" spans="1:5" ht="15.75" customHeight="1">
      <c r="A1047" s="15" t="str">
        <f t="shared" si="0"/>
        <v>PBSE</v>
      </c>
      <c r="B1047" s="15" t="s">
        <v>1055</v>
      </c>
      <c r="C1047" s="15" t="s">
        <v>1060</v>
      </c>
      <c r="D1047" s="15">
        <v>25</v>
      </c>
      <c r="E1047" s="15">
        <v>2892</v>
      </c>
    </row>
    <row r="1048" spans="1:5" ht="15.75" customHeight="1">
      <c r="A1048" s="15" t="str">
        <f t="shared" si="0"/>
        <v>PBTO</v>
      </c>
      <c r="B1048" s="15" t="s">
        <v>1055</v>
      </c>
      <c r="C1048" s="15" t="s">
        <v>1064</v>
      </c>
      <c r="D1048" s="15">
        <v>27</v>
      </c>
      <c r="E1048" s="15">
        <v>2253</v>
      </c>
    </row>
    <row r="1049" spans="1:5" ht="15.75" customHeight="1">
      <c r="A1049" s="15" t="str">
        <f t="shared" si="0"/>
        <v>PRAC</v>
      </c>
      <c r="B1049" s="15" t="s">
        <v>28</v>
      </c>
      <c r="C1049" s="15" t="s">
        <v>1051</v>
      </c>
      <c r="D1049" s="15">
        <v>1</v>
      </c>
      <c r="E1049" s="15">
        <v>3669</v>
      </c>
    </row>
    <row r="1050" spans="1:5" ht="15.75" customHeight="1">
      <c r="A1050" s="15" t="str">
        <f t="shared" si="0"/>
        <v>PRAL</v>
      </c>
      <c r="B1050" s="15" t="s">
        <v>28</v>
      </c>
      <c r="C1050" s="15" t="s">
        <v>1056</v>
      </c>
      <c r="D1050" s="15">
        <v>2</v>
      </c>
      <c r="E1050" s="15">
        <v>2871</v>
      </c>
    </row>
    <row r="1051" spans="1:5" ht="15.75" customHeight="1">
      <c r="A1051" s="15" t="str">
        <f t="shared" si="0"/>
        <v>PRAP</v>
      </c>
      <c r="B1051" s="15" t="s">
        <v>28</v>
      </c>
      <c r="C1051" s="15" t="s">
        <v>1058</v>
      </c>
      <c r="D1051" s="15">
        <v>4</v>
      </c>
      <c r="E1051" s="15">
        <v>3669</v>
      </c>
    </row>
    <row r="1052" spans="1:5" ht="15.75" customHeight="1">
      <c r="A1052" s="15" t="str">
        <f t="shared" si="0"/>
        <v>PRAM</v>
      </c>
      <c r="B1052" s="15" t="s">
        <v>28</v>
      </c>
      <c r="C1052" s="15" t="s">
        <v>29</v>
      </c>
      <c r="D1052" s="15">
        <v>3</v>
      </c>
      <c r="E1052" s="15">
        <v>4036</v>
      </c>
    </row>
    <row r="1053" spans="1:5" ht="15.75" customHeight="1">
      <c r="A1053" s="15" t="str">
        <f t="shared" si="0"/>
        <v>PRBA</v>
      </c>
      <c r="B1053" s="15" t="s">
        <v>28</v>
      </c>
      <c r="C1053" s="15" t="s">
        <v>34</v>
      </c>
      <c r="D1053" s="15">
        <v>5</v>
      </c>
      <c r="E1053" s="15">
        <v>2385</v>
      </c>
    </row>
    <row r="1054" spans="1:5" ht="15.75" customHeight="1">
      <c r="A1054" s="15" t="str">
        <f t="shared" si="0"/>
        <v>PRCE</v>
      </c>
      <c r="B1054" s="15" t="s">
        <v>28</v>
      </c>
      <c r="C1054" s="15" t="s">
        <v>41</v>
      </c>
      <c r="D1054" s="15">
        <v>6</v>
      </c>
      <c r="E1054" s="15">
        <v>3541</v>
      </c>
    </row>
    <row r="1055" spans="1:5" ht="15.75" customHeight="1">
      <c r="A1055" s="15" t="str">
        <f t="shared" si="0"/>
        <v>PRDF</v>
      </c>
      <c r="B1055" s="15" t="s">
        <v>28</v>
      </c>
      <c r="C1055" s="15" t="s">
        <v>1059</v>
      </c>
      <c r="D1055" s="15">
        <v>7</v>
      </c>
      <c r="E1055" s="15">
        <v>1366</v>
      </c>
    </row>
    <row r="1056" spans="1:5" ht="15.75" customHeight="1">
      <c r="A1056" s="15" t="str">
        <f t="shared" si="0"/>
        <v>PRES</v>
      </c>
      <c r="B1056" s="15" t="s">
        <v>28</v>
      </c>
      <c r="C1056" s="15" t="s">
        <v>25</v>
      </c>
      <c r="D1056" s="15">
        <v>8</v>
      </c>
      <c r="E1056" s="15">
        <v>1300</v>
      </c>
    </row>
    <row r="1057" spans="1:5" ht="15.75" customHeight="1">
      <c r="A1057" s="15" t="str">
        <f t="shared" si="0"/>
        <v>PRGO</v>
      </c>
      <c r="B1057" s="15" t="s">
        <v>28</v>
      </c>
      <c r="C1057" s="15" t="s">
        <v>51</v>
      </c>
      <c r="D1057" s="15">
        <v>9</v>
      </c>
      <c r="E1057" s="15">
        <v>1186</v>
      </c>
    </row>
    <row r="1058" spans="1:5" ht="15.75" customHeight="1">
      <c r="A1058" s="15" t="str">
        <f t="shared" si="0"/>
        <v>PRMA</v>
      </c>
      <c r="B1058" s="15" t="s">
        <v>28</v>
      </c>
      <c r="C1058" s="15" t="s">
        <v>1057</v>
      </c>
      <c r="D1058" s="15">
        <v>10</v>
      </c>
      <c r="E1058" s="15">
        <v>3230</v>
      </c>
    </row>
    <row r="1059" spans="1:5" ht="15.75" customHeight="1">
      <c r="A1059" s="15" t="str">
        <f t="shared" si="0"/>
        <v>PRMT</v>
      </c>
      <c r="B1059" s="15" t="s">
        <v>28</v>
      </c>
      <c r="C1059" s="15" t="s">
        <v>1052</v>
      </c>
      <c r="D1059" s="15">
        <v>13</v>
      </c>
      <c r="E1059" s="15">
        <v>1679</v>
      </c>
    </row>
    <row r="1060" spans="1:5" ht="15.75" customHeight="1">
      <c r="A1060" s="15" t="str">
        <f t="shared" si="0"/>
        <v>PRMS</v>
      </c>
      <c r="B1060" s="15" t="s">
        <v>28</v>
      </c>
      <c r="C1060" s="15" t="s">
        <v>1053</v>
      </c>
      <c r="D1060" s="15">
        <v>12</v>
      </c>
      <c r="E1060" s="15">
        <v>991</v>
      </c>
    </row>
    <row r="1061" spans="1:5" ht="15.75" customHeight="1">
      <c r="A1061" s="15" t="str">
        <f t="shared" si="0"/>
        <v>PRMG</v>
      </c>
      <c r="B1061" s="15" t="s">
        <v>28</v>
      </c>
      <c r="C1061" s="15" t="s">
        <v>24</v>
      </c>
      <c r="D1061" s="15">
        <v>11</v>
      </c>
      <c r="E1061" s="15">
        <v>1004</v>
      </c>
    </row>
    <row r="1062" spans="1:5" ht="15.75" customHeight="1">
      <c r="A1062" s="15" t="str">
        <f t="shared" si="0"/>
        <v>PRPA</v>
      </c>
      <c r="B1062" s="15" t="s">
        <v>28</v>
      </c>
      <c r="C1062" s="15" t="s">
        <v>1054</v>
      </c>
      <c r="D1062" s="15">
        <v>14</v>
      </c>
      <c r="E1062" s="15">
        <v>3193</v>
      </c>
    </row>
    <row r="1063" spans="1:5" ht="15.75" customHeight="1">
      <c r="A1063" s="15" t="str">
        <f t="shared" si="0"/>
        <v>PRPB</v>
      </c>
      <c r="B1063" s="15" t="s">
        <v>28</v>
      </c>
      <c r="C1063" s="15" t="s">
        <v>1055</v>
      </c>
      <c r="D1063" s="15">
        <v>15</v>
      </c>
      <c r="E1063" s="15">
        <v>3188</v>
      </c>
    </row>
    <row r="1064" spans="1:5" ht="15.75" customHeight="1">
      <c r="A1064" s="15" t="str">
        <f t="shared" si="0"/>
        <v>PRPR</v>
      </c>
      <c r="B1064" s="15" t="s">
        <v>28</v>
      </c>
      <c r="C1064" s="15" t="s">
        <v>28</v>
      </c>
      <c r="D1064" s="15">
        <v>18</v>
      </c>
      <c r="E1064" s="15">
        <v>0</v>
      </c>
    </row>
    <row r="1065" spans="1:5" ht="15.75" customHeight="1">
      <c r="A1065" s="15" t="str">
        <f t="shared" si="0"/>
        <v>PRPE</v>
      </c>
      <c r="B1065" s="15" t="s">
        <v>28</v>
      </c>
      <c r="C1065" s="15" t="s">
        <v>1061</v>
      </c>
      <c r="D1065" s="15">
        <v>16</v>
      </c>
      <c r="E1065" s="15">
        <v>3078</v>
      </c>
    </row>
    <row r="1066" spans="1:5" ht="15.75" customHeight="1">
      <c r="A1066" s="15" t="str">
        <f t="shared" si="0"/>
        <v>PRPI</v>
      </c>
      <c r="B1066" s="15" t="s">
        <v>28</v>
      </c>
      <c r="C1066" s="15" t="s">
        <v>1062</v>
      </c>
      <c r="D1066" s="15">
        <v>17</v>
      </c>
      <c r="E1066" s="15">
        <v>3143</v>
      </c>
    </row>
    <row r="1067" spans="1:5" ht="15.75" customHeight="1">
      <c r="A1067" s="15" t="str">
        <f t="shared" si="0"/>
        <v>PRRJ</v>
      </c>
      <c r="B1067" s="15" t="s">
        <v>28</v>
      </c>
      <c r="C1067" s="15" t="s">
        <v>27</v>
      </c>
      <c r="D1067" s="15">
        <v>19</v>
      </c>
      <c r="E1067" s="15">
        <v>852</v>
      </c>
    </row>
    <row r="1068" spans="1:5" ht="15.75" customHeight="1">
      <c r="A1068" s="15" t="str">
        <f t="shared" si="0"/>
        <v>PRRN</v>
      </c>
      <c r="B1068" s="15" t="s">
        <v>28</v>
      </c>
      <c r="C1068" s="15" t="s">
        <v>732</v>
      </c>
      <c r="D1068" s="15">
        <v>20</v>
      </c>
      <c r="E1068" s="15">
        <v>3365</v>
      </c>
    </row>
    <row r="1069" spans="1:5" ht="15.75" customHeight="1">
      <c r="A1069" s="15" t="str">
        <f t="shared" si="0"/>
        <v>PRRS</v>
      </c>
      <c r="B1069" s="15" t="s">
        <v>28</v>
      </c>
      <c r="C1069" s="15" t="s">
        <v>736</v>
      </c>
      <c r="D1069" s="15">
        <v>23</v>
      </c>
      <c r="E1069" s="15">
        <v>711</v>
      </c>
    </row>
    <row r="1070" spans="1:5" ht="15.75" customHeight="1">
      <c r="A1070" s="15" t="str">
        <f t="shared" si="0"/>
        <v>PRRO</v>
      </c>
      <c r="B1070" s="15" t="s">
        <v>28</v>
      </c>
      <c r="C1070" s="15" t="s">
        <v>733</v>
      </c>
      <c r="D1070" s="15">
        <v>21</v>
      </c>
      <c r="E1070" s="15">
        <v>3135</v>
      </c>
    </row>
    <row r="1071" spans="1:5" ht="15.75" customHeight="1">
      <c r="A1071" s="15" t="str">
        <f t="shared" si="0"/>
        <v>PRRR</v>
      </c>
      <c r="B1071" s="15" t="s">
        <v>28</v>
      </c>
      <c r="C1071" s="15" t="s">
        <v>1063</v>
      </c>
      <c r="D1071" s="15">
        <v>22</v>
      </c>
      <c r="E1071" s="15">
        <v>4821</v>
      </c>
    </row>
    <row r="1072" spans="1:5" ht="15.75" customHeight="1">
      <c r="A1072" s="15" t="str">
        <f t="shared" si="0"/>
        <v>PRSC</v>
      </c>
      <c r="B1072" s="15" t="s">
        <v>28</v>
      </c>
      <c r="C1072" s="15" t="s">
        <v>26</v>
      </c>
      <c r="D1072" s="15">
        <v>24</v>
      </c>
      <c r="E1072" s="15">
        <v>300</v>
      </c>
    </row>
    <row r="1073" spans="1:5" ht="15.75" customHeight="1">
      <c r="A1073" s="15" t="str">
        <f t="shared" si="0"/>
        <v>PRSP</v>
      </c>
      <c r="B1073" s="15" t="s">
        <v>28</v>
      </c>
      <c r="C1073" s="15" t="s">
        <v>23</v>
      </c>
      <c r="D1073" s="15">
        <v>26</v>
      </c>
      <c r="E1073" s="15">
        <v>408</v>
      </c>
    </row>
    <row r="1074" spans="1:5" ht="15.75" customHeight="1">
      <c r="A1074" s="15" t="str">
        <f t="shared" si="0"/>
        <v>PRSE</v>
      </c>
      <c r="B1074" s="15" t="s">
        <v>28</v>
      </c>
      <c r="C1074" s="15" t="s">
        <v>1060</v>
      </c>
      <c r="D1074" s="15">
        <v>25</v>
      </c>
      <c r="E1074" s="15">
        <v>3169</v>
      </c>
    </row>
    <row r="1075" spans="1:5" ht="15.75" customHeight="1">
      <c r="A1075" s="15" t="str">
        <f t="shared" si="0"/>
        <v>PRTO</v>
      </c>
      <c r="B1075" s="15" t="s">
        <v>28</v>
      </c>
      <c r="C1075" s="15" t="s">
        <v>1064</v>
      </c>
      <c r="D1075" s="15">
        <v>27</v>
      </c>
      <c r="E1075" s="15">
        <v>2036</v>
      </c>
    </row>
    <row r="1076" spans="1:5" ht="15.75" customHeight="1">
      <c r="A1076" s="15" t="str">
        <f t="shared" si="0"/>
        <v>PEAC</v>
      </c>
      <c r="B1076" s="15" t="s">
        <v>1061</v>
      </c>
      <c r="C1076" s="15" t="s">
        <v>1051</v>
      </c>
      <c r="D1076" s="15">
        <v>1</v>
      </c>
      <c r="E1076" s="15">
        <v>5243</v>
      </c>
    </row>
    <row r="1077" spans="1:5" ht="15.75" customHeight="1">
      <c r="A1077" s="15" t="str">
        <f t="shared" si="0"/>
        <v>PEAL</v>
      </c>
      <c r="B1077" s="15" t="s">
        <v>1061</v>
      </c>
      <c r="C1077" s="15" t="s">
        <v>1056</v>
      </c>
      <c r="D1077" s="15">
        <v>2</v>
      </c>
      <c r="E1077" s="15">
        <v>285</v>
      </c>
    </row>
    <row r="1078" spans="1:5" ht="15.75" customHeight="1">
      <c r="A1078" s="15" t="str">
        <f t="shared" si="0"/>
        <v>PEAP</v>
      </c>
      <c r="B1078" s="15" t="s">
        <v>1061</v>
      </c>
      <c r="C1078" s="15" t="s">
        <v>1058</v>
      </c>
      <c r="D1078" s="15">
        <v>4</v>
      </c>
      <c r="E1078" s="15">
        <v>5243</v>
      </c>
    </row>
    <row r="1079" spans="1:5" ht="15.75" customHeight="1">
      <c r="A1079" s="15" t="str">
        <f t="shared" si="0"/>
        <v>PEAM</v>
      </c>
      <c r="B1079" s="15" t="s">
        <v>1061</v>
      </c>
      <c r="C1079" s="15" t="s">
        <v>29</v>
      </c>
      <c r="D1079" s="15">
        <v>3</v>
      </c>
      <c r="E1079" s="15">
        <v>5698</v>
      </c>
    </row>
    <row r="1080" spans="1:5" ht="15.75" customHeight="1">
      <c r="A1080" s="15" t="str">
        <f t="shared" si="0"/>
        <v>PEBA</v>
      </c>
      <c r="B1080" s="15" t="s">
        <v>1061</v>
      </c>
      <c r="C1080" s="15" t="s">
        <v>34</v>
      </c>
      <c r="D1080" s="15">
        <v>5</v>
      </c>
      <c r="E1080" s="15">
        <v>839</v>
      </c>
    </row>
    <row r="1081" spans="1:5" ht="15.75" customHeight="1">
      <c r="A1081" s="15" t="str">
        <f t="shared" si="0"/>
        <v>PECE</v>
      </c>
      <c r="B1081" s="15" t="s">
        <v>1061</v>
      </c>
      <c r="C1081" s="15" t="s">
        <v>41</v>
      </c>
      <c r="D1081" s="15">
        <v>6</v>
      </c>
      <c r="E1081" s="15">
        <v>800</v>
      </c>
    </row>
    <row r="1082" spans="1:5" ht="15.75" customHeight="1">
      <c r="A1082" s="15" t="str">
        <f t="shared" si="0"/>
        <v>PEDF</v>
      </c>
      <c r="B1082" s="15" t="s">
        <v>1061</v>
      </c>
      <c r="C1082" s="15" t="s">
        <v>1059</v>
      </c>
      <c r="D1082" s="15">
        <v>7</v>
      </c>
      <c r="E1082" s="15">
        <v>2135</v>
      </c>
    </row>
    <row r="1083" spans="1:5" ht="15.75" customHeight="1">
      <c r="A1083" s="15" t="str">
        <f t="shared" si="0"/>
        <v>PEES</v>
      </c>
      <c r="B1083" s="15" t="s">
        <v>1061</v>
      </c>
      <c r="C1083" s="15" t="s">
        <v>25</v>
      </c>
      <c r="D1083" s="15">
        <v>8</v>
      </c>
      <c r="E1083" s="15">
        <v>1891</v>
      </c>
    </row>
    <row r="1084" spans="1:5" ht="15.75" customHeight="1">
      <c r="A1084" s="15" t="str">
        <f t="shared" si="0"/>
        <v>PEGO</v>
      </c>
      <c r="B1084" s="15" t="s">
        <v>1061</v>
      </c>
      <c r="C1084" s="15" t="s">
        <v>51</v>
      </c>
      <c r="D1084" s="15">
        <v>9</v>
      </c>
      <c r="E1084" s="15">
        <v>2332</v>
      </c>
    </row>
    <row r="1085" spans="1:5" ht="15.75" customHeight="1">
      <c r="A1085" s="15" t="str">
        <f t="shared" si="0"/>
        <v>PEMA</v>
      </c>
      <c r="B1085" s="15" t="s">
        <v>1061</v>
      </c>
      <c r="C1085" s="15" t="s">
        <v>1057</v>
      </c>
      <c r="D1085" s="15">
        <v>10</v>
      </c>
      <c r="E1085" s="15">
        <v>1573</v>
      </c>
    </row>
    <row r="1086" spans="1:5" ht="15.75" customHeight="1">
      <c r="A1086" s="15" t="str">
        <f t="shared" si="0"/>
        <v>PEMT</v>
      </c>
      <c r="B1086" s="15" t="s">
        <v>1061</v>
      </c>
      <c r="C1086" s="15" t="s">
        <v>1052</v>
      </c>
      <c r="D1086" s="15">
        <v>13</v>
      </c>
      <c r="E1086" s="15">
        <v>3255</v>
      </c>
    </row>
    <row r="1087" spans="1:5" ht="15.75" customHeight="1">
      <c r="A1087" s="15" t="str">
        <f t="shared" si="0"/>
        <v>PEMS</v>
      </c>
      <c r="B1087" s="15" t="s">
        <v>1061</v>
      </c>
      <c r="C1087" s="15" t="s">
        <v>1053</v>
      </c>
      <c r="D1087" s="15">
        <v>12</v>
      </c>
      <c r="E1087" s="15">
        <v>3247</v>
      </c>
    </row>
    <row r="1088" spans="1:5" ht="15.75" customHeight="1">
      <c r="A1088" s="15" t="str">
        <f t="shared" si="0"/>
        <v>PEMG</v>
      </c>
      <c r="B1088" s="15" t="s">
        <v>1061</v>
      </c>
      <c r="C1088" s="15" t="s">
        <v>24</v>
      </c>
      <c r="D1088" s="15">
        <v>11</v>
      </c>
      <c r="E1088" s="15">
        <v>2061</v>
      </c>
    </row>
    <row r="1089" spans="1:5" ht="15.75" customHeight="1">
      <c r="A1089" s="15" t="str">
        <f t="shared" si="0"/>
        <v>PEPA</v>
      </c>
      <c r="B1089" s="15" t="s">
        <v>1061</v>
      </c>
      <c r="C1089" s="15" t="s">
        <v>1054</v>
      </c>
      <c r="D1089" s="15">
        <v>14</v>
      </c>
      <c r="E1089" s="15">
        <v>2074</v>
      </c>
    </row>
    <row r="1090" spans="1:5" ht="15.75" customHeight="1">
      <c r="A1090" s="15" t="str">
        <f t="shared" si="0"/>
        <v>PEPB</v>
      </c>
      <c r="B1090" s="15" t="s">
        <v>1061</v>
      </c>
      <c r="C1090" s="15" t="s">
        <v>1055</v>
      </c>
      <c r="D1090" s="15">
        <v>15</v>
      </c>
      <c r="E1090" s="15">
        <v>120</v>
      </c>
    </row>
    <row r="1091" spans="1:5" ht="15.75" customHeight="1">
      <c r="A1091" s="15" t="str">
        <f t="shared" si="0"/>
        <v>PEPR</v>
      </c>
      <c r="B1091" s="15" t="s">
        <v>1061</v>
      </c>
      <c r="C1091" s="15" t="s">
        <v>28</v>
      </c>
      <c r="D1091" s="15">
        <v>18</v>
      </c>
      <c r="E1091" s="15">
        <v>3078</v>
      </c>
    </row>
    <row r="1092" spans="1:5" ht="15.75" customHeight="1">
      <c r="A1092" s="15" t="str">
        <f t="shared" si="0"/>
        <v>PEPE</v>
      </c>
      <c r="B1092" s="15" t="s">
        <v>1061</v>
      </c>
      <c r="C1092" s="15" t="s">
        <v>1061</v>
      </c>
      <c r="D1092" s="15">
        <v>16</v>
      </c>
      <c r="E1092" s="15">
        <v>0</v>
      </c>
    </row>
    <row r="1093" spans="1:5" ht="15.75" customHeight="1">
      <c r="A1093" s="15" t="str">
        <f t="shared" si="0"/>
        <v>PEPI</v>
      </c>
      <c r="B1093" s="15" t="s">
        <v>1061</v>
      </c>
      <c r="C1093" s="15" t="s">
        <v>1062</v>
      </c>
      <c r="D1093" s="15">
        <v>17</v>
      </c>
      <c r="E1093" s="15">
        <v>1137</v>
      </c>
    </row>
    <row r="1094" spans="1:5" ht="15.75" customHeight="1">
      <c r="A1094" s="15" t="str">
        <f t="shared" si="0"/>
        <v>PERJ</v>
      </c>
      <c r="B1094" s="15" t="s">
        <v>1061</v>
      </c>
      <c r="C1094" s="15" t="s">
        <v>27</v>
      </c>
      <c r="D1094" s="15">
        <v>19</v>
      </c>
      <c r="E1094" s="15">
        <v>2338</v>
      </c>
    </row>
    <row r="1095" spans="1:5" ht="15.75" customHeight="1">
      <c r="A1095" s="15" t="str">
        <f t="shared" si="0"/>
        <v>PERN</v>
      </c>
      <c r="B1095" s="15" t="s">
        <v>1061</v>
      </c>
      <c r="C1095" s="15" t="s">
        <v>732</v>
      </c>
      <c r="D1095" s="15">
        <v>20</v>
      </c>
      <c r="E1095" s="15">
        <v>297</v>
      </c>
    </row>
    <row r="1096" spans="1:5" ht="15.75" customHeight="1">
      <c r="A1096" s="15" t="str">
        <f t="shared" si="0"/>
        <v>PERS</v>
      </c>
      <c r="B1096" s="15" t="s">
        <v>1061</v>
      </c>
      <c r="C1096" s="15" t="s">
        <v>736</v>
      </c>
      <c r="D1096" s="15">
        <v>23</v>
      </c>
      <c r="E1096" s="15">
        <v>3779</v>
      </c>
    </row>
    <row r="1097" spans="1:5" ht="15.75" customHeight="1">
      <c r="A1097" s="15" t="str">
        <f t="shared" si="0"/>
        <v>PERO</v>
      </c>
      <c r="B1097" s="15" t="s">
        <v>1061</v>
      </c>
      <c r="C1097" s="15" t="s">
        <v>733</v>
      </c>
      <c r="D1097" s="15">
        <v>21</v>
      </c>
      <c r="E1097" s="15">
        <v>4712</v>
      </c>
    </row>
    <row r="1098" spans="1:5" ht="15.75" customHeight="1">
      <c r="A1098" s="15" t="str">
        <f t="shared" si="0"/>
        <v>PERR</v>
      </c>
      <c r="B1098" s="15" t="s">
        <v>1061</v>
      </c>
      <c r="C1098" s="15" t="s">
        <v>1063</v>
      </c>
      <c r="D1098" s="15">
        <v>22</v>
      </c>
      <c r="E1098" s="15">
        <v>6483</v>
      </c>
    </row>
    <row r="1099" spans="1:5" ht="15.75" customHeight="1">
      <c r="A1099" s="15" t="str">
        <f t="shared" si="0"/>
        <v>PESC</v>
      </c>
      <c r="B1099" s="15" t="s">
        <v>1061</v>
      </c>
      <c r="C1099" s="15" t="s">
        <v>26</v>
      </c>
      <c r="D1099" s="15">
        <v>24</v>
      </c>
      <c r="E1099" s="15">
        <v>3375</v>
      </c>
    </row>
    <row r="1100" spans="1:5" ht="15.75" customHeight="1">
      <c r="A1100" s="15" t="str">
        <f t="shared" si="0"/>
        <v>PESP</v>
      </c>
      <c r="B1100" s="15" t="s">
        <v>1061</v>
      </c>
      <c r="C1100" s="15" t="s">
        <v>23</v>
      </c>
      <c r="D1100" s="15">
        <v>26</v>
      </c>
      <c r="E1100" s="15">
        <v>2660</v>
      </c>
    </row>
    <row r="1101" spans="1:5" ht="15.75" customHeight="1">
      <c r="A1101" s="15" t="str">
        <f t="shared" si="0"/>
        <v>PESE</v>
      </c>
      <c r="B1101" s="15" t="s">
        <v>1061</v>
      </c>
      <c r="C1101" s="15" t="s">
        <v>1060</v>
      </c>
      <c r="D1101" s="15">
        <v>25</v>
      </c>
      <c r="E1101" s="15">
        <v>294</v>
      </c>
    </row>
    <row r="1102" spans="1:5" ht="15.75" customHeight="1">
      <c r="A1102" s="15" t="str">
        <f t="shared" si="0"/>
        <v>PETO</v>
      </c>
      <c r="B1102" s="15" t="s">
        <v>1061</v>
      </c>
      <c r="C1102" s="15" t="s">
        <v>1064</v>
      </c>
      <c r="D1102" s="15">
        <v>27</v>
      </c>
      <c r="E1102" s="15">
        <v>2058</v>
      </c>
    </row>
    <row r="1103" spans="1:5" ht="15.75" customHeight="1">
      <c r="A1103" s="15" t="str">
        <f t="shared" si="0"/>
        <v>PIAC</v>
      </c>
      <c r="B1103" s="15" t="s">
        <v>1062</v>
      </c>
      <c r="C1103" s="15" t="s">
        <v>1051</v>
      </c>
      <c r="D1103" s="15">
        <v>1</v>
      </c>
      <c r="E1103" s="15">
        <v>4900</v>
      </c>
    </row>
    <row r="1104" spans="1:5" ht="15.75" customHeight="1">
      <c r="A1104" s="15" t="str">
        <f t="shared" si="0"/>
        <v>PIAL</v>
      </c>
      <c r="B1104" s="15" t="s">
        <v>1062</v>
      </c>
      <c r="C1104" s="15" t="s">
        <v>1056</v>
      </c>
      <c r="D1104" s="15">
        <v>2</v>
      </c>
      <c r="E1104" s="15">
        <v>1236</v>
      </c>
    </row>
    <row r="1105" spans="1:5" ht="15.75" customHeight="1">
      <c r="A1105" s="15" t="str">
        <f t="shared" si="0"/>
        <v>PIAP</v>
      </c>
      <c r="B1105" s="15" t="s">
        <v>1062</v>
      </c>
      <c r="C1105" s="15" t="s">
        <v>1058</v>
      </c>
      <c r="D1105" s="15">
        <v>4</v>
      </c>
      <c r="E1105" s="15">
        <v>4900</v>
      </c>
    </row>
    <row r="1106" spans="1:5" ht="15.75" customHeight="1">
      <c r="A1106" s="15" t="str">
        <f t="shared" si="0"/>
        <v>PIAM</v>
      </c>
      <c r="B1106" s="15" t="s">
        <v>1062</v>
      </c>
      <c r="C1106" s="15" t="s">
        <v>29</v>
      </c>
      <c r="D1106" s="15">
        <v>3</v>
      </c>
      <c r="E1106" s="15">
        <v>5267</v>
      </c>
    </row>
    <row r="1107" spans="1:5" ht="15.75" customHeight="1">
      <c r="A1107" s="15" t="str">
        <f t="shared" si="0"/>
        <v>PIBA</v>
      </c>
      <c r="B1107" s="15" t="s">
        <v>1062</v>
      </c>
      <c r="C1107" s="15" t="s">
        <v>34</v>
      </c>
      <c r="D1107" s="15">
        <v>5</v>
      </c>
      <c r="E1107" s="15">
        <v>1163</v>
      </c>
    </row>
    <row r="1108" spans="1:5" ht="15.75" customHeight="1">
      <c r="A1108" s="15" t="str">
        <f t="shared" si="0"/>
        <v>PICE</v>
      </c>
      <c r="B1108" s="15" t="s">
        <v>1062</v>
      </c>
      <c r="C1108" s="15" t="s">
        <v>41</v>
      </c>
      <c r="D1108" s="15">
        <v>6</v>
      </c>
      <c r="E1108" s="15">
        <v>634</v>
      </c>
    </row>
    <row r="1109" spans="1:5" ht="15.75" customHeight="1">
      <c r="A1109" s="15" t="str">
        <f t="shared" si="0"/>
        <v>PIDF</v>
      </c>
      <c r="B1109" s="15" t="s">
        <v>1062</v>
      </c>
      <c r="C1109" s="15" t="s">
        <v>1059</v>
      </c>
      <c r="D1109" s="15">
        <v>7</v>
      </c>
      <c r="E1109" s="15">
        <v>1789</v>
      </c>
    </row>
    <row r="1110" spans="1:5" ht="15.75" customHeight="1">
      <c r="A1110" s="15" t="str">
        <f t="shared" si="0"/>
        <v>PIES</v>
      </c>
      <c r="B1110" s="15" t="s">
        <v>1062</v>
      </c>
      <c r="C1110" s="15" t="s">
        <v>25</v>
      </c>
      <c r="D1110" s="15">
        <v>8</v>
      </c>
      <c r="E1110" s="15">
        <v>2171</v>
      </c>
    </row>
    <row r="1111" spans="1:5" ht="15.75" customHeight="1">
      <c r="A1111" s="15" t="str">
        <f t="shared" si="0"/>
        <v>PIGO</v>
      </c>
      <c r="B1111" s="15" t="s">
        <v>1062</v>
      </c>
      <c r="C1111" s="15" t="s">
        <v>51</v>
      </c>
      <c r="D1111" s="15">
        <v>9</v>
      </c>
      <c r="E1111" s="15">
        <v>1986</v>
      </c>
    </row>
    <row r="1112" spans="1:5" ht="15.75" customHeight="1">
      <c r="A1112" s="15" t="str">
        <f t="shared" si="0"/>
        <v>PIMA</v>
      </c>
      <c r="B1112" s="15" t="s">
        <v>1062</v>
      </c>
      <c r="C1112" s="15" t="s">
        <v>1057</v>
      </c>
      <c r="D1112" s="15">
        <v>10</v>
      </c>
      <c r="E1112" s="15">
        <v>446</v>
      </c>
    </row>
    <row r="1113" spans="1:5" ht="15.75" customHeight="1">
      <c r="A1113" s="15" t="str">
        <f t="shared" si="0"/>
        <v>PIMT</v>
      </c>
      <c r="B1113" s="15" t="s">
        <v>1062</v>
      </c>
      <c r="C1113" s="15" t="s">
        <v>1052</v>
      </c>
      <c r="D1113" s="15">
        <v>13</v>
      </c>
      <c r="E1113" s="15">
        <v>2910</v>
      </c>
    </row>
    <row r="1114" spans="1:5" ht="15.75" customHeight="1">
      <c r="A1114" s="15" t="str">
        <f t="shared" si="0"/>
        <v>PIMS</v>
      </c>
      <c r="B1114" s="15" t="s">
        <v>1062</v>
      </c>
      <c r="C1114" s="15" t="s">
        <v>1053</v>
      </c>
      <c r="D1114" s="15">
        <v>12</v>
      </c>
      <c r="E1114" s="15">
        <v>2911</v>
      </c>
    </row>
    <row r="1115" spans="1:5" ht="15.75" customHeight="1">
      <c r="A1115" s="15" t="str">
        <f t="shared" si="0"/>
        <v>PIMG</v>
      </c>
      <c r="B1115" s="15" t="s">
        <v>1062</v>
      </c>
      <c r="C1115" s="15" t="s">
        <v>24</v>
      </c>
      <c r="D1115" s="15">
        <v>11</v>
      </c>
      <c r="E1115" s="15">
        <v>2302</v>
      </c>
    </row>
    <row r="1116" spans="1:5" ht="15.75" customHeight="1">
      <c r="A1116" s="15" t="str">
        <f t="shared" si="0"/>
        <v>PIPA</v>
      </c>
      <c r="B1116" s="15" t="s">
        <v>1062</v>
      </c>
      <c r="C1116" s="15" t="s">
        <v>1054</v>
      </c>
      <c r="D1116" s="15">
        <v>14</v>
      </c>
      <c r="E1116" s="15">
        <v>947</v>
      </c>
    </row>
    <row r="1117" spans="1:5" ht="15.75" customHeight="1">
      <c r="A1117" s="15" t="str">
        <f t="shared" si="0"/>
        <v>PIPB</v>
      </c>
      <c r="B1117" s="15" t="s">
        <v>1062</v>
      </c>
      <c r="C1117" s="15" t="s">
        <v>1055</v>
      </c>
      <c r="D1117" s="15">
        <v>15</v>
      </c>
      <c r="E1117" s="15">
        <v>1224</v>
      </c>
    </row>
    <row r="1118" spans="1:5" ht="15.75" customHeight="1">
      <c r="A1118" s="15" t="str">
        <f t="shared" si="0"/>
        <v>PIPR</v>
      </c>
      <c r="B1118" s="15" t="s">
        <v>1062</v>
      </c>
      <c r="C1118" s="15" t="s">
        <v>28</v>
      </c>
      <c r="D1118" s="15">
        <v>18</v>
      </c>
      <c r="E1118" s="15">
        <v>3143</v>
      </c>
    </row>
    <row r="1119" spans="1:5" ht="15.75" customHeight="1">
      <c r="A1119" s="15" t="str">
        <f t="shared" si="0"/>
        <v>PIPE</v>
      </c>
      <c r="B1119" s="15" t="s">
        <v>1062</v>
      </c>
      <c r="C1119" s="15" t="s">
        <v>1061</v>
      </c>
      <c r="D1119" s="15">
        <v>16</v>
      </c>
      <c r="E1119" s="15">
        <v>1137</v>
      </c>
    </row>
    <row r="1120" spans="1:5" ht="15.75" customHeight="1">
      <c r="A1120" s="15" t="str">
        <f t="shared" si="0"/>
        <v>PIPI</v>
      </c>
      <c r="B1120" s="15" t="s">
        <v>1062</v>
      </c>
      <c r="C1120" s="15" t="s">
        <v>1062</v>
      </c>
      <c r="D1120" s="15">
        <v>17</v>
      </c>
      <c r="E1120" s="15">
        <v>0</v>
      </c>
    </row>
    <row r="1121" spans="1:5" ht="15.75" customHeight="1">
      <c r="A1121" s="15" t="str">
        <f t="shared" si="0"/>
        <v>PIRJ</v>
      </c>
      <c r="B1121" s="15" t="s">
        <v>1062</v>
      </c>
      <c r="C1121" s="15" t="s">
        <v>27</v>
      </c>
      <c r="D1121" s="15">
        <v>19</v>
      </c>
      <c r="E1121" s="15">
        <v>2579</v>
      </c>
    </row>
    <row r="1122" spans="1:5" ht="15.75" customHeight="1">
      <c r="A1122" s="15" t="str">
        <f t="shared" si="0"/>
        <v>PIRN</v>
      </c>
      <c r="B1122" s="15" t="s">
        <v>1062</v>
      </c>
      <c r="C1122" s="15" t="s">
        <v>732</v>
      </c>
      <c r="D1122" s="15">
        <v>20</v>
      </c>
      <c r="E1122" s="15">
        <v>1171</v>
      </c>
    </row>
    <row r="1123" spans="1:5" ht="15.75" customHeight="1">
      <c r="A1123" s="15" t="str">
        <f t="shared" si="0"/>
        <v>PIRS</v>
      </c>
      <c r="B1123" s="15" t="s">
        <v>1062</v>
      </c>
      <c r="C1123" s="15" t="s">
        <v>736</v>
      </c>
      <c r="D1123" s="15">
        <v>23</v>
      </c>
      <c r="E1123" s="15">
        <v>3804</v>
      </c>
    </row>
    <row r="1124" spans="1:5" ht="15.75" customHeight="1">
      <c r="A1124" s="15" t="str">
        <f t="shared" si="0"/>
        <v>PIRO</v>
      </c>
      <c r="B1124" s="15" t="s">
        <v>1062</v>
      </c>
      <c r="C1124" s="15" t="s">
        <v>733</v>
      </c>
      <c r="D1124" s="15">
        <v>21</v>
      </c>
      <c r="E1124" s="15">
        <v>4366</v>
      </c>
    </row>
    <row r="1125" spans="1:5" ht="15.75" customHeight="1">
      <c r="A1125" s="15" t="str">
        <f t="shared" si="0"/>
        <v>PIRR</v>
      </c>
      <c r="B1125" s="15" t="s">
        <v>1062</v>
      </c>
      <c r="C1125" s="15" t="s">
        <v>1063</v>
      </c>
      <c r="D1125" s="15">
        <v>22</v>
      </c>
      <c r="E1125" s="15">
        <v>6052</v>
      </c>
    </row>
    <row r="1126" spans="1:5" ht="15.75" customHeight="1">
      <c r="A1126" s="15" t="str">
        <f t="shared" si="0"/>
        <v>PISC</v>
      </c>
      <c r="B1126" s="15" t="s">
        <v>1062</v>
      </c>
      <c r="C1126" s="15" t="s">
        <v>26</v>
      </c>
      <c r="D1126" s="15">
        <v>24</v>
      </c>
      <c r="E1126" s="15">
        <v>3450</v>
      </c>
    </row>
    <row r="1127" spans="1:5" ht="15.75" customHeight="1">
      <c r="A1127" s="15" t="str">
        <f t="shared" si="0"/>
        <v>PISP</v>
      </c>
      <c r="B1127" s="15" t="s">
        <v>1062</v>
      </c>
      <c r="C1127" s="15" t="s">
        <v>23</v>
      </c>
      <c r="D1127" s="15">
        <v>26</v>
      </c>
      <c r="E1127" s="15">
        <v>2792</v>
      </c>
    </row>
    <row r="1128" spans="1:5" ht="15.75" customHeight="1">
      <c r="A1128" s="15" t="str">
        <f t="shared" si="0"/>
        <v>PISE</v>
      </c>
      <c r="B1128" s="15" t="s">
        <v>1062</v>
      </c>
      <c r="C1128" s="15" t="s">
        <v>1060</v>
      </c>
      <c r="D1128" s="15">
        <v>25</v>
      </c>
      <c r="E1128" s="15">
        <v>4230</v>
      </c>
    </row>
    <row r="1129" spans="1:5" ht="15.75" customHeight="1">
      <c r="A1129" s="15" t="str">
        <f t="shared" si="0"/>
        <v>PITO</v>
      </c>
      <c r="B1129" s="15" t="s">
        <v>1062</v>
      </c>
      <c r="C1129" s="15" t="s">
        <v>1064</v>
      </c>
      <c r="D1129" s="15">
        <v>27</v>
      </c>
      <c r="E1129" s="15">
        <v>1401</v>
      </c>
    </row>
    <row r="1130" spans="1:5" ht="15.75" customHeight="1">
      <c r="A1130" s="15" t="str">
        <f t="shared" si="0"/>
        <v>RJAC</v>
      </c>
      <c r="B1130" s="15" t="s">
        <v>27</v>
      </c>
      <c r="C1130" s="15" t="s">
        <v>1051</v>
      </c>
      <c r="D1130" s="15">
        <v>1</v>
      </c>
      <c r="E1130" s="15">
        <v>4007</v>
      </c>
    </row>
    <row r="1131" spans="1:5" ht="15.75" customHeight="1">
      <c r="A1131" s="15" t="str">
        <f t="shared" si="0"/>
        <v>RJAL</v>
      </c>
      <c r="B1131" s="15" t="s">
        <v>27</v>
      </c>
      <c r="C1131" s="15" t="s">
        <v>1056</v>
      </c>
      <c r="D1131" s="15">
        <v>2</v>
      </c>
      <c r="E1131" s="15">
        <v>2131</v>
      </c>
    </row>
    <row r="1132" spans="1:5" ht="15.75" customHeight="1">
      <c r="A1132" s="15" t="str">
        <f t="shared" si="0"/>
        <v>RJAP</v>
      </c>
      <c r="B1132" s="15" t="s">
        <v>27</v>
      </c>
      <c r="C1132" s="15" t="s">
        <v>1058</v>
      </c>
      <c r="D1132" s="15">
        <v>4</v>
      </c>
      <c r="E1132" s="15">
        <v>4007</v>
      </c>
    </row>
    <row r="1133" spans="1:5" ht="15.75" customHeight="1">
      <c r="A1133" s="15" t="str">
        <f t="shared" si="0"/>
        <v>RJAM</v>
      </c>
      <c r="B1133" s="15" t="s">
        <v>27</v>
      </c>
      <c r="C1133" s="15" t="s">
        <v>29</v>
      </c>
      <c r="D1133" s="15">
        <v>3</v>
      </c>
      <c r="E1133" s="15">
        <v>4374</v>
      </c>
    </row>
    <row r="1134" spans="1:5" ht="15.75" customHeight="1">
      <c r="A1134" s="15" t="str">
        <f t="shared" si="0"/>
        <v>RJBA</v>
      </c>
      <c r="B1134" s="15" t="s">
        <v>27</v>
      </c>
      <c r="C1134" s="15" t="s">
        <v>34</v>
      </c>
      <c r="D1134" s="15">
        <v>5</v>
      </c>
      <c r="E1134" s="15">
        <v>1649</v>
      </c>
    </row>
    <row r="1135" spans="1:5" ht="15.75" customHeight="1">
      <c r="A1135" s="15" t="str">
        <f t="shared" si="0"/>
        <v>RJCE</v>
      </c>
      <c r="B1135" s="15" t="s">
        <v>27</v>
      </c>
      <c r="C1135" s="15" t="s">
        <v>41</v>
      </c>
      <c r="D1135" s="15">
        <v>6</v>
      </c>
      <c r="E1135" s="15">
        <v>2805</v>
      </c>
    </row>
    <row r="1136" spans="1:5" ht="15.75" customHeight="1">
      <c r="A1136" s="15" t="str">
        <f t="shared" si="0"/>
        <v>RJDF</v>
      </c>
      <c r="B1136" s="15" t="s">
        <v>27</v>
      </c>
      <c r="C1136" s="15" t="s">
        <v>1059</v>
      </c>
      <c r="D1136" s="15">
        <v>7</v>
      </c>
      <c r="E1136" s="15">
        <v>1148</v>
      </c>
    </row>
    <row r="1137" spans="1:5" ht="15.75" customHeight="1">
      <c r="A1137" s="15" t="str">
        <f t="shared" si="0"/>
        <v>RJES</v>
      </c>
      <c r="B1137" s="15" t="s">
        <v>27</v>
      </c>
      <c r="C1137" s="15" t="s">
        <v>25</v>
      </c>
      <c r="D1137" s="15">
        <v>8</v>
      </c>
      <c r="E1137" s="15">
        <v>521</v>
      </c>
    </row>
    <row r="1138" spans="1:5" ht="15.75" customHeight="1">
      <c r="A1138" s="15" t="str">
        <f t="shared" si="0"/>
        <v>RJGO</v>
      </c>
      <c r="B1138" s="15" t="s">
        <v>27</v>
      </c>
      <c r="C1138" s="15" t="s">
        <v>51</v>
      </c>
      <c r="D1138" s="15">
        <v>9</v>
      </c>
      <c r="E1138" s="15">
        <v>1338</v>
      </c>
    </row>
    <row r="1139" spans="1:5" ht="15.75" customHeight="1">
      <c r="A1139" s="15" t="str">
        <f t="shared" si="0"/>
        <v>RJMA</v>
      </c>
      <c r="B1139" s="15" t="s">
        <v>27</v>
      </c>
      <c r="C1139" s="15" t="s">
        <v>1057</v>
      </c>
      <c r="D1139" s="15">
        <v>10</v>
      </c>
      <c r="E1139" s="15">
        <v>3015</v>
      </c>
    </row>
    <row r="1140" spans="1:5" ht="15.75" customHeight="1">
      <c r="A1140" s="15" t="str">
        <f t="shared" si="0"/>
        <v>RJMT</v>
      </c>
      <c r="B1140" s="15" t="s">
        <v>27</v>
      </c>
      <c r="C1140" s="15" t="s">
        <v>1052</v>
      </c>
      <c r="D1140" s="15">
        <v>13</v>
      </c>
      <c r="E1140" s="15">
        <v>2017</v>
      </c>
    </row>
    <row r="1141" spans="1:5" ht="15.75" customHeight="1">
      <c r="A1141" s="15" t="str">
        <f t="shared" si="0"/>
        <v>RJMS</v>
      </c>
      <c r="B1141" s="15" t="s">
        <v>27</v>
      </c>
      <c r="C1141" s="15" t="s">
        <v>1053</v>
      </c>
      <c r="D1141" s="15">
        <v>12</v>
      </c>
      <c r="E1141" s="15">
        <v>1444</v>
      </c>
    </row>
    <row r="1142" spans="1:5" ht="15.75" customHeight="1">
      <c r="A1142" s="15" t="str">
        <f t="shared" si="0"/>
        <v>RJMG</v>
      </c>
      <c r="B1142" s="15" t="s">
        <v>27</v>
      </c>
      <c r="C1142" s="15" t="s">
        <v>24</v>
      </c>
      <c r="D1142" s="15">
        <v>11</v>
      </c>
      <c r="E1142" s="15">
        <v>434</v>
      </c>
    </row>
    <row r="1143" spans="1:5" ht="15.75" customHeight="1">
      <c r="A1143" s="15" t="str">
        <f t="shared" si="0"/>
        <v>RJPA</v>
      </c>
      <c r="B1143" s="15" t="s">
        <v>27</v>
      </c>
      <c r="C1143" s="15" t="s">
        <v>1054</v>
      </c>
      <c r="D1143" s="15">
        <v>14</v>
      </c>
      <c r="E1143" s="15">
        <v>3250</v>
      </c>
    </row>
    <row r="1144" spans="1:5" ht="15.75" customHeight="1">
      <c r="A1144" s="15" t="str">
        <f t="shared" si="0"/>
        <v>RJPB</v>
      </c>
      <c r="B1144" s="15" t="s">
        <v>27</v>
      </c>
      <c r="C1144" s="15" t="s">
        <v>1055</v>
      </c>
      <c r="D1144" s="15">
        <v>15</v>
      </c>
      <c r="E1144" s="15">
        <v>2448</v>
      </c>
    </row>
    <row r="1145" spans="1:5" ht="15.75" customHeight="1">
      <c r="A1145" s="15" t="str">
        <f t="shared" si="0"/>
        <v>RJPR</v>
      </c>
      <c r="B1145" s="15" t="s">
        <v>27</v>
      </c>
      <c r="C1145" s="15" t="s">
        <v>28</v>
      </c>
      <c r="D1145" s="15">
        <v>18</v>
      </c>
      <c r="E1145" s="15">
        <v>852</v>
      </c>
    </row>
    <row r="1146" spans="1:5" ht="15.75" customHeight="1">
      <c r="A1146" s="15" t="str">
        <f t="shared" si="0"/>
        <v>RJPE</v>
      </c>
      <c r="B1146" s="15" t="s">
        <v>27</v>
      </c>
      <c r="C1146" s="15" t="s">
        <v>1061</v>
      </c>
      <c r="D1146" s="15">
        <v>16</v>
      </c>
      <c r="E1146" s="15">
        <v>2338</v>
      </c>
    </row>
    <row r="1147" spans="1:5" ht="15.75" customHeight="1">
      <c r="A1147" s="15" t="str">
        <f t="shared" si="0"/>
        <v>RJPI</v>
      </c>
      <c r="B1147" s="15" t="s">
        <v>27</v>
      </c>
      <c r="C1147" s="15" t="s">
        <v>1062</v>
      </c>
      <c r="D1147" s="15">
        <v>17</v>
      </c>
      <c r="E1147" s="15">
        <v>2579</v>
      </c>
    </row>
    <row r="1148" spans="1:5" ht="15.75" customHeight="1">
      <c r="A1148" s="15" t="str">
        <f t="shared" si="0"/>
        <v>RJRJ</v>
      </c>
      <c r="B1148" s="15" t="s">
        <v>27</v>
      </c>
      <c r="C1148" s="15" t="s">
        <v>27</v>
      </c>
      <c r="D1148" s="15">
        <v>19</v>
      </c>
      <c r="E1148" s="15">
        <v>0</v>
      </c>
    </row>
    <row r="1149" spans="1:5" ht="15.75" customHeight="1">
      <c r="A1149" s="15" t="str">
        <f t="shared" si="0"/>
        <v>RJRN</v>
      </c>
      <c r="B1149" s="15" t="s">
        <v>27</v>
      </c>
      <c r="C1149" s="15" t="s">
        <v>732</v>
      </c>
      <c r="D1149" s="15">
        <v>20</v>
      </c>
      <c r="E1149" s="15">
        <v>2625</v>
      </c>
    </row>
    <row r="1150" spans="1:5" ht="15.75" customHeight="1">
      <c r="A1150" s="15" t="str">
        <f t="shared" si="0"/>
        <v>RJRS</v>
      </c>
      <c r="B1150" s="15" t="s">
        <v>27</v>
      </c>
      <c r="C1150" s="15" t="s">
        <v>736</v>
      </c>
      <c r="D1150" s="15">
        <v>23</v>
      </c>
      <c r="E1150" s="15">
        <v>1553</v>
      </c>
    </row>
    <row r="1151" spans="1:5" ht="15.75" customHeight="1">
      <c r="A1151" s="15" t="str">
        <f t="shared" si="0"/>
        <v>RJRO</v>
      </c>
      <c r="B1151" s="15" t="s">
        <v>27</v>
      </c>
      <c r="C1151" s="15" t="s">
        <v>733</v>
      </c>
      <c r="D1151" s="15">
        <v>21</v>
      </c>
      <c r="E1151" s="15">
        <v>3473</v>
      </c>
    </row>
    <row r="1152" spans="1:5" ht="15.75" customHeight="1">
      <c r="A1152" s="15" t="str">
        <f t="shared" si="0"/>
        <v>RJRR</v>
      </c>
      <c r="B1152" s="15" t="s">
        <v>27</v>
      </c>
      <c r="C1152" s="15" t="s">
        <v>1063</v>
      </c>
      <c r="D1152" s="15">
        <v>22</v>
      </c>
      <c r="E1152" s="15">
        <v>5159</v>
      </c>
    </row>
    <row r="1153" spans="1:5" ht="15.75" customHeight="1">
      <c r="A1153" s="15" t="str">
        <f t="shared" si="0"/>
        <v>RJSC</v>
      </c>
      <c r="B1153" s="15" t="s">
        <v>27</v>
      </c>
      <c r="C1153" s="15" t="s">
        <v>26</v>
      </c>
      <c r="D1153" s="15">
        <v>24</v>
      </c>
      <c r="E1153" s="15">
        <v>1144</v>
      </c>
    </row>
    <row r="1154" spans="1:5" ht="15.75" customHeight="1">
      <c r="A1154" s="15" t="str">
        <f t="shared" si="0"/>
        <v>RJSP</v>
      </c>
      <c r="B1154" s="15" t="s">
        <v>27</v>
      </c>
      <c r="C1154" s="15" t="s">
        <v>23</v>
      </c>
      <c r="D1154" s="15">
        <v>26</v>
      </c>
      <c r="E1154" s="15">
        <v>429</v>
      </c>
    </row>
    <row r="1155" spans="1:5" ht="15.75" customHeight="1">
      <c r="A1155" s="15" t="str">
        <f t="shared" si="0"/>
        <v>RJSE</v>
      </c>
      <c r="B1155" s="15" t="s">
        <v>27</v>
      </c>
      <c r="C1155" s="15" t="s">
        <v>1060</v>
      </c>
      <c r="D1155" s="15">
        <v>25</v>
      </c>
      <c r="E1155" s="15">
        <v>788</v>
      </c>
    </row>
    <row r="1156" spans="1:5" ht="15.75" customHeight="1">
      <c r="A1156" s="15" t="str">
        <f t="shared" si="0"/>
        <v>RJTO</v>
      </c>
      <c r="B1156" s="15" t="s">
        <v>27</v>
      </c>
      <c r="C1156" s="15" t="s">
        <v>1064</v>
      </c>
      <c r="D1156" s="15">
        <v>27</v>
      </c>
      <c r="E1156" s="15">
        <v>2124</v>
      </c>
    </row>
    <row r="1157" spans="1:5" ht="15.75" customHeight="1">
      <c r="A1157" s="15" t="str">
        <f t="shared" si="0"/>
        <v>RNAC</v>
      </c>
      <c r="B1157" s="15" t="s">
        <v>732</v>
      </c>
      <c r="C1157" s="15" t="s">
        <v>1051</v>
      </c>
      <c r="D1157" s="15">
        <v>1</v>
      </c>
      <c r="E1157" s="15">
        <v>5533</v>
      </c>
    </row>
    <row r="1158" spans="1:5" ht="15.75" customHeight="1">
      <c r="A1158" s="15" t="str">
        <f t="shared" si="0"/>
        <v>RNAL</v>
      </c>
      <c r="B1158" s="15" t="s">
        <v>732</v>
      </c>
      <c r="C1158" s="15" t="s">
        <v>1056</v>
      </c>
      <c r="D1158" s="15">
        <v>2</v>
      </c>
      <c r="E1158" s="15">
        <v>572</v>
      </c>
    </row>
    <row r="1159" spans="1:5" ht="15.75" customHeight="1">
      <c r="A1159" s="15" t="str">
        <f t="shared" si="0"/>
        <v>RNAP</v>
      </c>
      <c r="B1159" s="15" t="s">
        <v>732</v>
      </c>
      <c r="C1159" s="15" t="s">
        <v>1058</v>
      </c>
      <c r="D1159" s="15">
        <v>4</v>
      </c>
      <c r="E1159" s="15">
        <v>5533</v>
      </c>
    </row>
    <row r="1160" spans="1:5" ht="15.75" customHeight="1">
      <c r="A1160" s="15" t="str">
        <f t="shared" si="0"/>
        <v>RNAM</v>
      </c>
      <c r="B1160" s="15" t="s">
        <v>732</v>
      </c>
      <c r="C1160" s="15" t="s">
        <v>29</v>
      </c>
      <c r="D1160" s="15">
        <v>3</v>
      </c>
      <c r="E1160" s="15">
        <v>5985</v>
      </c>
    </row>
    <row r="1161" spans="1:5" ht="15.75" customHeight="1">
      <c r="A1161" s="15" t="str">
        <f t="shared" si="0"/>
        <v>RNBA</v>
      </c>
      <c r="B1161" s="15" t="s">
        <v>732</v>
      </c>
      <c r="C1161" s="15" t="s">
        <v>34</v>
      </c>
      <c r="D1161" s="15">
        <v>5</v>
      </c>
      <c r="E1161" s="15">
        <v>1126</v>
      </c>
    </row>
    <row r="1162" spans="1:5" ht="15.75" customHeight="1">
      <c r="A1162" s="15" t="str">
        <f t="shared" si="0"/>
        <v>RNCE</v>
      </c>
      <c r="B1162" s="15" t="s">
        <v>732</v>
      </c>
      <c r="C1162" s="15" t="s">
        <v>41</v>
      </c>
      <c r="D1162" s="15">
        <v>6</v>
      </c>
      <c r="E1162" s="15">
        <v>537</v>
      </c>
    </row>
    <row r="1163" spans="1:5" ht="15.75" customHeight="1">
      <c r="A1163" s="15" t="str">
        <f t="shared" si="0"/>
        <v>RNDF</v>
      </c>
      <c r="B1163" s="15" t="s">
        <v>732</v>
      </c>
      <c r="C1163" s="15" t="s">
        <v>1059</v>
      </c>
      <c r="D1163" s="15">
        <v>7</v>
      </c>
      <c r="E1163" s="15">
        <v>2422</v>
      </c>
    </row>
    <row r="1164" spans="1:5" ht="15.75" customHeight="1">
      <c r="A1164" s="15" t="str">
        <f t="shared" si="0"/>
        <v>RNES</v>
      </c>
      <c r="B1164" s="15" t="s">
        <v>732</v>
      </c>
      <c r="C1164" s="15" t="s">
        <v>25</v>
      </c>
      <c r="D1164" s="15">
        <v>8</v>
      </c>
      <c r="E1164" s="15">
        <v>2178</v>
      </c>
    </row>
    <row r="1165" spans="1:5" ht="15.75" customHeight="1">
      <c r="A1165" s="15" t="str">
        <f t="shared" si="0"/>
        <v>RNGO</v>
      </c>
      <c r="B1165" s="15" t="s">
        <v>732</v>
      </c>
      <c r="C1165" s="15" t="s">
        <v>51</v>
      </c>
      <c r="D1165" s="15">
        <v>9</v>
      </c>
      <c r="E1165" s="15">
        <v>2618</v>
      </c>
    </row>
    <row r="1166" spans="1:5" ht="15.75" customHeight="1">
      <c r="A1166" s="15" t="str">
        <f t="shared" si="0"/>
        <v>RNMA</v>
      </c>
      <c r="B1166" s="15" t="s">
        <v>732</v>
      </c>
      <c r="C1166" s="15" t="s">
        <v>1057</v>
      </c>
      <c r="D1166" s="15">
        <v>10</v>
      </c>
      <c r="E1166" s="15">
        <v>1607</v>
      </c>
    </row>
    <row r="1167" spans="1:5" ht="15.75" customHeight="1">
      <c r="A1167" s="15" t="str">
        <f t="shared" si="0"/>
        <v>RNMT</v>
      </c>
      <c r="B1167" s="15" t="s">
        <v>732</v>
      </c>
      <c r="C1167" s="15" t="s">
        <v>1052</v>
      </c>
      <c r="D1167" s="15">
        <v>13</v>
      </c>
      <c r="E1167" s="15">
        <v>3543</v>
      </c>
    </row>
    <row r="1168" spans="1:5" ht="15.75" customHeight="1">
      <c r="A1168" s="15" t="str">
        <f t="shared" si="0"/>
        <v>RNMS</v>
      </c>
      <c r="B1168" s="15" t="s">
        <v>732</v>
      </c>
      <c r="C1168" s="15" t="s">
        <v>1053</v>
      </c>
      <c r="D1168" s="15">
        <v>12</v>
      </c>
      <c r="E1168" s="15">
        <v>3534</v>
      </c>
    </row>
    <row r="1169" spans="1:5" ht="15.75" customHeight="1">
      <c r="A1169" s="15" t="str">
        <f t="shared" si="0"/>
        <v>RNMG</v>
      </c>
      <c r="B1169" s="15" t="s">
        <v>732</v>
      </c>
      <c r="C1169" s="15" t="s">
        <v>24</v>
      </c>
      <c r="D1169" s="15">
        <v>11</v>
      </c>
      <c r="E1169" s="15">
        <v>2348</v>
      </c>
    </row>
    <row r="1170" spans="1:5" ht="15.75" customHeight="1">
      <c r="A1170" s="15" t="str">
        <f t="shared" si="0"/>
        <v>RNPA</v>
      </c>
      <c r="B1170" s="15" t="s">
        <v>732</v>
      </c>
      <c r="C1170" s="15" t="s">
        <v>1054</v>
      </c>
      <c r="D1170" s="15">
        <v>14</v>
      </c>
      <c r="E1170" s="15">
        <v>2108</v>
      </c>
    </row>
    <row r="1171" spans="1:5" ht="15.75" customHeight="1">
      <c r="A1171" s="15" t="str">
        <f t="shared" si="0"/>
        <v>RNPB</v>
      </c>
      <c r="B1171" s="15" t="s">
        <v>732</v>
      </c>
      <c r="C1171" s="15" t="s">
        <v>1055</v>
      </c>
      <c r="D1171" s="15">
        <v>15</v>
      </c>
      <c r="E1171" s="15">
        <v>185</v>
      </c>
    </row>
    <row r="1172" spans="1:5" ht="15.75" customHeight="1">
      <c r="A1172" s="15" t="str">
        <f t="shared" si="0"/>
        <v>RNPR</v>
      </c>
      <c r="B1172" s="15" t="s">
        <v>732</v>
      </c>
      <c r="C1172" s="15" t="s">
        <v>28</v>
      </c>
      <c r="D1172" s="15">
        <v>18</v>
      </c>
      <c r="E1172" s="15">
        <v>3365</v>
      </c>
    </row>
    <row r="1173" spans="1:5" ht="15.75" customHeight="1">
      <c r="A1173" s="15" t="str">
        <f t="shared" si="0"/>
        <v>RNPE</v>
      </c>
      <c r="B1173" s="15" t="s">
        <v>732</v>
      </c>
      <c r="C1173" s="15" t="s">
        <v>1061</v>
      </c>
      <c r="D1173" s="15">
        <v>16</v>
      </c>
      <c r="E1173" s="15">
        <v>297</v>
      </c>
    </row>
    <row r="1174" spans="1:5" ht="15.75" customHeight="1">
      <c r="A1174" s="15" t="str">
        <f t="shared" si="0"/>
        <v>RNPI</v>
      </c>
      <c r="B1174" s="15" t="s">
        <v>732</v>
      </c>
      <c r="C1174" s="15" t="s">
        <v>1062</v>
      </c>
      <c r="D1174" s="15">
        <v>17</v>
      </c>
      <c r="E1174" s="15">
        <v>1171</v>
      </c>
    </row>
    <row r="1175" spans="1:5" ht="15.75" customHeight="1">
      <c r="A1175" s="15" t="str">
        <f t="shared" si="0"/>
        <v>RNRJ</v>
      </c>
      <c r="B1175" s="15" t="s">
        <v>732</v>
      </c>
      <c r="C1175" s="15" t="s">
        <v>27</v>
      </c>
      <c r="D1175" s="15">
        <v>19</v>
      </c>
      <c r="E1175" s="15">
        <v>2625</v>
      </c>
    </row>
    <row r="1176" spans="1:5" ht="15.75" customHeight="1">
      <c r="A1176" s="15" t="str">
        <f t="shared" si="0"/>
        <v>RNRN</v>
      </c>
      <c r="B1176" s="15" t="s">
        <v>732</v>
      </c>
      <c r="C1176" s="15" t="s">
        <v>732</v>
      </c>
      <c r="D1176" s="15">
        <v>20</v>
      </c>
      <c r="E1176" s="15">
        <v>0</v>
      </c>
    </row>
    <row r="1177" spans="1:5" ht="15.75" customHeight="1">
      <c r="A1177" s="15" t="str">
        <f t="shared" si="0"/>
        <v>RNRS</v>
      </c>
      <c r="B1177" s="15" t="s">
        <v>732</v>
      </c>
      <c r="C1177" s="15" t="s">
        <v>736</v>
      </c>
      <c r="D1177" s="15">
        <v>23</v>
      </c>
      <c r="E1177" s="15">
        <v>4066</v>
      </c>
    </row>
    <row r="1178" spans="1:5" ht="15.75" customHeight="1">
      <c r="A1178" s="15" t="str">
        <f t="shared" si="0"/>
        <v>RNRO</v>
      </c>
      <c r="B1178" s="15" t="s">
        <v>732</v>
      </c>
      <c r="C1178" s="15" t="s">
        <v>733</v>
      </c>
      <c r="D1178" s="15">
        <v>21</v>
      </c>
      <c r="E1178" s="15">
        <v>4999</v>
      </c>
    </row>
    <row r="1179" spans="1:5" ht="15.75" customHeight="1">
      <c r="A1179" s="15" t="str">
        <f t="shared" si="0"/>
        <v>RNRR</v>
      </c>
      <c r="B1179" s="15" t="s">
        <v>732</v>
      </c>
      <c r="C1179" s="15" t="s">
        <v>1063</v>
      </c>
      <c r="D1179" s="15">
        <v>22</v>
      </c>
      <c r="E1179" s="15">
        <v>6770</v>
      </c>
    </row>
    <row r="1180" spans="1:5" ht="15.75" customHeight="1">
      <c r="A1180" s="15" t="str">
        <f t="shared" si="0"/>
        <v>RNSC</v>
      </c>
      <c r="B1180" s="15" t="s">
        <v>732</v>
      </c>
      <c r="C1180" s="15" t="s">
        <v>26</v>
      </c>
      <c r="D1180" s="15">
        <v>24</v>
      </c>
      <c r="E1180" s="15">
        <v>3662</v>
      </c>
    </row>
    <row r="1181" spans="1:5" ht="15.75" customHeight="1">
      <c r="A1181" s="15" t="str">
        <f t="shared" si="0"/>
        <v>RNSP</v>
      </c>
      <c r="B1181" s="15" t="s">
        <v>732</v>
      </c>
      <c r="C1181" s="15" t="s">
        <v>23</v>
      </c>
      <c r="D1181" s="15">
        <v>26</v>
      </c>
      <c r="E1181" s="15">
        <v>2947</v>
      </c>
    </row>
    <row r="1182" spans="1:5" ht="15.75" customHeight="1">
      <c r="A1182" s="15" t="str">
        <f t="shared" si="0"/>
        <v>RNSE</v>
      </c>
      <c r="B1182" s="15" t="s">
        <v>732</v>
      </c>
      <c r="C1182" s="15" t="s">
        <v>1060</v>
      </c>
      <c r="D1182" s="15">
        <v>25</v>
      </c>
      <c r="E1182" s="15">
        <v>611</v>
      </c>
    </row>
    <row r="1183" spans="1:5" ht="15.75" customHeight="1">
      <c r="A1183" s="15" t="str">
        <f t="shared" si="0"/>
        <v>RNTO</v>
      </c>
      <c r="B1183" s="15" t="s">
        <v>732</v>
      </c>
      <c r="C1183" s="15" t="s">
        <v>1064</v>
      </c>
      <c r="D1183" s="15">
        <v>27</v>
      </c>
      <c r="E1183" s="15">
        <v>2345</v>
      </c>
    </row>
    <row r="1184" spans="1:5" ht="15.75" customHeight="1">
      <c r="A1184" s="15" t="str">
        <f t="shared" si="0"/>
        <v>RSAC</v>
      </c>
      <c r="B1184" s="15" t="s">
        <v>736</v>
      </c>
      <c r="C1184" s="15" t="s">
        <v>1051</v>
      </c>
      <c r="D1184" s="15">
        <v>1</v>
      </c>
      <c r="E1184" s="15">
        <v>4196</v>
      </c>
    </row>
    <row r="1185" spans="1:5" ht="15.75" customHeight="1">
      <c r="A1185" s="15" t="str">
        <f t="shared" si="0"/>
        <v>RSAL</v>
      </c>
      <c r="B1185" s="15" t="s">
        <v>736</v>
      </c>
      <c r="C1185" s="15" t="s">
        <v>1056</v>
      </c>
      <c r="D1185" s="15">
        <v>2</v>
      </c>
      <c r="E1185" s="15">
        <v>3572</v>
      </c>
    </row>
    <row r="1186" spans="1:5" ht="15.75" customHeight="1">
      <c r="A1186" s="15" t="str">
        <f t="shared" si="0"/>
        <v>RSAP</v>
      </c>
      <c r="B1186" s="15" t="s">
        <v>736</v>
      </c>
      <c r="C1186" s="15" t="s">
        <v>1058</v>
      </c>
      <c r="D1186" s="15">
        <v>4</v>
      </c>
      <c r="E1186" s="15">
        <v>4196</v>
      </c>
    </row>
    <row r="1187" spans="1:5" ht="15.75" customHeight="1">
      <c r="A1187" s="15" t="str">
        <f t="shared" si="0"/>
        <v>RSAM</v>
      </c>
      <c r="B1187" s="15" t="s">
        <v>736</v>
      </c>
      <c r="C1187" s="15" t="s">
        <v>29</v>
      </c>
      <c r="D1187" s="15">
        <v>3</v>
      </c>
      <c r="E1187" s="15">
        <v>4563</v>
      </c>
    </row>
    <row r="1188" spans="1:5" ht="15.75" customHeight="1">
      <c r="A1188" s="15" t="str">
        <f t="shared" si="0"/>
        <v>RSBA</v>
      </c>
      <c r="B1188" s="15" t="s">
        <v>736</v>
      </c>
      <c r="C1188" s="15" t="s">
        <v>34</v>
      </c>
      <c r="D1188" s="15">
        <v>5</v>
      </c>
      <c r="E1188" s="15">
        <v>3090</v>
      </c>
    </row>
    <row r="1189" spans="1:5" ht="15.75" customHeight="1">
      <c r="A1189" s="15" t="str">
        <f t="shared" si="0"/>
        <v>RSCE</v>
      </c>
      <c r="B1189" s="15" t="s">
        <v>736</v>
      </c>
      <c r="C1189" s="15" t="s">
        <v>41</v>
      </c>
      <c r="D1189" s="15">
        <v>6</v>
      </c>
      <c r="E1189" s="15">
        <v>4242</v>
      </c>
    </row>
    <row r="1190" spans="1:5" ht="15.75" customHeight="1">
      <c r="A1190" s="15" t="str">
        <f t="shared" si="0"/>
        <v>RSDF</v>
      </c>
      <c r="B1190" s="15" t="s">
        <v>736</v>
      </c>
      <c r="C1190" s="15" t="s">
        <v>1059</v>
      </c>
      <c r="D1190" s="15">
        <v>7</v>
      </c>
      <c r="E1190" s="15">
        <v>2027</v>
      </c>
    </row>
    <row r="1191" spans="1:5" ht="15.75" customHeight="1">
      <c r="A1191" s="15" t="str">
        <f t="shared" si="0"/>
        <v>RSES</v>
      </c>
      <c r="B1191" s="15" t="s">
        <v>736</v>
      </c>
      <c r="C1191" s="15" t="s">
        <v>25</v>
      </c>
      <c r="D1191" s="15">
        <v>8</v>
      </c>
      <c r="E1191" s="15">
        <v>2001</v>
      </c>
    </row>
    <row r="1192" spans="1:5" ht="15.75" customHeight="1">
      <c r="A1192" s="15" t="str">
        <f t="shared" si="0"/>
        <v>RSGO</v>
      </c>
      <c r="B1192" s="15" t="s">
        <v>736</v>
      </c>
      <c r="C1192" s="15" t="s">
        <v>51</v>
      </c>
      <c r="D1192" s="15">
        <v>9</v>
      </c>
      <c r="E1192" s="15">
        <v>1847</v>
      </c>
    </row>
    <row r="1193" spans="1:5" ht="15.75" customHeight="1">
      <c r="A1193" s="15" t="str">
        <f t="shared" si="0"/>
        <v>RSMA</v>
      </c>
      <c r="B1193" s="15" t="s">
        <v>736</v>
      </c>
      <c r="C1193" s="15" t="s">
        <v>1057</v>
      </c>
      <c r="D1193" s="15">
        <v>10</v>
      </c>
      <c r="E1193" s="15">
        <v>3891</v>
      </c>
    </row>
    <row r="1194" spans="1:5" ht="15.75" customHeight="1">
      <c r="A1194" s="15" t="str">
        <f t="shared" si="0"/>
        <v>RSMT</v>
      </c>
      <c r="B1194" s="15" t="s">
        <v>736</v>
      </c>
      <c r="C1194" s="15" t="s">
        <v>1052</v>
      </c>
      <c r="D1194" s="15">
        <v>13</v>
      </c>
      <c r="E1194" s="15">
        <v>2206</v>
      </c>
    </row>
    <row r="1195" spans="1:5" ht="15.75" customHeight="1">
      <c r="A1195" s="15" t="str">
        <f t="shared" si="0"/>
        <v>RSMS</v>
      </c>
      <c r="B1195" s="15" t="s">
        <v>736</v>
      </c>
      <c r="C1195" s="15" t="s">
        <v>1053</v>
      </c>
      <c r="D1195" s="15">
        <v>12</v>
      </c>
      <c r="E1195" s="15">
        <v>1518</v>
      </c>
    </row>
    <row r="1196" spans="1:5" ht="15.75" customHeight="1">
      <c r="A1196" s="15" t="str">
        <f t="shared" si="0"/>
        <v>RSMG</v>
      </c>
      <c r="B1196" s="15" t="s">
        <v>736</v>
      </c>
      <c r="C1196" s="15" t="s">
        <v>24</v>
      </c>
      <c r="D1196" s="15">
        <v>11</v>
      </c>
      <c r="E1196" s="15">
        <v>1712</v>
      </c>
    </row>
    <row r="1197" spans="1:5" ht="15.75" customHeight="1">
      <c r="A1197" s="15" t="str">
        <f t="shared" si="0"/>
        <v>RSPA</v>
      </c>
      <c r="B1197" s="15" t="s">
        <v>736</v>
      </c>
      <c r="C1197" s="15" t="s">
        <v>1054</v>
      </c>
      <c r="D1197" s="15">
        <v>14</v>
      </c>
      <c r="E1197" s="15">
        <v>3852</v>
      </c>
    </row>
    <row r="1198" spans="1:5" ht="15.75" customHeight="1">
      <c r="A1198" s="15" t="str">
        <f t="shared" si="0"/>
        <v>RSPB</v>
      </c>
      <c r="B1198" s="15" t="s">
        <v>736</v>
      </c>
      <c r="C1198" s="15" t="s">
        <v>1055</v>
      </c>
      <c r="D1198" s="15">
        <v>15</v>
      </c>
      <c r="E1198" s="15">
        <v>3889</v>
      </c>
    </row>
    <row r="1199" spans="1:5" ht="15.75" customHeight="1">
      <c r="A1199" s="15" t="str">
        <f t="shared" si="0"/>
        <v>RSPR</v>
      </c>
      <c r="B1199" s="15" t="s">
        <v>736</v>
      </c>
      <c r="C1199" s="15" t="s">
        <v>28</v>
      </c>
      <c r="D1199" s="15">
        <v>18</v>
      </c>
      <c r="E1199" s="15">
        <v>711</v>
      </c>
    </row>
    <row r="1200" spans="1:5" ht="15.75" customHeight="1">
      <c r="A1200" s="15" t="str">
        <f t="shared" si="0"/>
        <v>RSPE</v>
      </c>
      <c r="B1200" s="15" t="s">
        <v>736</v>
      </c>
      <c r="C1200" s="15" t="s">
        <v>1061</v>
      </c>
      <c r="D1200" s="15">
        <v>16</v>
      </c>
      <c r="E1200" s="15">
        <v>3779</v>
      </c>
    </row>
    <row r="1201" spans="1:5" ht="15.75" customHeight="1">
      <c r="A1201" s="15" t="str">
        <f t="shared" si="0"/>
        <v>RSPI</v>
      </c>
      <c r="B1201" s="15" t="s">
        <v>736</v>
      </c>
      <c r="C1201" s="15" t="s">
        <v>1062</v>
      </c>
      <c r="D1201" s="15">
        <v>17</v>
      </c>
      <c r="E1201" s="15">
        <v>3804</v>
      </c>
    </row>
    <row r="1202" spans="1:5" ht="15.75" customHeight="1">
      <c r="A1202" s="15" t="str">
        <f t="shared" si="0"/>
        <v>RSRJ</v>
      </c>
      <c r="B1202" s="15" t="s">
        <v>736</v>
      </c>
      <c r="C1202" s="15" t="s">
        <v>27</v>
      </c>
      <c r="D1202" s="15">
        <v>19</v>
      </c>
      <c r="E1202" s="15">
        <v>1553</v>
      </c>
    </row>
    <row r="1203" spans="1:5" ht="15.75" customHeight="1">
      <c r="A1203" s="15" t="str">
        <f t="shared" si="0"/>
        <v>RSRN</v>
      </c>
      <c r="B1203" s="15" t="s">
        <v>736</v>
      </c>
      <c r="C1203" s="15" t="s">
        <v>732</v>
      </c>
      <c r="D1203" s="15">
        <v>20</v>
      </c>
      <c r="E1203" s="15">
        <v>4066</v>
      </c>
    </row>
    <row r="1204" spans="1:5" ht="15.75" customHeight="1">
      <c r="A1204" s="15" t="str">
        <f t="shared" si="0"/>
        <v>RSRS</v>
      </c>
      <c r="B1204" s="15" t="s">
        <v>736</v>
      </c>
      <c r="C1204" s="15" t="s">
        <v>736</v>
      </c>
      <c r="D1204" s="15">
        <v>23</v>
      </c>
      <c r="E1204" s="15">
        <v>0</v>
      </c>
    </row>
    <row r="1205" spans="1:5" ht="15.75" customHeight="1">
      <c r="A1205" s="15" t="str">
        <f t="shared" si="0"/>
        <v>RSRO</v>
      </c>
      <c r="B1205" s="15" t="s">
        <v>736</v>
      </c>
      <c r="C1205" s="15" t="s">
        <v>733</v>
      </c>
      <c r="D1205" s="15">
        <v>21</v>
      </c>
      <c r="E1205" s="15">
        <v>3662</v>
      </c>
    </row>
    <row r="1206" spans="1:5" ht="15.75" customHeight="1">
      <c r="A1206" s="15" t="str">
        <f t="shared" si="0"/>
        <v>RSRR</v>
      </c>
      <c r="B1206" s="15" t="s">
        <v>736</v>
      </c>
      <c r="C1206" s="15" t="s">
        <v>1063</v>
      </c>
      <c r="D1206" s="15">
        <v>22</v>
      </c>
      <c r="E1206" s="15">
        <v>5348</v>
      </c>
    </row>
    <row r="1207" spans="1:5" ht="15.75" customHeight="1">
      <c r="A1207" s="15" t="str">
        <f t="shared" si="0"/>
        <v>RSSC</v>
      </c>
      <c r="B1207" s="15" t="s">
        <v>736</v>
      </c>
      <c r="C1207" s="15" t="s">
        <v>26</v>
      </c>
      <c r="D1207" s="15">
        <v>24</v>
      </c>
      <c r="E1207" s="15">
        <v>476</v>
      </c>
    </row>
    <row r="1208" spans="1:5" ht="15.75" customHeight="1">
      <c r="A1208" s="15" t="str">
        <f t="shared" si="0"/>
        <v>RSSP</v>
      </c>
      <c r="B1208" s="15" t="s">
        <v>736</v>
      </c>
      <c r="C1208" s="15" t="s">
        <v>23</v>
      </c>
      <c r="D1208" s="15">
        <v>26</v>
      </c>
      <c r="E1208" s="15">
        <v>1109</v>
      </c>
    </row>
    <row r="1209" spans="1:5" ht="15.75" customHeight="1">
      <c r="A1209" s="15" t="str">
        <f t="shared" si="0"/>
        <v>RSSE</v>
      </c>
      <c r="B1209" s="15" t="s">
        <v>736</v>
      </c>
      <c r="C1209" s="15" t="s">
        <v>1060</v>
      </c>
      <c r="D1209" s="15">
        <v>25</v>
      </c>
      <c r="E1209" s="15">
        <v>1718</v>
      </c>
    </row>
    <row r="1210" spans="1:5" ht="15.75" customHeight="1">
      <c r="A1210" s="15" t="str">
        <f t="shared" si="0"/>
        <v>RSTO</v>
      </c>
      <c r="B1210" s="15" t="s">
        <v>736</v>
      </c>
      <c r="C1210" s="15" t="s">
        <v>1064</v>
      </c>
      <c r="D1210" s="15">
        <v>27</v>
      </c>
      <c r="E1210" s="15">
        <v>2747</v>
      </c>
    </row>
    <row r="1211" spans="1:5" ht="15.75" customHeight="1">
      <c r="A1211" s="15" t="str">
        <f t="shared" si="0"/>
        <v>ROAC</v>
      </c>
      <c r="B1211" s="15" t="s">
        <v>733</v>
      </c>
      <c r="C1211" s="15" t="s">
        <v>1051</v>
      </c>
      <c r="D1211" s="15">
        <v>1</v>
      </c>
      <c r="E1211" s="15">
        <v>544</v>
      </c>
    </row>
    <row r="1212" spans="1:5" ht="15.75" customHeight="1">
      <c r="A1212" s="15" t="str">
        <f t="shared" si="0"/>
        <v>ROAL</v>
      </c>
      <c r="B1212" s="15" t="s">
        <v>733</v>
      </c>
      <c r="C1212" s="15" t="s">
        <v>1056</v>
      </c>
      <c r="D1212" s="15">
        <v>2</v>
      </c>
      <c r="E1212" s="15">
        <v>4505</v>
      </c>
    </row>
    <row r="1213" spans="1:5" ht="15.75" customHeight="1">
      <c r="A1213" s="15" t="str">
        <f t="shared" si="0"/>
        <v>ROAP</v>
      </c>
      <c r="B1213" s="15" t="s">
        <v>733</v>
      </c>
      <c r="C1213" s="15" t="s">
        <v>1058</v>
      </c>
      <c r="D1213" s="15">
        <v>4</v>
      </c>
      <c r="E1213" s="15">
        <v>544</v>
      </c>
    </row>
    <row r="1214" spans="1:5" ht="15.75" customHeight="1">
      <c r="A1214" s="15" t="str">
        <f t="shared" si="0"/>
        <v>ROAM</v>
      </c>
      <c r="B1214" s="15" t="s">
        <v>733</v>
      </c>
      <c r="C1214" s="15" t="s">
        <v>29</v>
      </c>
      <c r="D1214" s="15">
        <v>3</v>
      </c>
      <c r="E1214" s="15">
        <v>901</v>
      </c>
    </row>
    <row r="1215" spans="1:5" ht="15.75" customHeight="1">
      <c r="A1215" s="15" t="str">
        <f t="shared" si="0"/>
        <v>ROBA</v>
      </c>
      <c r="B1215" s="15" t="s">
        <v>733</v>
      </c>
      <c r="C1215" s="15" t="s">
        <v>34</v>
      </c>
      <c r="D1215" s="15">
        <v>5</v>
      </c>
      <c r="E1215" s="15">
        <v>4023</v>
      </c>
    </row>
    <row r="1216" spans="1:5" ht="15.75" customHeight="1">
      <c r="A1216" s="15" t="str">
        <f t="shared" si="0"/>
        <v>ROCE</v>
      </c>
      <c r="B1216" s="15" t="s">
        <v>733</v>
      </c>
      <c r="C1216" s="15" t="s">
        <v>41</v>
      </c>
      <c r="D1216" s="15">
        <v>6</v>
      </c>
      <c r="E1216" s="15">
        <v>4862</v>
      </c>
    </row>
    <row r="1217" spans="1:5" ht="15.75" customHeight="1">
      <c r="A1217" s="15" t="str">
        <f t="shared" si="0"/>
        <v>RODF</v>
      </c>
      <c r="B1217" s="15" t="s">
        <v>733</v>
      </c>
      <c r="C1217" s="15" t="s">
        <v>1059</v>
      </c>
      <c r="D1217" s="15">
        <v>7</v>
      </c>
      <c r="E1217" s="15">
        <v>2589</v>
      </c>
    </row>
    <row r="1218" spans="1:5" ht="15.75" customHeight="1">
      <c r="A1218" s="15" t="str">
        <f t="shared" si="0"/>
        <v>ROES</v>
      </c>
      <c r="B1218" s="15" t="s">
        <v>733</v>
      </c>
      <c r="C1218" s="15" t="s">
        <v>25</v>
      </c>
      <c r="D1218" s="15">
        <v>8</v>
      </c>
      <c r="E1218" s="15">
        <v>3575</v>
      </c>
    </row>
    <row r="1219" spans="1:5" ht="15.75" customHeight="1">
      <c r="A1219" s="15" t="str">
        <f t="shared" si="0"/>
        <v>ROGO</v>
      </c>
      <c r="B1219" s="15" t="s">
        <v>733</v>
      </c>
      <c r="C1219" s="15" t="s">
        <v>51</v>
      </c>
      <c r="D1219" s="15">
        <v>9</v>
      </c>
      <c r="E1219" s="15">
        <v>2390</v>
      </c>
    </row>
    <row r="1220" spans="1:5" ht="15.75" customHeight="1">
      <c r="A1220" s="15" t="str">
        <f t="shared" si="0"/>
        <v>ROMA</v>
      </c>
      <c r="B1220" s="15" t="s">
        <v>733</v>
      </c>
      <c r="C1220" s="15" t="s">
        <v>1057</v>
      </c>
      <c r="D1220" s="15">
        <v>10</v>
      </c>
      <c r="E1220" s="15">
        <v>4434</v>
      </c>
    </row>
    <row r="1221" spans="1:5" ht="15.75" customHeight="1">
      <c r="A1221" s="15" t="str">
        <f t="shared" si="0"/>
        <v>ROMT</v>
      </c>
      <c r="B1221" s="15" t="s">
        <v>733</v>
      </c>
      <c r="C1221" s="15" t="s">
        <v>1052</v>
      </c>
      <c r="D1221" s="15">
        <v>13</v>
      </c>
      <c r="E1221" s="15">
        <v>1456</v>
      </c>
    </row>
    <row r="1222" spans="1:5" ht="15.75" customHeight="1">
      <c r="A1222" s="15" t="str">
        <f t="shared" si="0"/>
        <v>ROMS</v>
      </c>
      <c r="B1222" s="15" t="s">
        <v>733</v>
      </c>
      <c r="C1222" s="15" t="s">
        <v>1053</v>
      </c>
      <c r="D1222" s="15">
        <v>12</v>
      </c>
      <c r="E1222" s="15">
        <v>2150</v>
      </c>
    </row>
    <row r="1223" spans="1:5" ht="15.75" customHeight="1">
      <c r="A1223" s="15" t="str">
        <f t="shared" si="0"/>
        <v>ROMG</v>
      </c>
      <c r="B1223" s="15" t="s">
        <v>733</v>
      </c>
      <c r="C1223" s="15" t="s">
        <v>24</v>
      </c>
      <c r="D1223" s="15">
        <v>11</v>
      </c>
      <c r="E1223" s="15">
        <v>3050</v>
      </c>
    </row>
    <row r="1224" spans="1:5" ht="15.75" customHeight="1">
      <c r="A1224" s="15" t="str">
        <f t="shared" si="0"/>
        <v>ROPA</v>
      </c>
      <c r="B1224" s="15" t="s">
        <v>733</v>
      </c>
      <c r="C1224" s="15" t="s">
        <v>1054</v>
      </c>
      <c r="D1224" s="15">
        <v>14</v>
      </c>
      <c r="E1224" s="15">
        <v>4397</v>
      </c>
    </row>
    <row r="1225" spans="1:5" ht="15.75" customHeight="1">
      <c r="A1225" s="15" t="str">
        <f t="shared" si="0"/>
        <v>ROPB</v>
      </c>
      <c r="B1225" s="15" t="s">
        <v>733</v>
      </c>
      <c r="C1225" s="15" t="s">
        <v>1055</v>
      </c>
      <c r="D1225" s="15">
        <v>15</v>
      </c>
      <c r="E1225" s="15">
        <v>4822</v>
      </c>
    </row>
    <row r="1226" spans="1:5" ht="15.75" customHeight="1">
      <c r="A1226" s="15" t="str">
        <f t="shared" si="0"/>
        <v>ROPR</v>
      </c>
      <c r="B1226" s="15" t="s">
        <v>733</v>
      </c>
      <c r="C1226" s="15" t="s">
        <v>28</v>
      </c>
      <c r="D1226" s="15">
        <v>18</v>
      </c>
      <c r="E1226" s="15">
        <v>3135</v>
      </c>
    </row>
    <row r="1227" spans="1:5" ht="15.75" customHeight="1">
      <c r="A1227" s="15" t="str">
        <f t="shared" si="0"/>
        <v>ROPE</v>
      </c>
      <c r="B1227" s="15" t="s">
        <v>733</v>
      </c>
      <c r="C1227" s="15" t="s">
        <v>1061</v>
      </c>
      <c r="D1227" s="15">
        <v>16</v>
      </c>
      <c r="E1227" s="15">
        <v>4712</v>
      </c>
    </row>
    <row r="1228" spans="1:5" ht="15.75" customHeight="1">
      <c r="A1228" s="15" t="str">
        <f t="shared" si="0"/>
        <v>ROPI</v>
      </c>
      <c r="B1228" s="15" t="s">
        <v>733</v>
      </c>
      <c r="C1228" s="15" t="s">
        <v>1062</v>
      </c>
      <c r="D1228" s="15">
        <v>17</v>
      </c>
      <c r="E1228" s="15">
        <v>4366</v>
      </c>
    </row>
    <row r="1229" spans="1:5" ht="15.75" customHeight="1">
      <c r="A1229" s="15" t="str">
        <f t="shared" si="0"/>
        <v>RORJ</v>
      </c>
      <c r="B1229" s="15" t="s">
        <v>733</v>
      </c>
      <c r="C1229" s="15" t="s">
        <v>27</v>
      </c>
      <c r="D1229" s="15">
        <v>19</v>
      </c>
      <c r="E1229" s="15">
        <v>3473</v>
      </c>
    </row>
    <row r="1230" spans="1:5" ht="15.75" customHeight="1">
      <c r="A1230" s="15" t="str">
        <f t="shared" si="0"/>
        <v>RORN</v>
      </c>
      <c r="B1230" s="15" t="s">
        <v>733</v>
      </c>
      <c r="C1230" s="15" t="s">
        <v>732</v>
      </c>
      <c r="D1230" s="15">
        <v>20</v>
      </c>
      <c r="E1230" s="15">
        <v>4998</v>
      </c>
    </row>
    <row r="1231" spans="1:5" ht="15.75" customHeight="1">
      <c r="A1231" s="15" t="str">
        <f t="shared" si="0"/>
        <v>RORS</v>
      </c>
      <c r="B1231" s="15" t="s">
        <v>733</v>
      </c>
      <c r="C1231" s="15" t="s">
        <v>736</v>
      </c>
      <c r="D1231" s="15">
        <v>23</v>
      </c>
      <c r="E1231" s="15">
        <v>3662</v>
      </c>
    </row>
    <row r="1232" spans="1:5" ht="15.75" customHeight="1">
      <c r="A1232" s="15" t="str">
        <f t="shared" si="0"/>
        <v>RORO</v>
      </c>
      <c r="B1232" s="15" t="s">
        <v>733</v>
      </c>
      <c r="C1232" s="15" t="s">
        <v>733</v>
      </c>
      <c r="D1232" s="15">
        <v>21</v>
      </c>
      <c r="E1232" s="15">
        <v>0</v>
      </c>
    </row>
    <row r="1233" spans="1:5" ht="15.75" customHeight="1">
      <c r="A1233" s="15" t="str">
        <f t="shared" si="0"/>
        <v>RORR</v>
      </c>
      <c r="B1233" s="15" t="s">
        <v>733</v>
      </c>
      <c r="C1233" s="15" t="s">
        <v>1063</v>
      </c>
      <c r="D1233" s="15">
        <v>22</v>
      </c>
      <c r="E1233" s="15">
        <v>1686</v>
      </c>
    </row>
    <row r="1234" spans="1:5" ht="15.75" customHeight="1">
      <c r="A1234" s="15" t="str">
        <f t="shared" si="0"/>
        <v>ROSC</v>
      </c>
      <c r="B1234" s="15" t="s">
        <v>733</v>
      </c>
      <c r="C1234" s="15" t="s">
        <v>26</v>
      </c>
      <c r="D1234" s="15">
        <v>24</v>
      </c>
      <c r="E1234" s="15">
        <v>3442</v>
      </c>
    </row>
    <row r="1235" spans="1:5" ht="15.75" customHeight="1">
      <c r="A1235" s="15" t="str">
        <f t="shared" si="0"/>
        <v>ROSP</v>
      </c>
      <c r="B1235" s="15" t="s">
        <v>733</v>
      </c>
      <c r="C1235" s="15" t="s">
        <v>23</v>
      </c>
      <c r="D1235" s="15">
        <v>26</v>
      </c>
      <c r="E1235" s="15">
        <v>3070</v>
      </c>
    </row>
    <row r="1236" spans="1:5" ht="15.75" customHeight="1">
      <c r="A1236" s="15" t="str">
        <f t="shared" si="0"/>
        <v>ROSE</v>
      </c>
      <c r="B1236" s="15" t="s">
        <v>733</v>
      </c>
      <c r="C1236" s="15" t="s">
        <v>1060</v>
      </c>
      <c r="D1236" s="15">
        <v>25</v>
      </c>
      <c r="E1236" s="15">
        <v>2584</v>
      </c>
    </row>
    <row r="1237" spans="1:5" ht="15.75" customHeight="1">
      <c r="A1237" s="15" t="str">
        <f t="shared" si="0"/>
        <v>ROTO</v>
      </c>
      <c r="B1237" s="15" t="s">
        <v>733</v>
      </c>
      <c r="C1237" s="15" t="s">
        <v>1064</v>
      </c>
      <c r="D1237" s="15">
        <v>27</v>
      </c>
      <c r="E1237" s="15">
        <v>3240</v>
      </c>
    </row>
    <row r="1238" spans="1:5" ht="15.75" customHeight="1">
      <c r="A1238" s="15" t="str">
        <f t="shared" si="0"/>
        <v>RRAC</v>
      </c>
      <c r="B1238" s="15" t="s">
        <v>1063</v>
      </c>
      <c r="C1238" s="15" t="s">
        <v>1051</v>
      </c>
      <c r="D1238" s="15">
        <v>1</v>
      </c>
      <c r="E1238" s="15">
        <v>2230</v>
      </c>
    </row>
    <row r="1239" spans="1:5" ht="15.75" customHeight="1">
      <c r="A1239" s="15" t="str">
        <f t="shared" si="0"/>
        <v>RRAL</v>
      </c>
      <c r="B1239" s="15" t="s">
        <v>1063</v>
      </c>
      <c r="C1239" s="15" t="s">
        <v>1056</v>
      </c>
      <c r="D1239" s="15">
        <v>2</v>
      </c>
      <c r="E1239" s="15">
        <v>6276</v>
      </c>
    </row>
    <row r="1240" spans="1:5" ht="15.75" customHeight="1">
      <c r="A1240" s="15" t="str">
        <f t="shared" si="0"/>
        <v>RRAP</v>
      </c>
      <c r="B1240" s="15" t="s">
        <v>1063</v>
      </c>
      <c r="C1240" s="15" t="s">
        <v>1058</v>
      </c>
      <c r="D1240" s="15">
        <v>4</v>
      </c>
      <c r="E1240" s="15">
        <v>2230</v>
      </c>
    </row>
    <row r="1241" spans="1:5" ht="15.75" customHeight="1">
      <c r="A1241" s="15" t="str">
        <f t="shared" si="0"/>
        <v>RRAM</v>
      </c>
      <c r="B1241" s="15" t="s">
        <v>1063</v>
      </c>
      <c r="C1241" s="15" t="s">
        <v>29</v>
      </c>
      <c r="D1241" s="15">
        <v>3</v>
      </c>
      <c r="E1241" s="15">
        <v>785</v>
      </c>
    </row>
    <row r="1242" spans="1:5" ht="15.75" customHeight="1">
      <c r="A1242" s="15" t="str">
        <f t="shared" si="0"/>
        <v>RRBA</v>
      </c>
      <c r="B1242" s="15" t="s">
        <v>1063</v>
      </c>
      <c r="C1242" s="15" t="s">
        <v>34</v>
      </c>
      <c r="D1242" s="15">
        <v>5</v>
      </c>
      <c r="E1242" s="15">
        <v>5749</v>
      </c>
    </row>
    <row r="1243" spans="1:5" ht="15.75" customHeight="1">
      <c r="A1243" s="15" t="str">
        <f t="shared" si="0"/>
        <v>RRCE</v>
      </c>
      <c r="B1243" s="15" t="s">
        <v>1063</v>
      </c>
      <c r="C1243" s="15" t="s">
        <v>41</v>
      </c>
      <c r="D1243" s="15">
        <v>6</v>
      </c>
      <c r="E1243" s="15">
        <v>6548</v>
      </c>
    </row>
    <row r="1244" spans="1:5" ht="15.75" customHeight="1">
      <c r="A1244" s="15" t="str">
        <f t="shared" si="0"/>
        <v>RRDF</v>
      </c>
      <c r="B1244" s="15" t="s">
        <v>1063</v>
      </c>
      <c r="C1244" s="15" t="s">
        <v>1059</v>
      </c>
      <c r="D1244" s="15">
        <v>7</v>
      </c>
      <c r="E1244" s="15">
        <v>4275</v>
      </c>
    </row>
    <row r="1245" spans="1:5" ht="15.75" customHeight="1">
      <c r="A1245" s="15" t="str">
        <f t="shared" si="0"/>
        <v>RRES</v>
      </c>
      <c r="B1245" s="15" t="s">
        <v>1063</v>
      </c>
      <c r="C1245" s="15" t="s">
        <v>25</v>
      </c>
      <c r="D1245" s="15">
        <v>8</v>
      </c>
      <c r="E1245" s="15">
        <v>5261</v>
      </c>
    </row>
    <row r="1246" spans="1:5" ht="15.75" customHeight="1">
      <c r="A1246" s="15" t="str">
        <f t="shared" si="0"/>
        <v>RRGO</v>
      </c>
      <c r="B1246" s="15" t="s">
        <v>1063</v>
      </c>
      <c r="C1246" s="15" t="s">
        <v>51</v>
      </c>
      <c r="D1246" s="15">
        <v>9</v>
      </c>
      <c r="E1246" s="15">
        <v>4076</v>
      </c>
    </row>
    <row r="1247" spans="1:5" ht="15.75" customHeight="1">
      <c r="A1247" s="15" t="str">
        <f t="shared" si="0"/>
        <v>RRMA</v>
      </c>
      <c r="B1247" s="15" t="s">
        <v>1063</v>
      </c>
      <c r="C1247" s="15" t="s">
        <v>1057</v>
      </c>
      <c r="D1247" s="15">
        <v>10</v>
      </c>
      <c r="E1247" s="15">
        <v>6120</v>
      </c>
    </row>
    <row r="1248" spans="1:5" ht="15.75" customHeight="1">
      <c r="A1248" s="15" t="str">
        <f t="shared" si="0"/>
        <v>RRMT</v>
      </c>
      <c r="B1248" s="15" t="s">
        <v>1063</v>
      </c>
      <c r="C1248" s="15" t="s">
        <v>1052</v>
      </c>
      <c r="D1248" s="15">
        <v>13</v>
      </c>
      <c r="E1248" s="15">
        <v>3142</v>
      </c>
    </row>
    <row r="1249" spans="1:5" ht="15.75" customHeight="1">
      <c r="A1249" s="15" t="str">
        <f t="shared" si="0"/>
        <v>RRMS</v>
      </c>
      <c r="B1249" s="15" t="s">
        <v>1063</v>
      </c>
      <c r="C1249" s="15" t="s">
        <v>1053</v>
      </c>
      <c r="D1249" s="15">
        <v>12</v>
      </c>
      <c r="E1249" s="15">
        <v>3836</v>
      </c>
    </row>
    <row r="1250" spans="1:5" ht="15.75" customHeight="1">
      <c r="A1250" s="15" t="str">
        <f t="shared" si="0"/>
        <v>RRMG</v>
      </c>
      <c r="B1250" s="15" t="s">
        <v>1063</v>
      </c>
      <c r="C1250" s="15" t="s">
        <v>24</v>
      </c>
      <c r="D1250" s="15">
        <v>11</v>
      </c>
      <c r="E1250" s="15">
        <v>4736</v>
      </c>
    </row>
    <row r="1251" spans="1:5" ht="15.75" customHeight="1">
      <c r="A1251" s="15" t="str">
        <f t="shared" si="0"/>
        <v>RRPA</v>
      </c>
      <c r="B1251" s="15" t="s">
        <v>1063</v>
      </c>
      <c r="C1251" s="15" t="s">
        <v>1054</v>
      </c>
      <c r="D1251" s="15">
        <v>14</v>
      </c>
      <c r="E1251" s="15">
        <v>6083</v>
      </c>
    </row>
    <row r="1252" spans="1:5" ht="15.75" customHeight="1">
      <c r="A1252" s="15" t="str">
        <f t="shared" si="0"/>
        <v>RRPB</v>
      </c>
      <c r="B1252" s="15" t="s">
        <v>1063</v>
      </c>
      <c r="C1252" s="15" t="s">
        <v>1055</v>
      </c>
      <c r="D1252" s="15">
        <v>15</v>
      </c>
      <c r="E1252" s="15">
        <v>6539</v>
      </c>
    </row>
    <row r="1253" spans="1:5" ht="15.75" customHeight="1">
      <c r="A1253" s="15" t="str">
        <f t="shared" si="0"/>
        <v>RRPR</v>
      </c>
      <c r="B1253" s="15" t="s">
        <v>1063</v>
      </c>
      <c r="C1253" s="15" t="s">
        <v>28</v>
      </c>
      <c r="D1253" s="15">
        <v>18</v>
      </c>
      <c r="E1253" s="15">
        <v>4821</v>
      </c>
    </row>
    <row r="1254" spans="1:5" ht="15.75" customHeight="1">
      <c r="A1254" s="15" t="str">
        <f t="shared" si="0"/>
        <v>RRPE</v>
      </c>
      <c r="B1254" s="15" t="s">
        <v>1063</v>
      </c>
      <c r="C1254" s="15" t="s">
        <v>1061</v>
      </c>
      <c r="D1254" s="15">
        <v>16</v>
      </c>
      <c r="E1254" s="15">
        <v>6483</v>
      </c>
    </row>
    <row r="1255" spans="1:5" ht="15.75" customHeight="1">
      <c r="A1255" s="15" t="str">
        <f t="shared" si="0"/>
        <v>RRPI</v>
      </c>
      <c r="B1255" s="15" t="s">
        <v>1063</v>
      </c>
      <c r="C1255" s="15" t="s">
        <v>1062</v>
      </c>
      <c r="D1255" s="15">
        <v>17</v>
      </c>
      <c r="E1255" s="15">
        <v>6052</v>
      </c>
    </row>
    <row r="1256" spans="1:5" ht="15.75" customHeight="1">
      <c r="A1256" s="15" t="str">
        <f t="shared" si="0"/>
        <v>RRRJ</v>
      </c>
      <c r="B1256" s="15" t="s">
        <v>1063</v>
      </c>
      <c r="C1256" s="15" t="s">
        <v>27</v>
      </c>
      <c r="D1256" s="15">
        <v>19</v>
      </c>
      <c r="E1256" s="15">
        <v>5159</v>
      </c>
    </row>
    <row r="1257" spans="1:5" ht="15.75" customHeight="1">
      <c r="A1257" s="15" t="str">
        <f t="shared" si="0"/>
        <v>RRRN</v>
      </c>
      <c r="B1257" s="15" t="s">
        <v>1063</v>
      </c>
      <c r="C1257" s="15" t="s">
        <v>732</v>
      </c>
      <c r="D1257" s="15">
        <v>20</v>
      </c>
      <c r="E1257" s="15">
        <v>6770</v>
      </c>
    </row>
    <row r="1258" spans="1:5" ht="15.75" customHeight="1">
      <c r="A1258" s="15" t="str">
        <f t="shared" si="0"/>
        <v>RRRS</v>
      </c>
      <c r="B1258" s="15" t="s">
        <v>1063</v>
      </c>
      <c r="C1258" s="15" t="s">
        <v>736</v>
      </c>
      <c r="D1258" s="15">
        <v>23</v>
      </c>
      <c r="E1258" s="15">
        <v>5348</v>
      </c>
    </row>
    <row r="1259" spans="1:5" ht="15.75" customHeight="1">
      <c r="A1259" s="15" t="str">
        <f t="shared" si="0"/>
        <v>RRRO</v>
      </c>
      <c r="B1259" s="15" t="s">
        <v>1063</v>
      </c>
      <c r="C1259" s="15" t="s">
        <v>733</v>
      </c>
      <c r="D1259" s="15">
        <v>21</v>
      </c>
      <c r="E1259" s="15">
        <v>1686</v>
      </c>
    </row>
    <row r="1260" spans="1:5" ht="15.75" customHeight="1">
      <c r="A1260" s="15" t="str">
        <f t="shared" si="0"/>
        <v>RRRR</v>
      </c>
      <c r="B1260" s="15" t="s">
        <v>1063</v>
      </c>
      <c r="C1260" s="15" t="s">
        <v>1063</v>
      </c>
      <c r="D1260" s="15">
        <v>22</v>
      </c>
      <c r="E1260" s="15">
        <v>0</v>
      </c>
    </row>
    <row r="1261" spans="1:5" ht="15.75" customHeight="1">
      <c r="A1261" s="15" t="str">
        <f t="shared" si="0"/>
        <v>RRSC</v>
      </c>
      <c r="B1261" s="15" t="s">
        <v>1063</v>
      </c>
      <c r="C1261" s="15" t="s">
        <v>26</v>
      </c>
      <c r="D1261" s="15">
        <v>24</v>
      </c>
      <c r="E1261" s="15">
        <v>5128</v>
      </c>
    </row>
    <row r="1262" spans="1:5" ht="15.75" customHeight="1">
      <c r="A1262" s="15" t="str">
        <f t="shared" si="0"/>
        <v>RRSP</v>
      </c>
      <c r="B1262" s="15" t="s">
        <v>1063</v>
      </c>
      <c r="C1262" s="15" t="s">
        <v>23</v>
      </c>
      <c r="D1262" s="15">
        <v>26</v>
      </c>
      <c r="E1262" s="15">
        <v>4756</v>
      </c>
    </row>
    <row r="1263" spans="1:5" ht="15.75" customHeight="1">
      <c r="A1263" s="15" t="str">
        <f t="shared" si="0"/>
        <v>RRSE</v>
      </c>
      <c r="B1263" s="15" t="s">
        <v>1063</v>
      </c>
      <c r="C1263" s="15" t="s">
        <v>1060</v>
      </c>
      <c r="D1263" s="15">
        <v>25</v>
      </c>
      <c r="E1263" s="15">
        <v>6000</v>
      </c>
    </row>
    <row r="1264" spans="1:5" ht="15.75" customHeight="1">
      <c r="A1264" s="15" t="str">
        <f t="shared" si="0"/>
        <v>RRTO</v>
      </c>
      <c r="B1264" s="15" t="s">
        <v>1063</v>
      </c>
      <c r="C1264" s="15" t="s">
        <v>1064</v>
      </c>
      <c r="D1264" s="15">
        <v>27</v>
      </c>
      <c r="E1264" s="15">
        <v>4926</v>
      </c>
    </row>
    <row r="1265" spans="1:5" ht="15.75" customHeight="1">
      <c r="A1265" s="15" t="str">
        <f t="shared" si="0"/>
        <v>SCAC</v>
      </c>
      <c r="B1265" s="15" t="s">
        <v>26</v>
      </c>
      <c r="C1265" s="15" t="s">
        <v>1051</v>
      </c>
      <c r="D1265" s="15">
        <v>1</v>
      </c>
      <c r="E1265" s="15">
        <v>3976</v>
      </c>
    </row>
    <row r="1266" spans="1:5" ht="15.75" customHeight="1">
      <c r="A1266" s="15" t="str">
        <f t="shared" si="0"/>
        <v>SCAL</v>
      </c>
      <c r="B1266" s="15" t="s">
        <v>26</v>
      </c>
      <c r="C1266" s="15" t="s">
        <v>1056</v>
      </c>
      <c r="D1266" s="15">
        <v>2</v>
      </c>
      <c r="E1266" s="15">
        <v>3168</v>
      </c>
    </row>
    <row r="1267" spans="1:5" ht="15.75" customHeight="1">
      <c r="A1267" s="15" t="str">
        <f t="shared" si="0"/>
        <v>SCAP</v>
      </c>
      <c r="B1267" s="15" t="s">
        <v>26</v>
      </c>
      <c r="C1267" s="15" t="s">
        <v>1058</v>
      </c>
      <c r="D1267" s="15">
        <v>4</v>
      </c>
      <c r="E1267" s="15">
        <v>3976</v>
      </c>
    </row>
    <row r="1268" spans="1:5" ht="15.75" customHeight="1">
      <c r="A1268" s="15" t="str">
        <f t="shared" si="0"/>
        <v>SCAM</v>
      </c>
      <c r="B1268" s="15" t="s">
        <v>26</v>
      </c>
      <c r="C1268" s="15" t="s">
        <v>29</v>
      </c>
      <c r="D1268" s="15">
        <v>3</v>
      </c>
      <c r="E1268" s="15">
        <v>4343</v>
      </c>
    </row>
    <row r="1269" spans="1:5" ht="15.75" customHeight="1">
      <c r="A1269" s="15" t="str">
        <f t="shared" si="0"/>
        <v>SCBA</v>
      </c>
      <c r="B1269" s="15" t="s">
        <v>26</v>
      </c>
      <c r="C1269" s="15" t="s">
        <v>34</v>
      </c>
      <c r="D1269" s="15">
        <v>5</v>
      </c>
      <c r="E1269" s="15">
        <v>2682</v>
      </c>
    </row>
    <row r="1270" spans="1:5" ht="15.75" customHeight="1">
      <c r="A1270" s="15" t="str">
        <f t="shared" si="0"/>
        <v>SCCE</v>
      </c>
      <c r="B1270" s="15" t="s">
        <v>26</v>
      </c>
      <c r="C1270" s="15" t="s">
        <v>41</v>
      </c>
      <c r="D1270" s="15">
        <v>6</v>
      </c>
      <c r="E1270" s="15">
        <v>3838</v>
      </c>
    </row>
    <row r="1271" spans="1:5" ht="15.75" customHeight="1">
      <c r="A1271" s="15" t="str">
        <f t="shared" si="0"/>
        <v>SCDF</v>
      </c>
      <c r="B1271" s="15" t="s">
        <v>26</v>
      </c>
      <c r="C1271" s="15" t="s">
        <v>1059</v>
      </c>
      <c r="D1271" s="15">
        <v>7</v>
      </c>
      <c r="E1271" s="15">
        <v>1673</v>
      </c>
    </row>
    <row r="1272" spans="1:5" ht="15.75" customHeight="1">
      <c r="A1272" s="15" t="str">
        <f t="shared" si="0"/>
        <v>SCES</v>
      </c>
      <c r="B1272" s="15" t="s">
        <v>26</v>
      </c>
      <c r="C1272" s="15" t="s">
        <v>25</v>
      </c>
      <c r="D1272" s="15">
        <v>8</v>
      </c>
      <c r="E1272" s="15">
        <v>1597</v>
      </c>
    </row>
    <row r="1273" spans="1:5" ht="15.75" customHeight="1">
      <c r="A1273" s="15" t="str">
        <f t="shared" si="0"/>
        <v>SCGO</v>
      </c>
      <c r="B1273" s="15" t="s">
        <v>26</v>
      </c>
      <c r="C1273" s="15" t="s">
        <v>51</v>
      </c>
      <c r="D1273" s="15">
        <v>9</v>
      </c>
      <c r="E1273" s="15">
        <v>1493</v>
      </c>
    </row>
    <row r="1274" spans="1:5" ht="15.75" customHeight="1">
      <c r="A1274" s="15" t="str">
        <f t="shared" si="0"/>
        <v>SCMA</v>
      </c>
      <c r="B1274" s="15" t="s">
        <v>26</v>
      </c>
      <c r="C1274" s="15" t="s">
        <v>1057</v>
      </c>
      <c r="D1274" s="15">
        <v>10</v>
      </c>
      <c r="E1274" s="15">
        <v>3537</v>
      </c>
    </row>
    <row r="1275" spans="1:5" ht="15.75" customHeight="1">
      <c r="A1275" s="15" t="str">
        <f t="shared" si="0"/>
        <v>SCMT</v>
      </c>
      <c r="B1275" s="15" t="s">
        <v>26</v>
      </c>
      <c r="C1275" s="15" t="s">
        <v>1052</v>
      </c>
      <c r="D1275" s="15">
        <v>13</v>
      </c>
      <c r="E1275" s="15">
        <v>1986</v>
      </c>
    </row>
    <row r="1276" spans="1:5" ht="15.75" customHeight="1">
      <c r="A1276" s="15" t="str">
        <f t="shared" si="0"/>
        <v>SCMS</v>
      </c>
      <c r="B1276" s="15" t="s">
        <v>26</v>
      </c>
      <c r="C1276" s="15" t="s">
        <v>1053</v>
      </c>
      <c r="D1276" s="15">
        <v>12</v>
      </c>
      <c r="E1276" s="15">
        <v>1298</v>
      </c>
    </row>
    <row r="1277" spans="1:5" ht="15.75" customHeight="1">
      <c r="A1277" s="15" t="str">
        <f t="shared" si="0"/>
        <v>SCMG</v>
      </c>
      <c r="B1277" s="15" t="s">
        <v>26</v>
      </c>
      <c r="C1277" s="15" t="s">
        <v>24</v>
      </c>
      <c r="D1277" s="15">
        <v>11</v>
      </c>
      <c r="E1277" s="15">
        <v>1301</v>
      </c>
    </row>
    <row r="1278" spans="1:5" ht="15.75" customHeight="1">
      <c r="A1278" s="15" t="str">
        <f t="shared" si="0"/>
        <v>SCPA</v>
      </c>
      <c r="B1278" s="15" t="s">
        <v>26</v>
      </c>
      <c r="C1278" s="15" t="s">
        <v>1054</v>
      </c>
      <c r="D1278" s="15">
        <v>14</v>
      </c>
      <c r="E1278" s="15">
        <v>3500</v>
      </c>
    </row>
    <row r="1279" spans="1:5" ht="15.75" customHeight="1">
      <c r="A1279" s="15" t="str">
        <f t="shared" si="0"/>
        <v>SCPB</v>
      </c>
      <c r="B1279" s="15" t="s">
        <v>26</v>
      </c>
      <c r="C1279" s="15" t="s">
        <v>1055</v>
      </c>
      <c r="D1279" s="15">
        <v>15</v>
      </c>
      <c r="E1279" s="15">
        <v>3485</v>
      </c>
    </row>
    <row r="1280" spans="1:5" ht="15.75" customHeight="1">
      <c r="A1280" s="15" t="str">
        <f t="shared" si="0"/>
        <v>SCPR</v>
      </c>
      <c r="B1280" s="15" t="s">
        <v>26</v>
      </c>
      <c r="C1280" s="15" t="s">
        <v>28</v>
      </c>
      <c r="D1280" s="15">
        <v>18</v>
      </c>
      <c r="E1280" s="15">
        <v>300</v>
      </c>
    </row>
    <row r="1281" spans="1:5" ht="15.75" customHeight="1">
      <c r="A1281" s="15" t="str">
        <f t="shared" si="0"/>
        <v>SCPE</v>
      </c>
      <c r="B1281" s="15" t="s">
        <v>26</v>
      </c>
      <c r="C1281" s="15" t="s">
        <v>1061</v>
      </c>
      <c r="D1281" s="15">
        <v>16</v>
      </c>
      <c r="E1281" s="15">
        <v>3375</v>
      </c>
    </row>
    <row r="1282" spans="1:5" ht="15.75" customHeight="1">
      <c r="A1282" s="15" t="str">
        <f t="shared" si="0"/>
        <v>SCPI</v>
      </c>
      <c r="B1282" s="15" t="s">
        <v>26</v>
      </c>
      <c r="C1282" s="15" t="s">
        <v>1062</v>
      </c>
      <c r="D1282" s="15">
        <v>17</v>
      </c>
      <c r="E1282" s="15">
        <v>3450</v>
      </c>
    </row>
    <row r="1283" spans="1:5" ht="15.75" customHeight="1">
      <c r="A1283" s="15" t="str">
        <f t="shared" si="0"/>
        <v>SCRJ</v>
      </c>
      <c r="B1283" s="15" t="s">
        <v>26</v>
      </c>
      <c r="C1283" s="15" t="s">
        <v>27</v>
      </c>
      <c r="D1283" s="15">
        <v>19</v>
      </c>
      <c r="E1283" s="15">
        <v>1144</v>
      </c>
    </row>
    <row r="1284" spans="1:5" ht="15.75" customHeight="1">
      <c r="A1284" s="15" t="str">
        <f t="shared" si="0"/>
        <v>SCRN</v>
      </c>
      <c r="B1284" s="15" t="s">
        <v>26</v>
      </c>
      <c r="C1284" s="15" t="s">
        <v>732</v>
      </c>
      <c r="D1284" s="15">
        <v>20</v>
      </c>
      <c r="E1284" s="15">
        <v>3662</v>
      </c>
    </row>
    <row r="1285" spans="1:5" ht="15.75" customHeight="1">
      <c r="A1285" s="15" t="str">
        <f t="shared" si="0"/>
        <v>SCRS</v>
      </c>
      <c r="B1285" s="15" t="s">
        <v>26</v>
      </c>
      <c r="C1285" s="15" t="s">
        <v>736</v>
      </c>
      <c r="D1285" s="15">
        <v>23</v>
      </c>
      <c r="E1285" s="15">
        <v>476</v>
      </c>
    </row>
    <row r="1286" spans="1:5" ht="15.75" customHeight="1">
      <c r="A1286" s="15" t="str">
        <f t="shared" si="0"/>
        <v>SCRO</v>
      </c>
      <c r="B1286" s="15" t="s">
        <v>26</v>
      </c>
      <c r="C1286" s="15" t="s">
        <v>733</v>
      </c>
      <c r="D1286" s="15">
        <v>21</v>
      </c>
      <c r="E1286" s="15">
        <v>3442</v>
      </c>
    </row>
    <row r="1287" spans="1:5" ht="15.75" customHeight="1">
      <c r="A1287" s="15" t="str">
        <f t="shared" si="0"/>
        <v>SCRR</v>
      </c>
      <c r="B1287" s="15" t="s">
        <v>26</v>
      </c>
      <c r="C1287" s="15" t="s">
        <v>1063</v>
      </c>
      <c r="D1287" s="15">
        <v>22</v>
      </c>
      <c r="E1287" s="15">
        <v>5128</v>
      </c>
    </row>
    <row r="1288" spans="1:5" ht="15.75" customHeight="1">
      <c r="A1288" s="15" t="str">
        <f t="shared" si="0"/>
        <v>SCSC</v>
      </c>
      <c r="B1288" s="15" t="s">
        <v>26</v>
      </c>
      <c r="C1288" s="15" t="s">
        <v>26</v>
      </c>
      <c r="D1288" s="15">
        <v>24</v>
      </c>
      <c r="E1288" s="15">
        <v>0</v>
      </c>
    </row>
    <row r="1289" spans="1:5" ht="15.75" customHeight="1">
      <c r="A1289" s="15" t="str">
        <f t="shared" si="0"/>
        <v>SCSP</v>
      </c>
      <c r="B1289" s="15" t="s">
        <v>26</v>
      </c>
      <c r="C1289" s="15" t="s">
        <v>23</v>
      </c>
      <c r="D1289" s="15">
        <v>26</v>
      </c>
      <c r="E1289" s="15">
        <v>705</v>
      </c>
    </row>
    <row r="1290" spans="1:5" ht="15.75" customHeight="1">
      <c r="A1290" s="15" t="str">
        <f t="shared" si="0"/>
        <v>SCSE</v>
      </c>
      <c r="B1290" s="15" t="s">
        <v>26</v>
      </c>
      <c r="C1290" s="15" t="s">
        <v>1060</v>
      </c>
      <c r="D1290" s="15">
        <v>25</v>
      </c>
      <c r="E1290" s="15">
        <v>2775</v>
      </c>
    </row>
    <row r="1291" spans="1:5" ht="15.75" customHeight="1">
      <c r="A1291" s="15" t="str">
        <f t="shared" si="0"/>
        <v>SCTO</v>
      </c>
      <c r="B1291" s="15" t="s">
        <v>26</v>
      </c>
      <c r="C1291" s="15" t="s">
        <v>1064</v>
      </c>
      <c r="D1291" s="15">
        <v>27</v>
      </c>
      <c r="E1291" s="15">
        <v>2336</v>
      </c>
    </row>
    <row r="1292" spans="1:5" ht="15.75" customHeight="1">
      <c r="A1292" s="15" t="str">
        <f t="shared" si="0"/>
        <v>SPAC</v>
      </c>
      <c r="B1292" s="15" t="s">
        <v>23</v>
      </c>
      <c r="C1292" s="15" t="s">
        <v>1051</v>
      </c>
      <c r="D1292" s="15">
        <v>1</v>
      </c>
      <c r="E1292" s="15">
        <v>3604</v>
      </c>
    </row>
    <row r="1293" spans="1:5" ht="15.75" customHeight="1">
      <c r="A1293" s="15" t="str">
        <f t="shared" si="0"/>
        <v>SPAL</v>
      </c>
      <c r="B1293" s="15" t="s">
        <v>23</v>
      </c>
      <c r="C1293" s="15" t="s">
        <v>1056</v>
      </c>
      <c r="D1293" s="15">
        <v>2</v>
      </c>
      <c r="E1293" s="15">
        <v>2453</v>
      </c>
    </row>
    <row r="1294" spans="1:5" ht="15.75" customHeight="1">
      <c r="A1294" s="15" t="str">
        <f t="shared" si="0"/>
        <v>SPAP</v>
      </c>
      <c r="B1294" s="15" t="s">
        <v>23</v>
      </c>
      <c r="C1294" s="15" t="s">
        <v>1058</v>
      </c>
      <c r="D1294" s="15">
        <v>4</v>
      </c>
      <c r="E1294" s="15">
        <v>3604</v>
      </c>
    </row>
    <row r="1295" spans="1:5" ht="15.75" customHeight="1">
      <c r="A1295" s="15" t="str">
        <f t="shared" si="0"/>
        <v>SPAM</v>
      </c>
      <c r="B1295" s="15" t="s">
        <v>23</v>
      </c>
      <c r="C1295" s="15" t="s">
        <v>29</v>
      </c>
      <c r="D1295" s="15">
        <v>3</v>
      </c>
      <c r="E1295" s="15">
        <v>3971</v>
      </c>
    </row>
    <row r="1296" spans="1:5" ht="15.75" customHeight="1">
      <c r="A1296" s="15" t="str">
        <f t="shared" si="0"/>
        <v>SPBA</v>
      </c>
      <c r="B1296" s="15" t="s">
        <v>23</v>
      </c>
      <c r="C1296" s="15" t="s">
        <v>34</v>
      </c>
      <c r="D1296" s="15">
        <v>5</v>
      </c>
      <c r="E1296" s="15">
        <v>1962</v>
      </c>
    </row>
    <row r="1297" spans="1:5" ht="15.75" customHeight="1">
      <c r="A1297" s="15" t="str">
        <f t="shared" si="0"/>
        <v>SPCE</v>
      </c>
      <c r="B1297" s="15" t="s">
        <v>23</v>
      </c>
      <c r="C1297" s="15" t="s">
        <v>41</v>
      </c>
      <c r="D1297" s="15">
        <v>6</v>
      </c>
      <c r="E1297" s="15">
        <v>3127</v>
      </c>
    </row>
    <row r="1298" spans="1:5" ht="15.75" customHeight="1">
      <c r="A1298" s="15" t="str">
        <f t="shared" si="0"/>
        <v>SPDF</v>
      </c>
      <c r="B1298" s="15" t="s">
        <v>23</v>
      </c>
      <c r="C1298" s="15" t="s">
        <v>1059</v>
      </c>
      <c r="D1298" s="15">
        <v>7</v>
      </c>
      <c r="E1298" s="15">
        <v>1015</v>
      </c>
    </row>
    <row r="1299" spans="1:5" ht="15.75" customHeight="1">
      <c r="A1299" s="15" t="str">
        <f t="shared" si="0"/>
        <v>SPES</v>
      </c>
      <c r="B1299" s="15" t="s">
        <v>23</v>
      </c>
      <c r="C1299" s="15" t="s">
        <v>25</v>
      </c>
      <c r="D1299" s="15">
        <v>8</v>
      </c>
      <c r="E1299" s="15">
        <v>882</v>
      </c>
    </row>
    <row r="1300" spans="1:5" ht="15.75" customHeight="1">
      <c r="A1300" s="15" t="str">
        <f t="shared" si="0"/>
        <v>SPGO</v>
      </c>
      <c r="B1300" s="15" t="s">
        <v>23</v>
      </c>
      <c r="C1300" s="15" t="s">
        <v>51</v>
      </c>
      <c r="D1300" s="15">
        <v>9</v>
      </c>
      <c r="E1300" s="15">
        <v>926</v>
      </c>
    </row>
    <row r="1301" spans="1:5" ht="15.75" customHeight="1">
      <c r="A1301" s="15" t="str">
        <f t="shared" si="0"/>
        <v>SPMA</v>
      </c>
      <c r="B1301" s="15" t="s">
        <v>23</v>
      </c>
      <c r="C1301" s="15" t="s">
        <v>1057</v>
      </c>
      <c r="D1301" s="15">
        <v>10</v>
      </c>
      <c r="E1301" s="15">
        <v>2970</v>
      </c>
    </row>
    <row r="1302" spans="1:5" ht="15.75" customHeight="1">
      <c r="A1302" s="15" t="str">
        <f t="shared" si="0"/>
        <v>SPMT</v>
      </c>
      <c r="B1302" s="15" t="s">
        <v>23</v>
      </c>
      <c r="C1302" s="15" t="s">
        <v>1052</v>
      </c>
      <c r="D1302" s="15">
        <v>13</v>
      </c>
      <c r="E1302" s="15">
        <v>1614</v>
      </c>
    </row>
    <row r="1303" spans="1:5" ht="15.75" customHeight="1">
      <c r="A1303" s="15" t="str">
        <f t="shared" si="0"/>
        <v>SPMS</v>
      </c>
      <c r="B1303" s="15" t="s">
        <v>23</v>
      </c>
      <c r="C1303" s="15" t="s">
        <v>1053</v>
      </c>
      <c r="D1303" s="15">
        <v>12</v>
      </c>
      <c r="E1303" s="15">
        <v>1014</v>
      </c>
    </row>
    <row r="1304" spans="1:5" ht="15.75" customHeight="1">
      <c r="A1304" s="15" t="str">
        <f t="shared" si="0"/>
        <v>SPMG</v>
      </c>
      <c r="B1304" s="15" t="s">
        <v>23</v>
      </c>
      <c r="C1304" s="15" t="s">
        <v>24</v>
      </c>
      <c r="D1304" s="15">
        <v>11</v>
      </c>
      <c r="E1304" s="15">
        <v>586</v>
      </c>
    </row>
    <row r="1305" spans="1:5" ht="15.75" customHeight="1">
      <c r="A1305" s="15" t="str">
        <f t="shared" si="0"/>
        <v>SPPA</v>
      </c>
      <c r="B1305" s="15" t="s">
        <v>23</v>
      </c>
      <c r="C1305" s="15" t="s">
        <v>1054</v>
      </c>
      <c r="D1305" s="15">
        <v>14</v>
      </c>
      <c r="E1305" s="15">
        <v>2933</v>
      </c>
    </row>
    <row r="1306" spans="1:5" ht="15.75" customHeight="1">
      <c r="A1306" s="15" t="str">
        <f t="shared" si="0"/>
        <v>SPPB</v>
      </c>
      <c r="B1306" s="15" t="s">
        <v>23</v>
      </c>
      <c r="C1306" s="15" t="s">
        <v>1055</v>
      </c>
      <c r="D1306" s="15">
        <v>15</v>
      </c>
      <c r="E1306" s="15">
        <v>2770</v>
      </c>
    </row>
    <row r="1307" spans="1:5" ht="15.75" customHeight="1">
      <c r="A1307" s="15" t="str">
        <f t="shared" si="0"/>
        <v>SPPR</v>
      </c>
      <c r="B1307" s="15" t="s">
        <v>23</v>
      </c>
      <c r="C1307" s="15" t="s">
        <v>28</v>
      </c>
      <c r="D1307" s="15">
        <v>18</v>
      </c>
      <c r="E1307" s="15">
        <v>408</v>
      </c>
    </row>
    <row r="1308" spans="1:5" ht="15.75" customHeight="1">
      <c r="A1308" s="15" t="str">
        <f t="shared" si="0"/>
        <v>SPPE</v>
      </c>
      <c r="B1308" s="15" t="s">
        <v>23</v>
      </c>
      <c r="C1308" s="15" t="s">
        <v>1061</v>
      </c>
      <c r="D1308" s="15">
        <v>16</v>
      </c>
      <c r="E1308" s="15">
        <v>2660</v>
      </c>
    </row>
    <row r="1309" spans="1:5" ht="15.75" customHeight="1">
      <c r="A1309" s="15" t="str">
        <f t="shared" si="0"/>
        <v>SPPI</v>
      </c>
      <c r="B1309" s="15" t="s">
        <v>23</v>
      </c>
      <c r="C1309" s="15" t="s">
        <v>1062</v>
      </c>
      <c r="D1309" s="15">
        <v>17</v>
      </c>
      <c r="E1309" s="15">
        <v>2792</v>
      </c>
    </row>
    <row r="1310" spans="1:5" ht="15.75" customHeight="1">
      <c r="A1310" s="15" t="str">
        <f t="shared" si="0"/>
        <v>SPRJ</v>
      </c>
      <c r="B1310" s="15" t="s">
        <v>23</v>
      </c>
      <c r="C1310" s="15" t="s">
        <v>27</v>
      </c>
      <c r="D1310" s="15">
        <v>19</v>
      </c>
      <c r="E1310" s="15">
        <v>429</v>
      </c>
    </row>
    <row r="1311" spans="1:5" ht="15.75" customHeight="1">
      <c r="A1311" s="15" t="str">
        <f t="shared" si="0"/>
        <v>SPRN</v>
      </c>
      <c r="B1311" s="15" t="s">
        <v>23</v>
      </c>
      <c r="C1311" s="15" t="s">
        <v>732</v>
      </c>
      <c r="D1311" s="15">
        <v>20</v>
      </c>
      <c r="E1311" s="15">
        <v>2947</v>
      </c>
    </row>
    <row r="1312" spans="1:5" ht="15.75" customHeight="1">
      <c r="A1312" s="15" t="str">
        <f t="shared" si="0"/>
        <v>SPRS</v>
      </c>
      <c r="B1312" s="15" t="s">
        <v>23</v>
      </c>
      <c r="C1312" s="15" t="s">
        <v>736</v>
      </c>
      <c r="D1312" s="15">
        <v>23</v>
      </c>
      <c r="E1312" s="15">
        <v>1109</v>
      </c>
    </row>
    <row r="1313" spans="1:5" ht="15.75" customHeight="1">
      <c r="A1313" s="15" t="str">
        <f t="shared" si="0"/>
        <v>SPRO</v>
      </c>
      <c r="B1313" s="15" t="s">
        <v>23</v>
      </c>
      <c r="C1313" s="15" t="s">
        <v>733</v>
      </c>
      <c r="D1313" s="15">
        <v>21</v>
      </c>
      <c r="E1313" s="15">
        <v>3070</v>
      </c>
    </row>
    <row r="1314" spans="1:5" ht="15.75" customHeight="1">
      <c r="A1314" s="15" t="str">
        <f t="shared" si="0"/>
        <v>SPRR</v>
      </c>
      <c r="B1314" s="15" t="s">
        <v>23</v>
      </c>
      <c r="C1314" s="15" t="s">
        <v>1063</v>
      </c>
      <c r="D1314" s="15">
        <v>22</v>
      </c>
      <c r="E1314" s="15">
        <v>4756</v>
      </c>
    </row>
    <row r="1315" spans="1:5" ht="15.75" customHeight="1">
      <c r="A1315" s="15" t="str">
        <f t="shared" si="0"/>
        <v>SPSC</v>
      </c>
      <c r="B1315" s="15" t="s">
        <v>23</v>
      </c>
      <c r="C1315" s="15" t="s">
        <v>26</v>
      </c>
      <c r="D1315" s="15">
        <v>24</v>
      </c>
      <c r="E1315" s="15">
        <v>705</v>
      </c>
    </row>
    <row r="1316" spans="1:5" ht="15.75" customHeight="1">
      <c r="A1316" s="15" t="str">
        <f t="shared" si="0"/>
        <v>SPSP</v>
      </c>
      <c r="B1316" s="15" t="s">
        <v>23</v>
      </c>
      <c r="C1316" s="15" t="s">
        <v>23</v>
      </c>
      <c r="D1316" s="15">
        <v>26</v>
      </c>
      <c r="E1316" s="15">
        <v>0</v>
      </c>
    </row>
    <row r="1317" spans="1:5" ht="15.75" customHeight="1">
      <c r="A1317" s="15" t="str">
        <f t="shared" si="0"/>
        <v>SPSE</v>
      </c>
      <c r="B1317" s="15" t="s">
        <v>23</v>
      </c>
      <c r="C1317" s="15" t="s">
        <v>1060</v>
      </c>
      <c r="D1317" s="15">
        <v>25</v>
      </c>
      <c r="E1317" s="15">
        <v>3296</v>
      </c>
    </row>
    <row r="1318" spans="1:5" ht="15.75" customHeight="1">
      <c r="A1318" s="15" t="str">
        <f t="shared" si="0"/>
        <v>SPTO</v>
      </c>
      <c r="B1318" s="15" t="s">
        <v>23</v>
      </c>
      <c r="C1318" s="15" t="s">
        <v>1064</v>
      </c>
      <c r="D1318" s="15">
        <v>27</v>
      </c>
      <c r="E1318" s="15">
        <v>1776</v>
      </c>
    </row>
    <row r="1319" spans="1:5" ht="15.75" customHeight="1">
      <c r="A1319" s="15" t="str">
        <f t="shared" si="0"/>
        <v>SEAC</v>
      </c>
      <c r="B1319" s="15" t="s">
        <v>1060</v>
      </c>
      <c r="C1319" s="15" t="s">
        <v>1051</v>
      </c>
      <c r="D1319" s="15">
        <v>1</v>
      </c>
      <c r="E1319" s="15">
        <v>4763</v>
      </c>
    </row>
    <row r="1320" spans="1:5" ht="15.75" customHeight="1">
      <c r="A1320" s="15" t="str">
        <f t="shared" si="0"/>
        <v>SEAL</v>
      </c>
      <c r="B1320" s="15" t="s">
        <v>1060</v>
      </c>
      <c r="C1320" s="15" t="s">
        <v>1056</v>
      </c>
      <c r="D1320" s="15">
        <v>2</v>
      </c>
      <c r="E1320" s="15">
        <v>294</v>
      </c>
    </row>
    <row r="1321" spans="1:5" ht="15.75" customHeight="1">
      <c r="A1321" s="15" t="str">
        <f t="shared" si="0"/>
        <v>SEAP</v>
      </c>
      <c r="B1321" s="15" t="s">
        <v>1060</v>
      </c>
      <c r="C1321" s="15" t="s">
        <v>1058</v>
      </c>
      <c r="D1321" s="15">
        <v>4</v>
      </c>
      <c r="E1321" s="15">
        <v>4763</v>
      </c>
    </row>
    <row r="1322" spans="1:5" ht="15.75" customHeight="1">
      <c r="A1322" s="15" t="str">
        <f t="shared" si="0"/>
        <v>SEAM</v>
      </c>
      <c r="B1322" s="15" t="s">
        <v>1060</v>
      </c>
      <c r="C1322" s="15" t="s">
        <v>29</v>
      </c>
      <c r="D1322" s="15">
        <v>3</v>
      </c>
      <c r="E1322" s="15">
        <v>5215</v>
      </c>
    </row>
    <row r="1323" spans="1:5" ht="15.75" customHeight="1">
      <c r="A1323" s="15" t="str">
        <f t="shared" si="0"/>
        <v>SEBA</v>
      </c>
      <c r="B1323" s="15" t="s">
        <v>1060</v>
      </c>
      <c r="C1323" s="15" t="s">
        <v>34</v>
      </c>
      <c r="D1323" s="15">
        <v>5</v>
      </c>
      <c r="E1323" s="15">
        <v>356</v>
      </c>
    </row>
    <row r="1324" spans="1:5" ht="15.75" customHeight="1">
      <c r="A1324" s="15" t="str">
        <f t="shared" si="0"/>
        <v>SECE</v>
      </c>
      <c r="B1324" s="15" t="s">
        <v>1060</v>
      </c>
      <c r="C1324" s="15" t="s">
        <v>41</v>
      </c>
      <c r="D1324" s="15">
        <v>6</v>
      </c>
      <c r="E1324" s="15">
        <v>1183</v>
      </c>
    </row>
    <row r="1325" spans="1:5" ht="15.75" customHeight="1">
      <c r="A1325" s="15" t="str">
        <f t="shared" si="0"/>
        <v>SEDF</v>
      </c>
      <c r="B1325" s="15" t="s">
        <v>1060</v>
      </c>
      <c r="C1325" s="15" t="s">
        <v>1059</v>
      </c>
      <c r="D1325" s="15">
        <v>7</v>
      </c>
      <c r="E1325" s="15">
        <v>1650</v>
      </c>
    </row>
    <row r="1326" spans="1:5" ht="15.75" customHeight="1">
      <c r="A1326" s="15" t="str">
        <f t="shared" si="0"/>
        <v>SEES</v>
      </c>
      <c r="B1326" s="15" t="s">
        <v>1060</v>
      </c>
      <c r="C1326" s="15" t="s">
        <v>25</v>
      </c>
      <c r="D1326" s="15">
        <v>8</v>
      </c>
      <c r="E1326" s="15">
        <v>1408</v>
      </c>
    </row>
    <row r="1327" spans="1:5" ht="15.75" customHeight="1">
      <c r="A1327" s="15" t="str">
        <f t="shared" si="0"/>
        <v>SEGO</v>
      </c>
      <c r="B1327" s="15" t="s">
        <v>1060</v>
      </c>
      <c r="C1327" s="15" t="s">
        <v>51</v>
      </c>
      <c r="D1327" s="15">
        <v>9</v>
      </c>
      <c r="E1327" s="15">
        <v>1849</v>
      </c>
    </row>
    <row r="1328" spans="1:5" ht="15.75" customHeight="1">
      <c r="A1328" s="15" t="str">
        <f t="shared" si="0"/>
        <v>SEMA</v>
      </c>
      <c r="B1328" s="15" t="s">
        <v>1060</v>
      </c>
      <c r="C1328" s="15" t="s">
        <v>1057</v>
      </c>
      <c r="D1328" s="15">
        <v>10</v>
      </c>
      <c r="E1328" s="15">
        <v>1578</v>
      </c>
    </row>
    <row r="1329" spans="1:5" ht="15.75" customHeight="1">
      <c r="A1329" s="15" t="str">
        <f t="shared" si="0"/>
        <v>SEMT</v>
      </c>
      <c r="B1329" s="15" t="s">
        <v>1060</v>
      </c>
      <c r="C1329" s="15" t="s">
        <v>1052</v>
      </c>
      <c r="D1329" s="15">
        <v>13</v>
      </c>
      <c r="E1329" s="15">
        <v>2773</v>
      </c>
    </row>
    <row r="1330" spans="1:5" ht="15.75" customHeight="1">
      <c r="A1330" s="15" t="str">
        <f t="shared" si="0"/>
        <v>SEMS</v>
      </c>
      <c r="B1330" s="15" t="s">
        <v>1060</v>
      </c>
      <c r="C1330" s="15" t="s">
        <v>1053</v>
      </c>
      <c r="D1330" s="15">
        <v>12</v>
      </c>
      <c r="E1330" s="15">
        <v>2764</v>
      </c>
    </row>
    <row r="1331" spans="1:5" ht="15.75" customHeight="1">
      <c r="A1331" s="15" t="str">
        <f t="shared" si="0"/>
        <v>SEMG</v>
      </c>
      <c r="B1331" s="15" t="s">
        <v>1060</v>
      </c>
      <c r="C1331" s="15" t="s">
        <v>24</v>
      </c>
      <c r="D1331" s="15">
        <v>11</v>
      </c>
      <c r="E1331" s="15">
        <v>1578</v>
      </c>
    </row>
    <row r="1332" spans="1:5" ht="15.75" customHeight="1">
      <c r="A1332" s="15" t="str">
        <f t="shared" si="0"/>
        <v>SEPA</v>
      </c>
      <c r="B1332" s="15" t="s">
        <v>1060</v>
      </c>
      <c r="C1332" s="15" t="s">
        <v>1054</v>
      </c>
      <c r="D1332" s="15">
        <v>14</v>
      </c>
      <c r="E1332" s="15">
        <v>2079</v>
      </c>
    </row>
    <row r="1333" spans="1:5" ht="15.75" customHeight="1">
      <c r="A1333" s="15" t="str">
        <f t="shared" si="0"/>
        <v>SEPB</v>
      </c>
      <c r="B1333" s="15" t="s">
        <v>1060</v>
      </c>
      <c r="C1333" s="15" t="s">
        <v>1055</v>
      </c>
      <c r="D1333" s="15">
        <v>15</v>
      </c>
      <c r="E1333" s="15">
        <v>611</v>
      </c>
    </row>
    <row r="1334" spans="1:5" ht="15.75" customHeight="1">
      <c r="A1334" s="15" t="str">
        <f t="shared" si="0"/>
        <v>SEPR</v>
      </c>
      <c r="B1334" s="15" t="s">
        <v>1060</v>
      </c>
      <c r="C1334" s="15" t="s">
        <v>28</v>
      </c>
      <c r="D1334" s="15">
        <v>18</v>
      </c>
      <c r="E1334" s="15">
        <v>2595</v>
      </c>
    </row>
    <row r="1335" spans="1:5" ht="15.75" customHeight="1">
      <c r="A1335" s="15" t="str">
        <f t="shared" si="0"/>
        <v>SEPE</v>
      </c>
      <c r="B1335" s="15" t="s">
        <v>1060</v>
      </c>
      <c r="C1335" s="15" t="s">
        <v>1061</v>
      </c>
      <c r="D1335" s="15">
        <v>16</v>
      </c>
      <c r="E1335" s="15">
        <v>501</v>
      </c>
    </row>
    <row r="1336" spans="1:5" ht="15.75" customHeight="1">
      <c r="A1336" s="15" t="str">
        <f t="shared" si="0"/>
        <v>SEPI</v>
      </c>
      <c r="B1336" s="15" t="s">
        <v>1060</v>
      </c>
      <c r="C1336" s="15" t="s">
        <v>1062</v>
      </c>
      <c r="D1336" s="15">
        <v>17</v>
      </c>
      <c r="E1336" s="15">
        <v>1142</v>
      </c>
    </row>
    <row r="1337" spans="1:5" ht="15.75" customHeight="1">
      <c r="A1337" s="15" t="str">
        <f t="shared" si="0"/>
        <v>SERJ</v>
      </c>
      <c r="B1337" s="15" t="s">
        <v>1060</v>
      </c>
      <c r="C1337" s="15" t="s">
        <v>27</v>
      </c>
      <c r="D1337" s="15">
        <v>19</v>
      </c>
      <c r="E1337" s="15">
        <v>1855</v>
      </c>
    </row>
    <row r="1338" spans="1:5" ht="15.75" customHeight="1">
      <c r="A1338" s="15" t="str">
        <f t="shared" si="0"/>
        <v>SERN</v>
      </c>
      <c r="B1338" s="15" t="s">
        <v>1060</v>
      </c>
      <c r="C1338" s="15" t="s">
        <v>732</v>
      </c>
      <c r="D1338" s="15">
        <v>20</v>
      </c>
      <c r="E1338" s="15">
        <v>788</v>
      </c>
    </row>
    <row r="1339" spans="1:5" ht="15.75" customHeight="1">
      <c r="A1339" s="15" t="str">
        <f t="shared" si="0"/>
        <v>SERS</v>
      </c>
      <c r="B1339" s="15" t="s">
        <v>1060</v>
      </c>
      <c r="C1339" s="15" t="s">
        <v>736</v>
      </c>
      <c r="D1339" s="15">
        <v>23</v>
      </c>
      <c r="E1339" s="15">
        <v>3296</v>
      </c>
    </row>
    <row r="1340" spans="1:5" ht="15.75" customHeight="1">
      <c r="A1340" s="15" t="str">
        <f t="shared" si="0"/>
        <v>SERO</v>
      </c>
      <c r="B1340" s="15" t="s">
        <v>1060</v>
      </c>
      <c r="C1340" s="15" t="s">
        <v>733</v>
      </c>
      <c r="D1340" s="15">
        <v>21</v>
      </c>
      <c r="E1340" s="15">
        <v>4229</v>
      </c>
    </row>
    <row r="1341" spans="1:5" ht="15.75" customHeight="1">
      <c r="A1341" s="15" t="str">
        <f t="shared" si="0"/>
        <v>SERR</v>
      </c>
      <c r="B1341" s="15" t="s">
        <v>1060</v>
      </c>
      <c r="C1341" s="15" t="s">
        <v>1063</v>
      </c>
      <c r="D1341" s="15">
        <v>22</v>
      </c>
      <c r="E1341" s="15">
        <v>6000</v>
      </c>
    </row>
    <row r="1342" spans="1:5" ht="15.75" customHeight="1">
      <c r="A1342" s="15" t="str">
        <f t="shared" si="0"/>
        <v>SESC</v>
      </c>
      <c r="B1342" s="15" t="s">
        <v>1060</v>
      </c>
      <c r="C1342" s="15" t="s">
        <v>26</v>
      </c>
      <c r="D1342" s="15">
        <v>24</v>
      </c>
      <c r="E1342" s="15">
        <v>2892</v>
      </c>
    </row>
    <row r="1343" spans="1:5" ht="15.75" customHeight="1">
      <c r="A1343" s="15" t="str">
        <f t="shared" si="0"/>
        <v>SESP</v>
      </c>
      <c r="B1343" s="15" t="s">
        <v>1060</v>
      </c>
      <c r="C1343" s="15" t="s">
        <v>23</v>
      </c>
      <c r="D1343" s="15">
        <v>26</v>
      </c>
      <c r="E1343" s="15">
        <v>2188</v>
      </c>
    </row>
    <row r="1344" spans="1:5" ht="15.75" customHeight="1">
      <c r="A1344" s="15" t="str">
        <f t="shared" si="0"/>
        <v>SESE</v>
      </c>
      <c r="B1344" s="15" t="s">
        <v>1060</v>
      </c>
      <c r="C1344" s="15" t="s">
        <v>1060</v>
      </c>
      <c r="D1344" s="15">
        <v>25</v>
      </c>
      <c r="E1344" s="15">
        <v>0</v>
      </c>
    </row>
    <row r="1345" spans="1:5" ht="15.75" customHeight="1">
      <c r="A1345" s="15" t="str">
        <f t="shared" si="0"/>
        <v>SETO</v>
      </c>
      <c r="B1345" s="15" t="s">
        <v>1060</v>
      </c>
      <c r="C1345" s="15" t="s">
        <v>1064</v>
      </c>
      <c r="D1345" s="15">
        <v>27</v>
      </c>
      <c r="E1345" s="15">
        <v>2722</v>
      </c>
    </row>
    <row r="1346" spans="1:5" ht="15.75" customHeight="1">
      <c r="A1346" s="15" t="str">
        <f t="shared" si="0"/>
        <v>TOAC</v>
      </c>
      <c r="B1346" s="15" t="s">
        <v>1064</v>
      </c>
      <c r="C1346" s="15" t="s">
        <v>1051</v>
      </c>
      <c r="D1346" s="15">
        <v>1</v>
      </c>
      <c r="E1346" s="15">
        <v>3764</v>
      </c>
    </row>
    <row r="1347" spans="1:5" ht="15.75" customHeight="1">
      <c r="A1347" s="15" t="str">
        <f t="shared" si="0"/>
        <v>TOAL</v>
      </c>
      <c r="B1347" s="15" t="s">
        <v>1064</v>
      </c>
      <c r="C1347" s="15" t="s">
        <v>1056</v>
      </c>
      <c r="D1347" s="15">
        <v>2</v>
      </c>
      <c r="E1347" s="15">
        <v>1851</v>
      </c>
    </row>
    <row r="1348" spans="1:5" ht="15.75" customHeight="1">
      <c r="A1348" s="15" t="str">
        <f t="shared" si="0"/>
        <v>TOAP</v>
      </c>
      <c r="B1348" s="15" t="s">
        <v>1064</v>
      </c>
      <c r="C1348" s="15" t="s">
        <v>1058</v>
      </c>
      <c r="D1348" s="15">
        <v>4</v>
      </c>
      <c r="E1348" s="15">
        <v>3764</v>
      </c>
    </row>
    <row r="1349" spans="1:5" ht="15.75" customHeight="1">
      <c r="A1349" s="15" t="str">
        <f t="shared" si="0"/>
        <v>TOAM</v>
      </c>
      <c r="B1349" s="15" t="s">
        <v>1064</v>
      </c>
      <c r="C1349" s="15" t="s">
        <v>29</v>
      </c>
      <c r="D1349" s="15">
        <v>3</v>
      </c>
      <c r="E1349" s="15">
        <v>4141</v>
      </c>
    </row>
    <row r="1350" spans="1:5" ht="15.75" customHeight="1">
      <c r="A1350" s="15" t="str">
        <f t="shared" si="0"/>
        <v>TOBA</v>
      </c>
      <c r="B1350" s="15" t="s">
        <v>1064</v>
      </c>
      <c r="C1350" s="15" t="s">
        <v>34</v>
      </c>
      <c r="D1350" s="15">
        <v>5</v>
      </c>
      <c r="E1350" s="15">
        <v>1454</v>
      </c>
    </row>
    <row r="1351" spans="1:5" ht="15.75" customHeight="1">
      <c r="A1351" s="15" t="str">
        <f t="shared" si="0"/>
        <v>TOCE</v>
      </c>
      <c r="B1351" s="15" t="s">
        <v>1064</v>
      </c>
      <c r="C1351" s="15" t="s">
        <v>41</v>
      </c>
      <c r="D1351" s="15">
        <v>6</v>
      </c>
      <c r="E1351" s="15">
        <v>2035</v>
      </c>
    </row>
    <row r="1352" spans="1:5" ht="15.75" customHeight="1">
      <c r="A1352" s="15" t="str">
        <f t="shared" si="0"/>
        <v>TODF</v>
      </c>
      <c r="B1352" s="15" t="s">
        <v>1064</v>
      </c>
      <c r="C1352" s="15" t="s">
        <v>1059</v>
      </c>
      <c r="D1352" s="15">
        <v>7</v>
      </c>
      <c r="E1352" s="15">
        <v>973</v>
      </c>
    </row>
    <row r="1353" spans="1:5" ht="15.75" customHeight="1">
      <c r="A1353" s="15" t="str">
        <f t="shared" si="0"/>
        <v>TOES</v>
      </c>
      <c r="B1353" s="15" t="s">
        <v>1064</v>
      </c>
      <c r="C1353" s="15" t="s">
        <v>25</v>
      </c>
      <c r="D1353" s="15">
        <v>8</v>
      </c>
      <c r="E1353" s="15">
        <v>2214</v>
      </c>
    </row>
    <row r="1354" spans="1:5" ht="15.75" customHeight="1">
      <c r="A1354" s="15" t="str">
        <f t="shared" si="0"/>
        <v>TOGO</v>
      </c>
      <c r="B1354" s="15" t="s">
        <v>1064</v>
      </c>
      <c r="C1354" s="15" t="s">
        <v>51</v>
      </c>
      <c r="D1354" s="15">
        <v>9</v>
      </c>
      <c r="E1354" s="15">
        <v>874</v>
      </c>
    </row>
    <row r="1355" spans="1:5" ht="15.75" customHeight="1">
      <c r="A1355" s="15" t="str">
        <f t="shared" si="0"/>
        <v>TOMA</v>
      </c>
      <c r="B1355" s="15" t="s">
        <v>1064</v>
      </c>
      <c r="C1355" s="15" t="s">
        <v>1057</v>
      </c>
      <c r="D1355" s="15">
        <v>10</v>
      </c>
      <c r="E1355" s="15">
        <v>1386</v>
      </c>
    </row>
    <row r="1356" spans="1:5" ht="15.75" customHeight="1">
      <c r="A1356" s="15" t="str">
        <f t="shared" si="0"/>
        <v>TOMT</v>
      </c>
      <c r="B1356" s="15" t="s">
        <v>1064</v>
      </c>
      <c r="C1356" s="15" t="s">
        <v>1052</v>
      </c>
      <c r="D1356" s="15">
        <v>13</v>
      </c>
      <c r="E1356" s="15">
        <v>1784</v>
      </c>
    </row>
    <row r="1357" spans="1:5" ht="15.75" customHeight="1">
      <c r="A1357" s="15" t="str">
        <f t="shared" si="0"/>
        <v>TOMS</v>
      </c>
      <c r="B1357" s="15" t="s">
        <v>1064</v>
      </c>
      <c r="C1357" s="15" t="s">
        <v>1053</v>
      </c>
      <c r="D1357" s="15">
        <v>12</v>
      </c>
      <c r="E1357" s="15">
        <v>1785</v>
      </c>
    </row>
    <row r="1358" spans="1:5" ht="15.75" customHeight="1">
      <c r="A1358" s="15" t="str">
        <f t="shared" si="0"/>
        <v>TOMG</v>
      </c>
      <c r="B1358" s="15" t="s">
        <v>1064</v>
      </c>
      <c r="C1358" s="15" t="s">
        <v>24</v>
      </c>
      <c r="D1358" s="15">
        <v>11</v>
      </c>
      <c r="E1358" s="15">
        <v>1690</v>
      </c>
    </row>
    <row r="1359" spans="1:5" ht="15.75" customHeight="1">
      <c r="A1359" s="15" t="str">
        <f t="shared" si="0"/>
        <v>TOPA</v>
      </c>
      <c r="B1359" s="15" t="s">
        <v>1064</v>
      </c>
      <c r="C1359" s="15" t="s">
        <v>1054</v>
      </c>
      <c r="D1359" s="15">
        <v>14</v>
      </c>
      <c r="E1359" s="15">
        <v>1283</v>
      </c>
    </row>
    <row r="1360" spans="1:5" ht="15.75" customHeight="1">
      <c r="A1360" s="15" t="str">
        <f t="shared" si="0"/>
        <v>TOPB</v>
      </c>
      <c r="B1360" s="15" t="s">
        <v>1064</v>
      </c>
      <c r="C1360" s="15" t="s">
        <v>1055</v>
      </c>
      <c r="D1360" s="15">
        <v>15</v>
      </c>
      <c r="E1360" s="15">
        <v>2253</v>
      </c>
    </row>
    <row r="1361" spans="1:5" ht="15.75" customHeight="1">
      <c r="A1361" s="15" t="str">
        <f t="shared" si="0"/>
        <v>TOPR</v>
      </c>
      <c r="B1361" s="15" t="s">
        <v>1064</v>
      </c>
      <c r="C1361" s="15" t="s">
        <v>28</v>
      </c>
      <c r="D1361" s="15">
        <v>18</v>
      </c>
      <c r="E1361" s="15">
        <v>2036</v>
      </c>
    </row>
    <row r="1362" spans="1:5" ht="15.75" customHeight="1">
      <c r="A1362" s="15" t="str">
        <f t="shared" si="0"/>
        <v>TOPE</v>
      </c>
      <c r="B1362" s="15" t="s">
        <v>1064</v>
      </c>
      <c r="C1362" s="15" t="s">
        <v>1061</v>
      </c>
      <c r="D1362" s="15">
        <v>16</v>
      </c>
      <c r="E1362" s="15">
        <v>2058</v>
      </c>
    </row>
    <row r="1363" spans="1:5" ht="15.75" customHeight="1">
      <c r="A1363" s="15" t="str">
        <f t="shared" si="0"/>
        <v>TOPI</v>
      </c>
      <c r="B1363" s="15" t="s">
        <v>1064</v>
      </c>
      <c r="C1363" s="15" t="s">
        <v>1062</v>
      </c>
      <c r="D1363" s="15">
        <v>17</v>
      </c>
      <c r="E1363" s="15">
        <v>1401</v>
      </c>
    </row>
    <row r="1364" spans="1:5" ht="15.75" customHeight="1">
      <c r="A1364" s="15" t="str">
        <f t="shared" si="0"/>
        <v>TORJ</v>
      </c>
      <c r="B1364" s="15" t="s">
        <v>1064</v>
      </c>
      <c r="C1364" s="15" t="s">
        <v>27</v>
      </c>
      <c r="D1364" s="15">
        <v>19</v>
      </c>
      <c r="E1364" s="15">
        <v>2124</v>
      </c>
    </row>
    <row r="1365" spans="1:5" ht="15.75" customHeight="1">
      <c r="A1365" s="15" t="str">
        <f t="shared" si="0"/>
        <v>TORN</v>
      </c>
      <c r="B1365" s="15" t="s">
        <v>1064</v>
      </c>
      <c r="C1365" s="15" t="s">
        <v>732</v>
      </c>
      <c r="D1365" s="15">
        <v>20</v>
      </c>
      <c r="E1365" s="15">
        <v>2345</v>
      </c>
    </row>
    <row r="1366" spans="1:5" ht="15.75" customHeight="1">
      <c r="A1366" s="15" t="str">
        <f t="shared" si="0"/>
        <v>TORS</v>
      </c>
      <c r="B1366" s="15" t="s">
        <v>1064</v>
      </c>
      <c r="C1366" s="15" t="s">
        <v>736</v>
      </c>
      <c r="D1366" s="15">
        <v>23</v>
      </c>
      <c r="E1366" s="15">
        <v>2747</v>
      </c>
    </row>
    <row r="1367" spans="1:5" ht="15.75" customHeight="1">
      <c r="A1367" s="15" t="str">
        <f t="shared" si="0"/>
        <v>TORO</v>
      </c>
      <c r="B1367" s="15" t="s">
        <v>1064</v>
      </c>
      <c r="C1367" s="15" t="s">
        <v>733</v>
      </c>
      <c r="D1367" s="15">
        <v>21</v>
      </c>
      <c r="E1367" s="15">
        <v>3240</v>
      </c>
    </row>
    <row r="1368" spans="1:5" ht="15.75" customHeight="1">
      <c r="A1368" s="15" t="str">
        <f t="shared" si="0"/>
        <v>TORR</v>
      </c>
      <c r="B1368" s="15" t="s">
        <v>1064</v>
      </c>
      <c r="C1368" s="15" t="s">
        <v>1063</v>
      </c>
      <c r="D1368" s="15">
        <v>22</v>
      </c>
      <c r="E1368" s="15">
        <v>4926</v>
      </c>
    </row>
    <row r="1369" spans="1:5" ht="15.75" customHeight="1">
      <c r="A1369" s="15" t="str">
        <f t="shared" si="0"/>
        <v>TOSC</v>
      </c>
      <c r="B1369" s="15" t="s">
        <v>1064</v>
      </c>
      <c r="C1369" s="15" t="s">
        <v>26</v>
      </c>
      <c r="D1369" s="15">
        <v>24</v>
      </c>
      <c r="E1369" s="15">
        <v>2336</v>
      </c>
    </row>
    <row r="1370" spans="1:5" ht="15.75" customHeight="1">
      <c r="A1370" s="15" t="str">
        <f t="shared" si="0"/>
        <v>TOSP</v>
      </c>
      <c r="B1370" s="15" t="s">
        <v>1064</v>
      </c>
      <c r="C1370" s="15" t="s">
        <v>23</v>
      </c>
      <c r="D1370" s="15">
        <v>26</v>
      </c>
      <c r="E1370" s="15">
        <v>1776</v>
      </c>
    </row>
    <row r="1371" spans="1:5" ht="15.75" customHeight="1">
      <c r="A1371" s="15" t="str">
        <f t="shared" si="0"/>
        <v>TOSE</v>
      </c>
      <c r="B1371" s="15" t="s">
        <v>1064</v>
      </c>
      <c r="C1371" s="15" t="s">
        <v>1060</v>
      </c>
      <c r="D1371" s="15">
        <v>25</v>
      </c>
      <c r="E1371" s="15">
        <v>2722</v>
      </c>
    </row>
    <row r="1372" spans="1:5" ht="15.75" customHeight="1">
      <c r="A1372" s="15" t="str">
        <f t="shared" si="0"/>
        <v>TOTO</v>
      </c>
      <c r="B1372" s="15" t="s">
        <v>1064</v>
      </c>
      <c r="C1372" s="15" t="s">
        <v>1064</v>
      </c>
      <c r="D1372" s="15">
        <v>27</v>
      </c>
      <c r="E1372" s="15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59"/>
  <sheetViews>
    <sheetView workbookViewId="0">
      <selection activeCell="A198" sqref="A198"/>
    </sheetView>
  </sheetViews>
  <sheetFormatPr defaultColWidth="14.42578125" defaultRowHeight="15" customHeight="1"/>
  <cols>
    <col min="1" max="26" width="8.7109375" customWidth="1"/>
  </cols>
  <sheetData>
    <row r="1" spans="1:4">
      <c r="A1" s="5" t="s">
        <v>1046</v>
      </c>
      <c r="B1" s="5" t="s">
        <v>1047</v>
      </c>
      <c r="C1" s="5" t="s">
        <v>1048</v>
      </c>
      <c r="D1" s="5" t="s">
        <v>1065</v>
      </c>
    </row>
    <row r="2" spans="1:4">
      <c r="A2" s="15" t="s">
        <v>1066</v>
      </c>
      <c r="B2" s="15" t="s">
        <v>1051</v>
      </c>
      <c r="C2" s="15" t="s">
        <v>1051</v>
      </c>
      <c r="D2" s="15">
        <v>0.18</v>
      </c>
    </row>
    <row r="3" spans="1:4">
      <c r="A3" s="15" t="s">
        <v>1067</v>
      </c>
      <c r="B3" s="15" t="s">
        <v>1051</v>
      </c>
      <c r="C3" s="15" t="s">
        <v>1056</v>
      </c>
      <c r="D3" s="15">
        <v>0.12</v>
      </c>
    </row>
    <row r="4" spans="1:4">
      <c r="A4" s="15" t="s">
        <v>1068</v>
      </c>
      <c r="B4" s="15" t="s">
        <v>1051</v>
      </c>
      <c r="C4" s="15" t="s">
        <v>1058</v>
      </c>
      <c r="D4" s="15">
        <v>0.12</v>
      </c>
    </row>
    <row r="5" spans="1:4">
      <c r="A5" s="15" t="s">
        <v>1069</v>
      </c>
      <c r="B5" s="15" t="s">
        <v>1051</v>
      </c>
      <c r="C5" s="15" t="s">
        <v>29</v>
      </c>
      <c r="D5" s="15">
        <v>0.12</v>
      </c>
    </row>
    <row r="6" spans="1:4">
      <c r="A6" s="15" t="s">
        <v>1070</v>
      </c>
      <c r="B6" s="15" t="s">
        <v>1051</v>
      </c>
      <c r="C6" s="15" t="s">
        <v>34</v>
      </c>
      <c r="D6" s="15">
        <v>0.12</v>
      </c>
    </row>
    <row r="7" spans="1:4">
      <c r="A7" s="15" t="s">
        <v>1071</v>
      </c>
      <c r="B7" s="15" t="s">
        <v>1051</v>
      </c>
      <c r="C7" s="15" t="s">
        <v>41</v>
      </c>
      <c r="D7" s="15">
        <v>0.12</v>
      </c>
    </row>
    <row r="8" spans="1:4">
      <c r="A8" s="15" t="s">
        <v>1072</v>
      </c>
      <c r="B8" s="15" t="s">
        <v>1051</v>
      </c>
      <c r="C8" s="15" t="s">
        <v>1059</v>
      </c>
      <c r="D8" s="15">
        <v>0.12</v>
      </c>
    </row>
    <row r="9" spans="1:4">
      <c r="A9" s="15" t="s">
        <v>1073</v>
      </c>
      <c r="B9" s="15" t="s">
        <v>1051</v>
      </c>
      <c r="C9" s="15" t="s">
        <v>25</v>
      </c>
      <c r="D9" s="15">
        <v>0.12</v>
      </c>
    </row>
    <row r="10" spans="1:4">
      <c r="A10" s="15" t="s">
        <v>1074</v>
      </c>
      <c r="B10" s="15" t="s">
        <v>1051</v>
      </c>
      <c r="C10" s="15" t="s">
        <v>51</v>
      </c>
      <c r="D10" s="15">
        <v>0.12</v>
      </c>
    </row>
    <row r="11" spans="1:4">
      <c r="A11" s="15" t="s">
        <v>1075</v>
      </c>
      <c r="B11" s="15" t="s">
        <v>1051</v>
      </c>
      <c r="C11" s="15" t="s">
        <v>1057</v>
      </c>
      <c r="D11" s="15">
        <v>0.12</v>
      </c>
    </row>
    <row r="12" spans="1:4">
      <c r="A12" s="15" t="s">
        <v>1076</v>
      </c>
      <c r="B12" s="15" t="s">
        <v>1051</v>
      </c>
      <c r="C12" s="15" t="s">
        <v>1052</v>
      </c>
      <c r="D12" s="15">
        <v>0.12</v>
      </c>
    </row>
    <row r="13" spans="1:4">
      <c r="A13" s="15" t="s">
        <v>1077</v>
      </c>
      <c r="B13" s="15" t="s">
        <v>1051</v>
      </c>
      <c r="C13" s="15" t="s">
        <v>1053</v>
      </c>
      <c r="D13" s="15">
        <v>0.12</v>
      </c>
    </row>
    <row r="14" spans="1:4">
      <c r="A14" s="15" t="s">
        <v>1078</v>
      </c>
      <c r="B14" s="15" t="s">
        <v>1051</v>
      </c>
      <c r="C14" s="15" t="s">
        <v>24</v>
      </c>
      <c r="D14" s="15">
        <v>0.12</v>
      </c>
    </row>
    <row r="15" spans="1:4">
      <c r="A15" s="15" t="s">
        <v>1079</v>
      </c>
      <c r="B15" s="15" t="s">
        <v>1051</v>
      </c>
      <c r="C15" s="15" t="s">
        <v>1054</v>
      </c>
      <c r="D15" s="15">
        <v>0.12</v>
      </c>
    </row>
    <row r="16" spans="1:4">
      <c r="A16" s="15" t="s">
        <v>1080</v>
      </c>
      <c r="B16" s="15" t="s">
        <v>1051</v>
      </c>
      <c r="C16" s="15" t="s">
        <v>1055</v>
      </c>
      <c r="D16" s="15">
        <v>0.12</v>
      </c>
    </row>
    <row r="17" spans="1:4">
      <c r="A17" s="15" t="s">
        <v>1081</v>
      </c>
      <c r="B17" s="15" t="s">
        <v>1051</v>
      </c>
      <c r="C17" s="15" t="s">
        <v>28</v>
      </c>
      <c r="D17" s="15">
        <v>0.12</v>
      </c>
    </row>
    <row r="18" spans="1:4">
      <c r="A18" s="15" t="s">
        <v>1082</v>
      </c>
      <c r="B18" s="15" t="s">
        <v>1051</v>
      </c>
      <c r="C18" s="15" t="s">
        <v>1061</v>
      </c>
      <c r="D18" s="15">
        <v>0.12</v>
      </c>
    </row>
    <row r="19" spans="1:4">
      <c r="A19" s="15" t="s">
        <v>1083</v>
      </c>
      <c r="B19" s="15" t="s">
        <v>1051</v>
      </c>
      <c r="C19" s="15" t="s">
        <v>1062</v>
      </c>
      <c r="D19" s="15">
        <v>0.12</v>
      </c>
    </row>
    <row r="20" spans="1:4">
      <c r="A20" s="15" t="s">
        <v>1084</v>
      </c>
      <c r="B20" s="15" t="s">
        <v>1051</v>
      </c>
      <c r="C20" s="15" t="s">
        <v>27</v>
      </c>
      <c r="D20" s="15">
        <v>0.12</v>
      </c>
    </row>
    <row r="21" spans="1:4" ht="15.75" customHeight="1">
      <c r="A21" s="15" t="s">
        <v>1085</v>
      </c>
      <c r="B21" s="15" t="s">
        <v>1051</v>
      </c>
      <c r="C21" s="15" t="s">
        <v>732</v>
      </c>
      <c r="D21" s="15">
        <v>0.12</v>
      </c>
    </row>
    <row r="22" spans="1:4" ht="15.75" customHeight="1">
      <c r="A22" s="15" t="s">
        <v>1086</v>
      </c>
      <c r="B22" s="15" t="s">
        <v>1051</v>
      </c>
      <c r="C22" s="15" t="s">
        <v>736</v>
      </c>
      <c r="D22" s="15">
        <v>0.12</v>
      </c>
    </row>
    <row r="23" spans="1:4" ht="15.75" customHeight="1">
      <c r="A23" s="15" t="s">
        <v>1087</v>
      </c>
      <c r="B23" s="15" t="s">
        <v>1051</v>
      </c>
      <c r="C23" s="15" t="s">
        <v>733</v>
      </c>
      <c r="D23" s="15">
        <v>0.12</v>
      </c>
    </row>
    <row r="24" spans="1:4" ht="15.75" customHeight="1">
      <c r="A24" s="15" t="s">
        <v>1088</v>
      </c>
      <c r="B24" s="15" t="s">
        <v>1051</v>
      </c>
      <c r="C24" s="15" t="s">
        <v>1063</v>
      </c>
      <c r="D24" s="15">
        <v>0.12</v>
      </c>
    </row>
    <row r="25" spans="1:4" ht="15.75" customHeight="1">
      <c r="A25" s="15" t="s">
        <v>1089</v>
      </c>
      <c r="B25" s="15" t="s">
        <v>1051</v>
      </c>
      <c r="C25" s="15" t="s">
        <v>26</v>
      </c>
      <c r="D25" s="15">
        <v>0.12</v>
      </c>
    </row>
    <row r="26" spans="1:4" ht="15.75" customHeight="1">
      <c r="A26" s="15" t="s">
        <v>1090</v>
      </c>
      <c r="B26" s="15" t="s">
        <v>1051</v>
      </c>
      <c r="C26" s="15" t="s">
        <v>23</v>
      </c>
      <c r="D26" s="15">
        <v>0.12</v>
      </c>
    </row>
    <row r="27" spans="1:4" ht="15.75" customHeight="1">
      <c r="A27" s="15" t="s">
        <v>1091</v>
      </c>
      <c r="B27" s="15" t="s">
        <v>1051</v>
      </c>
      <c r="C27" s="15" t="s">
        <v>1060</v>
      </c>
      <c r="D27" s="15">
        <v>0.12</v>
      </c>
    </row>
    <row r="28" spans="1:4" ht="15.75" customHeight="1">
      <c r="A28" s="15" t="s">
        <v>1092</v>
      </c>
      <c r="B28" s="15" t="s">
        <v>1051</v>
      </c>
      <c r="C28" s="15" t="s">
        <v>1064</v>
      </c>
      <c r="D28" s="15">
        <v>0.12</v>
      </c>
    </row>
    <row r="29" spans="1:4" ht="15.75" customHeight="1">
      <c r="A29" s="15" t="s">
        <v>1093</v>
      </c>
      <c r="B29" s="15" t="s">
        <v>1056</v>
      </c>
      <c r="C29" s="15" t="s">
        <v>1051</v>
      </c>
      <c r="D29" s="15">
        <v>0.12</v>
      </c>
    </row>
    <row r="30" spans="1:4" ht="15.75" customHeight="1">
      <c r="A30" s="15" t="s">
        <v>1094</v>
      </c>
      <c r="B30" s="15" t="s">
        <v>1056</v>
      </c>
      <c r="C30" s="15" t="s">
        <v>1056</v>
      </c>
      <c r="D30" s="15">
        <v>0.18</v>
      </c>
    </row>
    <row r="31" spans="1:4" ht="15.75" customHeight="1">
      <c r="A31" s="15" t="s">
        <v>1095</v>
      </c>
      <c r="B31" s="15" t="s">
        <v>1056</v>
      </c>
      <c r="C31" s="15" t="s">
        <v>1058</v>
      </c>
      <c r="D31" s="15">
        <v>0.12</v>
      </c>
    </row>
    <row r="32" spans="1:4" ht="15.75" customHeight="1">
      <c r="A32" s="15" t="s">
        <v>1096</v>
      </c>
      <c r="B32" s="15" t="s">
        <v>1056</v>
      </c>
      <c r="C32" s="15" t="s">
        <v>29</v>
      </c>
      <c r="D32" s="15">
        <v>0.12</v>
      </c>
    </row>
    <row r="33" spans="1:4" ht="15.75" customHeight="1">
      <c r="A33" s="15" t="s">
        <v>1097</v>
      </c>
      <c r="B33" s="15" t="s">
        <v>1056</v>
      </c>
      <c r="C33" s="15" t="s">
        <v>34</v>
      </c>
      <c r="D33" s="15">
        <v>0.12</v>
      </c>
    </row>
    <row r="34" spans="1:4" ht="15.75" customHeight="1">
      <c r="A34" s="15" t="s">
        <v>1098</v>
      </c>
      <c r="B34" s="15" t="s">
        <v>1056</v>
      </c>
      <c r="C34" s="15" t="s">
        <v>41</v>
      </c>
      <c r="D34" s="15">
        <v>0.12</v>
      </c>
    </row>
    <row r="35" spans="1:4" ht="15.75" customHeight="1">
      <c r="A35" s="15" t="s">
        <v>1099</v>
      </c>
      <c r="B35" s="15" t="s">
        <v>1056</v>
      </c>
      <c r="C35" s="15" t="s">
        <v>1059</v>
      </c>
      <c r="D35" s="15">
        <v>0.12</v>
      </c>
    </row>
    <row r="36" spans="1:4" ht="15.75" customHeight="1">
      <c r="A36" s="15" t="s">
        <v>1100</v>
      </c>
      <c r="B36" s="15" t="s">
        <v>1056</v>
      </c>
      <c r="C36" s="15" t="s">
        <v>25</v>
      </c>
      <c r="D36" s="15">
        <v>0.12</v>
      </c>
    </row>
    <row r="37" spans="1:4" ht="15.75" customHeight="1">
      <c r="A37" s="15" t="s">
        <v>1101</v>
      </c>
      <c r="B37" s="15" t="s">
        <v>1056</v>
      </c>
      <c r="C37" s="15" t="s">
        <v>51</v>
      </c>
      <c r="D37" s="15">
        <v>0.12</v>
      </c>
    </row>
    <row r="38" spans="1:4" ht="15.75" customHeight="1">
      <c r="A38" s="15" t="s">
        <v>1102</v>
      </c>
      <c r="B38" s="15" t="s">
        <v>1056</v>
      </c>
      <c r="C38" s="15" t="s">
        <v>1057</v>
      </c>
      <c r="D38" s="15">
        <v>0.12</v>
      </c>
    </row>
    <row r="39" spans="1:4" ht="15.75" customHeight="1">
      <c r="A39" s="15" t="s">
        <v>1103</v>
      </c>
      <c r="B39" s="15" t="s">
        <v>1056</v>
      </c>
      <c r="C39" s="15" t="s">
        <v>1052</v>
      </c>
      <c r="D39" s="15">
        <v>0.12</v>
      </c>
    </row>
    <row r="40" spans="1:4" ht="15.75" customHeight="1">
      <c r="A40" s="15" t="s">
        <v>1104</v>
      </c>
      <c r="B40" s="15" t="s">
        <v>1056</v>
      </c>
      <c r="C40" s="15" t="s">
        <v>1053</v>
      </c>
      <c r="D40" s="15">
        <v>0.12</v>
      </c>
    </row>
    <row r="41" spans="1:4" ht="15.75" customHeight="1">
      <c r="A41" s="15" t="s">
        <v>1105</v>
      </c>
      <c r="B41" s="15" t="s">
        <v>1056</v>
      </c>
      <c r="C41" s="15" t="s">
        <v>24</v>
      </c>
      <c r="D41" s="15">
        <v>0.12</v>
      </c>
    </row>
    <row r="42" spans="1:4" ht="15.75" customHeight="1">
      <c r="A42" s="15" t="s">
        <v>1106</v>
      </c>
      <c r="B42" s="15" t="s">
        <v>1056</v>
      </c>
      <c r="C42" s="15" t="s">
        <v>1054</v>
      </c>
      <c r="D42" s="15">
        <v>0.12</v>
      </c>
    </row>
    <row r="43" spans="1:4" ht="15.75" customHeight="1">
      <c r="A43" s="15" t="s">
        <v>1107</v>
      </c>
      <c r="B43" s="15" t="s">
        <v>1056</v>
      </c>
      <c r="C43" s="15" t="s">
        <v>1055</v>
      </c>
      <c r="D43" s="15">
        <v>0.12</v>
      </c>
    </row>
    <row r="44" spans="1:4" ht="15.75" customHeight="1">
      <c r="A44" s="15" t="s">
        <v>1108</v>
      </c>
      <c r="B44" s="15" t="s">
        <v>1056</v>
      </c>
      <c r="C44" s="15" t="s">
        <v>28</v>
      </c>
      <c r="D44" s="15">
        <v>0.12</v>
      </c>
    </row>
    <row r="45" spans="1:4" ht="15.75" customHeight="1">
      <c r="A45" s="15" t="s">
        <v>1109</v>
      </c>
      <c r="B45" s="15" t="s">
        <v>1056</v>
      </c>
      <c r="C45" s="15" t="s">
        <v>1061</v>
      </c>
      <c r="D45" s="15">
        <v>0.12</v>
      </c>
    </row>
    <row r="46" spans="1:4" ht="15.75" customHeight="1">
      <c r="A46" s="15" t="s">
        <v>1110</v>
      </c>
      <c r="B46" s="15" t="s">
        <v>1056</v>
      </c>
      <c r="C46" s="15" t="s">
        <v>1062</v>
      </c>
      <c r="D46" s="15">
        <v>0.12</v>
      </c>
    </row>
    <row r="47" spans="1:4" ht="15.75" customHeight="1">
      <c r="A47" s="15" t="s">
        <v>1111</v>
      </c>
      <c r="B47" s="15" t="s">
        <v>1056</v>
      </c>
      <c r="C47" s="15" t="s">
        <v>27</v>
      </c>
      <c r="D47" s="15">
        <v>0.12</v>
      </c>
    </row>
    <row r="48" spans="1:4" ht="15.75" customHeight="1">
      <c r="A48" s="15" t="s">
        <v>1112</v>
      </c>
      <c r="B48" s="15" t="s">
        <v>1056</v>
      </c>
      <c r="C48" s="15" t="s">
        <v>732</v>
      </c>
      <c r="D48" s="15">
        <v>0.12</v>
      </c>
    </row>
    <row r="49" spans="1:4" ht="15.75" customHeight="1">
      <c r="A49" s="15" t="s">
        <v>1113</v>
      </c>
      <c r="B49" s="15" t="s">
        <v>1056</v>
      </c>
      <c r="C49" s="15" t="s">
        <v>736</v>
      </c>
      <c r="D49" s="15">
        <v>0.12</v>
      </c>
    </row>
    <row r="50" spans="1:4" ht="15.75" customHeight="1">
      <c r="A50" s="15" t="s">
        <v>1114</v>
      </c>
      <c r="B50" s="15" t="s">
        <v>1056</v>
      </c>
      <c r="C50" s="15" t="s">
        <v>733</v>
      </c>
      <c r="D50" s="15">
        <v>0.12</v>
      </c>
    </row>
    <row r="51" spans="1:4" ht="15.75" customHeight="1">
      <c r="A51" s="15" t="s">
        <v>1115</v>
      </c>
      <c r="B51" s="15" t="s">
        <v>1056</v>
      </c>
      <c r="C51" s="15" t="s">
        <v>1063</v>
      </c>
      <c r="D51" s="15">
        <v>0.12</v>
      </c>
    </row>
    <row r="52" spans="1:4" ht="15.75" customHeight="1">
      <c r="A52" s="15" t="s">
        <v>1116</v>
      </c>
      <c r="B52" s="15" t="s">
        <v>1056</v>
      </c>
      <c r="C52" s="15" t="s">
        <v>26</v>
      </c>
      <c r="D52" s="15">
        <v>0.12</v>
      </c>
    </row>
    <row r="53" spans="1:4" ht="15.75" customHeight="1">
      <c r="A53" s="15" t="s">
        <v>1117</v>
      </c>
      <c r="B53" s="15" t="s">
        <v>1056</v>
      </c>
      <c r="C53" s="15" t="s">
        <v>23</v>
      </c>
      <c r="D53" s="15">
        <v>0.12</v>
      </c>
    </row>
    <row r="54" spans="1:4" ht="15.75" customHeight="1">
      <c r="A54" s="15" t="s">
        <v>1118</v>
      </c>
      <c r="B54" s="15" t="s">
        <v>1056</v>
      </c>
      <c r="C54" s="15" t="s">
        <v>1060</v>
      </c>
      <c r="D54" s="15">
        <v>0.12</v>
      </c>
    </row>
    <row r="55" spans="1:4" ht="15.75" customHeight="1">
      <c r="A55" s="15" t="s">
        <v>1119</v>
      </c>
      <c r="B55" s="15" t="s">
        <v>1056</v>
      </c>
      <c r="C55" s="15" t="s">
        <v>1064</v>
      </c>
      <c r="D55" s="15">
        <v>0.12</v>
      </c>
    </row>
    <row r="56" spans="1:4" ht="15.75" customHeight="1">
      <c r="A56" s="15" t="s">
        <v>1120</v>
      </c>
      <c r="B56" s="15" t="s">
        <v>1058</v>
      </c>
      <c r="C56" s="15" t="s">
        <v>1051</v>
      </c>
      <c r="D56" s="15">
        <v>0.12</v>
      </c>
    </row>
    <row r="57" spans="1:4" ht="15.75" customHeight="1">
      <c r="A57" s="15" t="s">
        <v>1121</v>
      </c>
      <c r="B57" s="15" t="s">
        <v>1058</v>
      </c>
      <c r="C57" s="15" t="s">
        <v>1056</v>
      </c>
      <c r="D57" s="15">
        <v>0.12</v>
      </c>
    </row>
    <row r="58" spans="1:4" ht="15.75" customHeight="1">
      <c r="A58" s="15" t="s">
        <v>1122</v>
      </c>
      <c r="B58" s="15" t="s">
        <v>1058</v>
      </c>
      <c r="C58" s="15" t="s">
        <v>1058</v>
      </c>
      <c r="D58" s="15">
        <v>0.18</v>
      </c>
    </row>
    <row r="59" spans="1:4" ht="15.75" customHeight="1">
      <c r="A59" s="15" t="s">
        <v>1123</v>
      </c>
      <c r="B59" s="15" t="s">
        <v>1058</v>
      </c>
      <c r="C59" s="15" t="s">
        <v>29</v>
      </c>
      <c r="D59" s="15">
        <v>0.12</v>
      </c>
    </row>
    <row r="60" spans="1:4" ht="15.75" customHeight="1">
      <c r="A60" s="15" t="s">
        <v>1124</v>
      </c>
      <c r="B60" s="15" t="s">
        <v>1058</v>
      </c>
      <c r="C60" s="15" t="s">
        <v>34</v>
      </c>
      <c r="D60" s="15">
        <v>0.12</v>
      </c>
    </row>
    <row r="61" spans="1:4" ht="15.75" customHeight="1">
      <c r="A61" s="15" t="s">
        <v>1125</v>
      </c>
      <c r="B61" s="15" t="s">
        <v>1058</v>
      </c>
      <c r="C61" s="15" t="s">
        <v>41</v>
      </c>
      <c r="D61" s="15">
        <v>0.12</v>
      </c>
    </row>
    <row r="62" spans="1:4" ht="15.75" customHeight="1">
      <c r="A62" s="15" t="s">
        <v>1126</v>
      </c>
      <c r="B62" s="15" t="s">
        <v>1058</v>
      </c>
      <c r="C62" s="15" t="s">
        <v>1059</v>
      </c>
      <c r="D62" s="15">
        <v>0.12</v>
      </c>
    </row>
    <row r="63" spans="1:4" ht="15.75" customHeight="1">
      <c r="A63" s="15" t="s">
        <v>1127</v>
      </c>
      <c r="B63" s="15" t="s">
        <v>1058</v>
      </c>
      <c r="C63" s="15" t="s">
        <v>25</v>
      </c>
      <c r="D63" s="15">
        <v>0.12</v>
      </c>
    </row>
    <row r="64" spans="1:4" ht="15.75" customHeight="1">
      <c r="A64" s="15" t="s">
        <v>1128</v>
      </c>
      <c r="B64" s="15" t="s">
        <v>1058</v>
      </c>
      <c r="C64" s="15" t="s">
        <v>51</v>
      </c>
      <c r="D64" s="15">
        <v>0.12</v>
      </c>
    </row>
    <row r="65" spans="1:4" ht="15.75" customHeight="1">
      <c r="A65" s="15" t="s">
        <v>1129</v>
      </c>
      <c r="B65" s="15" t="s">
        <v>1058</v>
      </c>
      <c r="C65" s="15" t="s">
        <v>1057</v>
      </c>
      <c r="D65" s="15">
        <v>0.12</v>
      </c>
    </row>
    <row r="66" spans="1:4" ht="15.75" customHeight="1">
      <c r="A66" s="15" t="s">
        <v>1130</v>
      </c>
      <c r="B66" s="15" t="s">
        <v>1058</v>
      </c>
      <c r="C66" s="15" t="s">
        <v>1052</v>
      </c>
      <c r="D66" s="15">
        <v>0.12</v>
      </c>
    </row>
    <row r="67" spans="1:4" ht="15.75" customHeight="1">
      <c r="A67" s="15" t="s">
        <v>1131</v>
      </c>
      <c r="B67" s="15" t="s">
        <v>1058</v>
      </c>
      <c r="C67" s="15" t="s">
        <v>1053</v>
      </c>
      <c r="D67" s="15">
        <v>0.12</v>
      </c>
    </row>
    <row r="68" spans="1:4" ht="15.75" customHeight="1">
      <c r="A68" s="15" t="s">
        <v>1132</v>
      </c>
      <c r="B68" s="15" t="s">
        <v>1058</v>
      </c>
      <c r="C68" s="15" t="s">
        <v>24</v>
      </c>
      <c r="D68" s="15">
        <v>0.12</v>
      </c>
    </row>
    <row r="69" spans="1:4" ht="15.75" customHeight="1">
      <c r="A69" s="15" t="s">
        <v>1133</v>
      </c>
      <c r="B69" s="15" t="s">
        <v>1058</v>
      </c>
      <c r="C69" s="15" t="s">
        <v>1054</v>
      </c>
      <c r="D69" s="15">
        <v>0.12</v>
      </c>
    </row>
    <row r="70" spans="1:4" ht="15.75" customHeight="1">
      <c r="A70" s="15" t="s">
        <v>1134</v>
      </c>
      <c r="B70" s="15" t="s">
        <v>1058</v>
      </c>
      <c r="C70" s="15" t="s">
        <v>1055</v>
      </c>
      <c r="D70" s="15">
        <v>0.12</v>
      </c>
    </row>
    <row r="71" spans="1:4" ht="15.75" customHeight="1">
      <c r="A71" s="15" t="s">
        <v>1135</v>
      </c>
      <c r="B71" s="15" t="s">
        <v>1058</v>
      </c>
      <c r="C71" s="15" t="s">
        <v>28</v>
      </c>
      <c r="D71" s="15">
        <v>0.12</v>
      </c>
    </row>
    <row r="72" spans="1:4" ht="15.75" customHeight="1">
      <c r="A72" s="15" t="s">
        <v>1136</v>
      </c>
      <c r="B72" s="15" t="s">
        <v>1058</v>
      </c>
      <c r="C72" s="15" t="s">
        <v>1061</v>
      </c>
      <c r="D72" s="15">
        <v>0.12</v>
      </c>
    </row>
    <row r="73" spans="1:4" ht="15.75" customHeight="1">
      <c r="A73" s="15" t="s">
        <v>1137</v>
      </c>
      <c r="B73" s="15" t="s">
        <v>1058</v>
      </c>
      <c r="C73" s="15" t="s">
        <v>1062</v>
      </c>
      <c r="D73" s="15">
        <v>0.12</v>
      </c>
    </row>
    <row r="74" spans="1:4" ht="15.75" customHeight="1">
      <c r="A74" s="15" t="s">
        <v>1138</v>
      </c>
      <c r="B74" s="15" t="s">
        <v>1058</v>
      </c>
      <c r="C74" s="15" t="s">
        <v>27</v>
      </c>
      <c r="D74" s="15">
        <v>0.12</v>
      </c>
    </row>
    <row r="75" spans="1:4" ht="15.75" customHeight="1">
      <c r="A75" s="15" t="s">
        <v>1139</v>
      </c>
      <c r="B75" s="15" t="s">
        <v>1058</v>
      </c>
      <c r="C75" s="15" t="s">
        <v>732</v>
      </c>
      <c r="D75" s="15">
        <v>0.12</v>
      </c>
    </row>
    <row r="76" spans="1:4" ht="15.75" customHeight="1">
      <c r="A76" s="15" t="s">
        <v>1140</v>
      </c>
      <c r="B76" s="15" t="s">
        <v>1058</v>
      </c>
      <c r="C76" s="15" t="s">
        <v>736</v>
      </c>
      <c r="D76" s="15">
        <v>0.12</v>
      </c>
    </row>
    <row r="77" spans="1:4" ht="15.75" customHeight="1">
      <c r="A77" s="15" t="s">
        <v>1141</v>
      </c>
      <c r="B77" s="15" t="s">
        <v>1058</v>
      </c>
      <c r="C77" s="15" t="s">
        <v>733</v>
      </c>
      <c r="D77" s="15">
        <v>0.12</v>
      </c>
    </row>
    <row r="78" spans="1:4" ht="15.75" customHeight="1">
      <c r="A78" s="15" t="s">
        <v>1142</v>
      </c>
      <c r="B78" s="15" t="s">
        <v>1058</v>
      </c>
      <c r="C78" s="15" t="s">
        <v>1063</v>
      </c>
      <c r="D78" s="15">
        <v>0.12</v>
      </c>
    </row>
    <row r="79" spans="1:4" ht="15.75" customHeight="1">
      <c r="A79" s="15" t="s">
        <v>1143</v>
      </c>
      <c r="B79" s="15" t="s">
        <v>1058</v>
      </c>
      <c r="C79" s="15" t="s">
        <v>26</v>
      </c>
      <c r="D79" s="15">
        <v>0.12</v>
      </c>
    </row>
    <row r="80" spans="1:4" ht="15.75" customHeight="1">
      <c r="A80" s="15" t="s">
        <v>1144</v>
      </c>
      <c r="B80" s="15" t="s">
        <v>1058</v>
      </c>
      <c r="C80" s="15" t="s">
        <v>23</v>
      </c>
      <c r="D80" s="15">
        <v>0.12</v>
      </c>
    </row>
    <row r="81" spans="1:4" ht="15.75" customHeight="1">
      <c r="A81" s="15" t="s">
        <v>1145</v>
      </c>
      <c r="B81" s="15" t="s">
        <v>1058</v>
      </c>
      <c r="C81" s="15" t="s">
        <v>1060</v>
      </c>
      <c r="D81" s="15">
        <v>0.12</v>
      </c>
    </row>
    <row r="82" spans="1:4" ht="15.75" customHeight="1">
      <c r="A82" s="15" t="s">
        <v>1146</v>
      </c>
      <c r="B82" s="15" t="s">
        <v>1058</v>
      </c>
      <c r="C82" s="15" t="s">
        <v>1064</v>
      </c>
      <c r="D82" s="15">
        <v>0.12</v>
      </c>
    </row>
    <row r="83" spans="1:4" ht="15.75" customHeight="1">
      <c r="A83" s="15" t="s">
        <v>1147</v>
      </c>
      <c r="B83" s="15" t="s">
        <v>29</v>
      </c>
      <c r="C83" s="15" t="s">
        <v>1051</v>
      </c>
      <c r="D83" s="15">
        <v>0.12</v>
      </c>
    </row>
    <row r="84" spans="1:4" ht="15.75" customHeight="1">
      <c r="A84" s="15" t="s">
        <v>1148</v>
      </c>
      <c r="B84" s="15" t="s">
        <v>29</v>
      </c>
      <c r="C84" s="15" t="s">
        <v>1056</v>
      </c>
      <c r="D84" s="15">
        <v>0.12</v>
      </c>
    </row>
    <row r="85" spans="1:4" ht="15.75" customHeight="1">
      <c r="A85" s="15" t="s">
        <v>1149</v>
      </c>
      <c r="B85" s="15" t="s">
        <v>29</v>
      </c>
      <c r="C85" s="15" t="s">
        <v>1058</v>
      </c>
      <c r="D85" s="15">
        <v>0.12</v>
      </c>
    </row>
    <row r="86" spans="1:4" ht="15.75" customHeight="1">
      <c r="A86" s="15" t="s">
        <v>1150</v>
      </c>
      <c r="B86" s="15" t="s">
        <v>29</v>
      </c>
      <c r="C86" s="15" t="s">
        <v>29</v>
      </c>
      <c r="D86" s="15">
        <v>0.18</v>
      </c>
    </row>
    <row r="87" spans="1:4" ht="15.75" customHeight="1">
      <c r="A87" s="15" t="s">
        <v>1151</v>
      </c>
      <c r="B87" s="15" t="s">
        <v>29</v>
      </c>
      <c r="C87" s="15" t="s">
        <v>34</v>
      </c>
      <c r="D87" s="15">
        <v>0.12</v>
      </c>
    </row>
    <row r="88" spans="1:4" ht="15.75" customHeight="1">
      <c r="A88" s="15" t="s">
        <v>1152</v>
      </c>
      <c r="B88" s="15" t="s">
        <v>29</v>
      </c>
      <c r="C88" s="15" t="s">
        <v>41</v>
      </c>
      <c r="D88" s="15">
        <v>0.12</v>
      </c>
    </row>
    <row r="89" spans="1:4" ht="15.75" customHeight="1">
      <c r="A89" s="15" t="s">
        <v>1153</v>
      </c>
      <c r="B89" s="15" t="s">
        <v>29</v>
      </c>
      <c r="C89" s="15" t="s">
        <v>1059</v>
      </c>
      <c r="D89" s="15">
        <v>0.12</v>
      </c>
    </row>
    <row r="90" spans="1:4" ht="15.75" customHeight="1">
      <c r="A90" s="15" t="s">
        <v>1154</v>
      </c>
      <c r="B90" s="15" t="s">
        <v>29</v>
      </c>
      <c r="C90" s="15" t="s">
        <v>25</v>
      </c>
      <c r="D90" s="15">
        <v>0.12</v>
      </c>
    </row>
    <row r="91" spans="1:4" ht="15.75" customHeight="1">
      <c r="A91" s="15" t="s">
        <v>1155</v>
      </c>
      <c r="B91" s="15" t="s">
        <v>29</v>
      </c>
      <c r="C91" s="15" t="s">
        <v>51</v>
      </c>
      <c r="D91" s="15">
        <v>0.12</v>
      </c>
    </row>
    <row r="92" spans="1:4" ht="15.75" customHeight="1">
      <c r="A92" s="15" t="s">
        <v>1156</v>
      </c>
      <c r="B92" s="15" t="s">
        <v>29</v>
      </c>
      <c r="C92" s="15" t="s">
        <v>1057</v>
      </c>
      <c r="D92" s="15">
        <v>0.12</v>
      </c>
    </row>
    <row r="93" spans="1:4" ht="15.75" customHeight="1">
      <c r="A93" s="15" t="s">
        <v>1157</v>
      </c>
      <c r="B93" s="15" t="s">
        <v>29</v>
      </c>
      <c r="C93" s="15" t="s">
        <v>1052</v>
      </c>
      <c r="D93" s="15">
        <v>0.12</v>
      </c>
    </row>
    <row r="94" spans="1:4" ht="15.75" customHeight="1">
      <c r="A94" s="15" t="s">
        <v>1158</v>
      </c>
      <c r="B94" s="15" t="s">
        <v>29</v>
      </c>
      <c r="C94" s="15" t="s">
        <v>1053</v>
      </c>
      <c r="D94" s="15">
        <v>0.12</v>
      </c>
    </row>
    <row r="95" spans="1:4" ht="15.75" customHeight="1">
      <c r="A95" s="15" t="s">
        <v>1159</v>
      </c>
      <c r="B95" s="15" t="s">
        <v>29</v>
      </c>
      <c r="C95" s="15" t="s">
        <v>24</v>
      </c>
      <c r="D95" s="15">
        <v>0.12</v>
      </c>
    </row>
    <row r="96" spans="1:4" ht="15.75" customHeight="1">
      <c r="A96" s="15" t="s">
        <v>1160</v>
      </c>
      <c r="B96" s="15" t="s">
        <v>29</v>
      </c>
      <c r="C96" s="15" t="s">
        <v>1054</v>
      </c>
      <c r="D96" s="15">
        <v>0.12</v>
      </c>
    </row>
    <row r="97" spans="1:4" ht="15.75" customHeight="1">
      <c r="A97" s="15" t="s">
        <v>1161</v>
      </c>
      <c r="B97" s="15" t="s">
        <v>29</v>
      </c>
      <c r="C97" s="15" t="s">
        <v>1055</v>
      </c>
      <c r="D97" s="15">
        <v>0.12</v>
      </c>
    </row>
    <row r="98" spans="1:4" ht="15.75" customHeight="1">
      <c r="A98" s="15" t="s">
        <v>1162</v>
      </c>
      <c r="B98" s="15" t="s">
        <v>29</v>
      </c>
      <c r="C98" s="15" t="s">
        <v>28</v>
      </c>
      <c r="D98" s="15">
        <v>0.12</v>
      </c>
    </row>
    <row r="99" spans="1:4" ht="15.75" customHeight="1">
      <c r="A99" s="15" t="s">
        <v>1163</v>
      </c>
      <c r="B99" s="15" t="s">
        <v>29</v>
      </c>
      <c r="C99" s="15" t="s">
        <v>1061</v>
      </c>
      <c r="D99" s="15">
        <v>0.12</v>
      </c>
    </row>
    <row r="100" spans="1:4" ht="15.75" customHeight="1">
      <c r="A100" s="15" t="s">
        <v>1164</v>
      </c>
      <c r="B100" s="15" t="s">
        <v>29</v>
      </c>
      <c r="C100" s="15" t="s">
        <v>1062</v>
      </c>
      <c r="D100" s="15">
        <v>0.12</v>
      </c>
    </row>
    <row r="101" spans="1:4" ht="15.75" customHeight="1">
      <c r="A101" s="15" t="s">
        <v>1165</v>
      </c>
      <c r="B101" s="15" t="s">
        <v>29</v>
      </c>
      <c r="C101" s="15" t="s">
        <v>27</v>
      </c>
      <c r="D101" s="15">
        <v>0.12</v>
      </c>
    </row>
    <row r="102" spans="1:4" ht="15.75" customHeight="1">
      <c r="A102" s="15" t="s">
        <v>1166</v>
      </c>
      <c r="B102" s="15" t="s">
        <v>29</v>
      </c>
      <c r="C102" s="15" t="s">
        <v>732</v>
      </c>
      <c r="D102" s="15">
        <v>0.12</v>
      </c>
    </row>
    <row r="103" spans="1:4" ht="15.75" customHeight="1">
      <c r="A103" s="15" t="s">
        <v>1167</v>
      </c>
      <c r="B103" s="15" t="s">
        <v>29</v>
      </c>
      <c r="C103" s="15" t="s">
        <v>736</v>
      </c>
      <c r="D103" s="15">
        <v>0.12</v>
      </c>
    </row>
    <row r="104" spans="1:4" ht="15.75" customHeight="1">
      <c r="A104" s="15" t="s">
        <v>1168</v>
      </c>
      <c r="B104" s="15" t="s">
        <v>29</v>
      </c>
      <c r="C104" s="15" t="s">
        <v>733</v>
      </c>
      <c r="D104" s="15">
        <v>0.12</v>
      </c>
    </row>
    <row r="105" spans="1:4" ht="15.75" customHeight="1">
      <c r="A105" s="15" t="s">
        <v>1169</v>
      </c>
      <c r="B105" s="15" t="s">
        <v>29</v>
      </c>
      <c r="C105" s="15" t="s">
        <v>1063</v>
      </c>
      <c r="D105" s="15">
        <v>0.12</v>
      </c>
    </row>
    <row r="106" spans="1:4" ht="15.75" customHeight="1">
      <c r="A106" s="15" t="s">
        <v>1170</v>
      </c>
      <c r="B106" s="15" t="s">
        <v>29</v>
      </c>
      <c r="C106" s="15" t="s">
        <v>26</v>
      </c>
      <c r="D106" s="15">
        <v>0.12</v>
      </c>
    </row>
    <row r="107" spans="1:4" ht="15.75" customHeight="1">
      <c r="A107" s="15" t="s">
        <v>1171</v>
      </c>
      <c r="B107" s="15" t="s">
        <v>29</v>
      </c>
      <c r="C107" s="15" t="s">
        <v>23</v>
      </c>
      <c r="D107" s="15">
        <v>0.12</v>
      </c>
    </row>
    <row r="108" spans="1:4" ht="15.75" customHeight="1">
      <c r="A108" s="15" t="s">
        <v>1172</v>
      </c>
      <c r="B108" s="15" t="s">
        <v>29</v>
      </c>
      <c r="C108" s="15" t="s">
        <v>1060</v>
      </c>
      <c r="D108" s="15">
        <v>0.12</v>
      </c>
    </row>
    <row r="109" spans="1:4" ht="15.75" customHeight="1">
      <c r="A109" s="15" t="s">
        <v>1173</v>
      </c>
      <c r="B109" s="15" t="s">
        <v>29</v>
      </c>
      <c r="C109" s="15" t="s">
        <v>1064</v>
      </c>
      <c r="D109" s="15">
        <v>0.12</v>
      </c>
    </row>
    <row r="110" spans="1:4" ht="15.75" customHeight="1">
      <c r="A110" s="15" t="s">
        <v>1174</v>
      </c>
      <c r="B110" s="15" t="s">
        <v>34</v>
      </c>
      <c r="C110" s="15" t="s">
        <v>1051</v>
      </c>
      <c r="D110" s="15">
        <v>0.12</v>
      </c>
    </row>
    <row r="111" spans="1:4" ht="15.75" customHeight="1">
      <c r="A111" s="15" t="s">
        <v>1175</v>
      </c>
      <c r="B111" s="15" t="s">
        <v>34</v>
      </c>
      <c r="C111" s="15" t="s">
        <v>1056</v>
      </c>
      <c r="D111" s="15">
        <v>0.12</v>
      </c>
    </row>
    <row r="112" spans="1:4" ht="15.75" customHeight="1">
      <c r="A112" s="15" t="s">
        <v>1176</v>
      </c>
      <c r="B112" s="15" t="s">
        <v>34</v>
      </c>
      <c r="C112" s="15" t="s">
        <v>1058</v>
      </c>
      <c r="D112" s="15">
        <v>0.12</v>
      </c>
    </row>
    <row r="113" spans="1:4" ht="15.75" customHeight="1">
      <c r="A113" s="15" t="s">
        <v>1177</v>
      </c>
      <c r="B113" s="15" t="s">
        <v>34</v>
      </c>
      <c r="C113" s="15" t="s">
        <v>29</v>
      </c>
      <c r="D113" s="15">
        <v>0.12</v>
      </c>
    </row>
    <row r="114" spans="1:4" ht="15.75" customHeight="1">
      <c r="A114" s="15" t="s">
        <v>1178</v>
      </c>
      <c r="B114" s="15" t="s">
        <v>34</v>
      </c>
      <c r="C114" s="15" t="s">
        <v>34</v>
      </c>
      <c r="D114" s="15">
        <v>0.18</v>
      </c>
    </row>
    <row r="115" spans="1:4" ht="15.75" customHeight="1">
      <c r="A115" s="15" t="s">
        <v>1179</v>
      </c>
      <c r="B115" s="15" t="s">
        <v>34</v>
      </c>
      <c r="C115" s="15" t="s">
        <v>41</v>
      </c>
      <c r="D115" s="15">
        <v>0.12</v>
      </c>
    </row>
    <row r="116" spans="1:4" ht="15.75" customHeight="1">
      <c r="A116" s="15" t="s">
        <v>1180</v>
      </c>
      <c r="B116" s="15" t="s">
        <v>34</v>
      </c>
      <c r="C116" s="15" t="s">
        <v>1059</v>
      </c>
      <c r="D116" s="15">
        <v>0.12</v>
      </c>
    </row>
    <row r="117" spans="1:4" ht="15.75" customHeight="1">
      <c r="A117" s="15" t="s">
        <v>1181</v>
      </c>
      <c r="B117" s="15" t="s">
        <v>34</v>
      </c>
      <c r="C117" s="15" t="s">
        <v>25</v>
      </c>
      <c r="D117" s="15">
        <v>0.12</v>
      </c>
    </row>
    <row r="118" spans="1:4" ht="15.75" customHeight="1">
      <c r="A118" s="15" t="s">
        <v>1182</v>
      </c>
      <c r="B118" s="15" t="s">
        <v>34</v>
      </c>
      <c r="C118" s="15" t="s">
        <v>51</v>
      </c>
      <c r="D118" s="15">
        <v>0.12</v>
      </c>
    </row>
    <row r="119" spans="1:4" ht="15.75" customHeight="1">
      <c r="A119" s="15" t="s">
        <v>1183</v>
      </c>
      <c r="B119" s="15" t="s">
        <v>34</v>
      </c>
      <c r="C119" s="15" t="s">
        <v>1057</v>
      </c>
      <c r="D119" s="15">
        <v>0.12</v>
      </c>
    </row>
    <row r="120" spans="1:4" ht="15.75" customHeight="1">
      <c r="A120" s="15" t="s">
        <v>1184</v>
      </c>
      <c r="B120" s="15" t="s">
        <v>34</v>
      </c>
      <c r="C120" s="15" t="s">
        <v>1052</v>
      </c>
      <c r="D120" s="15">
        <v>0.12</v>
      </c>
    </row>
    <row r="121" spans="1:4" ht="15.75" customHeight="1">
      <c r="A121" s="15" t="s">
        <v>1185</v>
      </c>
      <c r="B121" s="15" t="s">
        <v>34</v>
      </c>
      <c r="C121" s="15" t="s">
        <v>1053</v>
      </c>
      <c r="D121" s="15">
        <v>0.12</v>
      </c>
    </row>
    <row r="122" spans="1:4" ht="15.75" customHeight="1">
      <c r="A122" s="15" t="s">
        <v>1186</v>
      </c>
      <c r="B122" s="15" t="s">
        <v>34</v>
      </c>
      <c r="C122" s="15" t="s">
        <v>24</v>
      </c>
      <c r="D122" s="15">
        <v>0.12</v>
      </c>
    </row>
    <row r="123" spans="1:4" ht="15.75" customHeight="1">
      <c r="A123" s="15" t="s">
        <v>1187</v>
      </c>
      <c r="B123" s="15" t="s">
        <v>34</v>
      </c>
      <c r="C123" s="15" t="s">
        <v>1054</v>
      </c>
      <c r="D123" s="15">
        <v>0.12</v>
      </c>
    </row>
    <row r="124" spans="1:4" ht="15.75" customHeight="1">
      <c r="A124" s="15" t="s">
        <v>1188</v>
      </c>
      <c r="B124" s="15" t="s">
        <v>34</v>
      </c>
      <c r="C124" s="15" t="s">
        <v>1055</v>
      </c>
      <c r="D124" s="15">
        <v>0.12</v>
      </c>
    </row>
    <row r="125" spans="1:4" ht="15.75" customHeight="1">
      <c r="A125" s="15" t="s">
        <v>1189</v>
      </c>
      <c r="B125" s="15" t="s">
        <v>34</v>
      </c>
      <c r="C125" s="15" t="s">
        <v>28</v>
      </c>
      <c r="D125" s="15">
        <v>0.12</v>
      </c>
    </row>
    <row r="126" spans="1:4" ht="15.75" customHeight="1">
      <c r="A126" s="15" t="s">
        <v>1190</v>
      </c>
      <c r="B126" s="15" t="s">
        <v>34</v>
      </c>
      <c r="C126" s="15" t="s">
        <v>1061</v>
      </c>
      <c r="D126" s="15">
        <v>0.12</v>
      </c>
    </row>
    <row r="127" spans="1:4" ht="15.75" customHeight="1">
      <c r="A127" s="15" t="s">
        <v>1191</v>
      </c>
      <c r="B127" s="15" t="s">
        <v>34</v>
      </c>
      <c r="C127" s="15" t="s">
        <v>1062</v>
      </c>
      <c r="D127" s="15">
        <v>0.12</v>
      </c>
    </row>
    <row r="128" spans="1:4" ht="15.75" customHeight="1">
      <c r="A128" s="15" t="s">
        <v>1192</v>
      </c>
      <c r="B128" s="15" t="s">
        <v>34</v>
      </c>
      <c r="C128" s="15" t="s">
        <v>27</v>
      </c>
      <c r="D128" s="15">
        <v>0.12</v>
      </c>
    </row>
    <row r="129" spans="1:4" ht="15.75" customHeight="1">
      <c r="A129" s="15" t="s">
        <v>1193</v>
      </c>
      <c r="B129" s="15" t="s">
        <v>34</v>
      </c>
      <c r="C129" s="15" t="s">
        <v>732</v>
      </c>
      <c r="D129" s="15">
        <v>0.12</v>
      </c>
    </row>
    <row r="130" spans="1:4" ht="15.75" customHeight="1">
      <c r="A130" s="15" t="s">
        <v>1194</v>
      </c>
      <c r="B130" s="15" t="s">
        <v>34</v>
      </c>
      <c r="C130" s="15" t="s">
        <v>736</v>
      </c>
      <c r="D130" s="15">
        <v>0.12</v>
      </c>
    </row>
    <row r="131" spans="1:4" ht="15.75" customHeight="1">
      <c r="A131" s="15" t="s">
        <v>1195</v>
      </c>
      <c r="B131" s="15" t="s">
        <v>34</v>
      </c>
      <c r="C131" s="15" t="s">
        <v>733</v>
      </c>
      <c r="D131" s="15">
        <v>0.12</v>
      </c>
    </row>
    <row r="132" spans="1:4" ht="15.75" customHeight="1">
      <c r="A132" s="15" t="s">
        <v>1196</v>
      </c>
      <c r="B132" s="15" t="s">
        <v>34</v>
      </c>
      <c r="C132" s="15" t="s">
        <v>1063</v>
      </c>
      <c r="D132" s="15">
        <v>0.12</v>
      </c>
    </row>
    <row r="133" spans="1:4" ht="15.75" customHeight="1">
      <c r="A133" s="15" t="s">
        <v>1197</v>
      </c>
      <c r="B133" s="15" t="s">
        <v>34</v>
      </c>
      <c r="C133" s="15" t="s">
        <v>26</v>
      </c>
      <c r="D133" s="15">
        <v>0.12</v>
      </c>
    </row>
    <row r="134" spans="1:4" ht="15.75" customHeight="1">
      <c r="A134" s="15" t="s">
        <v>1198</v>
      </c>
      <c r="B134" s="15" t="s">
        <v>34</v>
      </c>
      <c r="C134" s="15" t="s">
        <v>23</v>
      </c>
      <c r="D134" s="15">
        <v>0.12</v>
      </c>
    </row>
    <row r="135" spans="1:4" ht="15.75" customHeight="1">
      <c r="A135" s="15" t="s">
        <v>1199</v>
      </c>
      <c r="B135" s="15" t="s">
        <v>34</v>
      </c>
      <c r="C135" s="15" t="s">
        <v>1060</v>
      </c>
      <c r="D135" s="15">
        <v>0.12</v>
      </c>
    </row>
    <row r="136" spans="1:4" ht="15.75" customHeight="1">
      <c r="A136" s="15" t="s">
        <v>1200</v>
      </c>
      <c r="B136" s="15" t="s">
        <v>34</v>
      </c>
      <c r="C136" s="15" t="s">
        <v>1064</v>
      </c>
      <c r="D136" s="15">
        <v>0.12</v>
      </c>
    </row>
    <row r="137" spans="1:4" ht="15.75" customHeight="1">
      <c r="A137" s="15" t="s">
        <v>1201</v>
      </c>
      <c r="B137" s="15" t="s">
        <v>41</v>
      </c>
      <c r="C137" s="15" t="s">
        <v>1051</v>
      </c>
      <c r="D137" s="15">
        <v>0.12</v>
      </c>
    </row>
    <row r="138" spans="1:4" ht="15.75" customHeight="1">
      <c r="A138" s="15" t="s">
        <v>1202</v>
      </c>
      <c r="B138" s="15" t="s">
        <v>41</v>
      </c>
      <c r="C138" s="15" t="s">
        <v>1056</v>
      </c>
      <c r="D138" s="15">
        <v>0.12</v>
      </c>
    </row>
    <row r="139" spans="1:4" ht="15.75" customHeight="1">
      <c r="A139" s="15" t="s">
        <v>1203</v>
      </c>
      <c r="B139" s="15" t="s">
        <v>41</v>
      </c>
      <c r="C139" s="15" t="s">
        <v>1058</v>
      </c>
      <c r="D139" s="15">
        <v>0.12</v>
      </c>
    </row>
    <row r="140" spans="1:4" ht="15.75" customHeight="1">
      <c r="A140" s="15" t="s">
        <v>1204</v>
      </c>
      <c r="B140" s="15" t="s">
        <v>41</v>
      </c>
      <c r="C140" s="15" t="s">
        <v>29</v>
      </c>
      <c r="D140" s="15">
        <v>0.12</v>
      </c>
    </row>
    <row r="141" spans="1:4" ht="15.75" customHeight="1">
      <c r="A141" s="15" t="s">
        <v>1205</v>
      </c>
      <c r="B141" s="15" t="s">
        <v>41</v>
      </c>
      <c r="C141" s="15" t="s">
        <v>34</v>
      </c>
      <c r="D141" s="15">
        <v>0.12</v>
      </c>
    </row>
    <row r="142" spans="1:4" ht="15.75" customHeight="1">
      <c r="A142" s="15" t="s">
        <v>1206</v>
      </c>
      <c r="B142" s="15" t="s">
        <v>41</v>
      </c>
      <c r="C142" s="15" t="s">
        <v>41</v>
      </c>
      <c r="D142" s="15">
        <v>0.18</v>
      </c>
    </row>
    <row r="143" spans="1:4" ht="15.75" customHeight="1">
      <c r="A143" s="15" t="s">
        <v>1207</v>
      </c>
      <c r="B143" s="15" t="s">
        <v>41</v>
      </c>
      <c r="C143" s="15" t="s">
        <v>1059</v>
      </c>
      <c r="D143" s="15">
        <v>0.12</v>
      </c>
    </row>
    <row r="144" spans="1:4" ht="15.75" customHeight="1">
      <c r="A144" s="15" t="s">
        <v>1208</v>
      </c>
      <c r="B144" s="15" t="s">
        <v>41</v>
      </c>
      <c r="C144" s="15" t="s">
        <v>25</v>
      </c>
      <c r="D144" s="15">
        <v>0.12</v>
      </c>
    </row>
    <row r="145" spans="1:4" ht="15.75" customHeight="1">
      <c r="A145" s="15" t="s">
        <v>1209</v>
      </c>
      <c r="B145" s="15" t="s">
        <v>41</v>
      </c>
      <c r="C145" s="15" t="s">
        <v>51</v>
      </c>
      <c r="D145" s="15">
        <v>0.12</v>
      </c>
    </row>
    <row r="146" spans="1:4" ht="15.75" customHeight="1">
      <c r="A146" s="15" t="s">
        <v>1210</v>
      </c>
      <c r="B146" s="15" t="s">
        <v>41</v>
      </c>
      <c r="C146" s="15" t="s">
        <v>1057</v>
      </c>
      <c r="D146" s="15">
        <v>0.12</v>
      </c>
    </row>
    <row r="147" spans="1:4" ht="15.75" customHeight="1">
      <c r="A147" s="15" t="s">
        <v>1211</v>
      </c>
      <c r="B147" s="15" t="s">
        <v>41</v>
      </c>
      <c r="C147" s="15" t="s">
        <v>1052</v>
      </c>
      <c r="D147" s="15">
        <v>0.12</v>
      </c>
    </row>
    <row r="148" spans="1:4" ht="15.75" customHeight="1">
      <c r="A148" s="15" t="s">
        <v>1212</v>
      </c>
      <c r="B148" s="15" t="s">
        <v>41</v>
      </c>
      <c r="C148" s="15" t="s">
        <v>1053</v>
      </c>
      <c r="D148" s="15">
        <v>0.12</v>
      </c>
    </row>
    <row r="149" spans="1:4" ht="15.75" customHeight="1">
      <c r="A149" s="15" t="s">
        <v>1213</v>
      </c>
      <c r="B149" s="15" t="s">
        <v>41</v>
      </c>
      <c r="C149" s="15" t="s">
        <v>24</v>
      </c>
      <c r="D149" s="15">
        <v>0.12</v>
      </c>
    </row>
    <row r="150" spans="1:4" ht="15.75" customHeight="1">
      <c r="A150" s="15" t="s">
        <v>1214</v>
      </c>
      <c r="B150" s="15" t="s">
        <v>41</v>
      </c>
      <c r="C150" s="15" t="s">
        <v>1054</v>
      </c>
      <c r="D150" s="15">
        <v>0.12</v>
      </c>
    </row>
    <row r="151" spans="1:4" ht="15.75" customHeight="1">
      <c r="A151" s="15" t="s">
        <v>1215</v>
      </c>
      <c r="B151" s="15" t="s">
        <v>41</v>
      </c>
      <c r="C151" s="15" t="s">
        <v>1055</v>
      </c>
      <c r="D151" s="15">
        <v>0.12</v>
      </c>
    </row>
    <row r="152" spans="1:4" ht="15.75" customHeight="1">
      <c r="A152" s="15" t="s">
        <v>1216</v>
      </c>
      <c r="B152" s="15" t="s">
        <v>41</v>
      </c>
      <c r="C152" s="15" t="s">
        <v>28</v>
      </c>
      <c r="D152" s="15">
        <v>0.12</v>
      </c>
    </row>
    <row r="153" spans="1:4" ht="15.75" customHeight="1">
      <c r="A153" s="15" t="s">
        <v>1217</v>
      </c>
      <c r="B153" s="15" t="s">
        <v>41</v>
      </c>
      <c r="C153" s="15" t="s">
        <v>1061</v>
      </c>
      <c r="D153" s="15">
        <v>0.12</v>
      </c>
    </row>
    <row r="154" spans="1:4" ht="15.75" customHeight="1">
      <c r="A154" s="15" t="s">
        <v>1218</v>
      </c>
      <c r="B154" s="15" t="s">
        <v>41</v>
      </c>
      <c r="C154" s="15" t="s">
        <v>1062</v>
      </c>
      <c r="D154" s="15">
        <v>0.12</v>
      </c>
    </row>
    <row r="155" spans="1:4" ht="15.75" customHeight="1">
      <c r="A155" s="15" t="s">
        <v>1219</v>
      </c>
      <c r="B155" s="15" t="s">
        <v>41</v>
      </c>
      <c r="C155" s="15" t="s">
        <v>27</v>
      </c>
      <c r="D155" s="15">
        <v>0.12</v>
      </c>
    </row>
    <row r="156" spans="1:4" ht="15.75" customHeight="1">
      <c r="A156" s="15" t="s">
        <v>1220</v>
      </c>
      <c r="B156" s="15" t="s">
        <v>41</v>
      </c>
      <c r="C156" s="15" t="s">
        <v>732</v>
      </c>
      <c r="D156" s="15">
        <v>0.12</v>
      </c>
    </row>
    <row r="157" spans="1:4" ht="15.75" customHeight="1">
      <c r="A157" s="15" t="s">
        <v>1221</v>
      </c>
      <c r="B157" s="15" t="s">
        <v>41</v>
      </c>
      <c r="C157" s="15" t="s">
        <v>736</v>
      </c>
      <c r="D157" s="15">
        <v>0.12</v>
      </c>
    </row>
    <row r="158" spans="1:4" ht="15.75" customHeight="1">
      <c r="A158" s="15" t="s">
        <v>1222</v>
      </c>
      <c r="B158" s="15" t="s">
        <v>41</v>
      </c>
      <c r="C158" s="15" t="s">
        <v>733</v>
      </c>
      <c r="D158" s="15">
        <v>0.12</v>
      </c>
    </row>
    <row r="159" spans="1:4" ht="15.75" customHeight="1">
      <c r="A159" s="15" t="s">
        <v>1223</v>
      </c>
      <c r="B159" s="15" t="s">
        <v>41</v>
      </c>
      <c r="C159" s="15" t="s">
        <v>1063</v>
      </c>
      <c r="D159" s="15">
        <v>0.12</v>
      </c>
    </row>
    <row r="160" spans="1:4" ht="15.75" customHeight="1">
      <c r="A160" s="15" t="s">
        <v>1224</v>
      </c>
      <c r="B160" s="15" t="s">
        <v>41</v>
      </c>
      <c r="C160" s="15" t="s">
        <v>26</v>
      </c>
      <c r="D160" s="15">
        <v>0.12</v>
      </c>
    </row>
    <row r="161" spans="1:4" ht="15.75" customHeight="1">
      <c r="A161" s="15" t="s">
        <v>1225</v>
      </c>
      <c r="B161" s="15" t="s">
        <v>41</v>
      </c>
      <c r="C161" s="15" t="s">
        <v>23</v>
      </c>
      <c r="D161" s="15">
        <v>0.12</v>
      </c>
    </row>
    <row r="162" spans="1:4" ht="15.75" customHeight="1">
      <c r="A162" s="15" t="s">
        <v>1226</v>
      </c>
      <c r="B162" s="15" t="s">
        <v>41</v>
      </c>
      <c r="C162" s="15" t="s">
        <v>1060</v>
      </c>
      <c r="D162" s="15">
        <v>0.12</v>
      </c>
    </row>
    <row r="163" spans="1:4" ht="15.75" customHeight="1">
      <c r="A163" s="15" t="s">
        <v>1227</v>
      </c>
      <c r="B163" s="15" t="s">
        <v>41</v>
      </c>
      <c r="C163" s="15" t="s">
        <v>1064</v>
      </c>
      <c r="D163" s="15">
        <v>0.12</v>
      </c>
    </row>
    <row r="164" spans="1:4" ht="15.75" customHeight="1">
      <c r="A164" s="15" t="s">
        <v>1228</v>
      </c>
      <c r="B164" s="15" t="s">
        <v>1059</v>
      </c>
      <c r="C164" s="15" t="s">
        <v>1051</v>
      </c>
      <c r="D164" s="15">
        <v>0.12</v>
      </c>
    </row>
    <row r="165" spans="1:4" ht="15.75" customHeight="1">
      <c r="A165" s="15" t="s">
        <v>1229</v>
      </c>
      <c r="B165" s="15" t="s">
        <v>1059</v>
      </c>
      <c r="C165" s="15" t="s">
        <v>1056</v>
      </c>
      <c r="D165" s="15">
        <v>0.12</v>
      </c>
    </row>
    <row r="166" spans="1:4" ht="15.75" customHeight="1">
      <c r="A166" s="15" t="s">
        <v>1230</v>
      </c>
      <c r="B166" s="15" t="s">
        <v>1059</v>
      </c>
      <c r="C166" s="15" t="s">
        <v>1058</v>
      </c>
      <c r="D166" s="15">
        <v>0.12</v>
      </c>
    </row>
    <row r="167" spans="1:4" ht="15.75" customHeight="1">
      <c r="A167" s="15" t="s">
        <v>1231</v>
      </c>
      <c r="B167" s="15" t="s">
        <v>1059</v>
      </c>
      <c r="C167" s="15" t="s">
        <v>29</v>
      </c>
      <c r="D167" s="15">
        <v>0.12</v>
      </c>
    </row>
    <row r="168" spans="1:4" ht="15.75" customHeight="1">
      <c r="A168" s="15" t="s">
        <v>1232</v>
      </c>
      <c r="B168" s="15" t="s">
        <v>1059</v>
      </c>
      <c r="C168" s="15" t="s">
        <v>34</v>
      </c>
      <c r="D168" s="15">
        <v>0.12</v>
      </c>
    </row>
    <row r="169" spans="1:4" ht="15.75" customHeight="1">
      <c r="A169" s="15" t="s">
        <v>1233</v>
      </c>
      <c r="B169" s="15" t="s">
        <v>1059</v>
      </c>
      <c r="C169" s="15" t="s">
        <v>41</v>
      </c>
      <c r="D169" s="15">
        <v>0.12</v>
      </c>
    </row>
    <row r="170" spans="1:4" ht="15.75" customHeight="1">
      <c r="A170" s="15" t="s">
        <v>1234</v>
      </c>
      <c r="B170" s="15" t="s">
        <v>1059</v>
      </c>
      <c r="C170" s="15" t="s">
        <v>1059</v>
      </c>
      <c r="D170" s="15">
        <v>0.18</v>
      </c>
    </row>
    <row r="171" spans="1:4" ht="15.75" customHeight="1">
      <c r="A171" s="15" t="s">
        <v>1235</v>
      </c>
      <c r="B171" s="15" t="s">
        <v>1059</v>
      </c>
      <c r="C171" s="15" t="s">
        <v>25</v>
      </c>
      <c r="D171" s="15">
        <v>0.12</v>
      </c>
    </row>
    <row r="172" spans="1:4" ht="15.75" customHeight="1">
      <c r="A172" s="15" t="s">
        <v>1236</v>
      </c>
      <c r="B172" s="15" t="s">
        <v>1059</v>
      </c>
      <c r="C172" s="15" t="s">
        <v>51</v>
      </c>
      <c r="D172" s="15">
        <v>0.12</v>
      </c>
    </row>
    <row r="173" spans="1:4" ht="15.75" customHeight="1">
      <c r="A173" s="15" t="s">
        <v>1237</v>
      </c>
      <c r="B173" s="15" t="s">
        <v>1059</v>
      </c>
      <c r="C173" s="15" t="s">
        <v>1057</v>
      </c>
      <c r="D173" s="15">
        <v>0.12</v>
      </c>
    </row>
    <row r="174" spans="1:4" ht="15.75" customHeight="1">
      <c r="A174" s="15" t="s">
        <v>1238</v>
      </c>
      <c r="B174" s="15" t="s">
        <v>1059</v>
      </c>
      <c r="C174" s="15" t="s">
        <v>1052</v>
      </c>
      <c r="D174" s="15">
        <v>0.12</v>
      </c>
    </row>
    <row r="175" spans="1:4" ht="15.75" customHeight="1">
      <c r="A175" s="15" t="s">
        <v>1239</v>
      </c>
      <c r="B175" s="15" t="s">
        <v>1059</v>
      </c>
      <c r="C175" s="15" t="s">
        <v>1053</v>
      </c>
      <c r="D175" s="15">
        <v>0.12</v>
      </c>
    </row>
    <row r="176" spans="1:4" ht="15.75" customHeight="1">
      <c r="A176" s="15" t="s">
        <v>1240</v>
      </c>
      <c r="B176" s="15" t="s">
        <v>1059</v>
      </c>
      <c r="C176" s="15" t="s">
        <v>24</v>
      </c>
      <c r="D176" s="15">
        <v>0.12</v>
      </c>
    </row>
    <row r="177" spans="1:4" ht="15.75" customHeight="1">
      <c r="A177" s="15" t="s">
        <v>1241</v>
      </c>
      <c r="B177" s="15" t="s">
        <v>1059</v>
      </c>
      <c r="C177" s="15" t="s">
        <v>1054</v>
      </c>
      <c r="D177" s="15">
        <v>0.12</v>
      </c>
    </row>
    <row r="178" spans="1:4" ht="15.75" customHeight="1">
      <c r="A178" s="15" t="s">
        <v>1242</v>
      </c>
      <c r="B178" s="15" t="s">
        <v>1059</v>
      </c>
      <c r="C178" s="15" t="s">
        <v>1055</v>
      </c>
      <c r="D178" s="15">
        <v>0.12</v>
      </c>
    </row>
    <row r="179" spans="1:4" ht="15.75" customHeight="1">
      <c r="A179" s="15" t="s">
        <v>1243</v>
      </c>
      <c r="B179" s="15" t="s">
        <v>1059</v>
      </c>
      <c r="C179" s="15" t="s">
        <v>28</v>
      </c>
      <c r="D179" s="15">
        <v>0.12</v>
      </c>
    </row>
    <row r="180" spans="1:4" ht="15.75" customHeight="1">
      <c r="A180" s="15" t="s">
        <v>1244</v>
      </c>
      <c r="B180" s="15" t="s">
        <v>1059</v>
      </c>
      <c r="C180" s="15" t="s">
        <v>1061</v>
      </c>
      <c r="D180" s="15">
        <v>0.12</v>
      </c>
    </row>
    <row r="181" spans="1:4" ht="15.75" customHeight="1">
      <c r="A181" s="15" t="s">
        <v>1245</v>
      </c>
      <c r="B181" s="15" t="s">
        <v>1059</v>
      </c>
      <c r="C181" s="15" t="s">
        <v>1062</v>
      </c>
      <c r="D181" s="15">
        <v>0.12</v>
      </c>
    </row>
    <row r="182" spans="1:4" ht="15.75" customHeight="1">
      <c r="A182" s="15" t="s">
        <v>1246</v>
      </c>
      <c r="B182" s="15" t="s">
        <v>1059</v>
      </c>
      <c r="C182" s="15" t="s">
        <v>27</v>
      </c>
      <c r="D182" s="15">
        <v>0.12</v>
      </c>
    </row>
    <row r="183" spans="1:4" ht="15.75" customHeight="1">
      <c r="A183" s="15" t="s">
        <v>1247</v>
      </c>
      <c r="B183" s="15" t="s">
        <v>1059</v>
      </c>
      <c r="C183" s="15" t="s">
        <v>732</v>
      </c>
      <c r="D183" s="15">
        <v>0.12</v>
      </c>
    </row>
    <row r="184" spans="1:4" ht="15.75" customHeight="1">
      <c r="A184" s="15" t="s">
        <v>1248</v>
      </c>
      <c r="B184" s="15" t="s">
        <v>1059</v>
      </c>
      <c r="C184" s="15" t="s">
        <v>736</v>
      </c>
      <c r="D184" s="15">
        <v>0.12</v>
      </c>
    </row>
    <row r="185" spans="1:4" ht="15.75" customHeight="1">
      <c r="A185" s="15" t="s">
        <v>1249</v>
      </c>
      <c r="B185" s="15" t="s">
        <v>1059</v>
      </c>
      <c r="C185" s="15" t="s">
        <v>733</v>
      </c>
      <c r="D185" s="15">
        <v>0.12</v>
      </c>
    </row>
    <row r="186" spans="1:4" ht="15.75" customHeight="1">
      <c r="A186" s="15" t="s">
        <v>1250</v>
      </c>
      <c r="B186" s="15" t="s">
        <v>1059</v>
      </c>
      <c r="C186" s="15" t="s">
        <v>1063</v>
      </c>
      <c r="D186" s="15">
        <v>0.12</v>
      </c>
    </row>
    <row r="187" spans="1:4" ht="15.75" customHeight="1">
      <c r="A187" s="15" t="s">
        <v>1251</v>
      </c>
      <c r="B187" s="15" t="s">
        <v>1059</v>
      </c>
      <c r="C187" s="15" t="s">
        <v>26</v>
      </c>
      <c r="D187" s="15">
        <v>0.12</v>
      </c>
    </row>
    <row r="188" spans="1:4" ht="15.75" customHeight="1">
      <c r="A188" s="15" t="s">
        <v>1252</v>
      </c>
      <c r="B188" s="15" t="s">
        <v>1059</v>
      </c>
      <c r="C188" s="15" t="s">
        <v>23</v>
      </c>
      <c r="D188" s="15">
        <v>0.12</v>
      </c>
    </row>
    <row r="189" spans="1:4" ht="15.75" customHeight="1">
      <c r="A189" s="15" t="s">
        <v>1253</v>
      </c>
      <c r="B189" s="15" t="s">
        <v>1059</v>
      </c>
      <c r="C189" s="15" t="s">
        <v>1060</v>
      </c>
      <c r="D189" s="15">
        <v>0.12</v>
      </c>
    </row>
    <row r="190" spans="1:4" ht="15.75" customHeight="1">
      <c r="A190" s="15" t="s">
        <v>1254</v>
      </c>
      <c r="B190" s="15" t="s">
        <v>1059</v>
      </c>
      <c r="C190" s="15" t="s">
        <v>1064</v>
      </c>
      <c r="D190" s="15">
        <v>0.12</v>
      </c>
    </row>
    <row r="191" spans="1:4" ht="15.75" customHeight="1">
      <c r="A191" s="15" t="s">
        <v>1255</v>
      </c>
      <c r="B191" s="15" t="s">
        <v>25</v>
      </c>
      <c r="C191" s="15" t="s">
        <v>1051</v>
      </c>
      <c r="D191" s="15">
        <v>0.12</v>
      </c>
    </row>
    <row r="192" spans="1:4" ht="15.75" customHeight="1">
      <c r="A192" s="15" t="s">
        <v>1256</v>
      </c>
      <c r="B192" s="15" t="s">
        <v>25</v>
      </c>
      <c r="C192" s="15" t="s">
        <v>1056</v>
      </c>
      <c r="D192" s="15">
        <v>0.12</v>
      </c>
    </row>
    <row r="193" spans="1:4" ht="15.75" customHeight="1">
      <c r="A193" s="15" t="s">
        <v>1257</v>
      </c>
      <c r="B193" s="15" t="s">
        <v>25</v>
      </c>
      <c r="C193" s="15" t="s">
        <v>1058</v>
      </c>
      <c r="D193" s="15">
        <v>0.12</v>
      </c>
    </row>
    <row r="194" spans="1:4" ht="15.75" customHeight="1">
      <c r="A194" s="15" t="s">
        <v>1258</v>
      </c>
      <c r="B194" s="15" t="s">
        <v>25</v>
      </c>
      <c r="C194" s="15" t="s">
        <v>29</v>
      </c>
      <c r="D194" s="15">
        <v>0.12</v>
      </c>
    </row>
    <row r="195" spans="1:4" ht="15.75" customHeight="1">
      <c r="A195" s="15" t="s">
        <v>1259</v>
      </c>
      <c r="B195" s="15" t="s">
        <v>25</v>
      </c>
      <c r="C195" s="15" t="s">
        <v>34</v>
      </c>
      <c r="D195" s="15">
        <v>0.12</v>
      </c>
    </row>
    <row r="196" spans="1:4" ht="15.75" customHeight="1">
      <c r="A196" s="15" t="s">
        <v>1260</v>
      </c>
      <c r="B196" s="15" t="s">
        <v>25</v>
      </c>
      <c r="C196" s="15" t="s">
        <v>41</v>
      </c>
      <c r="D196" s="15">
        <v>0.12</v>
      </c>
    </row>
    <row r="197" spans="1:4" ht="15.75" customHeight="1">
      <c r="A197" s="15" t="s">
        <v>1261</v>
      </c>
      <c r="B197" s="15" t="s">
        <v>25</v>
      </c>
      <c r="C197" s="15" t="s">
        <v>1059</v>
      </c>
      <c r="D197" s="15">
        <v>0.12</v>
      </c>
    </row>
    <row r="198" spans="1:4" ht="15.75" customHeight="1">
      <c r="A198" s="15" t="s">
        <v>1262</v>
      </c>
      <c r="B198" s="15" t="s">
        <v>25</v>
      </c>
      <c r="C198" s="15" t="s">
        <v>25</v>
      </c>
      <c r="D198" s="15">
        <v>0.18</v>
      </c>
    </row>
    <row r="199" spans="1:4" ht="15.75" customHeight="1">
      <c r="A199" s="15" t="s">
        <v>1263</v>
      </c>
      <c r="B199" s="15" t="s">
        <v>25</v>
      </c>
      <c r="C199" s="15" t="s">
        <v>51</v>
      </c>
      <c r="D199" s="15">
        <v>0.12</v>
      </c>
    </row>
    <row r="200" spans="1:4" ht="15.75" customHeight="1">
      <c r="A200" s="15" t="s">
        <v>1264</v>
      </c>
      <c r="B200" s="15" t="s">
        <v>25</v>
      </c>
      <c r="C200" s="15" t="s">
        <v>1057</v>
      </c>
      <c r="D200" s="15">
        <v>0.12</v>
      </c>
    </row>
    <row r="201" spans="1:4" ht="15.75" customHeight="1">
      <c r="A201" s="15" t="s">
        <v>1265</v>
      </c>
      <c r="B201" s="15" t="s">
        <v>25</v>
      </c>
      <c r="C201" s="15" t="s">
        <v>1052</v>
      </c>
      <c r="D201" s="15">
        <v>0.12</v>
      </c>
    </row>
    <row r="202" spans="1:4" ht="15.75" customHeight="1">
      <c r="A202" s="15" t="s">
        <v>1266</v>
      </c>
      <c r="B202" s="15" t="s">
        <v>25</v>
      </c>
      <c r="C202" s="15" t="s">
        <v>1053</v>
      </c>
      <c r="D202" s="15">
        <v>0.12</v>
      </c>
    </row>
    <row r="203" spans="1:4" ht="15.75" customHeight="1">
      <c r="A203" s="15" t="s">
        <v>1267</v>
      </c>
      <c r="B203" s="15" t="s">
        <v>25</v>
      </c>
      <c r="C203" s="15" t="s">
        <v>24</v>
      </c>
      <c r="D203" s="15">
        <v>0.12</v>
      </c>
    </row>
    <row r="204" spans="1:4" ht="15.75" customHeight="1">
      <c r="A204" s="15" t="s">
        <v>1268</v>
      </c>
      <c r="B204" s="15" t="s">
        <v>25</v>
      </c>
      <c r="C204" s="15" t="s">
        <v>1054</v>
      </c>
      <c r="D204" s="15">
        <v>0.12</v>
      </c>
    </row>
    <row r="205" spans="1:4" ht="15.75" customHeight="1">
      <c r="A205" s="15" t="s">
        <v>1269</v>
      </c>
      <c r="B205" s="15" t="s">
        <v>25</v>
      </c>
      <c r="C205" s="15" t="s">
        <v>1055</v>
      </c>
      <c r="D205" s="15">
        <v>0.12</v>
      </c>
    </row>
    <row r="206" spans="1:4" ht="15.75" customHeight="1">
      <c r="A206" s="15" t="s">
        <v>1270</v>
      </c>
      <c r="B206" s="15" t="s">
        <v>25</v>
      </c>
      <c r="C206" s="15" t="s">
        <v>28</v>
      </c>
      <c r="D206" s="15">
        <v>0.12</v>
      </c>
    </row>
    <row r="207" spans="1:4" ht="15.75" customHeight="1">
      <c r="A207" s="15" t="s">
        <v>1271</v>
      </c>
      <c r="B207" s="15" t="s">
        <v>25</v>
      </c>
      <c r="C207" s="15" t="s">
        <v>1061</v>
      </c>
      <c r="D207" s="15">
        <v>0.12</v>
      </c>
    </row>
    <row r="208" spans="1:4" ht="15.75" customHeight="1">
      <c r="A208" s="15" t="s">
        <v>1272</v>
      </c>
      <c r="B208" s="15" t="s">
        <v>25</v>
      </c>
      <c r="C208" s="15" t="s">
        <v>1062</v>
      </c>
      <c r="D208" s="15">
        <v>0.12</v>
      </c>
    </row>
    <row r="209" spans="1:4" ht="15.75" customHeight="1">
      <c r="A209" s="15" t="s">
        <v>1273</v>
      </c>
      <c r="B209" s="15" t="s">
        <v>25</v>
      </c>
      <c r="C209" s="15" t="s">
        <v>27</v>
      </c>
      <c r="D209" s="15">
        <v>0.12</v>
      </c>
    </row>
    <row r="210" spans="1:4" ht="15.75" customHeight="1">
      <c r="A210" s="15" t="s">
        <v>1274</v>
      </c>
      <c r="B210" s="15" t="s">
        <v>25</v>
      </c>
      <c r="C210" s="15" t="s">
        <v>732</v>
      </c>
      <c r="D210" s="15">
        <v>0.12</v>
      </c>
    </row>
    <row r="211" spans="1:4" ht="15.75" customHeight="1">
      <c r="A211" s="15" t="s">
        <v>1275</v>
      </c>
      <c r="B211" s="15" t="s">
        <v>25</v>
      </c>
      <c r="C211" s="15" t="s">
        <v>736</v>
      </c>
      <c r="D211" s="15">
        <v>0.12</v>
      </c>
    </row>
    <row r="212" spans="1:4" ht="15.75" customHeight="1">
      <c r="A212" s="15" t="s">
        <v>1276</v>
      </c>
      <c r="B212" s="15" t="s">
        <v>25</v>
      </c>
      <c r="C212" s="15" t="s">
        <v>733</v>
      </c>
      <c r="D212" s="15">
        <v>0.12</v>
      </c>
    </row>
    <row r="213" spans="1:4" ht="15.75" customHeight="1">
      <c r="A213" s="15" t="s">
        <v>1277</v>
      </c>
      <c r="B213" s="15" t="s">
        <v>25</v>
      </c>
      <c r="C213" s="15" t="s">
        <v>1063</v>
      </c>
      <c r="D213" s="15">
        <v>0.12</v>
      </c>
    </row>
    <row r="214" spans="1:4" ht="15.75" customHeight="1">
      <c r="A214" s="15" t="s">
        <v>1278</v>
      </c>
      <c r="B214" s="15" t="s">
        <v>25</v>
      </c>
      <c r="C214" s="15" t="s">
        <v>26</v>
      </c>
      <c r="D214" s="15">
        <v>0.12</v>
      </c>
    </row>
    <row r="215" spans="1:4" ht="15.75" customHeight="1">
      <c r="A215" s="15" t="s">
        <v>1279</v>
      </c>
      <c r="B215" s="15" t="s">
        <v>25</v>
      </c>
      <c r="C215" s="15" t="s">
        <v>23</v>
      </c>
      <c r="D215" s="15">
        <v>0.12</v>
      </c>
    </row>
    <row r="216" spans="1:4" ht="15.75" customHeight="1">
      <c r="A216" s="15" t="s">
        <v>1280</v>
      </c>
      <c r="B216" s="15" t="s">
        <v>25</v>
      </c>
      <c r="C216" s="15" t="s">
        <v>1060</v>
      </c>
      <c r="D216" s="15">
        <v>0.12</v>
      </c>
    </row>
    <row r="217" spans="1:4" ht="15.75" customHeight="1">
      <c r="A217" s="15" t="s">
        <v>1281</v>
      </c>
      <c r="B217" s="15" t="s">
        <v>25</v>
      </c>
      <c r="C217" s="15" t="s">
        <v>1064</v>
      </c>
      <c r="D217" s="15">
        <v>0.12</v>
      </c>
    </row>
    <row r="218" spans="1:4" ht="15.75" customHeight="1">
      <c r="A218" s="15" t="s">
        <v>1282</v>
      </c>
      <c r="B218" s="15" t="s">
        <v>51</v>
      </c>
      <c r="C218" s="15" t="s">
        <v>1051</v>
      </c>
      <c r="D218" s="15">
        <v>0.12</v>
      </c>
    </row>
    <row r="219" spans="1:4" ht="15.75" customHeight="1">
      <c r="A219" s="15" t="s">
        <v>1283</v>
      </c>
      <c r="B219" s="15" t="s">
        <v>51</v>
      </c>
      <c r="C219" s="15" t="s">
        <v>1056</v>
      </c>
      <c r="D219" s="15">
        <v>0.12</v>
      </c>
    </row>
    <row r="220" spans="1:4" ht="15.75" customHeight="1">
      <c r="A220" s="15" t="s">
        <v>1284</v>
      </c>
      <c r="B220" s="15" t="s">
        <v>51</v>
      </c>
      <c r="C220" s="15" t="s">
        <v>1058</v>
      </c>
      <c r="D220" s="15">
        <v>0.12</v>
      </c>
    </row>
    <row r="221" spans="1:4" ht="15.75" customHeight="1">
      <c r="A221" s="15" t="s">
        <v>1285</v>
      </c>
      <c r="B221" s="15" t="s">
        <v>51</v>
      </c>
      <c r="C221" s="15" t="s">
        <v>29</v>
      </c>
      <c r="D221" s="15">
        <v>0.12</v>
      </c>
    </row>
    <row r="222" spans="1:4" ht="15.75" customHeight="1">
      <c r="A222" s="15" t="s">
        <v>1286</v>
      </c>
      <c r="B222" s="15" t="s">
        <v>51</v>
      </c>
      <c r="C222" s="15" t="s">
        <v>34</v>
      </c>
      <c r="D222" s="15">
        <v>0.12</v>
      </c>
    </row>
    <row r="223" spans="1:4" ht="15.75" customHeight="1">
      <c r="A223" s="15" t="s">
        <v>1287</v>
      </c>
      <c r="B223" s="15" t="s">
        <v>51</v>
      </c>
      <c r="C223" s="15" t="s">
        <v>41</v>
      </c>
      <c r="D223" s="15">
        <v>0.12</v>
      </c>
    </row>
    <row r="224" spans="1:4" ht="15.75" customHeight="1">
      <c r="A224" s="15" t="s">
        <v>1288</v>
      </c>
      <c r="B224" s="15" t="s">
        <v>51</v>
      </c>
      <c r="C224" s="15" t="s">
        <v>1059</v>
      </c>
      <c r="D224" s="15">
        <v>0.12</v>
      </c>
    </row>
    <row r="225" spans="1:4" ht="15.75" customHeight="1">
      <c r="A225" s="15" t="s">
        <v>1289</v>
      </c>
      <c r="B225" s="15" t="s">
        <v>51</v>
      </c>
      <c r="C225" s="15" t="s">
        <v>25</v>
      </c>
      <c r="D225" s="15">
        <v>0.12</v>
      </c>
    </row>
    <row r="226" spans="1:4" ht="15.75" customHeight="1">
      <c r="A226" s="15" t="s">
        <v>1290</v>
      </c>
      <c r="B226" s="15" t="s">
        <v>51</v>
      </c>
      <c r="C226" s="15" t="s">
        <v>51</v>
      </c>
      <c r="D226" s="15">
        <v>0.18</v>
      </c>
    </row>
    <row r="227" spans="1:4" ht="15.75" customHeight="1">
      <c r="A227" s="15" t="s">
        <v>1291</v>
      </c>
      <c r="B227" s="15" t="s">
        <v>51</v>
      </c>
      <c r="C227" s="15" t="s">
        <v>1057</v>
      </c>
      <c r="D227" s="15">
        <v>0.12</v>
      </c>
    </row>
    <row r="228" spans="1:4" ht="15.75" customHeight="1">
      <c r="A228" s="15" t="s">
        <v>1292</v>
      </c>
      <c r="B228" s="15" t="s">
        <v>51</v>
      </c>
      <c r="C228" s="15" t="s">
        <v>1052</v>
      </c>
      <c r="D228" s="15">
        <v>0.12</v>
      </c>
    </row>
    <row r="229" spans="1:4" ht="15.75" customHeight="1">
      <c r="A229" s="15" t="s">
        <v>1293</v>
      </c>
      <c r="B229" s="15" t="s">
        <v>51</v>
      </c>
      <c r="C229" s="15" t="s">
        <v>1053</v>
      </c>
      <c r="D229" s="15">
        <v>0.12</v>
      </c>
    </row>
    <row r="230" spans="1:4" ht="15.75" customHeight="1">
      <c r="A230" s="15" t="s">
        <v>1294</v>
      </c>
      <c r="B230" s="15" t="s">
        <v>51</v>
      </c>
      <c r="C230" s="15" t="s">
        <v>24</v>
      </c>
      <c r="D230" s="15">
        <v>0.12</v>
      </c>
    </row>
    <row r="231" spans="1:4" ht="15.75" customHeight="1">
      <c r="A231" s="15" t="s">
        <v>1295</v>
      </c>
      <c r="B231" s="15" t="s">
        <v>51</v>
      </c>
      <c r="C231" s="15" t="s">
        <v>1054</v>
      </c>
      <c r="D231" s="15">
        <v>0.12</v>
      </c>
    </row>
    <row r="232" spans="1:4" ht="15.75" customHeight="1">
      <c r="A232" s="15" t="s">
        <v>1296</v>
      </c>
      <c r="B232" s="15" t="s">
        <v>51</v>
      </c>
      <c r="C232" s="15" t="s">
        <v>1055</v>
      </c>
      <c r="D232" s="15">
        <v>0.12</v>
      </c>
    </row>
    <row r="233" spans="1:4" ht="15.75" customHeight="1">
      <c r="A233" s="15" t="s">
        <v>1297</v>
      </c>
      <c r="B233" s="15" t="s">
        <v>51</v>
      </c>
      <c r="C233" s="15" t="s">
        <v>28</v>
      </c>
      <c r="D233" s="15">
        <v>0.12</v>
      </c>
    </row>
    <row r="234" spans="1:4" ht="15.75" customHeight="1">
      <c r="A234" s="15" t="s">
        <v>1298</v>
      </c>
      <c r="B234" s="15" t="s">
        <v>51</v>
      </c>
      <c r="C234" s="15" t="s">
        <v>1061</v>
      </c>
      <c r="D234" s="15">
        <v>0.12</v>
      </c>
    </row>
    <row r="235" spans="1:4" ht="15.75" customHeight="1">
      <c r="A235" s="15" t="s">
        <v>1299</v>
      </c>
      <c r="B235" s="15" t="s">
        <v>51</v>
      </c>
      <c r="C235" s="15" t="s">
        <v>1062</v>
      </c>
      <c r="D235" s="15">
        <v>0.12</v>
      </c>
    </row>
    <row r="236" spans="1:4" ht="15.75" customHeight="1">
      <c r="A236" s="15" t="s">
        <v>1300</v>
      </c>
      <c r="B236" s="15" t="s">
        <v>51</v>
      </c>
      <c r="C236" s="15" t="s">
        <v>27</v>
      </c>
      <c r="D236" s="15">
        <v>0.12</v>
      </c>
    </row>
    <row r="237" spans="1:4" ht="15.75" customHeight="1">
      <c r="A237" s="15" t="s">
        <v>1301</v>
      </c>
      <c r="B237" s="15" t="s">
        <v>51</v>
      </c>
      <c r="C237" s="15" t="s">
        <v>732</v>
      </c>
      <c r="D237" s="15">
        <v>0.12</v>
      </c>
    </row>
    <row r="238" spans="1:4" ht="15.75" customHeight="1">
      <c r="A238" s="15" t="s">
        <v>1302</v>
      </c>
      <c r="B238" s="15" t="s">
        <v>51</v>
      </c>
      <c r="C238" s="15" t="s">
        <v>736</v>
      </c>
      <c r="D238" s="15">
        <v>0.12</v>
      </c>
    </row>
    <row r="239" spans="1:4" ht="15.75" customHeight="1">
      <c r="A239" s="15" t="s">
        <v>1303</v>
      </c>
      <c r="B239" s="15" t="s">
        <v>51</v>
      </c>
      <c r="C239" s="15" t="s">
        <v>733</v>
      </c>
      <c r="D239" s="15">
        <v>0.12</v>
      </c>
    </row>
    <row r="240" spans="1:4" ht="15.75" customHeight="1">
      <c r="A240" s="15" t="s">
        <v>1304</v>
      </c>
      <c r="B240" s="15" t="s">
        <v>51</v>
      </c>
      <c r="C240" s="15" t="s">
        <v>1063</v>
      </c>
      <c r="D240" s="15">
        <v>0.12</v>
      </c>
    </row>
    <row r="241" spans="1:4" ht="15.75" customHeight="1">
      <c r="A241" s="15" t="s">
        <v>1305</v>
      </c>
      <c r="B241" s="15" t="s">
        <v>51</v>
      </c>
      <c r="C241" s="15" t="s">
        <v>26</v>
      </c>
      <c r="D241" s="15">
        <v>0.12</v>
      </c>
    </row>
    <row r="242" spans="1:4" ht="15.75" customHeight="1">
      <c r="A242" s="15" t="s">
        <v>1306</v>
      </c>
      <c r="B242" s="15" t="s">
        <v>51</v>
      </c>
      <c r="C242" s="15" t="s">
        <v>23</v>
      </c>
      <c r="D242" s="15">
        <v>0.12</v>
      </c>
    </row>
    <row r="243" spans="1:4" ht="15.75" customHeight="1">
      <c r="A243" s="15" t="s">
        <v>1307</v>
      </c>
      <c r="B243" s="15" t="s">
        <v>51</v>
      </c>
      <c r="C243" s="15" t="s">
        <v>1060</v>
      </c>
      <c r="D243" s="15">
        <v>0.12</v>
      </c>
    </row>
    <row r="244" spans="1:4" ht="15.75" customHeight="1">
      <c r="A244" s="15" t="s">
        <v>1308</v>
      </c>
      <c r="B244" s="15" t="s">
        <v>51</v>
      </c>
      <c r="C244" s="15" t="s">
        <v>1064</v>
      </c>
      <c r="D244" s="15">
        <v>0.12</v>
      </c>
    </row>
    <row r="245" spans="1:4" ht="15.75" customHeight="1">
      <c r="A245" s="15" t="s">
        <v>1309</v>
      </c>
      <c r="B245" s="15" t="s">
        <v>1057</v>
      </c>
      <c r="C245" s="15" t="s">
        <v>1051</v>
      </c>
      <c r="D245" s="15">
        <v>0.12</v>
      </c>
    </row>
    <row r="246" spans="1:4" ht="15.75" customHeight="1">
      <c r="A246" s="15" t="s">
        <v>1310</v>
      </c>
      <c r="B246" s="15" t="s">
        <v>1057</v>
      </c>
      <c r="C246" s="15" t="s">
        <v>1056</v>
      </c>
      <c r="D246" s="15">
        <v>0.12</v>
      </c>
    </row>
    <row r="247" spans="1:4" ht="15.75" customHeight="1">
      <c r="A247" s="15" t="s">
        <v>1311</v>
      </c>
      <c r="B247" s="15" t="s">
        <v>1057</v>
      </c>
      <c r="C247" s="15" t="s">
        <v>1058</v>
      </c>
      <c r="D247" s="15">
        <v>0.12</v>
      </c>
    </row>
    <row r="248" spans="1:4" ht="15.75" customHeight="1">
      <c r="A248" s="15" t="s">
        <v>1312</v>
      </c>
      <c r="B248" s="15" t="s">
        <v>1057</v>
      </c>
      <c r="C248" s="15" t="s">
        <v>29</v>
      </c>
      <c r="D248" s="15">
        <v>0.12</v>
      </c>
    </row>
    <row r="249" spans="1:4" ht="15.75" customHeight="1">
      <c r="A249" s="15" t="s">
        <v>1313</v>
      </c>
      <c r="B249" s="15" t="s">
        <v>1057</v>
      </c>
      <c r="C249" s="15" t="s">
        <v>34</v>
      </c>
      <c r="D249" s="15">
        <v>0.12</v>
      </c>
    </row>
    <row r="250" spans="1:4" ht="15.75" customHeight="1">
      <c r="A250" s="15" t="s">
        <v>1314</v>
      </c>
      <c r="B250" s="15" t="s">
        <v>1057</v>
      </c>
      <c r="C250" s="15" t="s">
        <v>41</v>
      </c>
      <c r="D250" s="15">
        <v>0.12</v>
      </c>
    </row>
    <row r="251" spans="1:4" ht="15.75" customHeight="1">
      <c r="A251" s="15" t="s">
        <v>1315</v>
      </c>
      <c r="B251" s="15" t="s">
        <v>1057</v>
      </c>
      <c r="C251" s="15" t="s">
        <v>1059</v>
      </c>
      <c r="D251" s="15">
        <v>0.12</v>
      </c>
    </row>
    <row r="252" spans="1:4" ht="15.75" customHeight="1">
      <c r="A252" s="15" t="s">
        <v>1316</v>
      </c>
      <c r="B252" s="15" t="s">
        <v>1057</v>
      </c>
      <c r="C252" s="15" t="s">
        <v>25</v>
      </c>
      <c r="D252" s="15">
        <v>0.12</v>
      </c>
    </row>
    <row r="253" spans="1:4" ht="15.75" customHeight="1">
      <c r="A253" s="15" t="s">
        <v>1317</v>
      </c>
      <c r="B253" s="15" t="s">
        <v>1057</v>
      </c>
      <c r="C253" s="15" t="s">
        <v>51</v>
      </c>
      <c r="D253" s="15">
        <v>0.12</v>
      </c>
    </row>
    <row r="254" spans="1:4" ht="15.75" customHeight="1">
      <c r="A254" s="15" t="s">
        <v>1318</v>
      </c>
      <c r="B254" s="15" t="s">
        <v>1057</v>
      </c>
      <c r="C254" s="15" t="s">
        <v>1057</v>
      </c>
      <c r="D254" s="15">
        <v>0.18</v>
      </c>
    </row>
    <row r="255" spans="1:4" ht="15.75" customHeight="1">
      <c r="A255" s="15" t="s">
        <v>1319</v>
      </c>
      <c r="B255" s="15" t="s">
        <v>1057</v>
      </c>
      <c r="C255" s="15" t="s">
        <v>1052</v>
      </c>
      <c r="D255" s="15">
        <v>0.12</v>
      </c>
    </row>
    <row r="256" spans="1:4" ht="15.75" customHeight="1">
      <c r="A256" s="15" t="s">
        <v>1320</v>
      </c>
      <c r="B256" s="15" t="s">
        <v>1057</v>
      </c>
      <c r="C256" s="15" t="s">
        <v>1053</v>
      </c>
      <c r="D256" s="15">
        <v>0.12</v>
      </c>
    </row>
    <row r="257" spans="1:4" ht="15.75" customHeight="1">
      <c r="A257" s="15" t="s">
        <v>1321</v>
      </c>
      <c r="B257" s="15" t="s">
        <v>1057</v>
      </c>
      <c r="C257" s="15" t="s">
        <v>24</v>
      </c>
      <c r="D257" s="15">
        <v>0.12</v>
      </c>
    </row>
    <row r="258" spans="1:4" ht="15.75" customHeight="1">
      <c r="A258" s="15" t="s">
        <v>1322</v>
      </c>
      <c r="B258" s="15" t="s">
        <v>1057</v>
      </c>
      <c r="C258" s="15" t="s">
        <v>1054</v>
      </c>
      <c r="D258" s="15">
        <v>0.12</v>
      </c>
    </row>
    <row r="259" spans="1:4" ht="15.75" customHeight="1">
      <c r="A259" s="15" t="s">
        <v>1323</v>
      </c>
      <c r="B259" s="15" t="s">
        <v>1057</v>
      </c>
      <c r="C259" s="15" t="s">
        <v>1055</v>
      </c>
      <c r="D259" s="15">
        <v>0.12</v>
      </c>
    </row>
    <row r="260" spans="1:4" ht="15.75" customHeight="1">
      <c r="A260" s="15" t="s">
        <v>1324</v>
      </c>
      <c r="B260" s="15" t="s">
        <v>1057</v>
      </c>
      <c r="C260" s="15" t="s">
        <v>28</v>
      </c>
      <c r="D260" s="15">
        <v>0.12</v>
      </c>
    </row>
    <row r="261" spans="1:4" ht="15.75" customHeight="1">
      <c r="A261" s="15" t="s">
        <v>1325</v>
      </c>
      <c r="B261" s="15" t="s">
        <v>1057</v>
      </c>
      <c r="C261" s="15" t="s">
        <v>1061</v>
      </c>
      <c r="D261" s="15">
        <v>0.12</v>
      </c>
    </row>
    <row r="262" spans="1:4" ht="15.75" customHeight="1">
      <c r="A262" s="15" t="s">
        <v>1326</v>
      </c>
      <c r="B262" s="15" t="s">
        <v>1057</v>
      </c>
      <c r="C262" s="15" t="s">
        <v>1062</v>
      </c>
      <c r="D262" s="15">
        <v>0.12</v>
      </c>
    </row>
    <row r="263" spans="1:4" ht="15.75" customHeight="1">
      <c r="A263" s="15" t="s">
        <v>1327</v>
      </c>
      <c r="B263" s="15" t="s">
        <v>1057</v>
      </c>
      <c r="C263" s="15" t="s">
        <v>27</v>
      </c>
      <c r="D263" s="15">
        <v>0.12</v>
      </c>
    </row>
    <row r="264" spans="1:4" ht="15.75" customHeight="1">
      <c r="A264" s="15" t="s">
        <v>1328</v>
      </c>
      <c r="B264" s="15" t="s">
        <v>1057</v>
      </c>
      <c r="C264" s="15" t="s">
        <v>732</v>
      </c>
      <c r="D264" s="15">
        <v>0.12</v>
      </c>
    </row>
    <row r="265" spans="1:4" ht="15.75" customHeight="1">
      <c r="A265" s="15" t="s">
        <v>1329</v>
      </c>
      <c r="B265" s="15" t="s">
        <v>1057</v>
      </c>
      <c r="C265" s="15" t="s">
        <v>736</v>
      </c>
      <c r="D265" s="15">
        <v>0.12</v>
      </c>
    </row>
    <row r="266" spans="1:4" ht="15.75" customHeight="1">
      <c r="A266" s="15" t="s">
        <v>1330</v>
      </c>
      <c r="B266" s="15" t="s">
        <v>1057</v>
      </c>
      <c r="C266" s="15" t="s">
        <v>733</v>
      </c>
      <c r="D266" s="15">
        <v>0.12</v>
      </c>
    </row>
    <row r="267" spans="1:4" ht="15.75" customHeight="1">
      <c r="A267" s="15" t="s">
        <v>1331</v>
      </c>
      <c r="B267" s="15" t="s">
        <v>1057</v>
      </c>
      <c r="C267" s="15" t="s">
        <v>1063</v>
      </c>
      <c r="D267" s="15">
        <v>0.12</v>
      </c>
    </row>
    <row r="268" spans="1:4" ht="15.75" customHeight="1">
      <c r="A268" s="15" t="s">
        <v>1332</v>
      </c>
      <c r="B268" s="15" t="s">
        <v>1057</v>
      </c>
      <c r="C268" s="15" t="s">
        <v>26</v>
      </c>
      <c r="D268" s="15">
        <v>0.12</v>
      </c>
    </row>
    <row r="269" spans="1:4" ht="15.75" customHeight="1">
      <c r="A269" s="15" t="s">
        <v>1333</v>
      </c>
      <c r="B269" s="15" t="s">
        <v>1057</v>
      </c>
      <c r="C269" s="15" t="s">
        <v>23</v>
      </c>
      <c r="D269" s="15">
        <v>0.12</v>
      </c>
    </row>
    <row r="270" spans="1:4" ht="15.75" customHeight="1">
      <c r="A270" s="15" t="s">
        <v>1334</v>
      </c>
      <c r="B270" s="15" t="s">
        <v>1057</v>
      </c>
      <c r="C270" s="15" t="s">
        <v>1060</v>
      </c>
      <c r="D270" s="15">
        <v>0.12</v>
      </c>
    </row>
    <row r="271" spans="1:4" ht="15.75" customHeight="1">
      <c r="A271" s="15" t="s">
        <v>1335</v>
      </c>
      <c r="B271" s="15" t="s">
        <v>1057</v>
      </c>
      <c r="C271" s="15" t="s">
        <v>1064</v>
      </c>
      <c r="D271" s="15">
        <v>0.12</v>
      </c>
    </row>
    <row r="272" spans="1:4" ht="15.75" customHeight="1">
      <c r="A272" s="15" t="s">
        <v>1336</v>
      </c>
      <c r="B272" s="15" t="s">
        <v>1052</v>
      </c>
      <c r="C272" s="15" t="s">
        <v>1051</v>
      </c>
      <c r="D272" s="15">
        <v>0.12</v>
      </c>
    </row>
    <row r="273" spans="1:4" ht="15.75" customHeight="1">
      <c r="A273" s="15" t="s">
        <v>1337</v>
      </c>
      <c r="B273" s="15" t="s">
        <v>1052</v>
      </c>
      <c r="C273" s="15" t="s">
        <v>1056</v>
      </c>
      <c r="D273" s="15">
        <v>0.12</v>
      </c>
    </row>
    <row r="274" spans="1:4" ht="15.75" customHeight="1">
      <c r="A274" s="15" t="s">
        <v>1338</v>
      </c>
      <c r="B274" s="15" t="s">
        <v>1052</v>
      </c>
      <c r="C274" s="15" t="s">
        <v>1058</v>
      </c>
      <c r="D274" s="15">
        <v>0.12</v>
      </c>
    </row>
    <row r="275" spans="1:4" ht="15.75" customHeight="1">
      <c r="A275" s="15" t="s">
        <v>1339</v>
      </c>
      <c r="B275" s="15" t="s">
        <v>1052</v>
      </c>
      <c r="C275" s="15" t="s">
        <v>29</v>
      </c>
      <c r="D275" s="15">
        <v>0.12</v>
      </c>
    </row>
    <row r="276" spans="1:4" ht="15.75" customHeight="1">
      <c r="A276" s="15" t="s">
        <v>1340</v>
      </c>
      <c r="B276" s="15" t="s">
        <v>1052</v>
      </c>
      <c r="C276" s="15" t="s">
        <v>34</v>
      </c>
      <c r="D276" s="15">
        <v>0.12</v>
      </c>
    </row>
    <row r="277" spans="1:4" ht="15.75" customHeight="1">
      <c r="A277" s="15" t="s">
        <v>1341</v>
      </c>
      <c r="B277" s="15" t="s">
        <v>1052</v>
      </c>
      <c r="C277" s="15" t="s">
        <v>41</v>
      </c>
      <c r="D277" s="15">
        <v>0.12</v>
      </c>
    </row>
    <row r="278" spans="1:4" ht="15.75" customHeight="1">
      <c r="A278" s="15" t="s">
        <v>1342</v>
      </c>
      <c r="B278" s="15" t="s">
        <v>1052</v>
      </c>
      <c r="C278" s="15" t="s">
        <v>1059</v>
      </c>
      <c r="D278" s="15">
        <v>0.12</v>
      </c>
    </row>
    <row r="279" spans="1:4" ht="15.75" customHeight="1">
      <c r="A279" s="15" t="s">
        <v>1343</v>
      </c>
      <c r="B279" s="15" t="s">
        <v>1052</v>
      </c>
      <c r="C279" s="15" t="s">
        <v>25</v>
      </c>
      <c r="D279" s="15">
        <v>0.12</v>
      </c>
    </row>
    <row r="280" spans="1:4" ht="15.75" customHeight="1">
      <c r="A280" s="15" t="s">
        <v>1344</v>
      </c>
      <c r="B280" s="15" t="s">
        <v>1052</v>
      </c>
      <c r="C280" s="15" t="s">
        <v>51</v>
      </c>
      <c r="D280" s="15">
        <v>0.12</v>
      </c>
    </row>
    <row r="281" spans="1:4" ht="15.75" customHeight="1">
      <c r="A281" s="15" t="s">
        <v>1345</v>
      </c>
      <c r="B281" s="15" t="s">
        <v>1052</v>
      </c>
      <c r="C281" s="15" t="s">
        <v>1057</v>
      </c>
      <c r="D281" s="15">
        <v>0.12</v>
      </c>
    </row>
    <row r="282" spans="1:4" ht="15.75" customHeight="1">
      <c r="A282" s="15" t="s">
        <v>1346</v>
      </c>
      <c r="B282" s="15" t="s">
        <v>1052</v>
      </c>
      <c r="C282" s="15" t="s">
        <v>1052</v>
      </c>
      <c r="D282" s="15">
        <v>0.18</v>
      </c>
    </row>
    <row r="283" spans="1:4" ht="15.75" customHeight="1">
      <c r="A283" s="15" t="s">
        <v>1347</v>
      </c>
      <c r="B283" s="15" t="s">
        <v>1052</v>
      </c>
      <c r="C283" s="15" t="s">
        <v>1053</v>
      </c>
      <c r="D283" s="15">
        <v>0.12</v>
      </c>
    </row>
    <row r="284" spans="1:4" ht="15.75" customHeight="1">
      <c r="A284" s="15" t="s">
        <v>1348</v>
      </c>
      <c r="B284" s="15" t="s">
        <v>1052</v>
      </c>
      <c r="C284" s="15" t="s">
        <v>24</v>
      </c>
      <c r="D284" s="15">
        <v>0.12</v>
      </c>
    </row>
    <row r="285" spans="1:4" ht="15.75" customHeight="1">
      <c r="A285" s="15" t="s">
        <v>1349</v>
      </c>
      <c r="B285" s="15" t="s">
        <v>1052</v>
      </c>
      <c r="C285" s="15" t="s">
        <v>1054</v>
      </c>
      <c r="D285" s="15">
        <v>0.12</v>
      </c>
    </row>
    <row r="286" spans="1:4" ht="15.75" customHeight="1">
      <c r="A286" s="15" t="s">
        <v>1350</v>
      </c>
      <c r="B286" s="15" t="s">
        <v>1052</v>
      </c>
      <c r="C286" s="15" t="s">
        <v>1055</v>
      </c>
      <c r="D286" s="15">
        <v>0.12</v>
      </c>
    </row>
    <row r="287" spans="1:4" ht="15.75" customHeight="1">
      <c r="A287" s="15" t="s">
        <v>1351</v>
      </c>
      <c r="B287" s="15" t="s">
        <v>1052</v>
      </c>
      <c r="C287" s="15" t="s">
        <v>28</v>
      </c>
      <c r="D287" s="15">
        <v>0.12</v>
      </c>
    </row>
    <row r="288" spans="1:4" ht="15.75" customHeight="1">
      <c r="A288" s="15" t="s">
        <v>1352</v>
      </c>
      <c r="B288" s="15" t="s">
        <v>1052</v>
      </c>
      <c r="C288" s="15" t="s">
        <v>1061</v>
      </c>
      <c r="D288" s="15">
        <v>0.12</v>
      </c>
    </row>
    <row r="289" spans="1:4" ht="15.75" customHeight="1">
      <c r="A289" s="15" t="s">
        <v>1353</v>
      </c>
      <c r="B289" s="15" t="s">
        <v>1052</v>
      </c>
      <c r="C289" s="15" t="s">
        <v>1062</v>
      </c>
      <c r="D289" s="15">
        <v>0.12</v>
      </c>
    </row>
    <row r="290" spans="1:4" ht="15.75" customHeight="1">
      <c r="A290" s="15" t="s">
        <v>1354</v>
      </c>
      <c r="B290" s="15" t="s">
        <v>1052</v>
      </c>
      <c r="C290" s="15" t="s">
        <v>27</v>
      </c>
      <c r="D290" s="15">
        <v>0.12</v>
      </c>
    </row>
    <row r="291" spans="1:4" ht="15.75" customHeight="1">
      <c r="A291" s="15" t="s">
        <v>1355</v>
      </c>
      <c r="B291" s="15" t="s">
        <v>1052</v>
      </c>
      <c r="C291" s="15" t="s">
        <v>732</v>
      </c>
      <c r="D291" s="15">
        <v>0.12</v>
      </c>
    </row>
    <row r="292" spans="1:4" ht="15.75" customHeight="1">
      <c r="A292" s="15" t="s">
        <v>1356</v>
      </c>
      <c r="B292" s="15" t="s">
        <v>1052</v>
      </c>
      <c r="C292" s="15" t="s">
        <v>736</v>
      </c>
      <c r="D292" s="15">
        <v>0.12</v>
      </c>
    </row>
    <row r="293" spans="1:4" ht="15.75" customHeight="1">
      <c r="A293" s="15" t="s">
        <v>1357</v>
      </c>
      <c r="B293" s="15" t="s">
        <v>1052</v>
      </c>
      <c r="C293" s="15" t="s">
        <v>733</v>
      </c>
      <c r="D293" s="15">
        <v>0.12</v>
      </c>
    </row>
    <row r="294" spans="1:4" ht="15.75" customHeight="1">
      <c r="A294" s="15" t="s">
        <v>1358</v>
      </c>
      <c r="B294" s="15" t="s">
        <v>1052</v>
      </c>
      <c r="C294" s="15" t="s">
        <v>1063</v>
      </c>
      <c r="D294" s="15">
        <v>0.12</v>
      </c>
    </row>
    <row r="295" spans="1:4" ht="15.75" customHeight="1">
      <c r="A295" s="15" t="s">
        <v>1359</v>
      </c>
      <c r="B295" s="15" t="s">
        <v>1052</v>
      </c>
      <c r="C295" s="15" t="s">
        <v>26</v>
      </c>
      <c r="D295" s="15">
        <v>0.12</v>
      </c>
    </row>
    <row r="296" spans="1:4" ht="15.75" customHeight="1">
      <c r="A296" s="15" t="s">
        <v>1360</v>
      </c>
      <c r="B296" s="15" t="s">
        <v>1052</v>
      </c>
      <c r="C296" s="15" t="s">
        <v>23</v>
      </c>
      <c r="D296" s="15">
        <v>0.12</v>
      </c>
    </row>
    <row r="297" spans="1:4" ht="15.75" customHeight="1">
      <c r="A297" s="15" t="s">
        <v>1361</v>
      </c>
      <c r="B297" s="15" t="s">
        <v>1052</v>
      </c>
      <c r="C297" s="15" t="s">
        <v>1060</v>
      </c>
      <c r="D297" s="15">
        <v>0.12</v>
      </c>
    </row>
    <row r="298" spans="1:4" ht="15.75" customHeight="1">
      <c r="A298" s="15" t="s">
        <v>1362</v>
      </c>
      <c r="B298" s="15" t="s">
        <v>1052</v>
      </c>
      <c r="C298" s="15" t="s">
        <v>1064</v>
      </c>
      <c r="D298" s="15">
        <v>0.12</v>
      </c>
    </row>
    <row r="299" spans="1:4" ht="15.75" customHeight="1">
      <c r="A299" s="15" t="s">
        <v>1363</v>
      </c>
      <c r="B299" s="15" t="s">
        <v>1053</v>
      </c>
      <c r="C299" s="15" t="s">
        <v>1051</v>
      </c>
      <c r="D299" s="15">
        <v>0.12</v>
      </c>
    </row>
    <row r="300" spans="1:4" ht="15.75" customHeight="1">
      <c r="A300" s="15" t="s">
        <v>1364</v>
      </c>
      <c r="B300" s="15" t="s">
        <v>1053</v>
      </c>
      <c r="C300" s="15" t="s">
        <v>1056</v>
      </c>
      <c r="D300" s="15">
        <v>0.12</v>
      </c>
    </row>
    <row r="301" spans="1:4" ht="15.75" customHeight="1">
      <c r="A301" s="15" t="s">
        <v>1365</v>
      </c>
      <c r="B301" s="15" t="s">
        <v>1053</v>
      </c>
      <c r="C301" s="15" t="s">
        <v>1058</v>
      </c>
      <c r="D301" s="15">
        <v>0.12</v>
      </c>
    </row>
    <row r="302" spans="1:4" ht="15.75" customHeight="1">
      <c r="A302" s="15" t="s">
        <v>1366</v>
      </c>
      <c r="B302" s="15" t="s">
        <v>1053</v>
      </c>
      <c r="C302" s="15" t="s">
        <v>29</v>
      </c>
      <c r="D302" s="15">
        <v>0.12</v>
      </c>
    </row>
    <row r="303" spans="1:4" ht="15.75" customHeight="1">
      <c r="A303" s="15" t="s">
        <v>1367</v>
      </c>
      <c r="B303" s="15" t="s">
        <v>1053</v>
      </c>
      <c r="C303" s="15" t="s">
        <v>34</v>
      </c>
      <c r="D303" s="15">
        <v>0.12</v>
      </c>
    </row>
    <row r="304" spans="1:4" ht="15.75" customHeight="1">
      <c r="A304" s="15" t="s">
        <v>1368</v>
      </c>
      <c r="B304" s="15" t="s">
        <v>1053</v>
      </c>
      <c r="C304" s="15" t="s">
        <v>41</v>
      </c>
      <c r="D304" s="15">
        <v>0.12</v>
      </c>
    </row>
    <row r="305" spans="1:4" ht="15.75" customHeight="1">
      <c r="A305" s="15" t="s">
        <v>1369</v>
      </c>
      <c r="B305" s="15" t="s">
        <v>1053</v>
      </c>
      <c r="C305" s="15" t="s">
        <v>1059</v>
      </c>
      <c r="D305" s="15">
        <v>0.12</v>
      </c>
    </row>
    <row r="306" spans="1:4" ht="15.75" customHeight="1">
      <c r="A306" s="15" t="s">
        <v>1370</v>
      </c>
      <c r="B306" s="15" t="s">
        <v>1053</v>
      </c>
      <c r="C306" s="15" t="s">
        <v>25</v>
      </c>
      <c r="D306" s="15">
        <v>0.12</v>
      </c>
    </row>
    <row r="307" spans="1:4" ht="15.75" customHeight="1">
      <c r="A307" s="15" t="s">
        <v>1371</v>
      </c>
      <c r="B307" s="15" t="s">
        <v>1053</v>
      </c>
      <c r="C307" s="15" t="s">
        <v>51</v>
      </c>
      <c r="D307" s="15">
        <v>0.12</v>
      </c>
    </row>
    <row r="308" spans="1:4" ht="15.75" customHeight="1">
      <c r="A308" s="15" t="s">
        <v>1372</v>
      </c>
      <c r="B308" s="15" t="s">
        <v>1053</v>
      </c>
      <c r="C308" s="15" t="s">
        <v>1057</v>
      </c>
      <c r="D308" s="15">
        <v>0.12</v>
      </c>
    </row>
    <row r="309" spans="1:4" ht="15.75" customHeight="1">
      <c r="A309" s="15" t="s">
        <v>1373</v>
      </c>
      <c r="B309" s="15" t="s">
        <v>1053</v>
      </c>
      <c r="C309" s="15" t="s">
        <v>1052</v>
      </c>
      <c r="D309" s="15">
        <v>0.12</v>
      </c>
    </row>
    <row r="310" spans="1:4" ht="15.75" customHeight="1">
      <c r="A310" s="15" t="s">
        <v>1374</v>
      </c>
      <c r="B310" s="15" t="s">
        <v>1053</v>
      </c>
      <c r="C310" s="15" t="s">
        <v>1053</v>
      </c>
      <c r="D310" s="15">
        <v>0.18</v>
      </c>
    </row>
    <row r="311" spans="1:4" ht="15.75" customHeight="1">
      <c r="A311" s="15" t="s">
        <v>1375</v>
      </c>
      <c r="B311" s="15" t="s">
        <v>1053</v>
      </c>
      <c r="C311" s="15" t="s">
        <v>24</v>
      </c>
      <c r="D311" s="15">
        <v>0.12</v>
      </c>
    </row>
    <row r="312" spans="1:4" ht="15.75" customHeight="1">
      <c r="A312" s="15" t="s">
        <v>1376</v>
      </c>
      <c r="B312" s="15" t="s">
        <v>1053</v>
      </c>
      <c r="C312" s="15" t="s">
        <v>1054</v>
      </c>
      <c r="D312" s="15">
        <v>0.12</v>
      </c>
    </row>
    <row r="313" spans="1:4" ht="15.75" customHeight="1">
      <c r="A313" s="15" t="s">
        <v>1377</v>
      </c>
      <c r="B313" s="15" t="s">
        <v>1053</v>
      </c>
      <c r="C313" s="15" t="s">
        <v>1055</v>
      </c>
      <c r="D313" s="15">
        <v>0.12</v>
      </c>
    </row>
    <row r="314" spans="1:4" ht="15.75" customHeight="1">
      <c r="A314" s="15" t="s">
        <v>1378</v>
      </c>
      <c r="B314" s="15" t="s">
        <v>1053</v>
      </c>
      <c r="C314" s="15" t="s">
        <v>28</v>
      </c>
      <c r="D314" s="15">
        <v>0.12</v>
      </c>
    </row>
    <row r="315" spans="1:4" ht="15.75" customHeight="1">
      <c r="A315" s="15" t="s">
        <v>1379</v>
      </c>
      <c r="B315" s="15" t="s">
        <v>1053</v>
      </c>
      <c r="C315" s="15" t="s">
        <v>1061</v>
      </c>
      <c r="D315" s="15">
        <v>0.12</v>
      </c>
    </row>
    <row r="316" spans="1:4" ht="15.75" customHeight="1">
      <c r="A316" s="15" t="s">
        <v>1380</v>
      </c>
      <c r="B316" s="15" t="s">
        <v>1053</v>
      </c>
      <c r="C316" s="15" t="s">
        <v>1062</v>
      </c>
      <c r="D316" s="15">
        <v>0.12</v>
      </c>
    </row>
    <row r="317" spans="1:4" ht="15.75" customHeight="1">
      <c r="A317" s="15" t="s">
        <v>1381</v>
      </c>
      <c r="B317" s="15" t="s">
        <v>1053</v>
      </c>
      <c r="C317" s="15" t="s">
        <v>27</v>
      </c>
      <c r="D317" s="15">
        <v>0.12</v>
      </c>
    </row>
    <row r="318" spans="1:4" ht="15.75" customHeight="1">
      <c r="A318" s="15" t="s">
        <v>1382</v>
      </c>
      <c r="B318" s="15" t="s">
        <v>1053</v>
      </c>
      <c r="C318" s="15" t="s">
        <v>732</v>
      </c>
      <c r="D318" s="15">
        <v>0.12</v>
      </c>
    </row>
    <row r="319" spans="1:4" ht="15.75" customHeight="1">
      <c r="A319" s="15" t="s">
        <v>1383</v>
      </c>
      <c r="B319" s="15" t="s">
        <v>1053</v>
      </c>
      <c r="C319" s="15" t="s">
        <v>736</v>
      </c>
      <c r="D319" s="15">
        <v>0.12</v>
      </c>
    </row>
    <row r="320" spans="1:4" ht="15.75" customHeight="1">
      <c r="A320" s="15" t="s">
        <v>1384</v>
      </c>
      <c r="B320" s="15" t="s">
        <v>1053</v>
      </c>
      <c r="C320" s="15" t="s">
        <v>733</v>
      </c>
      <c r="D320" s="15">
        <v>0.12</v>
      </c>
    </row>
    <row r="321" spans="1:4" ht="15.75" customHeight="1">
      <c r="A321" s="15" t="s">
        <v>1385</v>
      </c>
      <c r="B321" s="15" t="s">
        <v>1053</v>
      </c>
      <c r="C321" s="15" t="s">
        <v>1063</v>
      </c>
      <c r="D321" s="15">
        <v>0.12</v>
      </c>
    </row>
    <row r="322" spans="1:4" ht="15.75" customHeight="1">
      <c r="A322" s="15" t="s">
        <v>1386</v>
      </c>
      <c r="B322" s="15" t="s">
        <v>1053</v>
      </c>
      <c r="C322" s="15" t="s">
        <v>26</v>
      </c>
      <c r="D322" s="15">
        <v>0.12</v>
      </c>
    </row>
    <row r="323" spans="1:4" ht="15.75" customHeight="1">
      <c r="A323" s="15" t="s">
        <v>1387</v>
      </c>
      <c r="B323" s="15" t="s">
        <v>1053</v>
      </c>
      <c r="C323" s="15" t="s">
        <v>23</v>
      </c>
      <c r="D323" s="15">
        <v>0.12</v>
      </c>
    </row>
    <row r="324" spans="1:4" ht="15.75" customHeight="1">
      <c r="A324" s="15" t="s">
        <v>1388</v>
      </c>
      <c r="B324" s="15" t="s">
        <v>1053</v>
      </c>
      <c r="C324" s="15" t="s">
        <v>1060</v>
      </c>
      <c r="D324" s="15">
        <v>0.12</v>
      </c>
    </row>
    <row r="325" spans="1:4" ht="15.75" customHeight="1">
      <c r="A325" s="15" t="s">
        <v>1389</v>
      </c>
      <c r="B325" s="15" t="s">
        <v>1053</v>
      </c>
      <c r="C325" s="15" t="s">
        <v>1064</v>
      </c>
      <c r="D325" s="15">
        <v>0.12</v>
      </c>
    </row>
    <row r="326" spans="1:4" ht="15.75" customHeight="1">
      <c r="A326" s="15" t="s">
        <v>1390</v>
      </c>
      <c r="B326" s="15" t="s">
        <v>24</v>
      </c>
      <c r="C326" s="15" t="s">
        <v>1051</v>
      </c>
      <c r="D326" s="15">
        <v>7.0000000000000007E-2</v>
      </c>
    </row>
    <row r="327" spans="1:4" ht="15.75" customHeight="1">
      <c r="A327" s="15" t="s">
        <v>1391</v>
      </c>
      <c r="B327" s="15" t="s">
        <v>24</v>
      </c>
      <c r="C327" s="15" t="s">
        <v>1056</v>
      </c>
      <c r="D327" s="15">
        <v>7.0000000000000007E-2</v>
      </c>
    </row>
    <row r="328" spans="1:4" ht="15.75" customHeight="1">
      <c r="A328" s="15" t="s">
        <v>1392</v>
      </c>
      <c r="B328" s="15" t="s">
        <v>24</v>
      </c>
      <c r="C328" s="15" t="s">
        <v>1058</v>
      </c>
      <c r="D328" s="15">
        <v>7.0000000000000007E-2</v>
      </c>
    </row>
    <row r="329" spans="1:4" ht="15.75" customHeight="1">
      <c r="A329" s="15" t="s">
        <v>1393</v>
      </c>
      <c r="B329" s="15" t="s">
        <v>24</v>
      </c>
      <c r="C329" s="15" t="s">
        <v>29</v>
      </c>
      <c r="D329" s="15">
        <v>7.0000000000000007E-2</v>
      </c>
    </row>
    <row r="330" spans="1:4" ht="15.75" customHeight="1">
      <c r="A330" s="15" t="s">
        <v>1394</v>
      </c>
      <c r="B330" s="15" t="s">
        <v>24</v>
      </c>
      <c r="C330" s="15" t="s">
        <v>34</v>
      </c>
      <c r="D330" s="15">
        <v>7.0000000000000007E-2</v>
      </c>
    </row>
    <row r="331" spans="1:4" ht="15.75" customHeight="1">
      <c r="A331" s="15" t="s">
        <v>1395</v>
      </c>
      <c r="B331" s="15" t="s">
        <v>24</v>
      </c>
      <c r="C331" s="15" t="s">
        <v>41</v>
      </c>
      <c r="D331" s="15">
        <v>7.0000000000000007E-2</v>
      </c>
    </row>
    <row r="332" spans="1:4" ht="15.75" customHeight="1">
      <c r="A332" s="15" t="s">
        <v>1396</v>
      </c>
      <c r="B332" s="15" t="s">
        <v>24</v>
      </c>
      <c r="C332" s="15" t="s">
        <v>1059</v>
      </c>
      <c r="D332" s="15">
        <v>7.0000000000000007E-2</v>
      </c>
    </row>
    <row r="333" spans="1:4" ht="15.75" customHeight="1">
      <c r="A333" s="15" t="s">
        <v>1397</v>
      </c>
      <c r="B333" s="15" t="s">
        <v>24</v>
      </c>
      <c r="C333" s="15" t="s">
        <v>25</v>
      </c>
      <c r="D333" s="15">
        <v>7.0000000000000007E-2</v>
      </c>
    </row>
    <row r="334" spans="1:4" ht="15.75" customHeight="1">
      <c r="A334" s="15" t="s">
        <v>1398</v>
      </c>
      <c r="B334" s="15" t="s">
        <v>24</v>
      </c>
      <c r="C334" s="15" t="s">
        <v>51</v>
      </c>
      <c r="D334" s="15">
        <v>7.0000000000000007E-2</v>
      </c>
    </row>
    <row r="335" spans="1:4" ht="15.75" customHeight="1">
      <c r="A335" s="15" t="s">
        <v>1399</v>
      </c>
      <c r="B335" s="15" t="s">
        <v>24</v>
      </c>
      <c r="C335" s="15" t="s">
        <v>1057</v>
      </c>
      <c r="D335" s="15">
        <v>7.0000000000000007E-2</v>
      </c>
    </row>
    <row r="336" spans="1:4" ht="15.75" customHeight="1">
      <c r="A336" s="15" t="s">
        <v>1400</v>
      </c>
      <c r="B336" s="15" t="s">
        <v>24</v>
      </c>
      <c r="C336" s="15" t="s">
        <v>1052</v>
      </c>
      <c r="D336" s="15">
        <v>7.0000000000000007E-2</v>
      </c>
    </row>
    <row r="337" spans="1:4" ht="15.75" customHeight="1">
      <c r="A337" s="15" t="s">
        <v>1401</v>
      </c>
      <c r="B337" s="15" t="s">
        <v>24</v>
      </c>
      <c r="C337" s="15" t="s">
        <v>1053</v>
      </c>
      <c r="D337" s="15">
        <v>7.0000000000000007E-2</v>
      </c>
    </row>
    <row r="338" spans="1:4" ht="15.75" customHeight="1">
      <c r="A338" s="15" t="s">
        <v>1402</v>
      </c>
      <c r="B338" s="15" t="s">
        <v>24</v>
      </c>
      <c r="C338" s="15" t="s">
        <v>24</v>
      </c>
      <c r="D338" s="15">
        <v>0.18</v>
      </c>
    </row>
    <row r="339" spans="1:4" ht="15.75" customHeight="1">
      <c r="A339" s="15" t="s">
        <v>1403</v>
      </c>
      <c r="B339" s="15" t="s">
        <v>24</v>
      </c>
      <c r="C339" s="15" t="s">
        <v>1054</v>
      </c>
      <c r="D339" s="15">
        <v>7.0000000000000007E-2</v>
      </c>
    </row>
    <row r="340" spans="1:4" ht="15.75" customHeight="1">
      <c r="A340" s="15" t="s">
        <v>1404</v>
      </c>
      <c r="B340" s="15" t="s">
        <v>24</v>
      </c>
      <c r="C340" s="15" t="s">
        <v>1055</v>
      </c>
      <c r="D340" s="15">
        <v>7.0000000000000007E-2</v>
      </c>
    </row>
    <row r="341" spans="1:4" ht="15.75" customHeight="1">
      <c r="A341" s="15" t="s">
        <v>1405</v>
      </c>
      <c r="B341" s="15" t="s">
        <v>24</v>
      </c>
      <c r="C341" s="15" t="s">
        <v>28</v>
      </c>
      <c r="D341" s="15">
        <v>0.12</v>
      </c>
    </row>
    <row r="342" spans="1:4" ht="15.75" customHeight="1">
      <c r="A342" s="15" t="s">
        <v>1406</v>
      </c>
      <c r="B342" s="15" t="s">
        <v>24</v>
      </c>
      <c r="C342" s="15" t="s">
        <v>1061</v>
      </c>
      <c r="D342" s="15">
        <v>7.0000000000000007E-2</v>
      </c>
    </row>
    <row r="343" spans="1:4" ht="15.75" customHeight="1">
      <c r="A343" s="15" t="s">
        <v>1407</v>
      </c>
      <c r="B343" s="15" t="s">
        <v>24</v>
      </c>
      <c r="C343" s="15" t="s">
        <v>1062</v>
      </c>
      <c r="D343" s="15">
        <v>7.0000000000000007E-2</v>
      </c>
    </row>
    <row r="344" spans="1:4" ht="15.75" customHeight="1">
      <c r="A344" s="15" t="s">
        <v>1408</v>
      </c>
      <c r="B344" s="15" t="s">
        <v>24</v>
      </c>
      <c r="C344" s="15" t="s">
        <v>27</v>
      </c>
      <c r="D344" s="15">
        <v>0.12</v>
      </c>
    </row>
    <row r="345" spans="1:4" ht="15.75" customHeight="1">
      <c r="A345" s="15" t="s">
        <v>1409</v>
      </c>
      <c r="B345" s="15" t="s">
        <v>24</v>
      </c>
      <c r="C345" s="15" t="s">
        <v>732</v>
      </c>
      <c r="D345" s="15">
        <v>7.0000000000000007E-2</v>
      </c>
    </row>
    <row r="346" spans="1:4" ht="15.75" customHeight="1">
      <c r="A346" s="15" t="s">
        <v>1410</v>
      </c>
      <c r="B346" s="15" t="s">
        <v>24</v>
      </c>
      <c r="C346" s="15" t="s">
        <v>736</v>
      </c>
      <c r="D346" s="15">
        <v>0.12</v>
      </c>
    </row>
    <row r="347" spans="1:4" ht="15.75" customHeight="1">
      <c r="A347" s="15" t="s">
        <v>1411</v>
      </c>
      <c r="B347" s="15" t="s">
        <v>24</v>
      </c>
      <c r="C347" s="15" t="s">
        <v>733</v>
      </c>
      <c r="D347" s="15">
        <v>7.0000000000000007E-2</v>
      </c>
    </row>
    <row r="348" spans="1:4" ht="15.75" customHeight="1">
      <c r="A348" s="15" t="s">
        <v>1412</v>
      </c>
      <c r="B348" s="15" t="s">
        <v>24</v>
      </c>
      <c r="C348" s="15" t="s">
        <v>1063</v>
      </c>
      <c r="D348" s="15">
        <v>7.0000000000000007E-2</v>
      </c>
    </row>
    <row r="349" spans="1:4" ht="15.75" customHeight="1">
      <c r="A349" s="15" t="s">
        <v>1413</v>
      </c>
      <c r="B349" s="15" t="s">
        <v>24</v>
      </c>
      <c r="C349" s="15" t="s">
        <v>26</v>
      </c>
      <c r="D349" s="15">
        <v>0.12</v>
      </c>
    </row>
    <row r="350" spans="1:4" ht="15.75" customHeight="1">
      <c r="A350" s="15" t="s">
        <v>1414</v>
      </c>
      <c r="B350" s="15" t="s">
        <v>24</v>
      </c>
      <c r="C350" s="15" t="s">
        <v>23</v>
      </c>
      <c r="D350" s="15">
        <v>0.12</v>
      </c>
    </row>
    <row r="351" spans="1:4" ht="15.75" customHeight="1">
      <c r="A351" s="15" t="s">
        <v>1415</v>
      </c>
      <c r="B351" s="15" t="s">
        <v>24</v>
      </c>
      <c r="C351" s="15" t="s">
        <v>1060</v>
      </c>
      <c r="D351" s="15">
        <v>7.0000000000000007E-2</v>
      </c>
    </row>
    <row r="352" spans="1:4" ht="15.75" customHeight="1">
      <c r="A352" s="15" t="s">
        <v>1416</v>
      </c>
      <c r="B352" s="15" t="s">
        <v>24</v>
      </c>
      <c r="C352" s="15" t="s">
        <v>1064</v>
      </c>
      <c r="D352" s="15">
        <v>7.0000000000000007E-2</v>
      </c>
    </row>
    <row r="353" spans="1:4" ht="15.75" customHeight="1">
      <c r="A353" s="15" t="s">
        <v>1417</v>
      </c>
      <c r="B353" s="15" t="s">
        <v>1054</v>
      </c>
      <c r="C353" s="15" t="s">
        <v>1051</v>
      </c>
      <c r="D353" s="15">
        <v>0.12</v>
      </c>
    </row>
    <row r="354" spans="1:4" ht="15.75" customHeight="1">
      <c r="A354" s="15" t="s">
        <v>1418</v>
      </c>
      <c r="B354" s="15" t="s">
        <v>1054</v>
      </c>
      <c r="C354" s="15" t="s">
        <v>1056</v>
      </c>
      <c r="D354" s="15">
        <v>0.12</v>
      </c>
    </row>
    <row r="355" spans="1:4" ht="15.75" customHeight="1">
      <c r="A355" s="15" t="s">
        <v>1419</v>
      </c>
      <c r="B355" s="15" t="s">
        <v>1054</v>
      </c>
      <c r="C355" s="15" t="s">
        <v>1058</v>
      </c>
      <c r="D355" s="15">
        <v>0.12</v>
      </c>
    </row>
    <row r="356" spans="1:4" ht="15.75" customHeight="1">
      <c r="A356" s="15" t="s">
        <v>1420</v>
      </c>
      <c r="B356" s="15" t="s">
        <v>1054</v>
      </c>
      <c r="C356" s="15" t="s">
        <v>29</v>
      </c>
      <c r="D356" s="15">
        <v>0.12</v>
      </c>
    </row>
    <row r="357" spans="1:4" ht="15.75" customHeight="1">
      <c r="A357" s="15" t="s">
        <v>1421</v>
      </c>
      <c r="B357" s="15" t="s">
        <v>1054</v>
      </c>
      <c r="C357" s="15" t="s">
        <v>34</v>
      </c>
      <c r="D357" s="15">
        <v>0.12</v>
      </c>
    </row>
    <row r="358" spans="1:4" ht="15.75" customHeight="1">
      <c r="A358" s="15" t="s">
        <v>1422</v>
      </c>
      <c r="B358" s="15" t="s">
        <v>1054</v>
      </c>
      <c r="C358" s="15" t="s">
        <v>41</v>
      </c>
      <c r="D358" s="15">
        <v>0.12</v>
      </c>
    </row>
    <row r="359" spans="1:4" ht="15.75" customHeight="1">
      <c r="A359" s="15" t="s">
        <v>1423</v>
      </c>
      <c r="B359" s="15" t="s">
        <v>1054</v>
      </c>
      <c r="C359" s="15" t="s">
        <v>1059</v>
      </c>
      <c r="D359" s="15">
        <v>0.12</v>
      </c>
    </row>
    <row r="360" spans="1:4" ht="15.75" customHeight="1">
      <c r="A360" s="15" t="s">
        <v>1424</v>
      </c>
      <c r="B360" s="15" t="s">
        <v>1054</v>
      </c>
      <c r="C360" s="15" t="s">
        <v>25</v>
      </c>
      <c r="D360" s="15">
        <v>0.12</v>
      </c>
    </row>
    <row r="361" spans="1:4" ht="15.75" customHeight="1">
      <c r="A361" s="15" t="s">
        <v>1425</v>
      </c>
      <c r="B361" s="15" t="s">
        <v>1054</v>
      </c>
      <c r="C361" s="15" t="s">
        <v>51</v>
      </c>
      <c r="D361" s="15">
        <v>0.12</v>
      </c>
    </row>
    <row r="362" spans="1:4" ht="15.75" customHeight="1">
      <c r="A362" s="15" t="s">
        <v>1426</v>
      </c>
      <c r="B362" s="15" t="s">
        <v>1054</v>
      </c>
      <c r="C362" s="15" t="s">
        <v>1057</v>
      </c>
      <c r="D362" s="15">
        <v>0.12</v>
      </c>
    </row>
    <row r="363" spans="1:4" ht="15.75" customHeight="1">
      <c r="A363" s="15" t="s">
        <v>1427</v>
      </c>
      <c r="B363" s="15" t="s">
        <v>1054</v>
      </c>
      <c r="C363" s="15" t="s">
        <v>1052</v>
      </c>
      <c r="D363" s="15">
        <v>0.12</v>
      </c>
    </row>
    <row r="364" spans="1:4" ht="15.75" customHeight="1">
      <c r="A364" s="15" t="s">
        <v>1428</v>
      </c>
      <c r="B364" s="15" t="s">
        <v>1054</v>
      </c>
      <c r="C364" s="15" t="s">
        <v>1053</v>
      </c>
      <c r="D364" s="15">
        <v>0.12</v>
      </c>
    </row>
    <row r="365" spans="1:4" ht="15.75" customHeight="1">
      <c r="A365" s="15" t="s">
        <v>1429</v>
      </c>
      <c r="B365" s="15" t="s">
        <v>1054</v>
      </c>
      <c r="C365" s="15" t="s">
        <v>24</v>
      </c>
      <c r="D365" s="15">
        <v>0.12</v>
      </c>
    </row>
    <row r="366" spans="1:4" ht="15.75" customHeight="1">
      <c r="A366" s="15" t="s">
        <v>1430</v>
      </c>
      <c r="B366" s="15" t="s">
        <v>1054</v>
      </c>
      <c r="C366" s="15" t="s">
        <v>1054</v>
      </c>
      <c r="D366" s="15">
        <v>0.18</v>
      </c>
    </row>
    <row r="367" spans="1:4" ht="15.75" customHeight="1">
      <c r="A367" s="15" t="s">
        <v>1431</v>
      </c>
      <c r="B367" s="15" t="s">
        <v>1054</v>
      </c>
      <c r="C367" s="15" t="s">
        <v>1055</v>
      </c>
      <c r="D367" s="15">
        <v>0.12</v>
      </c>
    </row>
    <row r="368" spans="1:4" ht="15.75" customHeight="1">
      <c r="A368" s="15" t="s">
        <v>1432</v>
      </c>
      <c r="B368" s="15" t="s">
        <v>1054</v>
      </c>
      <c r="C368" s="15" t="s">
        <v>28</v>
      </c>
      <c r="D368" s="15">
        <v>0.12</v>
      </c>
    </row>
    <row r="369" spans="1:4" ht="15.75" customHeight="1">
      <c r="A369" s="15" t="s">
        <v>1433</v>
      </c>
      <c r="B369" s="15" t="s">
        <v>1054</v>
      </c>
      <c r="C369" s="15" t="s">
        <v>1061</v>
      </c>
      <c r="D369" s="15">
        <v>0.12</v>
      </c>
    </row>
    <row r="370" spans="1:4" ht="15.75" customHeight="1">
      <c r="A370" s="15" t="s">
        <v>1434</v>
      </c>
      <c r="B370" s="15" t="s">
        <v>1054</v>
      </c>
      <c r="C370" s="15" t="s">
        <v>1062</v>
      </c>
      <c r="D370" s="15">
        <v>0.12</v>
      </c>
    </row>
    <row r="371" spans="1:4" ht="15.75" customHeight="1">
      <c r="A371" s="15" t="s">
        <v>1435</v>
      </c>
      <c r="B371" s="15" t="s">
        <v>1054</v>
      </c>
      <c r="C371" s="15" t="s">
        <v>27</v>
      </c>
      <c r="D371" s="15">
        <v>0.12</v>
      </c>
    </row>
    <row r="372" spans="1:4" ht="15.75" customHeight="1">
      <c r="A372" s="15" t="s">
        <v>1436</v>
      </c>
      <c r="B372" s="15" t="s">
        <v>1054</v>
      </c>
      <c r="C372" s="15" t="s">
        <v>732</v>
      </c>
      <c r="D372" s="15">
        <v>0.12</v>
      </c>
    </row>
    <row r="373" spans="1:4" ht="15.75" customHeight="1">
      <c r="A373" s="15" t="s">
        <v>1437</v>
      </c>
      <c r="B373" s="15" t="s">
        <v>1054</v>
      </c>
      <c r="C373" s="15" t="s">
        <v>736</v>
      </c>
      <c r="D373" s="15">
        <v>0.12</v>
      </c>
    </row>
    <row r="374" spans="1:4" ht="15.75" customHeight="1">
      <c r="A374" s="15" t="s">
        <v>1438</v>
      </c>
      <c r="B374" s="15" t="s">
        <v>1054</v>
      </c>
      <c r="C374" s="15" t="s">
        <v>733</v>
      </c>
      <c r="D374" s="15">
        <v>0.12</v>
      </c>
    </row>
    <row r="375" spans="1:4" ht="15.75" customHeight="1">
      <c r="A375" s="15" t="s">
        <v>1439</v>
      </c>
      <c r="B375" s="15" t="s">
        <v>1054</v>
      </c>
      <c r="C375" s="15" t="s">
        <v>1063</v>
      </c>
      <c r="D375" s="15">
        <v>0.12</v>
      </c>
    </row>
    <row r="376" spans="1:4" ht="15.75" customHeight="1">
      <c r="A376" s="15" t="s">
        <v>1440</v>
      </c>
      <c r="B376" s="15" t="s">
        <v>1054</v>
      </c>
      <c r="C376" s="15" t="s">
        <v>26</v>
      </c>
      <c r="D376" s="15">
        <v>0.12</v>
      </c>
    </row>
    <row r="377" spans="1:4" ht="15.75" customHeight="1">
      <c r="A377" s="15" t="s">
        <v>1441</v>
      </c>
      <c r="B377" s="15" t="s">
        <v>1054</v>
      </c>
      <c r="C377" s="15" t="s">
        <v>23</v>
      </c>
      <c r="D377" s="15">
        <v>0.12</v>
      </c>
    </row>
    <row r="378" spans="1:4" ht="15.75" customHeight="1">
      <c r="A378" s="15" t="s">
        <v>1442</v>
      </c>
      <c r="B378" s="15" t="s">
        <v>1054</v>
      </c>
      <c r="C378" s="15" t="s">
        <v>1060</v>
      </c>
      <c r="D378" s="15">
        <v>0.12</v>
      </c>
    </row>
    <row r="379" spans="1:4" ht="15.75" customHeight="1">
      <c r="A379" s="15" t="s">
        <v>1443</v>
      </c>
      <c r="B379" s="15" t="s">
        <v>1054</v>
      </c>
      <c r="C379" s="15" t="s">
        <v>1064</v>
      </c>
      <c r="D379" s="15">
        <v>0.12</v>
      </c>
    </row>
    <row r="380" spans="1:4" ht="15.75" customHeight="1">
      <c r="A380" s="15" t="s">
        <v>1444</v>
      </c>
      <c r="B380" s="15" t="s">
        <v>1055</v>
      </c>
      <c r="C380" s="15" t="s">
        <v>1051</v>
      </c>
      <c r="D380" s="15">
        <v>0.12</v>
      </c>
    </row>
    <row r="381" spans="1:4" ht="15.75" customHeight="1">
      <c r="A381" s="15" t="s">
        <v>1445</v>
      </c>
      <c r="B381" s="15" t="s">
        <v>1055</v>
      </c>
      <c r="C381" s="15" t="s">
        <v>1056</v>
      </c>
      <c r="D381" s="15">
        <v>0.12</v>
      </c>
    </row>
    <row r="382" spans="1:4" ht="15.75" customHeight="1">
      <c r="A382" s="15" t="s">
        <v>1446</v>
      </c>
      <c r="B382" s="15" t="s">
        <v>1055</v>
      </c>
      <c r="C382" s="15" t="s">
        <v>1058</v>
      </c>
      <c r="D382" s="15">
        <v>0.12</v>
      </c>
    </row>
    <row r="383" spans="1:4" ht="15.75" customHeight="1">
      <c r="A383" s="15" t="s">
        <v>1447</v>
      </c>
      <c r="B383" s="15" t="s">
        <v>1055</v>
      </c>
      <c r="C383" s="15" t="s">
        <v>29</v>
      </c>
      <c r="D383" s="15">
        <v>0.12</v>
      </c>
    </row>
    <row r="384" spans="1:4" ht="15.75" customHeight="1">
      <c r="A384" s="15" t="s">
        <v>1448</v>
      </c>
      <c r="B384" s="15" t="s">
        <v>1055</v>
      </c>
      <c r="C384" s="15" t="s">
        <v>34</v>
      </c>
      <c r="D384" s="15">
        <v>0.12</v>
      </c>
    </row>
    <row r="385" spans="1:4" ht="15.75" customHeight="1">
      <c r="A385" s="15" t="s">
        <v>1449</v>
      </c>
      <c r="B385" s="15" t="s">
        <v>1055</v>
      </c>
      <c r="C385" s="15" t="s">
        <v>41</v>
      </c>
      <c r="D385" s="15">
        <v>0.12</v>
      </c>
    </row>
    <row r="386" spans="1:4" ht="15.75" customHeight="1">
      <c r="A386" s="15" t="s">
        <v>1450</v>
      </c>
      <c r="B386" s="15" t="s">
        <v>1055</v>
      </c>
      <c r="C386" s="15" t="s">
        <v>1059</v>
      </c>
      <c r="D386" s="15">
        <v>0.12</v>
      </c>
    </row>
    <row r="387" spans="1:4" ht="15.75" customHeight="1">
      <c r="A387" s="15" t="s">
        <v>1451</v>
      </c>
      <c r="B387" s="15" t="s">
        <v>1055</v>
      </c>
      <c r="C387" s="15" t="s">
        <v>25</v>
      </c>
      <c r="D387" s="15">
        <v>0.12</v>
      </c>
    </row>
    <row r="388" spans="1:4" ht="15.75" customHeight="1">
      <c r="A388" s="15" t="s">
        <v>1452</v>
      </c>
      <c r="B388" s="15" t="s">
        <v>1055</v>
      </c>
      <c r="C388" s="15" t="s">
        <v>51</v>
      </c>
      <c r="D388" s="15">
        <v>0.12</v>
      </c>
    </row>
    <row r="389" spans="1:4" ht="15.75" customHeight="1">
      <c r="A389" s="15" t="s">
        <v>1453</v>
      </c>
      <c r="B389" s="15" t="s">
        <v>1055</v>
      </c>
      <c r="C389" s="15" t="s">
        <v>1057</v>
      </c>
      <c r="D389" s="15">
        <v>0.12</v>
      </c>
    </row>
    <row r="390" spans="1:4" ht="15.75" customHeight="1">
      <c r="A390" s="15" t="s">
        <v>1454</v>
      </c>
      <c r="B390" s="15" t="s">
        <v>1055</v>
      </c>
      <c r="C390" s="15" t="s">
        <v>1052</v>
      </c>
      <c r="D390" s="15">
        <v>0.12</v>
      </c>
    </row>
    <row r="391" spans="1:4" ht="15.75" customHeight="1">
      <c r="A391" s="15" t="s">
        <v>1455</v>
      </c>
      <c r="B391" s="15" t="s">
        <v>1055</v>
      </c>
      <c r="C391" s="15" t="s">
        <v>1053</v>
      </c>
      <c r="D391" s="15">
        <v>0.12</v>
      </c>
    </row>
    <row r="392" spans="1:4" ht="15.75" customHeight="1">
      <c r="A392" s="15" t="s">
        <v>1456</v>
      </c>
      <c r="B392" s="15" t="s">
        <v>1055</v>
      </c>
      <c r="C392" s="15" t="s">
        <v>24</v>
      </c>
      <c r="D392" s="15">
        <v>0.12</v>
      </c>
    </row>
    <row r="393" spans="1:4" ht="15.75" customHeight="1">
      <c r="A393" s="15" t="s">
        <v>1457</v>
      </c>
      <c r="B393" s="15" t="s">
        <v>1055</v>
      </c>
      <c r="C393" s="15" t="s">
        <v>1054</v>
      </c>
      <c r="D393" s="15">
        <v>0.12</v>
      </c>
    </row>
    <row r="394" spans="1:4" ht="15.75" customHeight="1">
      <c r="A394" s="15" t="s">
        <v>1458</v>
      </c>
      <c r="B394" s="15" t="s">
        <v>1055</v>
      </c>
      <c r="C394" s="15" t="s">
        <v>1055</v>
      </c>
      <c r="D394" s="15">
        <v>0.18</v>
      </c>
    </row>
    <row r="395" spans="1:4" ht="15.75" customHeight="1">
      <c r="A395" s="15" t="s">
        <v>1459</v>
      </c>
      <c r="B395" s="15" t="s">
        <v>1055</v>
      </c>
      <c r="C395" s="15" t="s">
        <v>28</v>
      </c>
      <c r="D395" s="15">
        <v>0.12</v>
      </c>
    </row>
    <row r="396" spans="1:4" ht="15.75" customHeight="1">
      <c r="A396" s="15" t="s">
        <v>1460</v>
      </c>
      <c r="B396" s="15" t="s">
        <v>1055</v>
      </c>
      <c r="C396" s="15" t="s">
        <v>1061</v>
      </c>
      <c r="D396" s="15">
        <v>0.12</v>
      </c>
    </row>
    <row r="397" spans="1:4" ht="15.75" customHeight="1">
      <c r="A397" s="15" t="s">
        <v>1461</v>
      </c>
      <c r="B397" s="15" t="s">
        <v>1055</v>
      </c>
      <c r="C397" s="15" t="s">
        <v>1062</v>
      </c>
      <c r="D397" s="15">
        <v>0.12</v>
      </c>
    </row>
    <row r="398" spans="1:4" ht="15.75" customHeight="1">
      <c r="A398" s="15" t="s">
        <v>1462</v>
      </c>
      <c r="B398" s="15" t="s">
        <v>1055</v>
      </c>
      <c r="C398" s="15" t="s">
        <v>27</v>
      </c>
      <c r="D398" s="15">
        <v>0.12</v>
      </c>
    </row>
    <row r="399" spans="1:4" ht="15.75" customHeight="1">
      <c r="A399" s="15" t="s">
        <v>1463</v>
      </c>
      <c r="B399" s="15" t="s">
        <v>1055</v>
      </c>
      <c r="C399" s="15" t="s">
        <v>732</v>
      </c>
      <c r="D399" s="15">
        <v>0.12</v>
      </c>
    </row>
    <row r="400" spans="1:4" ht="15.75" customHeight="1">
      <c r="A400" s="15" t="s">
        <v>1464</v>
      </c>
      <c r="B400" s="15" t="s">
        <v>1055</v>
      </c>
      <c r="C400" s="15" t="s">
        <v>736</v>
      </c>
      <c r="D400" s="15">
        <v>0.12</v>
      </c>
    </row>
    <row r="401" spans="1:4" ht="15.75" customHeight="1">
      <c r="A401" s="15" t="s">
        <v>1465</v>
      </c>
      <c r="B401" s="15" t="s">
        <v>1055</v>
      </c>
      <c r="C401" s="15" t="s">
        <v>733</v>
      </c>
      <c r="D401" s="15">
        <v>0.12</v>
      </c>
    </row>
    <row r="402" spans="1:4" ht="15.75" customHeight="1">
      <c r="A402" s="15" t="s">
        <v>1466</v>
      </c>
      <c r="B402" s="15" t="s">
        <v>1055</v>
      </c>
      <c r="C402" s="15" t="s">
        <v>1063</v>
      </c>
      <c r="D402" s="15">
        <v>0.12</v>
      </c>
    </row>
    <row r="403" spans="1:4" ht="15.75" customHeight="1">
      <c r="A403" s="15" t="s">
        <v>1467</v>
      </c>
      <c r="B403" s="15" t="s">
        <v>1055</v>
      </c>
      <c r="C403" s="15" t="s">
        <v>26</v>
      </c>
      <c r="D403" s="15">
        <v>0.12</v>
      </c>
    </row>
    <row r="404" spans="1:4" ht="15.75" customHeight="1">
      <c r="A404" s="15" t="s">
        <v>1468</v>
      </c>
      <c r="B404" s="15" t="s">
        <v>1055</v>
      </c>
      <c r="C404" s="15" t="s">
        <v>23</v>
      </c>
      <c r="D404" s="15">
        <v>0.12</v>
      </c>
    </row>
    <row r="405" spans="1:4" ht="15.75" customHeight="1">
      <c r="A405" s="15" t="s">
        <v>1469</v>
      </c>
      <c r="B405" s="15" t="s">
        <v>1055</v>
      </c>
      <c r="C405" s="15" t="s">
        <v>1060</v>
      </c>
      <c r="D405" s="15">
        <v>0.12</v>
      </c>
    </row>
    <row r="406" spans="1:4" ht="15.75" customHeight="1">
      <c r="A406" s="15" t="s">
        <v>1470</v>
      </c>
      <c r="B406" s="15" t="s">
        <v>1055</v>
      </c>
      <c r="C406" s="15" t="s">
        <v>1064</v>
      </c>
      <c r="D406" s="15">
        <v>0.12</v>
      </c>
    </row>
    <row r="407" spans="1:4" ht="15.75" customHeight="1">
      <c r="A407" s="15" t="s">
        <v>1471</v>
      </c>
      <c r="B407" s="15" t="s">
        <v>28</v>
      </c>
      <c r="C407" s="15" t="s">
        <v>1051</v>
      </c>
      <c r="D407" s="15">
        <v>7.0000000000000007E-2</v>
      </c>
    </row>
    <row r="408" spans="1:4" ht="15.75" customHeight="1">
      <c r="A408" s="15" t="s">
        <v>1472</v>
      </c>
      <c r="B408" s="15" t="s">
        <v>28</v>
      </c>
      <c r="C408" s="15" t="s">
        <v>1056</v>
      </c>
      <c r="D408" s="15">
        <v>7.0000000000000007E-2</v>
      </c>
    </row>
    <row r="409" spans="1:4" ht="15.75" customHeight="1">
      <c r="A409" s="15" t="s">
        <v>1473</v>
      </c>
      <c r="B409" s="15" t="s">
        <v>28</v>
      </c>
      <c r="C409" s="15" t="s">
        <v>1058</v>
      </c>
      <c r="D409" s="15">
        <v>7.0000000000000007E-2</v>
      </c>
    </row>
    <row r="410" spans="1:4" ht="15.75" customHeight="1">
      <c r="A410" s="15" t="s">
        <v>1474</v>
      </c>
      <c r="B410" s="15" t="s">
        <v>28</v>
      </c>
      <c r="C410" s="15" t="s">
        <v>29</v>
      </c>
      <c r="D410" s="15">
        <v>7.0000000000000007E-2</v>
      </c>
    </row>
    <row r="411" spans="1:4" ht="15.75" customHeight="1">
      <c r="A411" s="15" t="s">
        <v>1475</v>
      </c>
      <c r="B411" s="15" t="s">
        <v>28</v>
      </c>
      <c r="C411" s="15" t="s">
        <v>34</v>
      </c>
      <c r="D411" s="15">
        <v>7.0000000000000007E-2</v>
      </c>
    </row>
    <row r="412" spans="1:4" ht="15.75" customHeight="1">
      <c r="A412" s="15" t="s">
        <v>1476</v>
      </c>
      <c r="B412" s="15" t="s">
        <v>28</v>
      </c>
      <c r="C412" s="15" t="s">
        <v>41</v>
      </c>
      <c r="D412" s="15">
        <v>7.0000000000000007E-2</v>
      </c>
    </row>
    <row r="413" spans="1:4" ht="15.75" customHeight="1">
      <c r="A413" s="15" t="s">
        <v>1477</v>
      </c>
      <c r="B413" s="15" t="s">
        <v>28</v>
      </c>
      <c r="C413" s="15" t="s">
        <v>1059</v>
      </c>
      <c r="D413" s="15">
        <v>7.0000000000000007E-2</v>
      </c>
    </row>
    <row r="414" spans="1:4" ht="15.75" customHeight="1">
      <c r="A414" s="15" t="s">
        <v>1478</v>
      </c>
      <c r="B414" s="15" t="s">
        <v>28</v>
      </c>
      <c r="C414" s="15" t="s">
        <v>25</v>
      </c>
      <c r="D414" s="15">
        <v>7.0000000000000007E-2</v>
      </c>
    </row>
    <row r="415" spans="1:4" ht="15.75" customHeight="1">
      <c r="A415" s="15" t="s">
        <v>1479</v>
      </c>
      <c r="B415" s="15" t="s">
        <v>28</v>
      </c>
      <c r="C415" s="15" t="s">
        <v>51</v>
      </c>
      <c r="D415" s="15">
        <v>7.0000000000000007E-2</v>
      </c>
    </row>
    <row r="416" spans="1:4" ht="15.75" customHeight="1">
      <c r="A416" s="15" t="s">
        <v>1480</v>
      </c>
      <c r="B416" s="15" t="s">
        <v>28</v>
      </c>
      <c r="C416" s="15" t="s">
        <v>1057</v>
      </c>
      <c r="D416" s="15">
        <v>7.0000000000000007E-2</v>
      </c>
    </row>
    <row r="417" spans="1:4" ht="15.75" customHeight="1">
      <c r="A417" s="15" t="s">
        <v>1481</v>
      </c>
      <c r="B417" s="15" t="s">
        <v>28</v>
      </c>
      <c r="C417" s="15" t="s">
        <v>1052</v>
      </c>
      <c r="D417" s="15">
        <v>7.0000000000000007E-2</v>
      </c>
    </row>
    <row r="418" spans="1:4" ht="15.75" customHeight="1">
      <c r="A418" s="15" t="s">
        <v>1482</v>
      </c>
      <c r="B418" s="15" t="s">
        <v>28</v>
      </c>
      <c r="C418" s="15" t="s">
        <v>1053</v>
      </c>
      <c r="D418" s="15">
        <v>7.0000000000000007E-2</v>
      </c>
    </row>
    <row r="419" spans="1:4" ht="15.75" customHeight="1">
      <c r="A419" s="15" t="s">
        <v>1483</v>
      </c>
      <c r="B419" s="15" t="s">
        <v>28</v>
      </c>
      <c r="C419" s="15" t="s">
        <v>24</v>
      </c>
      <c r="D419" s="15">
        <v>0.12</v>
      </c>
    </row>
    <row r="420" spans="1:4" ht="15.75" customHeight="1">
      <c r="A420" s="15" t="s">
        <v>1484</v>
      </c>
      <c r="B420" s="15" t="s">
        <v>28</v>
      </c>
      <c r="C420" s="15" t="s">
        <v>1054</v>
      </c>
      <c r="D420" s="15">
        <v>7.0000000000000007E-2</v>
      </c>
    </row>
    <row r="421" spans="1:4" ht="15.75" customHeight="1">
      <c r="A421" s="15" t="s">
        <v>1485</v>
      </c>
      <c r="B421" s="15" t="s">
        <v>28</v>
      </c>
      <c r="C421" s="15" t="s">
        <v>1055</v>
      </c>
      <c r="D421" s="15">
        <v>7.0000000000000007E-2</v>
      </c>
    </row>
    <row r="422" spans="1:4" ht="15.75" customHeight="1">
      <c r="A422" s="15" t="s">
        <v>1486</v>
      </c>
      <c r="B422" s="15" t="s">
        <v>28</v>
      </c>
      <c r="C422" s="15" t="s">
        <v>28</v>
      </c>
      <c r="D422" s="15">
        <v>0.18</v>
      </c>
    </row>
    <row r="423" spans="1:4" ht="15.75" customHeight="1">
      <c r="A423" s="15" t="s">
        <v>1487</v>
      </c>
      <c r="B423" s="15" t="s">
        <v>28</v>
      </c>
      <c r="C423" s="15" t="s">
        <v>1061</v>
      </c>
      <c r="D423" s="15">
        <v>7.0000000000000007E-2</v>
      </c>
    </row>
    <row r="424" spans="1:4" ht="15.75" customHeight="1">
      <c r="A424" s="15" t="s">
        <v>1488</v>
      </c>
      <c r="B424" s="15" t="s">
        <v>28</v>
      </c>
      <c r="C424" s="15" t="s">
        <v>1062</v>
      </c>
      <c r="D424" s="15">
        <v>7.0000000000000007E-2</v>
      </c>
    </row>
    <row r="425" spans="1:4" ht="15.75" customHeight="1">
      <c r="A425" s="15" t="s">
        <v>1489</v>
      </c>
      <c r="B425" s="15" t="s">
        <v>28</v>
      </c>
      <c r="C425" s="15" t="s">
        <v>27</v>
      </c>
      <c r="D425" s="15">
        <v>0.12</v>
      </c>
    </row>
    <row r="426" spans="1:4" ht="15.75" customHeight="1">
      <c r="A426" s="15" t="s">
        <v>1490</v>
      </c>
      <c r="B426" s="15" t="s">
        <v>28</v>
      </c>
      <c r="C426" s="15" t="s">
        <v>732</v>
      </c>
      <c r="D426" s="15">
        <v>7.0000000000000007E-2</v>
      </c>
    </row>
    <row r="427" spans="1:4" ht="15.75" customHeight="1">
      <c r="A427" s="15" t="s">
        <v>1491</v>
      </c>
      <c r="B427" s="15" t="s">
        <v>28</v>
      </c>
      <c r="C427" s="15" t="s">
        <v>736</v>
      </c>
      <c r="D427" s="15">
        <v>0.12</v>
      </c>
    </row>
    <row r="428" spans="1:4" ht="15.75" customHeight="1">
      <c r="A428" s="15" t="s">
        <v>1492</v>
      </c>
      <c r="B428" s="15" t="s">
        <v>28</v>
      </c>
      <c r="C428" s="15" t="s">
        <v>733</v>
      </c>
      <c r="D428" s="15">
        <v>7.0000000000000007E-2</v>
      </c>
    </row>
    <row r="429" spans="1:4" ht="15.75" customHeight="1">
      <c r="A429" s="15" t="s">
        <v>1493</v>
      </c>
      <c r="B429" s="15" t="s">
        <v>28</v>
      </c>
      <c r="C429" s="15" t="s">
        <v>1063</v>
      </c>
      <c r="D429" s="15">
        <v>7.0000000000000007E-2</v>
      </c>
    </row>
    <row r="430" spans="1:4" ht="15.75" customHeight="1">
      <c r="A430" s="15" t="s">
        <v>1494</v>
      </c>
      <c r="B430" s="15" t="s">
        <v>28</v>
      </c>
      <c r="C430" s="15" t="s">
        <v>26</v>
      </c>
      <c r="D430" s="15">
        <v>0.12</v>
      </c>
    </row>
    <row r="431" spans="1:4" ht="15.75" customHeight="1">
      <c r="A431" s="15" t="s">
        <v>1495</v>
      </c>
      <c r="B431" s="15" t="s">
        <v>28</v>
      </c>
      <c r="C431" s="15" t="s">
        <v>23</v>
      </c>
      <c r="D431" s="15">
        <v>0.12</v>
      </c>
    </row>
    <row r="432" spans="1:4" ht="15.75" customHeight="1">
      <c r="A432" s="15" t="s">
        <v>1496</v>
      </c>
      <c r="B432" s="15" t="s">
        <v>28</v>
      </c>
      <c r="C432" s="15" t="s">
        <v>1060</v>
      </c>
      <c r="D432" s="15">
        <v>7.0000000000000007E-2</v>
      </c>
    </row>
    <row r="433" spans="1:4" ht="15.75" customHeight="1">
      <c r="A433" s="15" t="s">
        <v>1497</v>
      </c>
      <c r="B433" s="15" t="s">
        <v>28</v>
      </c>
      <c r="C433" s="15" t="s">
        <v>1064</v>
      </c>
      <c r="D433" s="15">
        <v>7.0000000000000007E-2</v>
      </c>
    </row>
    <row r="434" spans="1:4" ht="15.75" customHeight="1">
      <c r="A434" s="15" t="s">
        <v>1498</v>
      </c>
      <c r="B434" s="15" t="s">
        <v>1061</v>
      </c>
      <c r="C434" s="15" t="s">
        <v>1051</v>
      </c>
      <c r="D434" s="15">
        <v>0.12</v>
      </c>
    </row>
    <row r="435" spans="1:4" ht="15.75" customHeight="1">
      <c r="A435" s="15" t="s">
        <v>1499</v>
      </c>
      <c r="B435" s="15" t="s">
        <v>1061</v>
      </c>
      <c r="C435" s="15" t="s">
        <v>1056</v>
      </c>
      <c r="D435" s="15">
        <v>0.12</v>
      </c>
    </row>
    <row r="436" spans="1:4" ht="15.75" customHeight="1">
      <c r="A436" s="15" t="s">
        <v>1500</v>
      </c>
      <c r="B436" s="15" t="s">
        <v>1061</v>
      </c>
      <c r="C436" s="15" t="s">
        <v>1058</v>
      </c>
      <c r="D436" s="15">
        <v>0.12</v>
      </c>
    </row>
    <row r="437" spans="1:4" ht="15.75" customHeight="1">
      <c r="A437" s="15" t="s">
        <v>1501</v>
      </c>
      <c r="B437" s="15" t="s">
        <v>1061</v>
      </c>
      <c r="C437" s="15" t="s">
        <v>29</v>
      </c>
      <c r="D437" s="15">
        <v>0.12</v>
      </c>
    </row>
    <row r="438" spans="1:4" ht="15.75" customHeight="1">
      <c r="A438" s="15" t="s">
        <v>1502</v>
      </c>
      <c r="B438" s="15" t="s">
        <v>1061</v>
      </c>
      <c r="C438" s="15" t="s">
        <v>34</v>
      </c>
      <c r="D438" s="15">
        <v>0.12</v>
      </c>
    </row>
    <row r="439" spans="1:4" ht="15.75" customHeight="1">
      <c r="A439" s="15" t="s">
        <v>1503</v>
      </c>
      <c r="B439" s="15" t="s">
        <v>1061</v>
      </c>
      <c r="C439" s="15" t="s">
        <v>41</v>
      </c>
      <c r="D439" s="15">
        <v>0.12</v>
      </c>
    </row>
    <row r="440" spans="1:4" ht="15.75" customHeight="1">
      <c r="A440" s="15" t="s">
        <v>1504</v>
      </c>
      <c r="B440" s="15" t="s">
        <v>1061</v>
      </c>
      <c r="C440" s="15" t="s">
        <v>1059</v>
      </c>
      <c r="D440" s="15">
        <v>0.12</v>
      </c>
    </row>
    <row r="441" spans="1:4" ht="15.75" customHeight="1">
      <c r="A441" s="15" t="s">
        <v>1505</v>
      </c>
      <c r="B441" s="15" t="s">
        <v>1061</v>
      </c>
      <c r="C441" s="15" t="s">
        <v>25</v>
      </c>
      <c r="D441" s="15">
        <v>0.12</v>
      </c>
    </row>
    <row r="442" spans="1:4" ht="15.75" customHeight="1">
      <c r="A442" s="15" t="s">
        <v>1506</v>
      </c>
      <c r="B442" s="15" t="s">
        <v>1061</v>
      </c>
      <c r="C442" s="15" t="s">
        <v>51</v>
      </c>
      <c r="D442" s="15">
        <v>0.12</v>
      </c>
    </row>
    <row r="443" spans="1:4" ht="15.75" customHeight="1">
      <c r="A443" s="15" t="s">
        <v>1507</v>
      </c>
      <c r="B443" s="15" t="s">
        <v>1061</v>
      </c>
      <c r="C443" s="15" t="s">
        <v>1057</v>
      </c>
      <c r="D443" s="15">
        <v>0.12</v>
      </c>
    </row>
    <row r="444" spans="1:4" ht="15.75" customHeight="1">
      <c r="A444" s="15" t="s">
        <v>1508</v>
      </c>
      <c r="B444" s="15" t="s">
        <v>1061</v>
      </c>
      <c r="C444" s="15" t="s">
        <v>1052</v>
      </c>
      <c r="D444" s="15">
        <v>0.12</v>
      </c>
    </row>
    <row r="445" spans="1:4" ht="15.75" customHeight="1">
      <c r="A445" s="15" t="s">
        <v>1509</v>
      </c>
      <c r="B445" s="15" t="s">
        <v>1061</v>
      </c>
      <c r="C445" s="15" t="s">
        <v>1053</v>
      </c>
      <c r="D445" s="15">
        <v>0.12</v>
      </c>
    </row>
    <row r="446" spans="1:4" ht="15.75" customHeight="1">
      <c r="A446" s="15" t="s">
        <v>1510</v>
      </c>
      <c r="B446" s="15" t="s">
        <v>1061</v>
      </c>
      <c r="C446" s="15" t="s">
        <v>24</v>
      </c>
      <c r="D446" s="15">
        <v>0.12</v>
      </c>
    </row>
    <row r="447" spans="1:4" ht="15.75" customHeight="1">
      <c r="A447" s="15" t="s">
        <v>1511</v>
      </c>
      <c r="B447" s="15" t="s">
        <v>1061</v>
      </c>
      <c r="C447" s="15" t="s">
        <v>1054</v>
      </c>
      <c r="D447" s="15">
        <v>0.12</v>
      </c>
    </row>
    <row r="448" spans="1:4" ht="15.75" customHeight="1">
      <c r="A448" s="15" t="s">
        <v>1512</v>
      </c>
      <c r="B448" s="15" t="s">
        <v>1061</v>
      </c>
      <c r="C448" s="15" t="s">
        <v>1055</v>
      </c>
      <c r="D448" s="15">
        <v>0.12</v>
      </c>
    </row>
    <row r="449" spans="1:4" ht="15.75" customHeight="1">
      <c r="A449" s="15" t="s">
        <v>1513</v>
      </c>
      <c r="B449" s="15" t="s">
        <v>1061</v>
      </c>
      <c r="C449" s="15" t="s">
        <v>28</v>
      </c>
      <c r="D449" s="15">
        <v>0.12</v>
      </c>
    </row>
    <row r="450" spans="1:4" ht="15.75" customHeight="1">
      <c r="A450" s="15" t="s">
        <v>1514</v>
      </c>
      <c r="B450" s="15" t="s">
        <v>1061</v>
      </c>
      <c r="C450" s="15" t="s">
        <v>1061</v>
      </c>
      <c r="D450" s="15">
        <v>0.18</v>
      </c>
    </row>
    <row r="451" spans="1:4" ht="15.75" customHeight="1">
      <c r="A451" s="15" t="s">
        <v>1515</v>
      </c>
      <c r="B451" s="15" t="s">
        <v>1061</v>
      </c>
      <c r="C451" s="15" t="s">
        <v>1062</v>
      </c>
      <c r="D451" s="15">
        <v>0.12</v>
      </c>
    </row>
    <row r="452" spans="1:4" ht="15.75" customHeight="1">
      <c r="A452" s="15" t="s">
        <v>1516</v>
      </c>
      <c r="B452" s="15" t="s">
        <v>1061</v>
      </c>
      <c r="C452" s="15" t="s">
        <v>27</v>
      </c>
      <c r="D452" s="15">
        <v>0.12</v>
      </c>
    </row>
    <row r="453" spans="1:4" ht="15.75" customHeight="1">
      <c r="A453" s="15" t="s">
        <v>1517</v>
      </c>
      <c r="B453" s="15" t="s">
        <v>1061</v>
      </c>
      <c r="C453" s="15" t="s">
        <v>732</v>
      </c>
      <c r="D453" s="15">
        <v>0.12</v>
      </c>
    </row>
    <row r="454" spans="1:4" ht="15.75" customHeight="1">
      <c r="A454" s="15" t="s">
        <v>1518</v>
      </c>
      <c r="B454" s="15" t="s">
        <v>1061</v>
      </c>
      <c r="C454" s="15" t="s">
        <v>736</v>
      </c>
      <c r="D454" s="15">
        <v>0.12</v>
      </c>
    </row>
    <row r="455" spans="1:4" ht="15.75" customHeight="1">
      <c r="A455" s="15" t="s">
        <v>1519</v>
      </c>
      <c r="B455" s="15" t="s">
        <v>1061</v>
      </c>
      <c r="C455" s="15" t="s">
        <v>733</v>
      </c>
      <c r="D455" s="15">
        <v>0.12</v>
      </c>
    </row>
    <row r="456" spans="1:4" ht="15.75" customHeight="1">
      <c r="A456" s="15" t="s">
        <v>1520</v>
      </c>
      <c r="B456" s="15" t="s">
        <v>1061</v>
      </c>
      <c r="C456" s="15" t="s">
        <v>1063</v>
      </c>
      <c r="D456" s="15">
        <v>0.12</v>
      </c>
    </row>
    <row r="457" spans="1:4" ht="15.75" customHeight="1">
      <c r="A457" s="15" t="s">
        <v>1521</v>
      </c>
      <c r="B457" s="15" t="s">
        <v>1061</v>
      </c>
      <c r="C457" s="15" t="s">
        <v>26</v>
      </c>
      <c r="D457" s="15">
        <v>0.12</v>
      </c>
    </row>
    <row r="458" spans="1:4" ht="15.75" customHeight="1">
      <c r="A458" s="15" t="s">
        <v>1522</v>
      </c>
      <c r="B458" s="15" t="s">
        <v>1061</v>
      </c>
      <c r="C458" s="15" t="s">
        <v>23</v>
      </c>
      <c r="D458" s="15">
        <v>0.12</v>
      </c>
    </row>
    <row r="459" spans="1:4" ht="15.75" customHeight="1">
      <c r="A459" s="15" t="s">
        <v>1523</v>
      </c>
      <c r="B459" s="15" t="s">
        <v>1061</v>
      </c>
      <c r="C459" s="15" t="s">
        <v>1060</v>
      </c>
      <c r="D459" s="15">
        <v>0.12</v>
      </c>
    </row>
    <row r="460" spans="1:4" ht="15.75" customHeight="1">
      <c r="A460" s="15" t="s">
        <v>1524</v>
      </c>
      <c r="B460" s="15" t="s">
        <v>1061</v>
      </c>
      <c r="C460" s="15" t="s">
        <v>1064</v>
      </c>
      <c r="D460" s="15">
        <v>0.12</v>
      </c>
    </row>
    <row r="461" spans="1:4" ht="15.75" customHeight="1">
      <c r="A461" s="15" t="s">
        <v>1525</v>
      </c>
      <c r="B461" s="15" t="s">
        <v>1062</v>
      </c>
      <c r="C461" s="15" t="s">
        <v>1051</v>
      </c>
      <c r="D461" s="15">
        <v>0.12</v>
      </c>
    </row>
    <row r="462" spans="1:4" ht="15.75" customHeight="1">
      <c r="A462" s="15" t="s">
        <v>1526</v>
      </c>
      <c r="B462" s="15" t="s">
        <v>1062</v>
      </c>
      <c r="C462" s="15" t="s">
        <v>1056</v>
      </c>
      <c r="D462" s="15">
        <v>0.12</v>
      </c>
    </row>
    <row r="463" spans="1:4" ht="15.75" customHeight="1">
      <c r="A463" s="15" t="s">
        <v>1527</v>
      </c>
      <c r="B463" s="15" t="s">
        <v>1062</v>
      </c>
      <c r="C463" s="15" t="s">
        <v>1058</v>
      </c>
      <c r="D463" s="15">
        <v>0.12</v>
      </c>
    </row>
    <row r="464" spans="1:4" ht="15.75" customHeight="1">
      <c r="A464" s="15" t="s">
        <v>1528</v>
      </c>
      <c r="B464" s="15" t="s">
        <v>1062</v>
      </c>
      <c r="C464" s="15" t="s">
        <v>29</v>
      </c>
      <c r="D464" s="15">
        <v>0.12</v>
      </c>
    </row>
    <row r="465" spans="1:4" ht="15.75" customHeight="1">
      <c r="A465" s="15" t="s">
        <v>1529</v>
      </c>
      <c r="B465" s="15" t="s">
        <v>1062</v>
      </c>
      <c r="C465" s="15" t="s">
        <v>34</v>
      </c>
      <c r="D465" s="15">
        <v>0.12</v>
      </c>
    </row>
    <row r="466" spans="1:4" ht="15.75" customHeight="1">
      <c r="A466" s="15" t="s">
        <v>1530</v>
      </c>
      <c r="B466" s="15" t="s">
        <v>1062</v>
      </c>
      <c r="C466" s="15" t="s">
        <v>41</v>
      </c>
      <c r="D466" s="15">
        <v>0.12</v>
      </c>
    </row>
    <row r="467" spans="1:4" ht="15.75" customHeight="1">
      <c r="A467" s="15" t="s">
        <v>1531</v>
      </c>
      <c r="B467" s="15" t="s">
        <v>1062</v>
      </c>
      <c r="C467" s="15" t="s">
        <v>1059</v>
      </c>
      <c r="D467" s="15">
        <v>0.12</v>
      </c>
    </row>
    <row r="468" spans="1:4" ht="15.75" customHeight="1">
      <c r="A468" s="15" t="s">
        <v>1532</v>
      </c>
      <c r="B468" s="15" t="s">
        <v>1062</v>
      </c>
      <c r="C468" s="15" t="s">
        <v>25</v>
      </c>
      <c r="D468" s="15">
        <v>0.12</v>
      </c>
    </row>
    <row r="469" spans="1:4" ht="15.75" customHeight="1">
      <c r="A469" s="15" t="s">
        <v>1533</v>
      </c>
      <c r="B469" s="15" t="s">
        <v>1062</v>
      </c>
      <c r="C469" s="15" t="s">
        <v>51</v>
      </c>
      <c r="D469" s="15">
        <v>0.12</v>
      </c>
    </row>
    <row r="470" spans="1:4" ht="15.75" customHeight="1">
      <c r="A470" s="15" t="s">
        <v>1534</v>
      </c>
      <c r="B470" s="15" t="s">
        <v>1062</v>
      </c>
      <c r="C470" s="15" t="s">
        <v>1057</v>
      </c>
      <c r="D470" s="15">
        <v>0.12</v>
      </c>
    </row>
    <row r="471" spans="1:4" ht="15.75" customHeight="1">
      <c r="A471" s="15" t="s">
        <v>1535</v>
      </c>
      <c r="B471" s="15" t="s">
        <v>1062</v>
      </c>
      <c r="C471" s="15" t="s">
        <v>1052</v>
      </c>
      <c r="D471" s="15">
        <v>0.12</v>
      </c>
    </row>
    <row r="472" spans="1:4" ht="15.75" customHeight="1">
      <c r="A472" s="15" t="s">
        <v>1536</v>
      </c>
      <c r="B472" s="15" t="s">
        <v>1062</v>
      </c>
      <c r="C472" s="15" t="s">
        <v>1053</v>
      </c>
      <c r="D472" s="15">
        <v>0.12</v>
      </c>
    </row>
    <row r="473" spans="1:4" ht="15.75" customHeight="1">
      <c r="A473" s="15" t="s">
        <v>1537</v>
      </c>
      <c r="B473" s="15" t="s">
        <v>1062</v>
      </c>
      <c r="C473" s="15" t="s">
        <v>24</v>
      </c>
      <c r="D473" s="15">
        <v>0.12</v>
      </c>
    </row>
    <row r="474" spans="1:4" ht="15.75" customHeight="1">
      <c r="A474" s="15" t="s">
        <v>1538</v>
      </c>
      <c r="B474" s="15" t="s">
        <v>1062</v>
      </c>
      <c r="C474" s="15" t="s">
        <v>1054</v>
      </c>
      <c r="D474" s="15">
        <v>0.12</v>
      </c>
    </row>
    <row r="475" spans="1:4" ht="15.75" customHeight="1">
      <c r="A475" s="15" t="s">
        <v>1539</v>
      </c>
      <c r="B475" s="15" t="s">
        <v>1062</v>
      </c>
      <c r="C475" s="15" t="s">
        <v>1055</v>
      </c>
      <c r="D475" s="15">
        <v>0.12</v>
      </c>
    </row>
    <row r="476" spans="1:4" ht="15.75" customHeight="1">
      <c r="A476" s="15" t="s">
        <v>1540</v>
      </c>
      <c r="B476" s="15" t="s">
        <v>1062</v>
      </c>
      <c r="C476" s="15" t="s">
        <v>28</v>
      </c>
      <c r="D476" s="15">
        <v>0.12</v>
      </c>
    </row>
    <row r="477" spans="1:4" ht="15.75" customHeight="1">
      <c r="A477" s="15" t="s">
        <v>1541</v>
      </c>
      <c r="B477" s="15" t="s">
        <v>1062</v>
      </c>
      <c r="C477" s="15" t="s">
        <v>1061</v>
      </c>
      <c r="D477" s="15">
        <v>0.12</v>
      </c>
    </row>
    <row r="478" spans="1:4" ht="15.75" customHeight="1">
      <c r="A478" s="15" t="s">
        <v>1542</v>
      </c>
      <c r="B478" s="15" t="s">
        <v>1062</v>
      </c>
      <c r="C478" s="15" t="s">
        <v>1062</v>
      </c>
      <c r="D478" s="15">
        <v>0.18</v>
      </c>
    </row>
    <row r="479" spans="1:4" ht="15.75" customHeight="1">
      <c r="A479" s="15" t="s">
        <v>1543</v>
      </c>
      <c r="B479" s="15" t="s">
        <v>1062</v>
      </c>
      <c r="C479" s="15" t="s">
        <v>27</v>
      </c>
      <c r="D479" s="15">
        <v>0.12</v>
      </c>
    </row>
    <row r="480" spans="1:4" ht="15.75" customHeight="1">
      <c r="A480" s="15" t="s">
        <v>1544</v>
      </c>
      <c r="B480" s="15" t="s">
        <v>1062</v>
      </c>
      <c r="C480" s="15" t="s">
        <v>732</v>
      </c>
      <c r="D480" s="15">
        <v>0.12</v>
      </c>
    </row>
    <row r="481" spans="1:4" ht="15.75" customHeight="1">
      <c r="A481" s="15" t="s">
        <v>1545</v>
      </c>
      <c r="B481" s="15" t="s">
        <v>1062</v>
      </c>
      <c r="C481" s="15" t="s">
        <v>736</v>
      </c>
      <c r="D481" s="15">
        <v>0.12</v>
      </c>
    </row>
    <row r="482" spans="1:4" ht="15.75" customHeight="1">
      <c r="A482" s="15" t="s">
        <v>1546</v>
      </c>
      <c r="B482" s="15" t="s">
        <v>1062</v>
      </c>
      <c r="C482" s="15" t="s">
        <v>733</v>
      </c>
      <c r="D482" s="15">
        <v>0.12</v>
      </c>
    </row>
    <row r="483" spans="1:4" ht="15.75" customHeight="1">
      <c r="A483" s="15" t="s">
        <v>1547</v>
      </c>
      <c r="B483" s="15" t="s">
        <v>1062</v>
      </c>
      <c r="C483" s="15" t="s">
        <v>1063</v>
      </c>
      <c r="D483" s="15">
        <v>0.12</v>
      </c>
    </row>
    <row r="484" spans="1:4" ht="15.75" customHeight="1">
      <c r="A484" s="15" t="s">
        <v>1548</v>
      </c>
      <c r="B484" s="15" t="s">
        <v>1062</v>
      </c>
      <c r="C484" s="15" t="s">
        <v>26</v>
      </c>
      <c r="D484" s="15">
        <v>0.12</v>
      </c>
    </row>
    <row r="485" spans="1:4" ht="15.75" customHeight="1">
      <c r="A485" s="15" t="s">
        <v>1549</v>
      </c>
      <c r="B485" s="15" t="s">
        <v>1062</v>
      </c>
      <c r="C485" s="15" t="s">
        <v>23</v>
      </c>
      <c r="D485" s="15">
        <v>0.12</v>
      </c>
    </row>
    <row r="486" spans="1:4" ht="15.75" customHeight="1">
      <c r="A486" s="15" t="s">
        <v>1550</v>
      </c>
      <c r="B486" s="15" t="s">
        <v>1062</v>
      </c>
      <c r="C486" s="15" t="s">
        <v>1060</v>
      </c>
      <c r="D486" s="15">
        <v>0.12</v>
      </c>
    </row>
    <row r="487" spans="1:4" ht="15.75" customHeight="1">
      <c r="A487" s="15" t="s">
        <v>1551</v>
      </c>
      <c r="B487" s="15" t="s">
        <v>1062</v>
      </c>
      <c r="C487" s="15" t="s">
        <v>1064</v>
      </c>
      <c r="D487" s="15">
        <v>0.12</v>
      </c>
    </row>
    <row r="488" spans="1:4" ht="15.75" customHeight="1">
      <c r="A488" s="15" t="s">
        <v>1552</v>
      </c>
      <c r="B488" s="15" t="s">
        <v>27</v>
      </c>
      <c r="C488" s="15" t="s">
        <v>1051</v>
      </c>
      <c r="D488" s="15">
        <v>7.0000000000000007E-2</v>
      </c>
    </row>
    <row r="489" spans="1:4" ht="15.75" customHeight="1">
      <c r="A489" s="15" t="s">
        <v>1553</v>
      </c>
      <c r="B489" s="15" t="s">
        <v>27</v>
      </c>
      <c r="C489" s="15" t="s">
        <v>1056</v>
      </c>
      <c r="D489" s="15">
        <v>7.0000000000000007E-2</v>
      </c>
    </row>
    <row r="490" spans="1:4" ht="15.75" customHeight="1">
      <c r="A490" s="15" t="s">
        <v>1554</v>
      </c>
      <c r="B490" s="15" t="s">
        <v>27</v>
      </c>
      <c r="C490" s="15" t="s">
        <v>1058</v>
      </c>
      <c r="D490" s="15">
        <v>7.0000000000000007E-2</v>
      </c>
    </row>
    <row r="491" spans="1:4" ht="15.75" customHeight="1">
      <c r="A491" s="15" t="s">
        <v>1555</v>
      </c>
      <c r="B491" s="15" t="s">
        <v>27</v>
      </c>
      <c r="C491" s="15" t="s">
        <v>29</v>
      </c>
      <c r="D491" s="15">
        <v>7.0000000000000007E-2</v>
      </c>
    </row>
    <row r="492" spans="1:4" ht="15.75" customHeight="1">
      <c r="A492" s="15" t="s">
        <v>1556</v>
      </c>
      <c r="B492" s="15" t="s">
        <v>27</v>
      </c>
      <c r="C492" s="15" t="s">
        <v>34</v>
      </c>
      <c r="D492" s="15">
        <v>7.0000000000000007E-2</v>
      </c>
    </row>
    <row r="493" spans="1:4" ht="15.75" customHeight="1">
      <c r="A493" s="15" t="s">
        <v>1557</v>
      </c>
      <c r="B493" s="15" t="s">
        <v>27</v>
      </c>
      <c r="C493" s="15" t="s">
        <v>41</v>
      </c>
      <c r="D493" s="15">
        <v>7.0000000000000007E-2</v>
      </c>
    </row>
    <row r="494" spans="1:4" ht="15.75" customHeight="1">
      <c r="A494" s="15" t="s">
        <v>1558</v>
      </c>
      <c r="B494" s="15" t="s">
        <v>27</v>
      </c>
      <c r="C494" s="15" t="s">
        <v>1059</v>
      </c>
      <c r="D494" s="15">
        <v>7.0000000000000007E-2</v>
      </c>
    </row>
    <row r="495" spans="1:4" ht="15.75" customHeight="1">
      <c r="A495" s="15" t="s">
        <v>1559</v>
      </c>
      <c r="B495" s="15" t="s">
        <v>27</v>
      </c>
      <c r="C495" s="15" t="s">
        <v>25</v>
      </c>
      <c r="D495" s="15">
        <v>7.0000000000000007E-2</v>
      </c>
    </row>
    <row r="496" spans="1:4" ht="15.75" customHeight="1">
      <c r="A496" s="15" t="s">
        <v>1560</v>
      </c>
      <c r="B496" s="15" t="s">
        <v>27</v>
      </c>
      <c r="C496" s="15" t="s">
        <v>51</v>
      </c>
      <c r="D496" s="15">
        <v>7.0000000000000007E-2</v>
      </c>
    </row>
    <row r="497" spans="1:4" ht="15.75" customHeight="1">
      <c r="A497" s="15" t="s">
        <v>1561</v>
      </c>
      <c r="B497" s="15" t="s">
        <v>27</v>
      </c>
      <c r="C497" s="15" t="s">
        <v>1057</v>
      </c>
      <c r="D497" s="15">
        <v>7.0000000000000007E-2</v>
      </c>
    </row>
    <row r="498" spans="1:4" ht="15.75" customHeight="1">
      <c r="A498" s="15" t="s">
        <v>1562</v>
      </c>
      <c r="B498" s="15" t="s">
        <v>27</v>
      </c>
      <c r="C498" s="15" t="s">
        <v>1052</v>
      </c>
      <c r="D498" s="15">
        <v>7.0000000000000007E-2</v>
      </c>
    </row>
    <row r="499" spans="1:4" ht="15.75" customHeight="1">
      <c r="A499" s="15" t="s">
        <v>1563</v>
      </c>
      <c r="B499" s="15" t="s">
        <v>27</v>
      </c>
      <c r="C499" s="15" t="s">
        <v>1053</v>
      </c>
      <c r="D499" s="15">
        <v>7.0000000000000007E-2</v>
      </c>
    </row>
    <row r="500" spans="1:4" ht="15.75" customHeight="1">
      <c r="A500" s="15" t="s">
        <v>1564</v>
      </c>
      <c r="B500" s="15" t="s">
        <v>27</v>
      </c>
      <c r="C500" s="15" t="s">
        <v>24</v>
      </c>
      <c r="D500" s="15">
        <v>0.12</v>
      </c>
    </row>
    <row r="501" spans="1:4" ht="15.75" customHeight="1">
      <c r="A501" s="15" t="s">
        <v>1565</v>
      </c>
      <c r="B501" s="15" t="s">
        <v>27</v>
      </c>
      <c r="C501" s="15" t="s">
        <v>1054</v>
      </c>
      <c r="D501" s="15">
        <v>7.0000000000000007E-2</v>
      </c>
    </row>
    <row r="502" spans="1:4" ht="15.75" customHeight="1">
      <c r="A502" s="15" t="s">
        <v>1566</v>
      </c>
      <c r="B502" s="15" t="s">
        <v>27</v>
      </c>
      <c r="C502" s="15" t="s">
        <v>1055</v>
      </c>
      <c r="D502" s="15">
        <v>7.0000000000000007E-2</v>
      </c>
    </row>
    <row r="503" spans="1:4" ht="15.75" customHeight="1">
      <c r="A503" s="15" t="s">
        <v>1567</v>
      </c>
      <c r="B503" s="15" t="s">
        <v>27</v>
      </c>
      <c r="C503" s="15" t="s">
        <v>28</v>
      </c>
      <c r="D503" s="15">
        <v>0.12</v>
      </c>
    </row>
    <row r="504" spans="1:4" ht="15.75" customHeight="1">
      <c r="A504" s="15" t="s">
        <v>1568</v>
      </c>
      <c r="B504" s="15" t="s">
        <v>27</v>
      </c>
      <c r="C504" s="15" t="s">
        <v>1061</v>
      </c>
      <c r="D504" s="15">
        <v>7.0000000000000007E-2</v>
      </c>
    </row>
    <row r="505" spans="1:4" ht="15.75" customHeight="1">
      <c r="A505" s="15" t="s">
        <v>1569</v>
      </c>
      <c r="B505" s="15" t="s">
        <v>27</v>
      </c>
      <c r="C505" s="15" t="s">
        <v>1062</v>
      </c>
      <c r="D505" s="15">
        <v>7.0000000000000007E-2</v>
      </c>
    </row>
    <row r="506" spans="1:4" ht="15.75" customHeight="1">
      <c r="A506" s="15" t="s">
        <v>1570</v>
      </c>
      <c r="B506" s="15" t="s">
        <v>27</v>
      </c>
      <c r="C506" s="15" t="s">
        <v>27</v>
      </c>
      <c r="D506" s="15">
        <v>0.18</v>
      </c>
    </row>
    <row r="507" spans="1:4" ht="15.75" customHeight="1">
      <c r="A507" s="15" t="s">
        <v>1571</v>
      </c>
      <c r="B507" s="15" t="s">
        <v>27</v>
      </c>
      <c r="C507" s="15" t="s">
        <v>732</v>
      </c>
      <c r="D507" s="15">
        <v>7.0000000000000007E-2</v>
      </c>
    </row>
    <row r="508" spans="1:4" ht="15.75" customHeight="1">
      <c r="A508" s="15" t="s">
        <v>1572</v>
      </c>
      <c r="B508" s="15" t="s">
        <v>27</v>
      </c>
      <c r="C508" s="15" t="s">
        <v>736</v>
      </c>
      <c r="D508" s="15">
        <v>0.12</v>
      </c>
    </row>
    <row r="509" spans="1:4" ht="15.75" customHeight="1">
      <c r="A509" s="15" t="s">
        <v>1573</v>
      </c>
      <c r="B509" s="15" t="s">
        <v>27</v>
      </c>
      <c r="C509" s="15" t="s">
        <v>733</v>
      </c>
      <c r="D509" s="15">
        <v>7.0000000000000007E-2</v>
      </c>
    </row>
    <row r="510" spans="1:4" ht="15.75" customHeight="1">
      <c r="A510" s="15" t="s">
        <v>1574</v>
      </c>
      <c r="B510" s="15" t="s">
        <v>27</v>
      </c>
      <c r="C510" s="15" t="s">
        <v>1063</v>
      </c>
      <c r="D510" s="15">
        <v>7.0000000000000007E-2</v>
      </c>
    </row>
    <row r="511" spans="1:4" ht="15.75" customHeight="1">
      <c r="A511" s="15" t="s">
        <v>1575</v>
      </c>
      <c r="B511" s="15" t="s">
        <v>27</v>
      </c>
      <c r="C511" s="15" t="s">
        <v>26</v>
      </c>
      <c r="D511" s="15">
        <v>0.12</v>
      </c>
    </row>
    <row r="512" spans="1:4" ht="15.75" customHeight="1">
      <c r="A512" s="15" t="s">
        <v>1576</v>
      </c>
      <c r="B512" s="15" t="s">
        <v>27</v>
      </c>
      <c r="C512" s="15" t="s">
        <v>23</v>
      </c>
      <c r="D512" s="15">
        <v>0.12</v>
      </c>
    </row>
    <row r="513" spans="1:4" ht="15.75" customHeight="1">
      <c r="A513" s="15" t="s">
        <v>1577</v>
      </c>
      <c r="B513" s="15" t="s">
        <v>27</v>
      </c>
      <c r="C513" s="15" t="s">
        <v>1060</v>
      </c>
      <c r="D513" s="15">
        <v>7.0000000000000007E-2</v>
      </c>
    </row>
    <row r="514" spans="1:4" ht="15.75" customHeight="1">
      <c r="A514" s="15" t="s">
        <v>1578</v>
      </c>
      <c r="B514" s="15" t="s">
        <v>27</v>
      </c>
      <c r="C514" s="15" t="s">
        <v>1064</v>
      </c>
      <c r="D514" s="15">
        <v>7.0000000000000007E-2</v>
      </c>
    </row>
    <row r="515" spans="1:4" ht="15.75" customHeight="1">
      <c r="A515" s="15" t="s">
        <v>1579</v>
      </c>
      <c r="B515" s="15" t="s">
        <v>732</v>
      </c>
      <c r="C515" s="15" t="s">
        <v>1051</v>
      </c>
      <c r="D515" s="15">
        <v>0.12</v>
      </c>
    </row>
    <row r="516" spans="1:4" ht="15.75" customHeight="1">
      <c r="A516" s="15" t="s">
        <v>1580</v>
      </c>
      <c r="B516" s="15" t="s">
        <v>732</v>
      </c>
      <c r="C516" s="15" t="s">
        <v>1056</v>
      </c>
      <c r="D516" s="15">
        <v>0.12</v>
      </c>
    </row>
    <row r="517" spans="1:4" ht="15.75" customHeight="1">
      <c r="A517" s="15" t="s">
        <v>1581</v>
      </c>
      <c r="B517" s="15" t="s">
        <v>732</v>
      </c>
      <c r="C517" s="15" t="s">
        <v>1058</v>
      </c>
      <c r="D517" s="15">
        <v>0.12</v>
      </c>
    </row>
    <row r="518" spans="1:4" ht="15.75" customHeight="1">
      <c r="A518" s="15" t="s">
        <v>1582</v>
      </c>
      <c r="B518" s="15" t="s">
        <v>732</v>
      </c>
      <c r="C518" s="15" t="s">
        <v>29</v>
      </c>
      <c r="D518" s="15">
        <v>0.12</v>
      </c>
    </row>
    <row r="519" spans="1:4" ht="15.75" customHeight="1">
      <c r="A519" s="15" t="s">
        <v>1583</v>
      </c>
      <c r="B519" s="15" t="s">
        <v>732</v>
      </c>
      <c r="C519" s="15" t="s">
        <v>34</v>
      </c>
      <c r="D519" s="15">
        <v>0.12</v>
      </c>
    </row>
    <row r="520" spans="1:4" ht="15.75" customHeight="1">
      <c r="A520" s="15" t="s">
        <v>1584</v>
      </c>
      <c r="B520" s="15" t="s">
        <v>732</v>
      </c>
      <c r="C520" s="15" t="s">
        <v>41</v>
      </c>
      <c r="D520" s="15">
        <v>0.12</v>
      </c>
    </row>
    <row r="521" spans="1:4" ht="15.75" customHeight="1">
      <c r="A521" s="15" t="s">
        <v>1585</v>
      </c>
      <c r="B521" s="15" t="s">
        <v>732</v>
      </c>
      <c r="C521" s="15" t="s">
        <v>1059</v>
      </c>
      <c r="D521" s="15">
        <v>0.12</v>
      </c>
    </row>
    <row r="522" spans="1:4" ht="15.75" customHeight="1">
      <c r="A522" s="15" t="s">
        <v>1586</v>
      </c>
      <c r="B522" s="15" t="s">
        <v>732</v>
      </c>
      <c r="C522" s="15" t="s">
        <v>25</v>
      </c>
      <c r="D522" s="15">
        <v>0.12</v>
      </c>
    </row>
    <row r="523" spans="1:4" ht="15.75" customHeight="1">
      <c r="A523" s="15" t="s">
        <v>1587</v>
      </c>
      <c r="B523" s="15" t="s">
        <v>732</v>
      </c>
      <c r="C523" s="15" t="s">
        <v>51</v>
      </c>
      <c r="D523" s="15">
        <v>0.12</v>
      </c>
    </row>
    <row r="524" spans="1:4" ht="15.75" customHeight="1">
      <c r="A524" s="15" t="s">
        <v>1588</v>
      </c>
      <c r="B524" s="15" t="s">
        <v>732</v>
      </c>
      <c r="C524" s="15" t="s">
        <v>1057</v>
      </c>
      <c r="D524" s="15">
        <v>0.12</v>
      </c>
    </row>
    <row r="525" spans="1:4" ht="15.75" customHeight="1">
      <c r="A525" s="15" t="s">
        <v>1589</v>
      </c>
      <c r="B525" s="15" t="s">
        <v>732</v>
      </c>
      <c r="C525" s="15" t="s">
        <v>1052</v>
      </c>
      <c r="D525" s="15">
        <v>0.12</v>
      </c>
    </row>
    <row r="526" spans="1:4" ht="15.75" customHeight="1">
      <c r="A526" s="15" t="s">
        <v>1590</v>
      </c>
      <c r="B526" s="15" t="s">
        <v>732</v>
      </c>
      <c r="C526" s="15" t="s">
        <v>1053</v>
      </c>
      <c r="D526" s="15">
        <v>0.12</v>
      </c>
    </row>
    <row r="527" spans="1:4" ht="15.75" customHeight="1">
      <c r="A527" s="15" t="s">
        <v>1591</v>
      </c>
      <c r="B527" s="15" t="s">
        <v>732</v>
      </c>
      <c r="C527" s="15" t="s">
        <v>24</v>
      </c>
      <c r="D527" s="15">
        <v>0.12</v>
      </c>
    </row>
    <row r="528" spans="1:4" ht="15.75" customHeight="1">
      <c r="A528" s="15" t="s">
        <v>1592</v>
      </c>
      <c r="B528" s="15" t="s">
        <v>732</v>
      </c>
      <c r="C528" s="15" t="s">
        <v>1054</v>
      </c>
      <c r="D528" s="15">
        <v>0.12</v>
      </c>
    </row>
    <row r="529" spans="1:4" ht="15.75" customHeight="1">
      <c r="A529" s="15" t="s">
        <v>1593</v>
      </c>
      <c r="B529" s="15" t="s">
        <v>732</v>
      </c>
      <c r="C529" s="15" t="s">
        <v>1055</v>
      </c>
      <c r="D529" s="15">
        <v>0.12</v>
      </c>
    </row>
    <row r="530" spans="1:4" ht="15.75" customHeight="1">
      <c r="A530" s="15" t="s">
        <v>1594</v>
      </c>
      <c r="B530" s="15" t="s">
        <v>732</v>
      </c>
      <c r="C530" s="15" t="s">
        <v>28</v>
      </c>
      <c r="D530" s="15">
        <v>0.12</v>
      </c>
    </row>
    <row r="531" spans="1:4" ht="15.75" customHeight="1">
      <c r="A531" s="15" t="s">
        <v>1595</v>
      </c>
      <c r="B531" s="15" t="s">
        <v>732</v>
      </c>
      <c r="C531" s="15" t="s">
        <v>1061</v>
      </c>
      <c r="D531" s="15">
        <v>0.12</v>
      </c>
    </row>
    <row r="532" spans="1:4" ht="15.75" customHeight="1">
      <c r="A532" s="15" t="s">
        <v>1596</v>
      </c>
      <c r="B532" s="15" t="s">
        <v>732</v>
      </c>
      <c r="C532" s="15" t="s">
        <v>1062</v>
      </c>
      <c r="D532" s="15">
        <v>0.12</v>
      </c>
    </row>
    <row r="533" spans="1:4" ht="15.75" customHeight="1">
      <c r="A533" s="15" t="s">
        <v>1597</v>
      </c>
      <c r="B533" s="15" t="s">
        <v>732</v>
      </c>
      <c r="C533" s="15" t="s">
        <v>27</v>
      </c>
      <c r="D533" s="15">
        <v>0.12</v>
      </c>
    </row>
    <row r="534" spans="1:4" ht="15.75" customHeight="1">
      <c r="A534" s="15" t="s">
        <v>1598</v>
      </c>
      <c r="B534" s="15" t="s">
        <v>732</v>
      </c>
      <c r="C534" s="15" t="s">
        <v>732</v>
      </c>
      <c r="D534" s="15">
        <v>0.18</v>
      </c>
    </row>
    <row r="535" spans="1:4" ht="15.75" customHeight="1">
      <c r="A535" s="15" t="s">
        <v>1599</v>
      </c>
      <c r="B535" s="15" t="s">
        <v>732</v>
      </c>
      <c r="C535" s="15" t="s">
        <v>736</v>
      </c>
      <c r="D535" s="15">
        <v>0.12</v>
      </c>
    </row>
    <row r="536" spans="1:4" ht="15.75" customHeight="1">
      <c r="A536" s="15" t="s">
        <v>1600</v>
      </c>
      <c r="B536" s="15" t="s">
        <v>732</v>
      </c>
      <c r="C536" s="15" t="s">
        <v>733</v>
      </c>
      <c r="D536" s="15">
        <v>0.12</v>
      </c>
    </row>
    <row r="537" spans="1:4" ht="15.75" customHeight="1">
      <c r="A537" s="15" t="s">
        <v>1601</v>
      </c>
      <c r="B537" s="15" t="s">
        <v>732</v>
      </c>
      <c r="C537" s="15" t="s">
        <v>1063</v>
      </c>
      <c r="D537" s="15">
        <v>0.12</v>
      </c>
    </row>
    <row r="538" spans="1:4" ht="15.75" customHeight="1">
      <c r="A538" s="15" t="s">
        <v>1602</v>
      </c>
      <c r="B538" s="15" t="s">
        <v>732</v>
      </c>
      <c r="C538" s="15" t="s">
        <v>26</v>
      </c>
      <c r="D538" s="15">
        <v>0.12</v>
      </c>
    </row>
    <row r="539" spans="1:4" ht="15.75" customHeight="1">
      <c r="A539" s="15" t="s">
        <v>1603</v>
      </c>
      <c r="B539" s="15" t="s">
        <v>732</v>
      </c>
      <c r="C539" s="15" t="s">
        <v>23</v>
      </c>
      <c r="D539" s="15">
        <v>0.12</v>
      </c>
    </row>
    <row r="540" spans="1:4" ht="15.75" customHeight="1">
      <c r="A540" s="15" t="s">
        <v>1604</v>
      </c>
      <c r="B540" s="15" t="s">
        <v>732</v>
      </c>
      <c r="C540" s="15" t="s">
        <v>1060</v>
      </c>
      <c r="D540" s="15">
        <v>0.12</v>
      </c>
    </row>
    <row r="541" spans="1:4" ht="15.75" customHeight="1">
      <c r="A541" s="15" t="s">
        <v>1605</v>
      </c>
      <c r="B541" s="15" t="s">
        <v>732</v>
      </c>
      <c r="C541" s="15" t="s">
        <v>1064</v>
      </c>
      <c r="D541" s="15">
        <v>0.12</v>
      </c>
    </row>
    <row r="542" spans="1:4" ht="15.75" customHeight="1">
      <c r="A542" s="15" t="s">
        <v>1606</v>
      </c>
      <c r="B542" s="15" t="s">
        <v>736</v>
      </c>
      <c r="C542" s="15" t="s">
        <v>1051</v>
      </c>
      <c r="D542" s="15">
        <v>7.0000000000000007E-2</v>
      </c>
    </row>
    <row r="543" spans="1:4" ht="15.75" customHeight="1">
      <c r="A543" s="15" t="s">
        <v>1607</v>
      </c>
      <c r="B543" s="15" t="s">
        <v>736</v>
      </c>
      <c r="C543" s="15" t="s">
        <v>1056</v>
      </c>
      <c r="D543" s="15">
        <v>7.0000000000000007E-2</v>
      </c>
    </row>
    <row r="544" spans="1:4" ht="15.75" customHeight="1">
      <c r="A544" s="15" t="s">
        <v>1608</v>
      </c>
      <c r="B544" s="15" t="s">
        <v>736</v>
      </c>
      <c r="C544" s="15" t="s">
        <v>1058</v>
      </c>
      <c r="D544" s="15">
        <v>7.0000000000000007E-2</v>
      </c>
    </row>
    <row r="545" spans="1:4" ht="15.75" customHeight="1">
      <c r="A545" s="15" t="s">
        <v>1609</v>
      </c>
      <c r="B545" s="15" t="s">
        <v>736</v>
      </c>
      <c r="C545" s="15" t="s">
        <v>29</v>
      </c>
      <c r="D545" s="15">
        <v>7.0000000000000007E-2</v>
      </c>
    </row>
    <row r="546" spans="1:4" ht="15.75" customHeight="1">
      <c r="A546" s="15" t="s">
        <v>1610</v>
      </c>
      <c r="B546" s="15" t="s">
        <v>736</v>
      </c>
      <c r="C546" s="15" t="s">
        <v>34</v>
      </c>
      <c r="D546" s="15">
        <v>7.0000000000000007E-2</v>
      </c>
    </row>
    <row r="547" spans="1:4" ht="15.75" customHeight="1">
      <c r="A547" s="15" t="s">
        <v>1611</v>
      </c>
      <c r="B547" s="15" t="s">
        <v>736</v>
      </c>
      <c r="C547" s="15" t="s">
        <v>41</v>
      </c>
      <c r="D547" s="15">
        <v>7.0000000000000007E-2</v>
      </c>
    </row>
    <row r="548" spans="1:4" ht="15.75" customHeight="1">
      <c r="A548" s="15" t="s">
        <v>1612</v>
      </c>
      <c r="B548" s="15" t="s">
        <v>736</v>
      </c>
      <c r="C548" s="15" t="s">
        <v>1059</v>
      </c>
      <c r="D548" s="15">
        <v>7.0000000000000007E-2</v>
      </c>
    </row>
    <row r="549" spans="1:4" ht="15.75" customHeight="1">
      <c r="A549" s="15" t="s">
        <v>1613</v>
      </c>
      <c r="B549" s="15" t="s">
        <v>736</v>
      </c>
      <c r="C549" s="15" t="s">
        <v>25</v>
      </c>
      <c r="D549" s="15">
        <v>7.0000000000000007E-2</v>
      </c>
    </row>
    <row r="550" spans="1:4" ht="15.75" customHeight="1">
      <c r="A550" s="15" t="s">
        <v>1614</v>
      </c>
      <c r="B550" s="15" t="s">
        <v>736</v>
      </c>
      <c r="C550" s="15" t="s">
        <v>51</v>
      </c>
      <c r="D550" s="15">
        <v>7.0000000000000007E-2</v>
      </c>
    </row>
    <row r="551" spans="1:4" ht="15.75" customHeight="1">
      <c r="A551" s="15" t="s">
        <v>1615</v>
      </c>
      <c r="B551" s="15" t="s">
        <v>736</v>
      </c>
      <c r="C551" s="15" t="s">
        <v>1057</v>
      </c>
      <c r="D551" s="15">
        <v>7.0000000000000007E-2</v>
      </c>
    </row>
    <row r="552" spans="1:4" ht="15.75" customHeight="1">
      <c r="A552" s="15" t="s">
        <v>1616</v>
      </c>
      <c r="B552" s="15" t="s">
        <v>736</v>
      </c>
      <c r="C552" s="15" t="s">
        <v>1052</v>
      </c>
      <c r="D552" s="15">
        <v>7.0000000000000007E-2</v>
      </c>
    </row>
    <row r="553" spans="1:4" ht="15.75" customHeight="1">
      <c r="A553" s="15" t="s">
        <v>1617</v>
      </c>
      <c r="B553" s="15" t="s">
        <v>736</v>
      </c>
      <c r="C553" s="15" t="s">
        <v>1053</v>
      </c>
      <c r="D553" s="15">
        <v>7.0000000000000007E-2</v>
      </c>
    </row>
    <row r="554" spans="1:4" ht="15.75" customHeight="1">
      <c r="A554" s="15" t="s">
        <v>1618</v>
      </c>
      <c r="B554" s="15" t="s">
        <v>736</v>
      </c>
      <c r="C554" s="15" t="s">
        <v>24</v>
      </c>
      <c r="D554" s="15">
        <v>0.12</v>
      </c>
    </row>
    <row r="555" spans="1:4" ht="15.75" customHeight="1">
      <c r="A555" s="15" t="s">
        <v>1619</v>
      </c>
      <c r="B555" s="15" t="s">
        <v>736</v>
      </c>
      <c r="C555" s="15" t="s">
        <v>1054</v>
      </c>
      <c r="D555" s="15">
        <v>7.0000000000000007E-2</v>
      </c>
    </row>
    <row r="556" spans="1:4" ht="15.75" customHeight="1">
      <c r="A556" s="15" t="s">
        <v>1620</v>
      </c>
      <c r="B556" s="15" t="s">
        <v>736</v>
      </c>
      <c r="C556" s="15" t="s">
        <v>1055</v>
      </c>
      <c r="D556" s="15">
        <v>7.0000000000000007E-2</v>
      </c>
    </row>
    <row r="557" spans="1:4" ht="15.75" customHeight="1">
      <c r="A557" s="15" t="s">
        <v>1621</v>
      </c>
      <c r="B557" s="15" t="s">
        <v>736</v>
      </c>
      <c r="C557" s="15" t="s">
        <v>28</v>
      </c>
      <c r="D557" s="15">
        <v>0.12</v>
      </c>
    </row>
    <row r="558" spans="1:4" ht="15.75" customHeight="1">
      <c r="A558" s="15" t="s">
        <v>1622</v>
      </c>
      <c r="B558" s="15" t="s">
        <v>736</v>
      </c>
      <c r="C558" s="15" t="s">
        <v>1061</v>
      </c>
      <c r="D558" s="15">
        <v>7.0000000000000007E-2</v>
      </c>
    </row>
    <row r="559" spans="1:4" ht="15.75" customHeight="1">
      <c r="A559" s="15" t="s">
        <v>1623</v>
      </c>
      <c r="B559" s="15" t="s">
        <v>736</v>
      </c>
      <c r="C559" s="15" t="s">
        <v>1062</v>
      </c>
      <c r="D559" s="15">
        <v>7.0000000000000007E-2</v>
      </c>
    </row>
    <row r="560" spans="1:4" ht="15.75" customHeight="1">
      <c r="A560" s="15" t="s">
        <v>1624</v>
      </c>
      <c r="B560" s="15" t="s">
        <v>736</v>
      </c>
      <c r="C560" s="15" t="s">
        <v>27</v>
      </c>
      <c r="D560" s="15">
        <v>0.12</v>
      </c>
    </row>
    <row r="561" spans="1:4" ht="15.75" customHeight="1">
      <c r="A561" s="15" t="s">
        <v>1625</v>
      </c>
      <c r="B561" s="15" t="s">
        <v>736</v>
      </c>
      <c r="C561" s="15" t="s">
        <v>732</v>
      </c>
      <c r="D561" s="15">
        <v>7.0000000000000007E-2</v>
      </c>
    </row>
    <row r="562" spans="1:4" ht="15.75" customHeight="1">
      <c r="A562" s="15" t="s">
        <v>1626</v>
      </c>
      <c r="B562" s="15" t="s">
        <v>736</v>
      </c>
      <c r="C562" s="15" t="s">
        <v>736</v>
      </c>
      <c r="D562" s="15">
        <v>0.18</v>
      </c>
    </row>
    <row r="563" spans="1:4" ht="15.75" customHeight="1">
      <c r="A563" s="15" t="s">
        <v>1627</v>
      </c>
      <c r="B563" s="15" t="s">
        <v>736</v>
      </c>
      <c r="C563" s="15" t="s">
        <v>733</v>
      </c>
      <c r="D563" s="15">
        <v>7.0000000000000007E-2</v>
      </c>
    </row>
    <row r="564" spans="1:4" ht="15.75" customHeight="1">
      <c r="A564" s="15" t="s">
        <v>1628</v>
      </c>
      <c r="B564" s="15" t="s">
        <v>736</v>
      </c>
      <c r="C564" s="15" t="s">
        <v>1063</v>
      </c>
      <c r="D564" s="15">
        <v>7.0000000000000007E-2</v>
      </c>
    </row>
    <row r="565" spans="1:4" ht="15.75" customHeight="1">
      <c r="A565" s="15" t="s">
        <v>1629</v>
      </c>
      <c r="B565" s="15" t="s">
        <v>736</v>
      </c>
      <c r="C565" s="15" t="s">
        <v>26</v>
      </c>
      <c r="D565" s="15">
        <v>0.12</v>
      </c>
    </row>
    <row r="566" spans="1:4" ht="15.75" customHeight="1">
      <c r="A566" s="15" t="s">
        <v>1630</v>
      </c>
      <c r="B566" s="15" t="s">
        <v>736</v>
      </c>
      <c r="C566" s="15" t="s">
        <v>23</v>
      </c>
      <c r="D566" s="15">
        <v>0.12</v>
      </c>
    </row>
    <row r="567" spans="1:4" ht="15.75" customHeight="1">
      <c r="A567" s="15" t="s">
        <v>1631</v>
      </c>
      <c r="B567" s="15" t="s">
        <v>736</v>
      </c>
      <c r="C567" s="15" t="s">
        <v>1060</v>
      </c>
      <c r="D567" s="15">
        <v>7.0000000000000007E-2</v>
      </c>
    </row>
    <row r="568" spans="1:4" ht="15.75" customHeight="1">
      <c r="A568" s="15" t="s">
        <v>1632</v>
      </c>
      <c r="B568" s="15" t="s">
        <v>736</v>
      </c>
      <c r="C568" s="15" t="s">
        <v>1064</v>
      </c>
      <c r="D568" s="15">
        <v>7.0000000000000007E-2</v>
      </c>
    </row>
    <row r="569" spans="1:4" ht="15.75" customHeight="1">
      <c r="A569" s="15" t="s">
        <v>1633</v>
      </c>
      <c r="B569" s="15" t="s">
        <v>733</v>
      </c>
      <c r="C569" s="15" t="s">
        <v>1051</v>
      </c>
      <c r="D569" s="15">
        <v>0.12</v>
      </c>
    </row>
    <row r="570" spans="1:4" ht="15.75" customHeight="1">
      <c r="A570" s="15" t="s">
        <v>1634</v>
      </c>
      <c r="B570" s="15" t="s">
        <v>733</v>
      </c>
      <c r="C570" s="15" t="s">
        <v>1056</v>
      </c>
      <c r="D570" s="15">
        <v>0.12</v>
      </c>
    </row>
    <row r="571" spans="1:4" ht="15.75" customHeight="1">
      <c r="A571" s="15" t="s">
        <v>1635</v>
      </c>
      <c r="B571" s="15" t="s">
        <v>733</v>
      </c>
      <c r="C571" s="15" t="s">
        <v>1058</v>
      </c>
      <c r="D571" s="15">
        <v>0.12</v>
      </c>
    </row>
    <row r="572" spans="1:4" ht="15.75" customHeight="1">
      <c r="A572" s="15" t="s">
        <v>1636</v>
      </c>
      <c r="B572" s="15" t="s">
        <v>733</v>
      </c>
      <c r="C572" s="15" t="s">
        <v>29</v>
      </c>
      <c r="D572" s="15">
        <v>0.12</v>
      </c>
    </row>
    <row r="573" spans="1:4" ht="15.75" customHeight="1">
      <c r="A573" s="15" t="s">
        <v>1637</v>
      </c>
      <c r="B573" s="15" t="s">
        <v>733</v>
      </c>
      <c r="C573" s="15" t="s">
        <v>34</v>
      </c>
      <c r="D573" s="15">
        <v>0.12</v>
      </c>
    </row>
    <row r="574" spans="1:4" ht="15.75" customHeight="1">
      <c r="A574" s="15" t="s">
        <v>1638</v>
      </c>
      <c r="B574" s="15" t="s">
        <v>733</v>
      </c>
      <c r="C574" s="15" t="s">
        <v>41</v>
      </c>
      <c r="D574" s="15">
        <v>0.12</v>
      </c>
    </row>
    <row r="575" spans="1:4" ht="15.75" customHeight="1">
      <c r="A575" s="15" t="s">
        <v>1639</v>
      </c>
      <c r="B575" s="15" t="s">
        <v>733</v>
      </c>
      <c r="C575" s="15" t="s">
        <v>1059</v>
      </c>
      <c r="D575" s="15">
        <v>0.12</v>
      </c>
    </row>
    <row r="576" spans="1:4" ht="15.75" customHeight="1">
      <c r="A576" s="15" t="s">
        <v>1640</v>
      </c>
      <c r="B576" s="15" t="s">
        <v>733</v>
      </c>
      <c r="C576" s="15" t="s">
        <v>25</v>
      </c>
      <c r="D576" s="15">
        <v>0.12</v>
      </c>
    </row>
    <row r="577" spans="1:4" ht="15.75" customHeight="1">
      <c r="A577" s="15" t="s">
        <v>1641</v>
      </c>
      <c r="B577" s="15" t="s">
        <v>733</v>
      </c>
      <c r="C577" s="15" t="s">
        <v>51</v>
      </c>
      <c r="D577" s="15">
        <v>0.12</v>
      </c>
    </row>
    <row r="578" spans="1:4" ht="15.75" customHeight="1">
      <c r="A578" s="15" t="s">
        <v>1642</v>
      </c>
      <c r="B578" s="15" t="s">
        <v>733</v>
      </c>
      <c r="C578" s="15" t="s">
        <v>1057</v>
      </c>
      <c r="D578" s="15">
        <v>0.12</v>
      </c>
    </row>
    <row r="579" spans="1:4" ht="15.75" customHeight="1">
      <c r="A579" s="15" t="s">
        <v>1643</v>
      </c>
      <c r="B579" s="15" t="s">
        <v>733</v>
      </c>
      <c r="C579" s="15" t="s">
        <v>1052</v>
      </c>
      <c r="D579" s="15">
        <v>0.12</v>
      </c>
    </row>
    <row r="580" spans="1:4" ht="15.75" customHeight="1">
      <c r="A580" s="15" t="s">
        <v>1644</v>
      </c>
      <c r="B580" s="15" t="s">
        <v>733</v>
      </c>
      <c r="C580" s="15" t="s">
        <v>1053</v>
      </c>
      <c r="D580" s="15">
        <v>0.12</v>
      </c>
    </row>
    <row r="581" spans="1:4" ht="15.75" customHeight="1">
      <c r="A581" s="15" t="s">
        <v>1645</v>
      </c>
      <c r="B581" s="15" t="s">
        <v>733</v>
      </c>
      <c r="C581" s="15" t="s">
        <v>24</v>
      </c>
      <c r="D581" s="15">
        <v>0.12</v>
      </c>
    </row>
    <row r="582" spans="1:4" ht="15.75" customHeight="1">
      <c r="A582" s="15" t="s">
        <v>1646</v>
      </c>
      <c r="B582" s="15" t="s">
        <v>733</v>
      </c>
      <c r="C582" s="15" t="s">
        <v>1054</v>
      </c>
      <c r="D582" s="15">
        <v>0.12</v>
      </c>
    </row>
    <row r="583" spans="1:4" ht="15.75" customHeight="1">
      <c r="A583" s="15" t="s">
        <v>1647</v>
      </c>
      <c r="B583" s="15" t="s">
        <v>733</v>
      </c>
      <c r="C583" s="15" t="s">
        <v>1055</v>
      </c>
      <c r="D583" s="15">
        <v>0.12</v>
      </c>
    </row>
    <row r="584" spans="1:4" ht="15.75" customHeight="1">
      <c r="A584" s="15" t="s">
        <v>1648</v>
      </c>
      <c r="B584" s="15" t="s">
        <v>733</v>
      </c>
      <c r="C584" s="15" t="s">
        <v>28</v>
      </c>
      <c r="D584" s="15">
        <v>0.12</v>
      </c>
    </row>
    <row r="585" spans="1:4" ht="15.75" customHeight="1">
      <c r="A585" s="15" t="s">
        <v>1649</v>
      </c>
      <c r="B585" s="15" t="s">
        <v>733</v>
      </c>
      <c r="C585" s="15" t="s">
        <v>1061</v>
      </c>
      <c r="D585" s="15">
        <v>0.12</v>
      </c>
    </row>
    <row r="586" spans="1:4" ht="15.75" customHeight="1">
      <c r="A586" s="15" t="s">
        <v>1650</v>
      </c>
      <c r="B586" s="15" t="s">
        <v>733</v>
      </c>
      <c r="C586" s="15" t="s">
        <v>1062</v>
      </c>
      <c r="D586" s="15">
        <v>0.12</v>
      </c>
    </row>
    <row r="587" spans="1:4" ht="15.75" customHeight="1">
      <c r="A587" s="15" t="s">
        <v>1651</v>
      </c>
      <c r="B587" s="15" t="s">
        <v>733</v>
      </c>
      <c r="C587" s="15" t="s">
        <v>27</v>
      </c>
      <c r="D587" s="15">
        <v>0.12</v>
      </c>
    </row>
    <row r="588" spans="1:4" ht="15.75" customHeight="1">
      <c r="A588" s="15" t="s">
        <v>1652</v>
      </c>
      <c r="B588" s="15" t="s">
        <v>733</v>
      </c>
      <c r="C588" s="15" t="s">
        <v>732</v>
      </c>
      <c r="D588" s="15">
        <v>0.12</v>
      </c>
    </row>
    <row r="589" spans="1:4" ht="15.75" customHeight="1">
      <c r="A589" s="15" t="s">
        <v>1653</v>
      </c>
      <c r="B589" s="15" t="s">
        <v>733</v>
      </c>
      <c r="C589" s="15" t="s">
        <v>736</v>
      </c>
      <c r="D589" s="15">
        <v>0.12</v>
      </c>
    </row>
    <row r="590" spans="1:4" ht="15.75" customHeight="1">
      <c r="A590" s="15" t="s">
        <v>1654</v>
      </c>
      <c r="B590" s="15" t="s">
        <v>733</v>
      </c>
      <c r="C590" s="15" t="s">
        <v>733</v>
      </c>
      <c r="D590" s="15">
        <v>0.18</v>
      </c>
    </row>
    <row r="591" spans="1:4" ht="15.75" customHeight="1">
      <c r="A591" s="15" t="s">
        <v>1655</v>
      </c>
      <c r="B591" s="15" t="s">
        <v>733</v>
      </c>
      <c r="C591" s="15" t="s">
        <v>1063</v>
      </c>
      <c r="D591" s="15">
        <v>0.12</v>
      </c>
    </row>
    <row r="592" spans="1:4" ht="15.75" customHeight="1">
      <c r="A592" s="15" t="s">
        <v>1656</v>
      </c>
      <c r="B592" s="15" t="s">
        <v>733</v>
      </c>
      <c r="C592" s="15" t="s">
        <v>26</v>
      </c>
      <c r="D592" s="15">
        <v>0.12</v>
      </c>
    </row>
    <row r="593" spans="1:4" ht="15.75" customHeight="1">
      <c r="A593" s="15" t="s">
        <v>1657</v>
      </c>
      <c r="B593" s="15" t="s">
        <v>733</v>
      </c>
      <c r="C593" s="15" t="s">
        <v>23</v>
      </c>
      <c r="D593" s="15">
        <v>0.12</v>
      </c>
    </row>
    <row r="594" spans="1:4" ht="15.75" customHeight="1">
      <c r="A594" s="15" t="s">
        <v>1658</v>
      </c>
      <c r="B594" s="15" t="s">
        <v>733</v>
      </c>
      <c r="C594" s="15" t="s">
        <v>1060</v>
      </c>
      <c r="D594" s="15">
        <v>0.12</v>
      </c>
    </row>
    <row r="595" spans="1:4" ht="15.75" customHeight="1">
      <c r="A595" s="15" t="s">
        <v>1659</v>
      </c>
      <c r="B595" s="15" t="s">
        <v>733</v>
      </c>
      <c r="C595" s="15" t="s">
        <v>1064</v>
      </c>
      <c r="D595" s="15">
        <v>0.12</v>
      </c>
    </row>
    <row r="596" spans="1:4" ht="15.75" customHeight="1">
      <c r="A596" s="15" t="s">
        <v>1660</v>
      </c>
      <c r="B596" s="15" t="s">
        <v>1063</v>
      </c>
      <c r="C596" s="15" t="s">
        <v>1051</v>
      </c>
      <c r="D596" s="15">
        <v>0.12</v>
      </c>
    </row>
    <row r="597" spans="1:4" ht="15.75" customHeight="1">
      <c r="A597" s="15" t="s">
        <v>1661</v>
      </c>
      <c r="B597" s="15" t="s">
        <v>1063</v>
      </c>
      <c r="C597" s="15" t="s">
        <v>1056</v>
      </c>
      <c r="D597" s="15">
        <v>0.12</v>
      </c>
    </row>
    <row r="598" spans="1:4" ht="15.75" customHeight="1">
      <c r="A598" s="15" t="s">
        <v>1662</v>
      </c>
      <c r="B598" s="15" t="s">
        <v>1063</v>
      </c>
      <c r="C598" s="15" t="s">
        <v>1058</v>
      </c>
      <c r="D598" s="15">
        <v>0.12</v>
      </c>
    </row>
    <row r="599" spans="1:4" ht="15.75" customHeight="1">
      <c r="A599" s="15" t="s">
        <v>1663</v>
      </c>
      <c r="B599" s="15" t="s">
        <v>1063</v>
      </c>
      <c r="C599" s="15" t="s">
        <v>29</v>
      </c>
      <c r="D599" s="15">
        <v>0.12</v>
      </c>
    </row>
    <row r="600" spans="1:4" ht="15.75" customHeight="1">
      <c r="A600" s="15" t="s">
        <v>1664</v>
      </c>
      <c r="B600" s="15" t="s">
        <v>1063</v>
      </c>
      <c r="C600" s="15" t="s">
        <v>34</v>
      </c>
      <c r="D600" s="15">
        <v>0.12</v>
      </c>
    </row>
    <row r="601" spans="1:4" ht="15.75" customHeight="1">
      <c r="A601" s="15" t="s">
        <v>1665</v>
      </c>
      <c r="B601" s="15" t="s">
        <v>1063</v>
      </c>
      <c r="C601" s="15" t="s">
        <v>41</v>
      </c>
      <c r="D601" s="15">
        <v>0.12</v>
      </c>
    </row>
    <row r="602" spans="1:4" ht="15.75" customHeight="1">
      <c r="A602" s="15" t="s">
        <v>1666</v>
      </c>
      <c r="B602" s="15" t="s">
        <v>1063</v>
      </c>
      <c r="C602" s="15" t="s">
        <v>1059</v>
      </c>
      <c r="D602" s="15">
        <v>0.12</v>
      </c>
    </row>
    <row r="603" spans="1:4" ht="15.75" customHeight="1">
      <c r="A603" s="15" t="s">
        <v>1667</v>
      </c>
      <c r="B603" s="15" t="s">
        <v>1063</v>
      </c>
      <c r="C603" s="15" t="s">
        <v>25</v>
      </c>
      <c r="D603" s="15">
        <v>0.12</v>
      </c>
    </row>
    <row r="604" spans="1:4" ht="15.75" customHeight="1">
      <c r="A604" s="15" t="s">
        <v>1668</v>
      </c>
      <c r="B604" s="15" t="s">
        <v>1063</v>
      </c>
      <c r="C604" s="15" t="s">
        <v>51</v>
      </c>
      <c r="D604" s="15">
        <v>0.12</v>
      </c>
    </row>
    <row r="605" spans="1:4" ht="15.75" customHeight="1">
      <c r="A605" s="15" t="s">
        <v>1669</v>
      </c>
      <c r="B605" s="15" t="s">
        <v>1063</v>
      </c>
      <c r="C605" s="15" t="s">
        <v>1057</v>
      </c>
      <c r="D605" s="15">
        <v>0.12</v>
      </c>
    </row>
    <row r="606" spans="1:4" ht="15.75" customHeight="1">
      <c r="A606" s="15" t="s">
        <v>1670</v>
      </c>
      <c r="B606" s="15" t="s">
        <v>1063</v>
      </c>
      <c r="C606" s="15" t="s">
        <v>1052</v>
      </c>
      <c r="D606" s="15">
        <v>0.12</v>
      </c>
    </row>
    <row r="607" spans="1:4" ht="15.75" customHeight="1">
      <c r="A607" s="15" t="s">
        <v>1671</v>
      </c>
      <c r="B607" s="15" t="s">
        <v>1063</v>
      </c>
      <c r="C607" s="15" t="s">
        <v>1053</v>
      </c>
      <c r="D607" s="15">
        <v>0.12</v>
      </c>
    </row>
    <row r="608" spans="1:4" ht="15.75" customHeight="1">
      <c r="A608" s="15" t="s">
        <v>1672</v>
      </c>
      <c r="B608" s="15" t="s">
        <v>1063</v>
      </c>
      <c r="C608" s="15" t="s">
        <v>24</v>
      </c>
      <c r="D608" s="15">
        <v>0.12</v>
      </c>
    </row>
    <row r="609" spans="1:4" ht="15.75" customHeight="1">
      <c r="A609" s="15" t="s">
        <v>1673</v>
      </c>
      <c r="B609" s="15" t="s">
        <v>1063</v>
      </c>
      <c r="C609" s="15" t="s">
        <v>1054</v>
      </c>
      <c r="D609" s="15">
        <v>0.12</v>
      </c>
    </row>
    <row r="610" spans="1:4" ht="15.75" customHeight="1">
      <c r="A610" s="15" t="s">
        <v>1674</v>
      </c>
      <c r="B610" s="15" t="s">
        <v>1063</v>
      </c>
      <c r="C610" s="15" t="s">
        <v>1055</v>
      </c>
      <c r="D610" s="15">
        <v>0.12</v>
      </c>
    </row>
    <row r="611" spans="1:4" ht="15.75" customHeight="1">
      <c r="A611" s="15" t="s">
        <v>1675</v>
      </c>
      <c r="B611" s="15" t="s">
        <v>1063</v>
      </c>
      <c r="C611" s="15" t="s">
        <v>28</v>
      </c>
      <c r="D611" s="15">
        <v>0.12</v>
      </c>
    </row>
    <row r="612" spans="1:4" ht="15.75" customHeight="1">
      <c r="A612" s="15" t="s">
        <v>1676</v>
      </c>
      <c r="B612" s="15" t="s">
        <v>1063</v>
      </c>
      <c r="C612" s="15" t="s">
        <v>1061</v>
      </c>
      <c r="D612" s="15">
        <v>0.12</v>
      </c>
    </row>
    <row r="613" spans="1:4" ht="15.75" customHeight="1">
      <c r="A613" s="15" t="s">
        <v>1677</v>
      </c>
      <c r="B613" s="15" t="s">
        <v>1063</v>
      </c>
      <c r="C613" s="15" t="s">
        <v>1062</v>
      </c>
      <c r="D613" s="15">
        <v>0.12</v>
      </c>
    </row>
    <row r="614" spans="1:4" ht="15.75" customHeight="1">
      <c r="A614" s="15" t="s">
        <v>1678</v>
      </c>
      <c r="B614" s="15" t="s">
        <v>1063</v>
      </c>
      <c r="C614" s="15" t="s">
        <v>27</v>
      </c>
      <c r="D614" s="15">
        <v>0.12</v>
      </c>
    </row>
    <row r="615" spans="1:4" ht="15.75" customHeight="1">
      <c r="A615" s="15" t="s">
        <v>1679</v>
      </c>
      <c r="B615" s="15" t="s">
        <v>1063</v>
      </c>
      <c r="C615" s="15" t="s">
        <v>732</v>
      </c>
      <c r="D615" s="15">
        <v>0.12</v>
      </c>
    </row>
    <row r="616" spans="1:4" ht="15.75" customHeight="1">
      <c r="A616" s="15" t="s">
        <v>1680</v>
      </c>
      <c r="B616" s="15" t="s">
        <v>1063</v>
      </c>
      <c r="C616" s="15" t="s">
        <v>736</v>
      </c>
      <c r="D616" s="15">
        <v>0.12</v>
      </c>
    </row>
    <row r="617" spans="1:4" ht="15.75" customHeight="1">
      <c r="A617" s="15" t="s">
        <v>1681</v>
      </c>
      <c r="B617" s="15" t="s">
        <v>1063</v>
      </c>
      <c r="C617" s="15" t="s">
        <v>733</v>
      </c>
      <c r="D617" s="15">
        <v>0.12</v>
      </c>
    </row>
    <row r="618" spans="1:4" ht="15.75" customHeight="1">
      <c r="A618" s="15" t="s">
        <v>1682</v>
      </c>
      <c r="B618" s="15" t="s">
        <v>1063</v>
      </c>
      <c r="C618" s="15" t="s">
        <v>1063</v>
      </c>
      <c r="D618" s="15">
        <v>0.18</v>
      </c>
    </row>
    <row r="619" spans="1:4" ht="15.75" customHeight="1">
      <c r="A619" s="15" t="s">
        <v>1683</v>
      </c>
      <c r="B619" s="15" t="s">
        <v>1063</v>
      </c>
      <c r="C619" s="15" t="s">
        <v>26</v>
      </c>
      <c r="D619" s="15">
        <v>0.12</v>
      </c>
    </row>
    <row r="620" spans="1:4" ht="15.75" customHeight="1">
      <c r="A620" s="15" t="s">
        <v>1684</v>
      </c>
      <c r="B620" s="15" t="s">
        <v>1063</v>
      </c>
      <c r="C620" s="15" t="s">
        <v>23</v>
      </c>
      <c r="D620" s="15">
        <v>0.12</v>
      </c>
    </row>
    <row r="621" spans="1:4" ht="15.75" customHeight="1">
      <c r="A621" s="15" t="s">
        <v>1685</v>
      </c>
      <c r="B621" s="15" t="s">
        <v>1063</v>
      </c>
      <c r="C621" s="15" t="s">
        <v>1060</v>
      </c>
      <c r="D621" s="15">
        <v>0.12</v>
      </c>
    </row>
    <row r="622" spans="1:4" ht="15.75" customHeight="1">
      <c r="A622" s="15" t="s">
        <v>1686</v>
      </c>
      <c r="B622" s="15" t="s">
        <v>1063</v>
      </c>
      <c r="C622" s="15" t="s">
        <v>1064</v>
      </c>
      <c r="D622" s="15">
        <v>0.12</v>
      </c>
    </row>
    <row r="623" spans="1:4" ht="15.75" customHeight="1">
      <c r="A623" s="15" t="s">
        <v>1687</v>
      </c>
      <c r="B623" s="15" t="s">
        <v>26</v>
      </c>
      <c r="C623" s="15" t="s">
        <v>1051</v>
      </c>
      <c r="D623" s="15">
        <v>7.0000000000000007E-2</v>
      </c>
    </row>
    <row r="624" spans="1:4" ht="15.75" customHeight="1">
      <c r="A624" s="15" t="s">
        <v>1688</v>
      </c>
      <c r="B624" s="15" t="s">
        <v>26</v>
      </c>
      <c r="C624" s="15" t="s">
        <v>1056</v>
      </c>
      <c r="D624" s="15">
        <v>7.0000000000000007E-2</v>
      </c>
    </row>
    <row r="625" spans="1:4" ht="15.75" customHeight="1">
      <c r="A625" s="15" t="s">
        <v>1689</v>
      </c>
      <c r="B625" s="15" t="s">
        <v>26</v>
      </c>
      <c r="C625" s="15" t="s">
        <v>1058</v>
      </c>
      <c r="D625" s="15">
        <v>7.0000000000000007E-2</v>
      </c>
    </row>
    <row r="626" spans="1:4" ht="15.75" customHeight="1">
      <c r="A626" s="15" t="s">
        <v>1690</v>
      </c>
      <c r="B626" s="15" t="s">
        <v>26</v>
      </c>
      <c r="C626" s="15" t="s">
        <v>29</v>
      </c>
      <c r="D626" s="15">
        <v>7.0000000000000007E-2</v>
      </c>
    </row>
    <row r="627" spans="1:4" ht="15.75" customHeight="1">
      <c r="A627" s="15" t="s">
        <v>1691</v>
      </c>
      <c r="B627" s="15" t="s">
        <v>26</v>
      </c>
      <c r="C627" s="15" t="s">
        <v>34</v>
      </c>
      <c r="D627" s="15">
        <v>7.0000000000000007E-2</v>
      </c>
    </row>
    <row r="628" spans="1:4" ht="15.75" customHeight="1">
      <c r="A628" s="15" t="s">
        <v>1692</v>
      </c>
      <c r="B628" s="15" t="s">
        <v>26</v>
      </c>
      <c r="C628" s="15" t="s">
        <v>41</v>
      </c>
      <c r="D628" s="15">
        <v>7.0000000000000007E-2</v>
      </c>
    </row>
    <row r="629" spans="1:4" ht="15.75" customHeight="1">
      <c r="A629" s="15" t="s">
        <v>1693</v>
      </c>
      <c r="B629" s="15" t="s">
        <v>26</v>
      </c>
      <c r="C629" s="15" t="s">
        <v>1059</v>
      </c>
      <c r="D629" s="15">
        <v>7.0000000000000007E-2</v>
      </c>
    </row>
    <row r="630" spans="1:4" ht="15.75" customHeight="1">
      <c r="A630" s="15" t="s">
        <v>1694</v>
      </c>
      <c r="B630" s="15" t="s">
        <v>26</v>
      </c>
      <c r="C630" s="15" t="s">
        <v>25</v>
      </c>
      <c r="D630" s="15">
        <v>7.0000000000000007E-2</v>
      </c>
    </row>
    <row r="631" spans="1:4" ht="15.75" customHeight="1">
      <c r="A631" s="15" t="s">
        <v>1695</v>
      </c>
      <c r="B631" s="15" t="s">
        <v>26</v>
      </c>
      <c r="C631" s="15" t="s">
        <v>51</v>
      </c>
      <c r="D631" s="15">
        <v>7.0000000000000007E-2</v>
      </c>
    </row>
    <row r="632" spans="1:4" ht="15.75" customHeight="1">
      <c r="A632" s="15" t="s">
        <v>1696</v>
      </c>
      <c r="B632" s="15" t="s">
        <v>26</v>
      </c>
      <c r="C632" s="15" t="s">
        <v>1057</v>
      </c>
      <c r="D632" s="15">
        <v>7.0000000000000007E-2</v>
      </c>
    </row>
    <row r="633" spans="1:4" ht="15.75" customHeight="1">
      <c r="A633" s="15" t="s">
        <v>1697</v>
      </c>
      <c r="B633" s="15" t="s">
        <v>26</v>
      </c>
      <c r="C633" s="15" t="s">
        <v>1052</v>
      </c>
      <c r="D633" s="15">
        <v>7.0000000000000007E-2</v>
      </c>
    </row>
    <row r="634" spans="1:4" ht="15.75" customHeight="1">
      <c r="A634" s="15" t="s">
        <v>1698</v>
      </c>
      <c r="B634" s="15" t="s">
        <v>26</v>
      </c>
      <c r="C634" s="15" t="s">
        <v>1053</v>
      </c>
      <c r="D634" s="15">
        <v>7.0000000000000007E-2</v>
      </c>
    </row>
    <row r="635" spans="1:4" ht="15.75" customHeight="1">
      <c r="A635" s="15" t="s">
        <v>1699</v>
      </c>
      <c r="B635" s="15" t="s">
        <v>26</v>
      </c>
      <c r="C635" s="15" t="s">
        <v>24</v>
      </c>
      <c r="D635" s="15">
        <v>0.12</v>
      </c>
    </row>
    <row r="636" spans="1:4" ht="15.75" customHeight="1">
      <c r="A636" s="15" t="s">
        <v>1700</v>
      </c>
      <c r="B636" s="15" t="s">
        <v>26</v>
      </c>
      <c r="C636" s="15" t="s">
        <v>1054</v>
      </c>
      <c r="D636" s="15">
        <v>7.0000000000000007E-2</v>
      </c>
    </row>
    <row r="637" spans="1:4" ht="15.75" customHeight="1">
      <c r="A637" s="15" t="s">
        <v>1701</v>
      </c>
      <c r="B637" s="15" t="s">
        <v>26</v>
      </c>
      <c r="C637" s="15" t="s">
        <v>1055</v>
      </c>
      <c r="D637" s="15">
        <v>7.0000000000000007E-2</v>
      </c>
    </row>
    <row r="638" spans="1:4" ht="15.75" customHeight="1">
      <c r="A638" s="15" t="s">
        <v>1702</v>
      </c>
      <c r="B638" s="15" t="s">
        <v>26</v>
      </c>
      <c r="C638" s="15" t="s">
        <v>28</v>
      </c>
      <c r="D638" s="15">
        <v>0.12</v>
      </c>
    </row>
    <row r="639" spans="1:4" ht="15.75" customHeight="1">
      <c r="A639" s="15" t="s">
        <v>1703</v>
      </c>
      <c r="B639" s="15" t="s">
        <v>26</v>
      </c>
      <c r="C639" s="15" t="s">
        <v>1061</v>
      </c>
      <c r="D639" s="15">
        <v>7.0000000000000007E-2</v>
      </c>
    </row>
    <row r="640" spans="1:4" ht="15.75" customHeight="1">
      <c r="A640" s="15" t="s">
        <v>1704</v>
      </c>
      <c r="B640" s="15" t="s">
        <v>26</v>
      </c>
      <c r="C640" s="15" t="s">
        <v>1062</v>
      </c>
      <c r="D640" s="15">
        <v>7.0000000000000007E-2</v>
      </c>
    </row>
    <row r="641" spans="1:4" ht="15.75" customHeight="1">
      <c r="A641" s="15" t="s">
        <v>1705</v>
      </c>
      <c r="B641" s="15" t="s">
        <v>26</v>
      </c>
      <c r="C641" s="15" t="s">
        <v>27</v>
      </c>
      <c r="D641" s="15">
        <v>0.12</v>
      </c>
    </row>
    <row r="642" spans="1:4" ht="15.75" customHeight="1">
      <c r="A642" s="15" t="s">
        <v>1706</v>
      </c>
      <c r="B642" s="15" t="s">
        <v>26</v>
      </c>
      <c r="C642" s="15" t="s">
        <v>732</v>
      </c>
      <c r="D642" s="15">
        <v>7.0000000000000007E-2</v>
      </c>
    </row>
    <row r="643" spans="1:4" ht="15.75" customHeight="1">
      <c r="A643" s="15" t="s">
        <v>1707</v>
      </c>
      <c r="B643" s="15" t="s">
        <v>26</v>
      </c>
      <c r="C643" s="15" t="s">
        <v>736</v>
      </c>
      <c r="D643" s="15">
        <v>0.12</v>
      </c>
    </row>
    <row r="644" spans="1:4" ht="15.75" customHeight="1">
      <c r="A644" s="15" t="s">
        <v>1708</v>
      </c>
      <c r="B644" s="15" t="s">
        <v>26</v>
      </c>
      <c r="C644" s="15" t="s">
        <v>733</v>
      </c>
      <c r="D644" s="15">
        <v>7.0000000000000007E-2</v>
      </c>
    </row>
    <row r="645" spans="1:4" ht="15.75" customHeight="1">
      <c r="A645" s="15" t="s">
        <v>1709</v>
      </c>
      <c r="B645" s="15" t="s">
        <v>26</v>
      </c>
      <c r="C645" s="15" t="s">
        <v>1063</v>
      </c>
      <c r="D645" s="15">
        <v>7.0000000000000007E-2</v>
      </c>
    </row>
    <row r="646" spans="1:4" ht="15.75" customHeight="1">
      <c r="A646" s="15" t="s">
        <v>1710</v>
      </c>
      <c r="B646" s="15" t="s">
        <v>26</v>
      </c>
      <c r="C646" s="15" t="s">
        <v>26</v>
      </c>
      <c r="D646" s="15">
        <v>0.18</v>
      </c>
    </row>
    <row r="647" spans="1:4" ht="15.75" customHeight="1">
      <c r="A647" s="15" t="s">
        <v>1711</v>
      </c>
      <c r="B647" s="15" t="s">
        <v>26</v>
      </c>
      <c r="C647" s="15" t="s">
        <v>23</v>
      </c>
      <c r="D647" s="15">
        <v>0.12</v>
      </c>
    </row>
    <row r="648" spans="1:4" ht="15.75" customHeight="1">
      <c r="A648" s="15" t="s">
        <v>1712</v>
      </c>
      <c r="B648" s="15" t="s">
        <v>26</v>
      </c>
      <c r="C648" s="15" t="s">
        <v>1060</v>
      </c>
      <c r="D648" s="15">
        <v>7.0000000000000007E-2</v>
      </c>
    </row>
    <row r="649" spans="1:4" ht="15.75" customHeight="1">
      <c r="A649" s="15" t="s">
        <v>1713</v>
      </c>
      <c r="B649" s="15" t="s">
        <v>26</v>
      </c>
      <c r="C649" s="15" t="s">
        <v>1064</v>
      </c>
      <c r="D649" s="15">
        <v>7.0000000000000007E-2</v>
      </c>
    </row>
    <row r="650" spans="1:4" ht="15.75" customHeight="1">
      <c r="A650" s="15" t="s">
        <v>1714</v>
      </c>
      <c r="B650" s="15" t="s">
        <v>23</v>
      </c>
      <c r="C650" s="15" t="s">
        <v>1051</v>
      </c>
      <c r="D650" s="15">
        <v>7.0000000000000007E-2</v>
      </c>
    </row>
    <row r="651" spans="1:4" ht="15.75" customHeight="1">
      <c r="A651" s="15" t="s">
        <v>1715</v>
      </c>
      <c r="B651" s="15" t="s">
        <v>23</v>
      </c>
      <c r="C651" s="15" t="s">
        <v>1056</v>
      </c>
      <c r="D651" s="15">
        <v>7.0000000000000007E-2</v>
      </c>
    </row>
    <row r="652" spans="1:4" ht="15.75" customHeight="1">
      <c r="A652" s="15" t="s">
        <v>1716</v>
      </c>
      <c r="B652" s="15" t="s">
        <v>23</v>
      </c>
      <c r="C652" s="15" t="s">
        <v>1058</v>
      </c>
      <c r="D652" s="15">
        <v>7.0000000000000007E-2</v>
      </c>
    </row>
    <row r="653" spans="1:4" ht="15.75" customHeight="1">
      <c r="A653" s="15" t="s">
        <v>1717</v>
      </c>
      <c r="B653" s="15" t="s">
        <v>23</v>
      </c>
      <c r="C653" s="15" t="s">
        <v>29</v>
      </c>
      <c r="D653" s="15">
        <v>7.0000000000000007E-2</v>
      </c>
    </row>
    <row r="654" spans="1:4" ht="15.75" customHeight="1">
      <c r="A654" s="15" t="s">
        <v>1718</v>
      </c>
      <c r="B654" s="15" t="s">
        <v>23</v>
      </c>
      <c r="C654" s="15" t="s">
        <v>34</v>
      </c>
      <c r="D654" s="15">
        <v>7.0000000000000007E-2</v>
      </c>
    </row>
    <row r="655" spans="1:4" ht="15.75" customHeight="1">
      <c r="A655" s="15" t="s">
        <v>1719</v>
      </c>
      <c r="B655" s="15" t="s">
        <v>23</v>
      </c>
      <c r="C655" s="15" t="s">
        <v>41</v>
      </c>
      <c r="D655" s="15">
        <v>7.0000000000000007E-2</v>
      </c>
    </row>
    <row r="656" spans="1:4" ht="15.75" customHeight="1">
      <c r="A656" s="15" t="s">
        <v>1720</v>
      </c>
      <c r="B656" s="15" t="s">
        <v>23</v>
      </c>
      <c r="C656" s="15" t="s">
        <v>1059</v>
      </c>
      <c r="D656" s="15">
        <v>7.0000000000000007E-2</v>
      </c>
    </row>
    <row r="657" spans="1:4" ht="15.75" customHeight="1">
      <c r="A657" s="15" t="s">
        <v>1721</v>
      </c>
      <c r="B657" s="15" t="s">
        <v>23</v>
      </c>
      <c r="C657" s="15" t="s">
        <v>25</v>
      </c>
      <c r="D657" s="15">
        <v>7.0000000000000007E-2</v>
      </c>
    </row>
    <row r="658" spans="1:4" ht="15.75" customHeight="1">
      <c r="A658" s="15" t="s">
        <v>1722</v>
      </c>
      <c r="B658" s="15" t="s">
        <v>23</v>
      </c>
      <c r="C658" s="15" t="s">
        <v>51</v>
      </c>
      <c r="D658" s="15">
        <v>7.0000000000000007E-2</v>
      </c>
    </row>
    <row r="659" spans="1:4" ht="15.75" customHeight="1">
      <c r="A659" s="15" t="s">
        <v>1723</v>
      </c>
      <c r="B659" s="15" t="s">
        <v>23</v>
      </c>
      <c r="C659" s="15" t="s">
        <v>1057</v>
      </c>
      <c r="D659" s="15">
        <v>7.0000000000000007E-2</v>
      </c>
    </row>
    <row r="660" spans="1:4" ht="15.75" customHeight="1">
      <c r="A660" s="15" t="s">
        <v>1724</v>
      </c>
      <c r="B660" s="15" t="s">
        <v>23</v>
      </c>
      <c r="C660" s="15" t="s">
        <v>1052</v>
      </c>
      <c r="D660" s="15">
        <v>7.0000000000000007E-2</v>
      </c>
    </row>
    <row r="661" spans="1:4" ht="15.75" customHeight="1">
      <c r="A661" s="15" t="s">
        <v>1725</v>
      </c>
      <c r="B661" s="15" t="s">
        <v>23</v>
      </c>
      <c r="C661" s="15" t="s">
        <v>1053</v>
      </c>
      <c r="D661" s="15">
        <v>7.0000000000000007E-2</v>
      </c>
    </row>
    <row r="662" spans="1:4" ht="15.75" customHeight="1">
      <c r="A662" s="15" t="s">
        <v>1726</v>
      </c>
      <c r="B662" s="15" t="s">
        <v>23</v>
      </c>
      <c r="C662" s="15" t="s">
        <v>24</v>
      </c>
      <c r="D662" s="15">
        <v>0.12</v>
      </c>
    </row>
    <row r="663" spans="1:4" ht="15.75" customHeight="1">
      <c r="A663" s="15" t="s">
        <v>1727</v>
      </c>
      <c r="B663" s="15" t="s">
        <v>23</v>
      </c>
      <c r="C663" s="15" t="s">
        <v>1054</v>
      </c>
      <c r="D663" s="15">
        <v>7.0000000000000007E-2</v>
      </c>
    </row>
    <row r="664" spans="1:4" ht="15.75" customHeight="1">
      <c r="A664" s="15" t="s">
        <v>1728</v>
      </c>
      <c r="B664" s="15" t="s">
        <v>23</v>
      </c>
      <c r="C664" s="15" t="s">
        <v>1055</v>
      </c>
      <c r="D664" s="15">
        <v>7.0000000000000007E-2</v>
      </c>
    </row>
    <row r="665" spans="1:4" ht="15.75" customHeight="1">
      <c r="A665" s="15" t="s">
        <v>1729</v>
      </c>
      <c r="B665" s="15" t="s">
        <v>23</v>
      </c>
      <c r="C665" s="15" t="s">
        <v>28</v>
      </c>
      <c r="D665" s="15">
        <v>0.12</v>
      </c>
    </row>
    <row r="666" spans="1:4" ht="15.75" customHeight="1">
      <c r="A666" s="15" t="s">
        <v>1730</v>
      </c>
      <c r="B666" s="15" t="s">
        <v>23</v>
      </c>
      <c r="C666" s="15" t="s">
        <v>1061</v>
      </c>
      <c r="D666" s="15">
        <v>7.0000000000000007E-2</v>
      </c>
    </row>
    <row r="667" spans="1:4" ht="15.75" customHeight="1">
      <c r="A667" s="15" t="s">
        <v>1731</v>
      </c>
      <c r="B667" s="15" t="s">
        <v>23</v>
      </c>
      <c r="C667" s="15" t="s">
        <v>1062</v>
      </c>
      <c r="D667" s="15">
        <v>7.0000000000000007E-2</v>
      </c>
    </row>
    <row r="668" spans="1:4" ht="15.75" customHeight="1">
      <c r="A668" s="15" t="s">
        <v>1732</v>
      </c>
      <c r="B668" s="15" t="s">
        <v>23</v>
      </c>
      <c r="C668" s="15" t="s">
        <v>27</v>
      </c>
      <c r="D668" s="15">
        <v>0.12</v>
      </c>
    </row>
    <row r="669" spans="1:4" ht="15.75" customHeight="1">
      <c r="A669" s="15" t="s">
        <v>1733</v>
      </c>
      <c r="B669" s="15" t="s">
        <v>23</v>
      </c>
      <c r="C669" s="15" t="s">
        <v>732</v>
      </c>
      <c r="D669" s="15">
        <v>7.0000000000000007E-2</v>
      </c>
    </row>
    <row r="670" spans="1:4" ht="15.75" customHeight="1">
      <c r="A670" s="15" t="s">
        <v>1734</v>
      </c>
      <c r="B670" s="15" t="s">
        <v>23</v>
      </c>
      <c r="C670" s="15" t="s">
        <v>736</v>
      </c>
      <c r="D670" s="15">
        <v>0.12</v>
      </c>
    </row>
    <row r="671" spans="1:4" ht="15.75" customHeight="1">
      <c r="A671" s="15" t="s">
        <v>1735</v>
      </c>
      <c r="B671" s="15" t="s">
        <v>23</v>
      </c>
      <c r="C671" s="15" t="s">
        <v>733</v>
      </c>
      <c r="D671" s="15">
        <v>7.0000000000000007E-2</v>
      </c>
    </row>
    <row r="672" spans="1:4" ht="15.75" customHeight="1">
      <c r="A672" s="15" t="s">
        <v>1736</v>
      </c>
      <c r="B672" s="15" t="s">
        <v>23</v>
      </c>
      <c r="C672" s="15" t="s">
        <v>1063</v>
      </c>
      <c r="D672" s="15">
        <v>7.0000000000000007E-2</v>
      </c>
    </row>
    <row r="673" spans="1:4" ht="15.75" customHeight="1">
      <c r="A673" s="15" t="s">
        <v>1737</v>
      </c>
      <c r="B673" s="15" t="s">
        <v>23</v>
      </c>
      <c r="C673" s="15" t="s">
        <v>26</v>
      </c>
      <c r="D673" s="15">
        <v>0.12</v>
      </c>
    </row>
    <row r="674" spans="1:4" ht="15.75" customHeight="1">
      <c r="A674" s="15" t="s">
        <v>1738</v>
      </c>
      <c r="B674" s="15" t="s">
        <v>23</v>
      </c>
      <c r="C674" s="15" t="s">
        <v>23</v>
      </c>
      <c r="D674" s="15">
        <v>0.18</v>
      </c>
    </row>
    <row r="675" spans="1:4" ht="15.75" customHeight="1">
      <c r="A675" s="15" t="s">
        <v>1739</v>
      </c>
      <c r="B675" s="15" t="s">
        <v>23</v>
      </c>
      <c r="C675" s="15" t="s">
        <v>1060</v>
      </c>
      <c r="D675" s="15">
        <v>7.0000000000000007E-2</v>
      </c>
    </row>
    <row r="676" spans="1:4" ht="15.75" customHeight="1">
      <c r="A676" s="15" t="s">
        <v>1740</v>
      </c>
      <c r="B676" s="15" t="s">
        <v>23</v>
      </c>
      <c r="C676" s="15" t="s">
        <v>1064</v>
      </c>
      <c r="D676" s="15">
        <v>7.0000000000000007E-2</v>
      </c>
    </row>
    <row r="677" spans="1:4" ht="15.75" customHeight="1">
      <c r="A677" s="15" t="s">
        <v>1741</v>
      </c>
      <c r="B677" s="15" t="s">
        <v>1060</v>
      </c>
      <c r="C677" s="15" t="s">
        <v>1051</v>
      </c>
      <c r="D677" s="15">
        <v>0.12</v>
      </c>
    </row>
    <row r="678" spans="1:4" ht="15.75" customHeight="1">
      <c r="A678" s="15" t="s">
        <v>1742</v>
      </c>
      <c r="B678" s="15" t="s">
        <v>1060</v>
      </c>
      <c r="C678" s="15" t="s">
        <v>1056</v>
      </c>
      <c r="D678" s="15">
        <v>0.12</v>
      </c>
    </row>
    <row r="679" spans="1:4" ht="15.75" customHeight="1">
      <c r="A679" s="15" t="s">
        <v>1743</v>
      </c>
      <c r="B679" s="15" t="s">
        <v>1060</v>
      </c>
      <c r="C679" s="15" t="s">
        <v>1058</v>
      </c>
      <c r="D679" s="15">
        <v>0.12</v>
      </c>
    </row>
    <row r="680" spans="1:4" ht="15.75" customHeight="1">
      <c r="A680" s="15" t="s">
        <v>1744</v>
      </c>
      <c r="B680" s="15" t="s">
        <v>1060</v>
      </c>
      <c r="C680" s="15" t="s">
        <v>29</v>
      </c>
      <c r="D680" s="15">
        <v>0.12</v>
      </c>
    </row>
    <row r="681" spans="1:4" ht="15.75" customHeight="1">
      <c r="A681" s="15" t="s">
        <v>1745</v>
      </c>
      <c r="B681" s="15" t="s">
        <v>1060</v>
      </c>
      <c r="C681" s="15" t="s">
        <v>34</v>
      </c>
      <c r="D681" s="15">
        <v>0.12</v>
      </c>
    </row>
    <row r="682" spans="1:4" ht="15.75" customHeight="1">
      <c r="A682" s="15" t="s">
        <v>1746</v>
      </c>
      <c r="B682" s="15" t="s">
        <v>1060</v>
      </c>
      <c r="C682" s="15" t="s">
        <v>41</v>
      </c>
      <c r="D682" s="15">
        <v>0.12</v>
      </c>
    </row>
    <row r="683" spans="1:4" ht="15.75" customHeight="1">
      <c r="A683" s="15" t="s">
        <v>1747</v>
      </c>
      <c r="B683" s="15" t="s">
        <v>1060</v>
      </c>
      <c r="C683" s="15" t="s">
        <v>1059</v>
      </c>
      <c r="D683" s="15">
        <v>0.12</v>
      </c>
    </row>
    <row r="684" spans="1:4" ht="15.75" customHeight="1">
      <c r="A684" s="15" t="s">
        <v>1748</v>
      </c>
      <c r="B684" s="15" t="s">
        <v>1060</v>
      </c>
      <c r="C684" s="15" t="s">
        <v>25</v>
      </c>
      <c r="D684" s="15">
        <v>0.12</v>
      </c>
    </row>
    <row r="685" spans="1:4" ht="15.75" customHeight="1">
      <c r="A685" s="15" t="s">
        <v>1749</v>
      </c>
      <c r="B685" s="15" t="s">
        <v>1060</v>
      </c>
      <c r="C685" s="15" t="s">
        <v>51</v>
      </c>
      <c r="D685" s="15">
        <v>0.12</v>
      </c>
    </row>
    <row r="686" spans="1:4" ht="15.75" customHeight="1">
      <c r="A686" s="15" t="s">
        <v>1750</v>
      </c>
      <c r="B686" s="15" t="s">
        <v>1060</v>
      </c>
      <c r="C686" s="15" t="s">
        <v>1057</v>
      </c>
      <c r="D686" s="15">
        <v>0.12</v>
      </c>
    </row>
    <row r="687" spans="1:4" ht="15.75" customHeight="1">
      <c r="A687" s="15" t="s">
        <v>1751</v>
      </c>
      <c r="B687" s="15" t="s">
        <v>1060</v>
      </c>
      <c r="C687" s="15" t="s">
        <v>1052</v>
      </c>
      <c r="D687" s="15">
        <v>0.12</v>
      </c>
    </row>
    <row r="688" spans="1:4" ht="15.75" customHeight="1">
      <c r="A688" s="15" t="s">
        <v>1752</v>
      </c>
      <c r="B688" s="15" t="s">
        <v>1060</v>
      </c>
      <c r="C688" s="15" t="s">
        <v>1053</v>
      </c>
      <c r="D688" s="15">
        <v>0.12</v>
      </c>
    </row>
    <row r="689" spans="1:4" ht="15.75" customHeight="1">
      <c r="A689" s="15" t="s">
        <v>1753</v>
      </c>
      <c r="B689" s="15" t="s">
        <v>1060</v>
      </c>
      <c r="C689" s="15" t="s">
        <v>24</v>
      </c>
      <c r="D689" s="15">
        <v>0.12</v>
      </c>
    </row>
    <row r="690" spans="1:4" ht="15.75" customHeight="1">
      <c r="A690" s="15" t="s">
        <v>1754</v>
      </c>
      <c r="B690" s="15" t="s">
        <v>1060</v>
      </c>
      <c r="C690" s="15" t="s">
        <v>1054</v>
      </c>
      <c r="D690" s="15">
        <v>0.12</v>
      </c>
    </row>
    <row r="691" spans="1:4" ht="15.75" customHeight="1">
      <c r="A691" s="15" t="s">
        <v>1755</v>
      </c>
      <c r="B691" s="15" t="s">
        <v>1060</v>
      </c>
      <c r="C691" s="15" t="s">
        <v>1055</v>
      </c>
      <c r="D691" s="15">
        <v>0.12</v>
      </c>
    </row>
    <row r="692" spans="1:4" ht="15.75" customHeight="1">
      <c r="A692" s="15" t="s">
        <v>1756</v>
      </c>
      <c r="B692" s="15" t="s">
        <v>1060</v>
      </c>
      <c r="C692" s="15" t="s">
        <v>28</v>
      </c>
      <c r="D692" s="15">
        <v>0.12</v>
      </c>
    </row>
    <row r="693" spans="1:4" ht="15.75" customHeight="1">
      <c r="A693" s="15" t="s">
        <v>1757</v>
      </c>
      <c r="B693" s="15" t="s">
        <v>1060</v>
      </c>
      <c r="C693" s="15" t="s">
        <v>1061</v>
      </c>
      <c r="D693" s="15">
        <v>0.12</v>
      </c>
    </row>
    <row r="694" spans="1:4" ht="15.75" customHeight="1">
      <c r="A694" s="15" t="s">
        <v>1758</v>
      </c>
      <c r="B694" s="15" t="s">
        <v>1060</v>
      </c>
      <c r="C694" s="15" t="s">
        <v>1062</v>
      </c>
      <c r="D694" s="15">
        <v>0.12</v>
      </c>
    </row>
    <row r="695" spans="1:4" ht="15.75" customHeight="1">
      <c r="A695" s="15" t="s">
        <v>1759</v>
      </c>
      <c r="B695" s="15" t="s">
        <v>1060</v>
      </c>
      <c r="C695" s="15" t="s">
        <v>27</v>
      </c>
      <c r="D695" s="15">
        <v>0.12</v>
      </c>
    </row>
    <row r="696" spans="1:4" ht="15.75" customHeight="1">
      <c r="A696" s="15" t="s">
        <v>1760</v>
      </c>
      <c r="B696" s="15" t="s">
        <v>1060</v>
      </c>
      <c r="C696" s="15" t="s">
        <v>732</v>
      </c>
      <c r="D696" s="15">
        <v>0.12</v>
      </c>
    </row>
    <row r="697" spans="1:4" ht="15.75" customHeight="1">
      <c r="A697" s="15" t="s">
        <v>1761</v>
      </c>
      <c r="B697" s="15" t="s">
        <v>1060</v>
      </c>
      <c r="C697" s="15" t="s">
        <v>736</v>
      </c>
      <c r="D697" s="15">
        <v>0.12</v>
      </c>
    </row>
    <row r="698" spans="1:4" ht="15.75" customHeight="1">
      <c r="A698" s="15" t="s">
        <v>1762</v>
      </c>
      <c r="B698" s="15" t="s">
        <v>1060</v>
      </c>
      <c r="C698" s="15" t="s">
        <v>733</v>
      </c>
      <c r="D698" s="15">
        <v>0.12</v>
      </c>
    </row>
    <row r="699" spans="1:4" ht="15.75" customHeight="1">
      <c r="A699" s="15" t="s">
        <v>1763</v>
      </c>
      <c r="B699" s="15" t="s">
        <v>1060</v>
      </c>
      <c r="C699" s="15" t="s">
        <v>1063</v>
      </c>
      <c r="D699" s="15">
        <v>0.12</v>
      </c>
    </row>
    <row r="700" spans="1:4" ht="15.75" customHeight="1">
      <c r="A700" s="15" t="s">
        <v>1764</v>
      </c>
      <c r="B700" s="15" t="s">
        <v>1060</v>
      </c>
      <c r="C700" s="15" t="s">
        <v>26</v>
      </c>
      <c r="D700" s="15">
        <v>0.12</v>
      </c>
    </row>
    <row r="701" spans="1:4" ht="15.75" customHeight="1">
      <c r="A701" s="15" t="s">
        <v>1765</v>
      </c>
      <c r="B701" s="15" t="s">
        <v>1060</v>
      </c>
      <c r="C701" s="15" t="s">
        <v>23</v>
      </c>
      <c r="D701" s="15">
        <v>0.12</v>
      </c>
    </row>
    <row r="702" spans="1:4" ht="15.75" customHeight="1">
      <c r="A702" s="15" t="s">
        <v>1766</v>
      </c>
      <c r="B702" s="15" t="s">
        <v>1060</v>
      </c>
      <c r="C702" s="15" t="s">
        <v>1060</v>
      </c>
      <c r="D702" s="15">
        <v>0.18</v>
      </c>
    </row>
    <row r="703" spans="1:4" ht="15.75" customHeight="1">
      <c r="A703" s="15" t="s">
        <v>1767</v>
      </c>
      <c r="B703" s="15" t="s">
        <v>1060</v>
      </c>
      <c r="C703" s="15" t="s">
        <v>1064</v>
      </c>
      <c r="D703" s="15">
        <v>0.12</v>
      </c>
    </row>
    <row r="704" spans="1:4" ht="15.75" customHeight="1">
      <c r="A704" s="15" t="s">
        <v>1768</v>
      </c>
      <c r="B704" s="15" t="s">
        <v>1064</v>
      </c>
      <c r="C704" s="15" t="s">
        <v>1051</v>
      </c>
      <c r="D704" s="15">
        <v>0.12</v>
      </c>
    </row>
    <row r="705" spans="1:4" ht="15.75" customHeight="1">
      <c r="A705" s="15" t="s">
        <v>1769</v>
      </c>
      <c r="B705" s="15" t="s">
        <v>1064</v>
      </c>
      <c r="C705" s="15" t="s">
        <v>1056</v>
      </c>
      <c r="D705" s="15">
        <v>0.12</v>
      </c>
    </row>
    <row r="706" spans="1:4" ht="15.75" customHeight="1">
      <c r="A706" s="15" t="s">
        <v>1770</v>
      </c>
      <c r="B706" s="15" t="s">
        <v>1064</v>
      </c>
      <c r="C706" s="15" t="s">
        <v>1058</v>
      </c>
      <c r="D706" s="15">
        <v>0.12</v>
      </c>
    </row>
    <row r="707" spans="1:4" ht="15.75" customHeight="1">
      <c r="A707" s="15" t="s">
        <v>1771</v>
      </c>
      <c r="B707" s="15" t="s">
        <v>1064</v>
      </c>
      <c r="C707" s="15" t="s">
        <v>29</v>
      </c>
      <c r="D707" s="15">
        <v>0.12</v>
      </c>
    </row>
    <row r="708" spans="1:4" ht="15.75" customHeight="1">
      <c r="A708" s="15" t="s">
        <v>1772</v>
      </c>
      <c r="B708" s="15" t="s">
        <v>1064</v>
      </c>
      <c r="C708" s="15" t="s">
        <v>34</v>
      </c>
      <c r="D708" s="15">
        <v>0.12</v>
      </c>
    </row>
    <row r="709" spans="1:4" ht="15.75" customHeight="1">
      <c r="A709" s="15" t="s">
        <v>1773</v>
      </c>
      <c r="B709" s="15" t="s">
        <v>1064</v>
      </c>
      <c r="C709" s="15" t="s">
        <v>41</v>
      </c>
      <c r="D709" s="15">
        <v>0.12</v>
      </c>
    </row>
    <row r="710" spans="1:4" ht="15.75" customHeight="1">
      <c r="A710" s="15" t="s">
        <v>1774</v>
      </c>
      <c r="B710" s="15" t="s">
        <v>1064</v>
      </c>
      <c r="C710" s="15" t="s">
        <v>1059</v>
      </c>
      <c r="D710" s="15">
        <v>0.12</v>
      </c>
    </row>
    <row r="711" spans="1:4" ht="15.75" customHeight="1">
      <c r="A711" s="15" t="s">
        <v>1775</v>
      </c>
      <c r="B711" s="15" t="s">
        <v>1064</v>
      </c>
      <c r="C711" s="15" t="s">
        <v>25</v>
      </c>
      <c r="D711" s="15">
        <v>0.12</v>
      </c>
    </row>
    <row r="712" spans="1:4" ht="15.75" customHeight="1">
      <c r="A712" s="15" t="s">
        <v>1776</v>
      </c>
      <c r="B712" s="15" t="s">
        <v>1064</v>
      </c>
      <c r="C712" s="15" t="s">
        <v>51</v>
      </c>
      <c r="D712" s="15">
        <v>0.12</v>
      </c>
    </row>
    <row r="713" spans="1:4" ht="15.75" customHeight="1">
      <c r="A713" s="15" t="s">
        <v>1777</v>
      </c>
      <c r="B713" s="15" t="s">
        <v>1064</v>
      </c>
      <c r="C713" s="15" t="s">
        <v>1057</v>
      </c>
      <c r="D713" s="15">
        <v>0.12</v>
      </c>
    </row>
    <row r="714" spans="1:4" ht="15.75" customHeight="1">
      <c r="A714" s="15" t="s">
        <v>1778</v>
      </c>
      <c r="B714" s="15" t="s">
        <v>1064</v>
      </c>
      <c r="C714" s="15" t="s">
        <v>1052</v>
      </c>
      <c r="D714" s="15">
        <v>0.12</v>
      </c>
    </row>
    <row r="715" spans="1:4" ht="15.75" customHeight="1">
      <c r="A715" s="15" t="s">
        <v>1779</v>
      </c>
      <c r="B715" s="15" t="s">
        <v>1064</v>
      </c>
      <c r="C715" s="15" t="s">
        <v>1053</v>
      </c>
      <c r="D715" s="15">
        <v>0.12</v>
      </c>
    </row>
    <row r="716" spans="1:4" ht="15.75" customHeight="1">
      <c r="A716" s="15" t="s">
        <v>1780</v>
      </c>
      <c r="B716" s="15" t="s">
        <v>1064</v>
      </c>
      <c r="C716" s="15" t="s">
        <v>24</v>
      </c>
      <c r="D716" s="15">
        <v>0.12</v>
      </c>
    </row>
    <row r="717" spans="1:4" ht="15.75" customHeight="1">
      <c r="A717" s="15" t="s">
        <v>1781</v>
      </c>
      <c r="B717" s="15" t="s">
        <v>1064</v>
      </c>
      <c r="C717" s="15" t="s">
        <v>1054</v>
      </c>
      <c r="D717" s="15">
        <v>0.12</v>
      </c>
    </row>
    <row r="718" spans="1:4" ht="15.75" customHeight="1">
      <c r="A718" s="15" t="s">
        <v>1782</v>
      </c>
      <c r="B718" s="15" t="s">
        <v>1064</v>
      </c>
      <c r="C718" s="15" t="s">
        <v>1055</v>
      </c>
      <c r="D718" s="15">
        <v>0.12</v>
      </c>
    </row>
    <row r="719" spans="1:4" ht="15.75" customHeight="1">
      <c r="A719" s="15" t="s">
        <v>1783</v>
      </c>
      <c r="B719" s="15" t="s">
        <v>1064</v>
      </c>
      <c r="C719" s="15" t="s">
        <v>28</v>
      </c>
      <c r="D719" s="15">
        <v>0.12</v>
      </c>
    </row>
    <row r="720" spans="1:4" ht="15.75" customHeight="1">
      <c r="A720" s="15" t="s">
        <v>1784</v>
      </c>
      <c r="B720" s="15" t="s">
        <v>1064</v>
      </c>
      <c r="C720" s="15" t="s">
        <v>1061</v>
      </c>
      <c r="D720" s="15">
        <v>0.12</v>
      </c>
    </row>
    <row r="721" spans="1:4" ht="15.75" customHeight="1">
      <c r="A721" s="15" t="s">
        <v>1785</v>
      </c>
      <c r="B721" s="15" t="s">
        <v>1064</v>
      </c>
      <c r="C721" s="15" t="s">
        <v>1062</v>
      </c>
      <c r="D721" s="15">
        <v>0.12</v>
      </c>
    </row>
    <row r="722" spans="1:4" ht="15.75" customHeight="1">
      <c r="A722" s="15" t="s">
        <v>1786</v>
      </c>
      <c r="B722" s="15" t="s">
        <v>1064</v>
      </c>
      <c r="C722" s="15" t="s">
        <v>27</v>
      </c>
      <c r="D722" s="15">
        <v>0.12</v>
      </c>
    </row>
    <row r="723" spans="1:4" ht="15.75" customHeight="1">
      <c r="A723" s="15" t="s">
        <v>1787</v>
      </c>
      <c r="B723" s="15" t="s">
        <v>1064</v>
      </c>
      <c r="C723" s="15" t="s">
        <v>732</v>
      </c>
      <c r="D723" s="15">
        <v>0.12</v>
      </c>
    </row>
    <row r="724" spans="1:4" ht="15.75" customHeight="1">
      <c r="A724" s="15" t="s">
        <v>1788</v>
      </c>
      <c r="B724" s="15" t="s">
        <v>1064</v>
      </c>
      <c r="C724" s="15" t="s">
        <v>736</v>
      </c>
      <c r="D724" s="15">
        <v>0.12</v>
      </c>
    </row>
    <row r="725" spans="1:4" ht="15.75" customHeight="1">
      <c r="A725" s="15" t="s">
        <v>1789</v>
      </c>
      <c r="B725" s="15" t="s">
        <v>1064</v>
      </c>
      <c r="C725" s="15" t="s">
        <v>733</v>
      </c>
      <c r="D725" s="15">
        <v>0.12</v>
      </c>
    </row>
    <row r="726" spans="1:4" ht="15.75" customHeight="1">
      <c r="A726" s="15" t="s">
        <v>1790</v>
      </c>
      <c r="B726" s="15" t="s">
        <v>1064</v>
      </c>
      <c r="C726" s="15" t="s">
        <v>1063</v>
      </c>
      <c r="D726" s="15">
        <v>0.12</v>
      </c>
    </row>
    <row r="727" spans="1:4" ht="15.75" customHeight="1">
      <c r="A727" s="15" t="s">
        <v>1791</v>
      </c>
      <c r="B727" s="15" t="s">
        <v>1064</v>
      </c>
      <c r="C727" s="15" t="s">
        <v>26</v>
      </c>
      <c r="D727" s="15">
        <v>0.12</v>
      </c>
    </row>
    <row r="728" spans="1:4" ht="15.75" customHeight="1">
      <c r="A728" s="15" t="s">
        <v>1792</v>
      </c>
      <c r="B728" s="15" t="s">
        <v>1064</v>
      </c>
      <c r="C728" s="15" t="s">
        <v>23</v>
      </c>
      <c r="D728" s="15">
        <v>0.12</v>
      </c>
    </row>
    <row r="729" spans="1:4" ht="15.75" customHeight="1">
      <c r="A729" s="15" t="s">
        <v>1793</v>
      </c>
      <c r="B729" s="15" t="s">
        <v>1064</v>
      </c>
      <c r="C729" s="15" t="s">
        <v>1060</v>
      </c>
      <c r="D729" s="15">
        <v>0.12</v>
      </c>
    </row>
    <row r="730" spans="1:4" ht="15.75" customHeight="1">
      <c r="A730" s="15" t="s">
        <v>1794</v>
      </c>
      <c r="B730" s="15" t="s">
        <v>1064</v>
      </c>
      <c r="C730" s="15" t="s">
        <v>1064</v>
      </c>
      <c r="D730" s="15">
        <v>0.18</v>
      </c>
    </row>
    <row r="731" spans="1:4" ht="15.75" customHeight="1">
      <c r="A731" s="15" t="s">
        <v>1066</v>
      </c>
      <c r="B731" s="15" t="s">
        <v>1051</v>
      </c>
      <c r="C731" s="15" t="s">
        <v>1051</v>
      </c>
      <c r="D731" s="15">
        <v>0.18</v>
      </c>
    </row>
    <row r="732" spans="1:4" ht="15.75" customHeight="1">
      <c r="A732" s="15" t="s">
        <v>1067</v>
      </c>
      <c r="B732" s="15" t="s">
        <v>1051</v>
      </c>
      <c r="C732" s="15" t="s">
        <v>1056</v>
      </c>
      <c r="D732" s="15">
        <v>0.04</v>
      </c>
    </row>
    <row r="733" spans="1:4" ht="15.75" customHeight="1">
      <c r="A733" s="15" t="s">
        <v>1068</v>
      </c>
      <c r="B733" s="15" t="s">
        <v>1051</v>
      </c>
      <c r="C733" s="15" t="s">
        <v>1058</v>
      </c>
      <c r="D733" s="15">
        <v>0.04</v>
      </c>
    </row>
    <row r="734" spans="1:4" ht="15.75" customHeight="1">
      <c r="A734" s="15" t="s">
        <v>1069</v>
      </c>
      <c r="B734" s="15" t="s">
        <v>1051</v>
      </c>
      <c r="C734" s="15" t="s">
        <v>29</v>
      </c>
      <c r="D734" s="15">
        <v>0.04</v>
      </c>
    </row>
    <row r="735" spans="1:4" ht="15.75" customHeight="1">
      <c r="A735" s="15" t="s">
        <v>1070</v>
      </c>
      <c r="B735" s="15" t="s">
        <v>1051</v>
      </c>
      <c r="C735" s="15" t="s">
        <v>34</v>
      </c>
      <c r="D735" s="15">
        <v>0.04</v>
      </c>
    </row>
    <row r="736" spans="1:4" ht="15.75" customHeight="1">
      <c r="A736" s="15" t="s">
        <v>1071</v>
      </c>
      <c r="B736" s="15" t="s">
        <v>1051</v>
      </c>
      <c r="C736" s="15" t="s">
        <v>41</v>
      </c>
      <c r="D736" s="15">
        <v>0.04</v>
      </c>
    </row>
    <row r="737" spans="1:4" ht="15.75" customHeight="1">
      <c r="A737" s="15" t="s">
        <v>1072</v>
      </c>
      <c r="B737" s="15" t="s">
        <v>1051</v>
      </c>
      <c r="C737" s="15" t="s">
        <v>1059</v>
      </c>
      <c r="D737" s="15">
        <v>0.04</v>
      </c>
    </row>
    <row r="738" spans="1:4" ht="15.75" customHeight="1">
      <c r="A738" s="15" t="s">
        <v>1073</v>
      </c>
      <c r="B738" s="15" t="s">
        <v>1051</v>
      </c>
      <c r="C738" s="15" t="s">
        <v>25</v>
      </c>
      <c r="D738" s="15">
        <v>0.04</v>
      </c>
    </row>
    <row r="739" spans="1:4" ht="15.75" customHeight="1">
      <c r="A739" s="15" t="s">
        <v>1074</v>
      </c>
      <c r="B739" s="15" t="s">
        <v>1051</v>
      </c>
      <c r="C739" s="15" t="s">
        <v>51</v>
      </c>
      <c r="D739" s="15">
        <v>0.04</v>
      </c>
    </row>
    <row r="740" spans="1:4" ht="15.75" customHeight="1">
      <c r="A740" s="15" t="s">
        <v>1075</v>
      </c>
      <c r="B740" s="15" t="s">
        <v>1051</v>
      </c>
      <c r="C740" s="15" t="s">
        <v>1057</v>
      </c>
      <c r="D740" s="15">
        <v>0.04</v>
      </c>
    </row>
    <row r="741" spans="1:4" ht="15.75" customHeight="1">
      <c r="A741" s="15" t="s">
        <v>1076</v>
      </c>
      <c r="B741" s="15" t="s">
        <v>1051</v>
      </c>
      <c r="C741" s="15" t="s">
        <v>1052</v>
      </c>
      <c r="D741" s="15">
        <v>0.04</v>
      </c>
    </row>
    <row r="742" spans="1:4" ht="15.75" customHeight="1">
      <c r="A742" s="15" t="s">
        <v>1077</v>
      </c>
      <c r="B742" s="15" t="s">
        <v>1051</v>
      </c>
      <c r="C742" s="15" t="s">
        <v>1053</v>
      </c>
      <c r="D742" s="15">
        <v>0.04</v>
      </c>
    </row>
    <row r="743" spans="1:4" ht="15.75" customHeight="1">
      <c r="A743" s="15" t="s">
        <v>1078</v>
      </c>
      <c r="B743" s="15" t="s">
        <v>1051</v>
      </c>
      <c r="C743" s="15" t="s">
        <v>24</v>
      </c>
      <c r="D743" s="15">
        <v>0.04</v>
      </c>
    </row>
    <row r="744" spans="1:4" ht="15.75" customHeight="1">
      <c r="A744" s="15" t="s">
        <v>1079</v>
      </c>
      <c r="B744" s="15" t="s">
        <v>1051</v>
      </c>
      <c r="C744" s="15" t="s">
        <v>1054</v>
      </c>
      <c r="D744" s="15">
        <v>0.04</v>
      </c>
    </row>
    <row r="745" spans="1:4" ht="15.75" customHeight="1">
      <c r="A745" s="15" t="s">
        <v>1080</v>
      </c>
      <c r="B745" s="15" t="s">
        <v>1051</v>
      </c>
      <c r="C745" s="15" t="s">
        <v>1055</v>
      </c>
      <c r="D745" s="15">
        <v>0.04</v>
      </c>
    </row>
    <row r="746" spans="1:4" ht="15.75" customHeight="1">
      <c r="A746" s="15" t="s">
        <v>1081</v>
      </c>
      <c r="B746" s="15" t="s">
        <v>1051</v>
      </c>
      <c r="C746" s="15" t="s">
        <v>28</v>
      </c>
      <c r="D746" s="15">
        <v>0.04</v>
      </c>
    </row>
    <row r="747" spans="1:4" ht="15.75" customHeight="1">
      <c r="A747" s="15" t="s">
        <v>1082</v>
      </c>
      <c r="B747" s="15" t="s">
        <v>1051</v>
      </c>
      <c r="C747" s="15" t="s">
        <v>1061</v>
      </c>
      <c r="D747" s="15">
        <v>0.04</v>
      </c>
    </row>
    <row r="748" spans="1:4" ht="15.75" customHeight="1">
      <c r="A748" s="15" t="s">
        <v>1083</v>
      </c>
      <c r="B748" s="15" t="s">
        <v>1051</v>
      </c>
      <c r="C748" s="15" t="s">
        <v>1062</v>
      </c>
      <c r="D748" s="15">
        <v>0.04</v>
      </c>
    </row>
    <row r="749" spans="1:4" ht="15.75" customHeight="1">
      <c r="A749" s="15" t="s">
        <v>1084</v>
      </c>
      <c r="B749" s="15" t="s">
        <v>1051</v>
      </c>
      <c r="C749" s="15" t="s">
        <v>27</v>
      </c>
      <c r="D749" s="15">
        <v>0.04</v>
      </c>
    </row>
    <row r="750" spans="1:4" ht="15.75" customHeight="1">
      <c r="A750" s="15" t="s">
        <v>1085</v>
      </c>
      <c r="B750" s="15" t="s">
        <v>1051</v>
      </c>
      <c r="C750" s="15" t="s">
        <v>732</v>
      </c>
      <c r="D750" s="15">
        <v>0.04</v>
      </c>
    </row>
    <row r="751" spans="1:4" ht="15.75" customHeight="1">
      <c r="A751" s="15" t="s">
        <v>1086</v>
      </c>
      <c r="B751" s="15" t="s">
        <v>1051</v>
      </c>
      <c r="C751" s="15" t="s">
        <v>736</v>
      </c>
      <c r="D751" s="15">
        <v>0.04</v>
      </c>
    </row>
    <row r="752" spans="1:4" ht="15.75" customHeight="1">
      <c r="A752" s="15" t="s">
        <v>1087</v>
      </c>
      <c r="B752" s="15" t="s">
        <v>1051</v>
      </c>
      <c r="C752" s="15" t="s">
        <v>733</v>
      </c>
      <c r="D752" s="15">
        <v>0.04</v>
      </c>
    </row>
    <row r="753" spans="1:4" ht="15.75" customHeight="1">
      <c r="A753" s="15" t="s">
        <v>1088</v>
      </c>
      <c r="B753" s="15" t="s">
        <v>1051</v>
      </c>
      <c r="C753" s="15" t="s">
        <v>1063</v>
      </c>
      <c r="D753" s="15">
        <v>0.04</v>
      </c>
    </row>
    <row r="754" spans="1:4" ht="15.75" customHeight="1">
      <c r="A754" s="15" t="s">
        <v>1089</v>
      </c>
      <c r="B754" s="15" t="s">
        <v>1051</v>
      </c>
      <c r="C754" s="15" t="s">
        <v>26</v>
      </c>
      <c r="D754" s="15">
        <v>0.04</v>
      </c>
    </row>
    <row r="755" spans="1:4" ht="15.75" customHeight="1">
      <c r="A755" s="15" t="s">
        <v>1090</v>
      </c>
      <c r="B755" s="15" t="s">
        <v>1051</v>
      </c>
      <c r="C755" s="15" t="s">
        <v>23</v>
      </c>
      <c r="D755" s="15">
        <v>0.04</v>
      </c>
    </row>
    <row r="756" spans="1:4" ht="15.75" customHeight="1">
      <c r="A756" s="15" t="s">
        <v>1091</v>
      </c>
      <c r="B756" s="15" t="s">
        <v>1051</v>
      </c>
      <c r="C756" s="15" t="s">
        <v>1060</v>
      </c>
      <c r="D756" s="15">
        <v>0.04</v>
      </c>
    </row>
    <row r="757" spans="1:4" ht="15.75" customHeight="1">
      <c r="A757" s="15" t="s">
        <v>1092</v>
      </c>
      <c r="B757" s="15" t="s">
        <v>1051</v>
      </c>
      <c r="C757" s="15" t="s">
        <v>1064</v>
      </c>
      <c r="D757" s="15">
        <v>0.04</v>
      </c>
    </row>
    <row r="758" spans="1:4" ht="15.75" customHeight="1">
      <c r="A758" s="15" t="s">
        <v>1093</v>
      </c>
      <c r="B758" s="15" t="s">
        <v>1056</v>
      </c>
      <c r="C758" s="15" t="s">
        <v>1051</v>
      </c>
      <c r="D758" s="15">
        <v>0.04</v>
      </c>
    </row>
    <row r="759" spans="1:4" ht="15.75" customHeight="1">
      <c r="A759" s="15" t="s">
        <v>1094</v>
      </c>
      <c r="B759" s="15" t="s">
        <v>1056</v>
      </c>
      <c r="C759" s="15" t="s">
        <v>1056</v>
      </c>
      <c r="D759" s="15">
        <v>0.18</v>
      </c>
    </row>
    <row r="760" spans="1:4" ht="15.75" customHeight="1">
      <c r="A760" s="15" t="s">
        <v>1095</v>
      </c>
      <c r="B760" s="15" t="s">
        <v>1056</v>
      </c>
      <c r="C760" s="15" t="s">
        <v>1058</v>
      </c>
      <c r="D760" s="15">
        <v>0.04</v>
      </c>
    </row>
    <row r="761" spans="1:4" ht="15.75" customHeight="1">
      <c r="A761" s="15" t="s">
        <v>1096</v>
      </c>
      <c r="B761" s="15" t="s">
        <v>1056</v>
      </c>
      <c r="C761" s="15" t="s">
        <v>29</v>
      </c>
      <c r="D761" s="15">
        <v>0.04</v>
      </c>
    </row>
    <row r="762" spans="1:4" ht="15.75" customHeight="1">
      <c r="A762" s="15" t="s">
        <v>1097</v>
      </c>
      <c r="B762" s="15" t="s">
        <v>1056</v>
      </c>
      <c r="C762" s="15" t="s">
        <v>34</v>
      </c>
      <c r="D762" s="15">
        <v>0.04</v>
      </c>
    </row>
    <row r="763" spans="1:4" ht="15.75" customHeight="1">
      <c r="A763" s="15" t="s">
        <v>1098</v>
      </c>
      <c r="B763" s="15" t="s">
        <v>1056</v>
      </c>
      <c r="C763" s="15" t="s">
        <v>41</v>
      </c>
      <c r="D763" s="15">
        <v>0.04</v>
      </c>
    </row>
    <row r="764" spans="1:4" ht="15.75" customHeight="1">
      <c r="A764" s="15" t="s">
        <v>1099</v>
      </c>
      <c r="B764" s="15" t="s">
        <v>1056</v>
      </c>
      <c r="C764" s="15" t="s">
        <v>1059</v>
      </c>
      <c r="D764" s="15">
        <v>0.04</v>
      </c>
    </row>
    <row r="765" spans="1:4" ht="15.75" customHeight="1">
      <c r="A765" s="15" t="s">
        <v>1100</v>
      </c>
      <c r="B765" s="15" t="s">
        <v>1056</v>
      </c>
      <c r="C765" s="15" t="s">
        <v>25</v>
      </c>
      <c r="D765" s="15">
        <v>0.04</v>
      </c>
    </row>
    <row r="766" spans="1:4" ht="15.75" customHeight="1">
      <c r="A766" s="15" t="s">
        <v>1101</v>
      </c>
      <c r="B766" s="15" t="s">
        <v>1056</v>
      </c>
      <c r="C766" s="15" t="s">
        <v>51</v>
      </c>
      <c r="D766" s="15">
        <v>0.04</v>
      </c>
    </row>
    <row r="767" spans="1:4" ht="15.75" customHeight="1">
      <c r="A767" s="15" t="s">
        <v>1102</v>
      </c>
      <c r="B767" s="15" t="s">
        <v>1056</v>
      </c>
      <c r="C767" s="15" t="s">
        <v>1057</v>
      </c>
      <c r="D767" s="15">
        <v>0.04</v>
      </c>
    </row>
    <row r="768" spans="1:4" ht="15.75" customHeight="1">
      <c r="A768" s="15" t="s">
        <v>1103</v>
      </c>
      <c r="B768" s="15" t="s">
        <v>1056</v>
      </c>
      <c r="C768" s="15" t="s">
        <v>1052</v>
      </c>
      <c r="D768" s="15">
        <v>0.04</v>
      </c>
    </row>
    <row r="769" spans="1:4" ht="15.75" customHeight="1">
      <c r="A769" s="15" t="s">
        <v>1104</v>
      </c>
      <c r="B769" s="15" t="s">
        <v>1056</v>
      </c>
      <c r="C769" s="15" t="s">
        <v>1053</v>
      </c>
      <c r="D769" s="15">
        <v>0.04</v>
      </c>
    </row>
    <row r="770" spans="1:4" ht="15.75" customHeight="1">
      <c r="A770" s="15" t="s">
        <v>1105</v>
      </c>
      <c r="B770" s="15" t="s">
        <v>1056</v>
      </c>
      <c r="C770" s="15" t="s">
        <v>24</v>
      </c>
      <c r="D770" s="15">
        <v>0.04</v>
      </c>
    </row>
    <row r="771" spans="1:4" ht="15.75" customHeight="1">
      <c r="A771" s="15" t="s">
        <v>1106</v>
      </c>
      <c r="B771" s="15" t="s">
        <v>1056</v>
      </c>
      <c r="C771" s="15" t="s">
        <v>1054</v>
      </c>
      <c r="D771" s="15">
        <v>0.04</v>
      </c>
    </row>
    <row r="772" spans="1:4" ht="15.75" customHeight="1">
      <c r="A772" s="15" t="s">
        <v>1107</v>
      </c>
      <c r="B772" s="15" t="s">
        <v>1056</v>
      </c>
      <c r="C772" s="15" t="s">
        <v>1055</v>
      </c>
      <c r="D772" s="15">
        <v>0.04</v>
      </c>
    </row>
    <row r="773" spans="1:4" ht="15.75" customHeight="1">
      <c r="A773" s="15" t="s">
        <v>1108</v>
      </c>
      <c r="B773" s="15" t="s">
        <v>1056</v>
      </c>
      <c r="C773" s="15" t="s">
        <v>28</v>
      </c>
      <c r="D773" s="15">
        <v>0.04</v>
      </c>
    </row>
    <row r="774" spans="1:4" ht="15.75" customHeight="1">
      <c r="A774" s="15" t="s">
        <v>1109</v>
      </c>
      <c r="B774" s="15" t="s">
        <v>1056</v>
      </c>
      <c r="C774" s="15" t="s">
        <v>1061</v>
      </c>
      <c r="D774" s="15">
        <v>0.04</v>
      </c>
    </row>
    <row r="775" spans="1:4" ht="15.75" customHeight="1">
      <c r="A775" s="15" t="s">
        <v>1110</v>
      </c>
      <c r="B775" s="15" t="s">
        <v>1056</v>
      </c>
      <c r="C775" s="15" t="s">
        <v>1062</v>
      </c>
      <c r="D775" s="15">
        <v>0.04</v>
      </c>
    </row>
    <row r="776" spans="1:4" ht="15.75" customHeight="1">
      <c r="A776" s="15" t="s">
        <v>1111</v>
      </c>
      <c r="B776" s="15" t="s">
        <v>1056</v>
      </c>
      <c r="C776" s="15" t="s">
        <v>27</v>
      </c>
      <c r="D776" s="15">
        <v>0.04</v>
      </c>
    </row>
    <row r="777" spans="1:4" ht="15.75" customHeight="1">
      <c r="A777" s="15" t="s">
        <v>1112</v>
      </c>
      <c r="B777" s="15" t="s">
        <v>1056</v>
      </c>
      <c r="C777" s="15" t="s">
        <v>732</v>
      </c>
      <c r="D777" s="15">
        <v>0.04</v>
      </c>
    </row>
    <row r="778" spans="1:4" ht="15.75" customHeight="1">
      <c r="A778" s="15" t="s">
        <v>1113</v>
      </c>
      <c r="B778" s="15" t="s">
        <v>1056</v>
      </c>
      <c r="C778" s="15" t="s">
        <v>736</v>
      </c>
      <c r="D778" s="15">
        <v>0.04</v>
      </c>
    </row>
    <row r="779" spans="1:4" ht="15.75" customHeight="1">
      <c r="A779" s="15" t="s">
        <v>1114</v>
      </c>
      <c r="B779" s="15" t="s">
        <v>1056</v>
      </c>
      <c r="C779" s="15" t="s">
        <v>733</v>
      </c>
      <c r="D779" s="15">
        <v>0.04</v>
      </c>
    </row>
    <row r="780" spans="1:4" ht="15.75" customHeight="1">
      <c r="A780" s="15" t="s">
        <v>1115</v>
      </c>
      <c r="B780" s="15" t="s">
        <v>1056</v>
      </c>
      <c r="C780" s="15" t="s">
        <v>1063</v>
      </c>
      <c r="D780" s="15">
        <v>0.04</v>
      </c>
    </row>
    <row r="781" spans="1:4" ht="15.75" customHeight="1">
      <c r="A781" s="15" t="s">
        <v>1116</v>
      </c>
      <c r="B781" s="15" t="s">
        <v>1056</v>
      </c>
      <c r="C781" s="15" t="s">
        <v>26</v>
      </c>
      <c r="D781" s="15">
        <v>0.04</v>
      </c>
    </row>
    <row r="782" spans="1:4" ht="15.75" customHeight="1">
      <c r="A782" s="15" t="s">
        <v>1117</v>
      </c>
      <c r="B782" s="15" t="s">
        <v>1056</v>
      </c>
      <c r="C782" s="15" t="s">
        <v>23</v>
      </c>
      <c r="D782" s="15">
        <v>0.04</v>
      </c>
    </row>
    <row r="783" spans="1:4" ht="15.75" customHeight="1">
      <c r="A783" s="15" t="s">
        <v>1118</v>
      </c>
      <c r="B783" s="15" t="s">
        <v>1056</v>
      </c>
      <c r="C783" s="15" t="s">
        <v>1060</v>
      </c>
      <c r="D783" s="15">
        <v>0.04</v>
      </c>
    </row>
    <row r="784" spans="1:4" ht="15.75" customHeight="1">
      <c r="A784" s="15" t="s">
        <v>1119</v>
      </c>
      <c r="B784" s="15" t="s">
        <v>1056</v>
      </c>
      <c r="C784" s="15" t="s">
        <v>1064</v>
      </c>
      <c r="D784" s="15">
        <v>0.04</v>
      </c>
    </row>
    <row r="785" spans="1:4" ht="15.75" customHeight="1">
      <c r="A785" s="15" t="s">
        <v>1120</v>
      </c>
      <c r="B785" s="15" t="s">
        <v>1058</v>
      </c>
      <c r="C785" s="15" t="s">
        <v>1051</v>
      </c>
      <c r="D785" s="15">
        <v>0.04</v>
      </c>
    </row>
    <row r="786" spans="1:4" ht="15.75" customHeight="1">
      <c r="A786" s="15" t="s">
        <v>1121</v>
      </c>
      <c r="B786" s="15" t="s">
        <v>1058</v>
      </c>
      <c r="C786" s="15" t="s">
        <v>1056</v>
      </c>
      <c r="D786" s="15">
        <v>0.04</v>
      </c>
    </row>
    <row r="787" spans="1:4" ht="15.75" customHeight="1">
      <c r="A787" s="15" t="s">
        <v>1122</v>
      </c>
      <c r="B787" s="15" t="s">
        <v>1058</v>
      </c>
      <c r="C787" s="15" t="s">
        <v>1058</v>
      </c>
      <c r="D787" s="15">
        <v>0.18</v>
      </c>
    </row>
    <row r="788" spans="1:4" ht="15.75" customHeight="1">
      <c r="A788" s="15" t="s">
        <v>1123</v>
      </c>
      <c r="B788" s="15" t="s">
        <v>1058</v>
      </c>
      <c r="C788" s="15" t="s">
        <v>29</v>
      </c>
      <c r="D788" s="15">
        <v>0.04</v>
      </c>
    </row>
    <row r="789" spans="1:4" ht="15.75" customHeight="1">
      <c r="A789" s="15" t="s">
        <v>1124</v>
      </c>
      <c r="B789" s="15" t="s">
        <v>1058</v>
      </c>
      <c r="C789" s="15" t="s">
        <v>34</v>
      </c>
      <c r="D789" s="15">
        <v>0.04</v>
      </c>
    </row>
    <row r="790" spans="1:4" ht="15.75" customHeight="1">
      <c r="A790" s="15" t="s">
        <v>1125</v>
      </c>
      <c r="B790" s="15" t="s">
        <v>1058</v>
      </c>
      <c r="C790" s="15" t="s">
        <v>41</v>
      </c>
      <c r="D790" s="15">
        <v>0.04</v>
      </c>
    </row>
    <row r="791" spans="1:4" ht="15.75" customHeight="1">
      <c r="A791" s="15" t="s">
        <v>1126</v>
      </c>
      <c r="B791" s="15" t="s">
        <v>1058</v>
      </c>
      <c r="C791" s="15" t="s">
        <v>1059</v>
      </c>
      <c r="D791" s="15">
        <v>0.04</v>
      </c>
    </row>
    <row r="792" spans="1:4" ht="15.75" customHeight="1">
      <c r="A792" s="15" t="s">
        <v>1127</v>
      </c>
      <c r="B792" s="15" t="s">
        <v>1058</v>
      </c>
      <c r="C792" s="15" t="s">
        <v>25</v>
      </c>
      <c r="D792" s="15">
        <v>0.04</v>
      </c>
    </row>
    <row r="793" spans="1:4" ht="15.75" customHeight="1">
      <c r="A793" s="15" t="s">
        <v>1128</v>
      </c>
      <c r="B793" s="15" t="s">
        <v>1058</v>
      </c>
      <c r="C793" s="15" t="s">
        <v>51</v>
      </c>
      <c r="D793" s="15">
        <v>0.04</v>
      </c>
    </row>
    <row r="794" spans="1:4" ht="15.75" customHeight="1">
      <c r="A794" s="15" t="s">
        <v>1129</v>
      </c>
      <c r="B794" s="15" t="s">
        <v>1058</v>
      </c>
      <c r="C794" s="15" t="s">
        <v>1057</v>
      </c>
      <c r="D794" s="15">
        <v>0.04</v>
      </c>
    </row>
    <row r="795" spans="1:4" ht="15.75" customHeight="1">
      <c r="A795" s="15" t="s">
        <v>1130</v>
      </c>
      <c r="B795" s="15" t="s">
        <v>1058</v>
      </c>
      <c r="C795" s="15" t="s">
        <v>1052</v>
      </c>
      <c r="D795" s="15">
        <v>0.04</v>
      </c>
    </row>
    <row r="796" spans="1:4" ht="15.75" customHeight="1">
      <c r="A796" s="15" t="s">
        <v>1131</v>
      </c>
      <c r="B796" s="15" t="s">
        <v>1058</v>
      </c>
      <c r="C796" s="15" t="s">
        <v>1053</v>
      </c>
      <c r="D796" s="15">
        <v>0.04</v>
      </c>
    </row>
    <row r="797" spans="1:4" ht="15.75" customHeight="1">
      <c r="A797" s="15" t="s">
        <v>1132</v>
      </c>
      <c r="B797" s="15" t="s">
        <v>1058</v>
      </c>
      <c r="C797" s="15" t="s">
        <v>24</v>
      </c>
      <c r="D797" s="15">
        <v>0.04</v>
      </c>
    </row>
    <row r="798" spans="1:4" ht="15.75" customHeight="1">
      <c r="A798" s="15" t="s">
        <v>1133</v>
      </c>
      <c r="B798" s="15" t="s">
        <v>1058</v>
      </c>
      <c r="C798" s="15" t="s">
        <v>1054</v>
      </c>
      <c r="D798" s="15">
        <v>0.04</v>
      </c>
    </row>
    <row r="799" spans="1:4" ht="15.75" customHeight="1">
      <c r="A799" s="15" t="s">
        <v>1134</v>
      </c>
      <c r="B799" s="15" t="s">
        <v>1058</v>
      </c>
      <c r="C799" s="15" t="s">
        <v>1055</v>
      </c>
      <c r="D799" s="15">
        <v>0.04</v>
      </c>
    </row>
    <row r="800" spans="1:4" ht="15.75" customHeight="1">
      <c r="A800" s="15" t="s">
        <v>1135</v>
      </c>
      <c r="B800" s="15" t="s">
        <v>1058</v>
      </c>
      <c r="C800" s="15" t="s">
        <v>28</v>
      </c>
      <c r="D800" s="15">
        <v>0.04</v>
      </c>
    </row>
    <row r="801" spans="1:4" ht="15.75" customHeight="1">
      <c r="A801" s="15" t="s">
        <v>1136</v>
      </c>
      <c r="B801" s="15" t="s">
        <v>1058</v>
      </c>
      <c r="C801" s="15" t="s">
        <v>1061</v>
      </c>
      <c r="D801" s="15">
        <v>0.04</v>
      </c>
    </row>
    <row r="802" spans="1:4" ht="15.75" customHeight="1">
      <c r="A802" s="15" t="s">
        <v>1137</v>
      </c>
      <c r="B802" s="15" t="s">
        <v>1058</v>
      </c>
      <c r="C802" s="15" t="s">
        <v>1062</v>
      </c>
      <c r="D802" s="15">
        <v>0.04</v>
      </c>
    </row>
    <row r="803" spans="1:4" ht="15.75" customHeight="1">
      <c r="A803" s="15" t="s">
        <v>1138</v>
      </c>
      <c r="B803" s="15" t="s">
        <v>1058</v>
      </c>
      <c r="C803" s="15" t="s">
        <v>27</v>
      </c>
      <c r="D803" s="15">
        <v>0.04</v>
      </c>
    </row>
    <row r="804" spans="1:4" ht="15.75" customHeight="1">
      <c r="A804" s="15" t="s">
        <v>1139</v>
      </c>
      <c r="B804" s="15" t="s">
        <v>1058</v>
      </c>
      <c r="C804" s="15" t="s">
        <v>732</v>
      </c>
      <c r="D804" s="15">
        <v>0.04</v>
      </c>
    </row>
    <row r="805" spans="1:4" ht="15.75" customHeight="1">
      <c r="A805" s="15" t="s">
        <v>1140</v>
      </c>
      <c r="B805" s="15" t="s">
        <v>1058</v>
      </c>
      <c r="C805" s="15" t="s">
        <v>736</v>
      </c>
      <c r="D805" s="15">
        <v>0.04</v>
      </c>
    </row>
    <row r="806" spans="1:4" ht="15.75" customHeight="1">
      <c r="A806" s="15" t="s">
        <v>1141</v>
      </c>
      <c r="B806" s="15" t="s">
        <v>1058</v>
      </c>
      <c r="C806" s="15" t="s">
        <v>733</v>
      </c>
      <c r="D806" s="15">
        <v>0.04</v>
      </c>
    </row>
    <row r="807" spans="1:4" ht="15.75" customHeight="1">
      <c r="A807" s="15" t="s">
        <v>1142</v>
      </c>
      <c r="B807" s="15" t="s">
        <v>1058</v>
      </c>
      <c r="C807" s="15" t="s">
        <v>1063</v>
      </c>
      <c r="D807" s="15">
        <v>0.04</v>
      </c>
    </row>
    <row r="808" spans="1:4" ht="15.75" customHeight="1">
      <c r="A808" s="15" t="s">
        <v>1143</v>
      </c>
      <c r="B808" s="15" t="s">
        <v>1058</v>
      </c>
      <c r="C808" s="15" t="s">
        <v>26</v>
      </c>
      <c r="D808" s="15">
        <v>0.04</v>
      </c>
    </row>
    <row r="809" spans="1:4" ht="15.75" customHeight="1">
      <c r="A809" s="15" t="s">
        <v>1144</v>
      </c>
      <c r="B809" s="15" t="s">
        <v>1058</v>
      </c>
      <c r="C809" s="15" t="s">
        <v>23</v>
      </c>
      <c r="D809" s="15">
        <v>0.04</v>
      </c>
    </row>
    <row r="810" spans="1:4" ht="15.75" customHeight="1">
      <c r="A810" s="15" t="s">
        <v>1145</v>
      </c>
      <c r="B810" s="15" t="s">
        <v>1058</v>
      </c>
      <c r="C810" s="15" t="s">
        <v>1060</v>
      </c>
      <c r="D810" s="15">
        <v>0.04</v>
      </c>
    </row>
    <row r="811" spans="1:4" ht="15.75" customHeight="1">
      <c r="A811" s="15" t="s">
        <v>1146</v>
      </c>
      <c r="B811" s="15" t="s">
        <v>1058</v>
      </c>
      <c r="C811" s="15" t="s">
        <v>1064</v>
      </c>
      <c r="D811" s="15">
        <v>0.04</v>
      </c>
    </row>
    <row r="812" spans="1:4" ht="15.75" customHeight="1">
      <c r="A812" s="15" t="s">
        <v>1147</v>
      </c>
      <c r="B812" s="15" t="s">
        <v>29</v>
      </c>
      <c r="C812" s="15" t="s">
        <v>1051</v>
      </c>
      <c r="D812" s="15">
        <v>0.04</v>
      </c>
    </row>
    <row r="813" spans="1:4" ht="15.75" customHeight="1">
      <c r="A813" s="15" t="s">
        <v>1148</v>
      </c>
      <c r="B813" s="15" t="s">
        <v>29</v>
      </c>
      <c r="C813" s="15" t="s">
        <v>1056</v>
      </c>
      <c r="D813" s="15">
        <v>0.04</v>
      </c>
    </row>
    <row r="814" spans="1:4" ht="15.75" customHeight="1">
      <c r="A814" s="15" t="s">
        <v>1149</v>
      </c>
      <c r="B814" s="15" t="s">
        <v>29</v>
      </c>
      <c r="C814" s="15" t="s">
        <v>1058</v>
      </c>
      <c r="D814" s="15">
        <v>0.04</v>
      </c>
    </row>
    <row r="815" spans="1:4" ht="15.75" customHeight="1">
      <c r="A815" s="15" t="s">
        <v>1150</v>
      </c>
      <c r="B815" s="15" t="s">
        <v>29</v>
      </c>
      <c r="C815" s="15" t="s">
        <v>29</v>
      </c>
      <c r="D815" s="15">
        <v>0.18</v>
      </c>
    </row>
    <row r="816" spans="1:4" ht="15.75" customHeight="1">
      <c r="A816" s="15" t="s">
        <v>1151</v>
      </c>
      <c r="B816" s="15" t="s">
        <v>29</v>
      </c>
      <c r="C816" s="15" t="s">
        <v>34</v>
      </c>
      <c r="D816" s="15">
        <v>0.04</v>
      </c>
    </row>
    <row r="817" spans="1:4" ht="15.75" customHeight="1">
      <c r="A817" s="15" t="s">
        <v>1152</v>
      </c>
      <c r="B817" s="15" t="s">
        <v>29</v>
      </c>
      <c r="C817" s="15" t="s">
        <v>41</v>
      </c>
      <c r="D817" s="15">
        <v>0.04</v>
      </c>
    </row>
    <row r="818" spans="1:4" ht="15.75" customHeight="1">
      <c r="A818" s="15" t="s">
        <v>1153</v>
      </c>
      <c r="B818" s="15" t="s">
        <v>29</v>
      </c>
      <c r="C818" s="15" t="s">
        <v>1059</v>
      </c>
      <c r="D818" s="15">
        <v>0.04</v>
      </c>
    </row>
    <row r="819" spans="1:4" ht="15.75" customHeight="1">
      <c r="A819" s="15" t="s">
        <v>1154</v>
      </c>
      <c r="B819" s="15" t="s">
        <v>29</v>
      </c>
      <c r="C819" s="15" t="s">
        <v>25</v>
      </c>
      <c r="D819" s="15">
        <v>0.04</v>
      </c>
    </row>
    <row r="820" spans="1:4" ht="15.75" customHeight="1">
      <c r="A820" s="15" t="s">
        <v>1155</v>
      </c>
      <c r="B820" s="15" t="s">
        <v>29</v>
      </c>
      <c r="C820" s="15" t="s">
        <v>51</v>
      </c>
      <c r="D820" s="15">
        <v>0.04</v>
      </c>
    </row>
    <row r="821" spans="1:4" ht="15.75" customHeight="1">
      <c r="A821" s="15" t="s">
        <v>1156</v>
      </c>
      <c r="B821" s="15" t="s">
        <v>29</v>
      </c>
      <c r="C821" s="15" t="s">
        <v>1057</v>
      </c>
      <c r="D821" s="15">
        <v>0.04</v>
      </c>
    </row>
    <row r="822" spans="1:4" ht="15.75" customHeight="1">
      <c r="A822" s="15" t="s">
        <v>1157</v>
      </c>
      <c r="B822" s="15" t="s">
        <v>29</v>
      </c>
      <c r="C822" s="15" t="s">
        <v>1052</v>
      </c>
      <c r="D822" s="15">
        <v>0.04</v>
      </c>
    </row>
    <row r="823" spans="1:4" ht="15.75" customHeight="1">
      <c r="A823" s="15" t="s">
        <v>1158</v>
      </c>
      <c r="B823" s="15" t="s">
        <v>29</v>
      </c>
      <c r="C823" s="15" t="s">
        <v>1053</v>
      </c>
      <c r="D823" s="15">
        <v>0.04</v>
      </c>
    </row>
    <row r="824" spans="1:4" ht="15.75" customHeight="1">
      <c r="A824" s="15" t="s">
        <v>1159</v>
      </c>
      <c r="B824" s="15" t="s">
        <v>29</v>
      </c>
      <c r="C824" s="15" t="s">
        <v>24</v>
      </c>
      <c r="D824" s="15">
        <v>0.04</v>
      </c>
    </row>
    <row r="825" spans="1:4" ht="15.75" customHeight="1">
      <c r="A825" s="15" t="s">
        <v>1160</v>
      </c>
      <c r="B825" s="15" t="s">
        <v>29</v>
      </c>
      <c r="C825" s="15" t="s">
        <v>1054</v>
      </c>
      <c r="D825" s="15">
        <v>0.04</v>
      </c>
    </row>
    <row r="826" spans="1:4" ht="15.75" customHeight="1">
      <c r="A826" s="15" t="s">
        <v>1161</v>
      </c>
      <c r="B826" s="15" t="s">
        <v>29</v>
      </c>
      <c r="C826" s="15" t="s">
        <v>1055</v>
      </c>
      <c r="D826" s="15">
        <v>0.04</v>
      </c>
    </row>
    <row r="827" spans="1:4" ht="15.75" customHeight="1">
      <c r="A827" s="15" t="s">
        <v>1162</v>
      </c>
      <c r="B827" s="15" t="s">
        <v>29</v>
      </c>
      <c r="C827" s="15" t="s">
        <v>28</v>
      </c>
      <c r="D827" s="15">
        <v>0.04</v>
      </c>
    </row>
    <row r="828" spans="1:4" ht="15.75" customHeight="1">
      <c r="A828" s="15" t="s">
        <v>1163</v>
      </c>
      <c r="B828" s="15" t="s">
        <v>29</v>
      </c>
      <c r="C828" s="15" t="s">
        <v>1061</v>
      </c>
      <c r="D828" s="15">
        <v>0.04</v>
      </c>
    </row>
    <row r="829" spans="1:4" ht="15.75" customHeight="1">
      <c r="A829" s="15" t="s">
        <v>1164</v>
      </c>
      <c r="B829" s="15" t="s">
        <v>29</v>
      </c>
      <c r="C829" s="15" t="s">
        <v>1062</v>
      </c>
      <c r="D829" s="15">
        <v>0.04</v>
      </c>
    </row>
    <row r="830" spans="1:4" ht="15.75" customHeight="1">
      <c r="A830" s="15" t="s">
        <v>1165</v>
      </c>
      <c r="B830" s="15" t="s">
        <v>29</v>
      </c>
      <c r="C830" s="15" t="s">
        <v>27</v>
      </c>
      <c r="D830" s="15">
        <v>0.04</v>
      </c>
    </row>
    <row r="831" spans="1:4" ht="15.75" customHeight="1">
      <c r="A831" s="15" t="s">
        <v>1166</v>
      </c>
      <c r="B831" s="15" t="s">
        <v>29</v>
      </c>
      <c r="C831" s="15" t="s">
        <v>732</v>
      </c>
      <c r="D831" s="15">
        <v>0.04</v>
      </c>
    </row>
    <row r="832" spans="1:4" ht="15.75" customHeight="1">
      <c r="A832" s="15" t="s">
        <v>1167</v>
      </c>
      <c r="B832" s="15" t="s">
        <v>29</v>
      </c>
      <c r="C832" s="15" t="s">
        <v>736</v>
      </c>
      <c r="D832" s="15">
        <v>0.04</v>
      </c>
    </row>
    <row r="833" spans="1:4" ht="15.75" customHeight="1">
      <c r="A833" s="15" t="s">
        <v>1168</v>
      </c>
      <c r="B833" s="15" t="s">
        <v>29</v>
      </c>
      <c r="C833" s="15" t="s">
        <v>733</v>
      </c>
      <c r="D833" s="15">
        <v>0.04</v>
      </c>
    </row>
    <row r="834" spans="1:4" ht="15.75" customHeight="1">
      <c r="A834" s="15" t="s">
        <v>1169</v>
      </c>
      <c r="B834" s="15" t="s">
        <v>29</v>
      </c>
      <c r="C834" s="15" t="s">
        <v>1063</v>
      </c>
      <c r="D834" s="15">
        <v>0.04</v>
      </c>
    </row>
    <row r="835" spans="1:4" ht="15.75" customHeight="1">
      <c r="A835" s="15" t="s">
        <v>1170</v>
      </c>
      <c r="B835" s="15" t="s">
        <v>29</v>
      </c>
      <c r="C835" s="15" t="s">
        <v>26</v>
      </c>
      <c r="D835" s="15">
        <v>0.04</v>
      </c>
    </row>
    <row r="836" spans="1:4" ht="15.75" customHeight="1">
      <c r="A836" s="15" t="s">
        <v>1171</v>
      </c>
      <c r="B836" s="15" t="s">
        <v>29</v>
      </c>
      <c r="C836" s="15" t="s">
        <v>23</v>
      </c>
      <c r="D836" s="15">
        <v>0.04</v>
      </c>
    </row>
    <row r="837" spans="1:4" ht="15.75" customHeight="1">
      <c r="A837" s="15" t="s">
        <v>1172</v>
      </c>
      <c r="B837" s="15" t="s">
        <v>29</v>
      </c>
      <c r="C837" s="15" t="s">
        <v>1060</v>
      </c>
      <c r="D837" s="15">
        <v>0.04</v>
      </c>
    </row>
    <row r="838" spans="1:4" ht="15.75" customHeight="1">
      <c r="A838" s="15" t="s">
        <v>1173</v>
      </c>
      <c r="B838" s="15" t="s">
        <v>29</v>
      </c>
      <c r="C838" s="15" t="s">
        <v>1064</v>
      </c>
      <c r="D838" s="15">
        <v>0.04</v>
      </c>
    </row>
    <row r="839" spans="1:4" ht="15.75" customHeight="1">
      <c r="A839" s="15" t="s">
        <v>1174</v>
      </c>
      <c r="B839" s="15" t="s">
        <v>34</v>
      </c>
      <c r="C839" s="15" t="s">
        <v>1051</v>
      </c>
      <c r="D839" s="15">
        <v>0.04</v>
      </c>
    </row>
    <row r="840" spans="1:4" ht="15.75" customHeight="1">
      <c r="A840" s="15" t="s">
        <v>1175</v>
      </c>
      <c r="B840" s="15" t="s">
        <v>34</v>
      </c>
      <c r="C840" s="15" t="s">
        <v>1056</v>
      </c>
      <c r="D840" s="15">
        <v>0.04</v>
      </c>
    </row>
    <row r="841" spans="1:4" ht="15.75" customHeight="1">
      <c r="A841" s="15" t="s">
        <v>1176</v>
      </c>
      <c r="B841" s="15" t="s">
        <v>34</v>
      </c>
      <c r="C841" s="15" t="s">
        <v>1058</v>
      </c>
      <c r="D841" s="15">
        <v>0.04</v>
      </c>
    </row>
    <row r="842" spans="1:4" ht="15.75" customHeight="1">
      <c r="A842" s="15" t="s">
        <v>1177</v>
      </c>
      <c r="B842" s="15" t="s">
        <v>34</v>
      </c>
      <c r="C842" s="15" t="s">
        <v>29</v>
      </c>
      <c r="D842" s="15">
        <v>0.04</v>
      </c>
    </row>
    <row r="843" spans="1:4" ht="15.75" customHeight="1">
      <c r="A843" s="15" t="s">
        <v>1178</v>
      </c>
      <c r="B843" s="15" t="s">
        <v>34</v>
      </c>
      <c r="C843" s="15" t="s">
        <v>34</v>
      </c>
      <c r="D843" s="15">
        <v>0.18</v>
      </c>
    </row>
    <row r="844" spans="1:4" ht="15.75" customHeight="1">
      <c r="A844" s="15" t="s">
        <v>1179</v>
      </c>
      <c r="B844" s="15" t="s">
        <v>34</v>
      </c>
      <c r="C844" s="15" t="s">
        <v>41</v>
      </c>
      <c r="D844" s="15">
        <v>0.04</v>
      </c>
    </row>
    <row r="845" spans="1:4" ht="15.75" customHeight="1">
      <c r="A845" s="15" t="s">
        <v>1180</v>
      </c>
      <c r="B845" s="15" t="s">
        <v>34</v>
      </c>
      <c r="C845" s="15" t="s">
        <v>1059</v>
      </c>
      <c r="D845" s="15">
        <v>0.04</v>
      </c>
    </row>
    <row r="846" spans="1:4" ht="15.75" customHeight="1">
      <c r="A846" s="15" t="s">
        <v>1181</v>
      </c>
      <c r="B846" s="15" t="s">
        <v>34</v>
      </c>
      <c r="C846" s="15" t="s">
        <v>25</v>
      </c>
      <c r="D846" s="15">
        <v>0.04</v>
      </c>
    </row>
    <row r="847" spans="1:4" ht="15.75" customHeight="1">
      <c r="A847" s="15" t="s">
        <v>1182</v>
      </c>
      <c r="B847" s="15" t="s">
        <v>34</v>
      </c>
      <c r="C847" s="15" t="s">
        <v>51</v>
      </c>
      <c r="D847" s="15">
        <v>0.04</v>
      </c>
    </row>
    <row r="848" spans="1:4" ht="15.75" customHeight="1">
      <c r="A848" s="15" t="s">
        <v>1183</v>
      </c>
      <c r="B848" s="15" t="s">
        <v>34</v>
      </c>
      <c r="C848" s="15" t="s">
        <v>1057</v>
      </c>
      <c r="D848" s="15">
        <v>0.04</v>
      </c>
    </row>
    <row r="849" spans="1:4" ht="15.75" customHeight="1">
      <c r="A849" s="15" t="s">
        <v>1184</v>
      </c>
      <c r="B849" s="15" t="s">
        <v>34</v>
      </c>
      <c r="C849" s="15" t="s">
        <v>1052</v>
      </c>
      <c r="D849" s="15">
        <v>0.04</v>
      </c>
    </row>
    <row r="850" spans="1:4" ht="15.75" customHeight="1">
      <c r="A850" s="15" t="s">
        <v>1185</v>
      </c>
      <c r="B850" s="15" t="s">
        <v>34</v>
      </c>
      <c r="C850" s="15" t="s">
        <v>1053</v>
      </c>
      <c r="D850" s="15">
        <v>0.04</v>
      </c>
    </row>
    <row r="851" spans="1:4" ht="15.75" customHeight="1">
      <c r="A851" s="15" t="s">
        <v>1186</v>
      </c>
      <c r="B851" s="15" t="s">
        <v>34</v>
      </c>
      <c r="C851" s="15" t="s">
        <v>24</v>
      </c>
      <c r="D851" s="15">
        <v>0.04</v>
      </c>
    </row>
    <row r="852" spans="1:4" ht="15.75" customHeight="1">
      <c r="A852" s="15" t="s">
        <v>1187</v>
      </c>
      <c r="B852" s="15" t="s">
        <v>34</v>
      </c>
      <c r="C852" s="15" t="s">
        <v>1054</v>
      </c>
      <c r="D852" s="15">
        <v>0.04</v>
      </c>
    </row>
    <row r="853" spans="1:4" ht="15.75" customHeight="1">
      <c r="A853" s="15" t="s">
        <v>1188</v>
      </c>
      <c r="B853" s="15" t="s">
        <v>34</v>
      </c>
      <c r="C853" s="15" t="s">
        <v>1055</v>
      </c>
      <c r="D853" s="15">
        <v>0.04</v>
      </c>
    </row>
    <row r="854" spans="1:4" ht="15.75" customHeight="1">
      <c r="A854" s="15" t="s">
        <v>1189</v>
      </c>
      <c r="B854" s="15" t="s">
        <v>34</v>
      </c>
      <c r="C854" s="15" t="s">
        <v>28</v>
      </c>
      <c r="D854" s="15">
        <v>0.04</v>
      </c>
    </row>
    <row r="855" spans="1:4" ht="15.75" customHeight="1">
      <c r="A855" s="15" t="s">
        <v>1190</v>
      </c>
      <c r="B855" s="15" t="s">
        <v>34</v>
      </c>
      <c r="C855" s="15" t="s">
        <v>1061</v>
      </c>
      <c r="D855" s="15">
        <v>0.04</v>
      </c>
    </row>
    <row r="856" spans="1:4" ht="15.75" customHeight="1">
      <c r="A856" s="15" t="s">
        <v>1191</v>
      </c>
      <c r="B856" s="15" t="s">
        <v>34</v>
      </c>
      <c r="C856" s="15" t="s">
        <v>1062</v>
      </c>
      <c r="D856" s="15">
        <v>0.04</v>
      </c>
    </row>
    <row r="857" spans="1:4" ht="15.75" customHeight="1">
      <c r="A857" s="15" t="s">
        <v>1192</v>
      </c>
      <c r="B857" s="15" t="s">
        <v>34</v>
      </c>
      <c r="C857" s="15" t="s">
        <v>27</v>
      </c>
      <c r="D857" s="15">
        <v>0.04</v>
      </c>
    </row>
    <row r="858" spans="1:4" ht="15.75" customHeight="1">
      <c r="A858" s="15" t="s">
        <v>1193</v>
      </c>
      <c r="B858" s="15" t="s">
        <v>34</v>
      </c>
      <c r="C858" s="15" t="s">
        <v>732</v>
      </c>
      <c r="D858" s="15">
        <v>0.04</v>
      </c>
    </row>
    <row r="859" spans="1:4" ht="15.75" customHeight="1">
      <c r="A859" s="15" t="s">
        <v>1194</v>
      </c>
      <c r="B859" s="15" t="s">
        <v>34</v>
      </c>
      <c r="C859" s="15" t="s">
        <v>736</v>
      </c>
      <c r="D859" s="15">
        <v>0.04</v>
      </c>
    </row>
    <row r="860" spans="1:4" ht="15.75" customHeight="1">
      <c r="A860" s="15" t="s">
        <v>1195</v>
      </c>
      <c r="B860" s="15" t="s">
        <v>34</v>
      </c>
      <c r="C860" s="15" t="s">
        <v>733</v>
      </c>
      <c r="D860" s="15">
        <v>0.04</v>
      </c>
    </row>
    <row r="861" spans="1:4" ht="15.75" customHeight="1">
      <c r="A861" s="15" t="s">
        <v>1196</v>
      </c>
      <c r="B861" s="15" t="s">
        <v>34</v>
      </c>
      <c r="C861" s="15" t="s">
        <v>1063</v>
      </c>
      <c r="D861" s="15">
        <v>0.04</v>
      </c>
    </row>
    <row r="862" spans="1:4" ht="15.75" customHeight="1">
      <c r="A862" s="15" t="s">
        <v>1197</v>
      </c>
      <c r="B862" s="15" t="s">
        <v>34</v>
      </c>
      <c r="C862" s="15" t="s">
        <v>26</v>
      </c>
      <c r="D862" s="15">
        <v>0.04</v>
      </c>
    </row>
    <row r="863" spans="1:4" ht="15.75" customHeight="1">
      <c r="A863" s="15" t="s">
        <v>1198</v>
      </c>
      <c r="B863" s="15" t="s">
        <v>34</v>
      </c>
      <c r="C863" s="15" t="s">
        <v>23</v>
      </c>
      <c r="D863" s="15">
        <v>0.04</v>
      </c>
    </row>
    <row r="864" spans="1:4" ht="15.75" customHeight="1">
      <c r="A864" s="15" t="s">
        <v>1199</v>
      </c>
      <c r="B864" s="15" t="s">
        <v>34</v>
      </c>
      <c r="C864" s="15" t="s">
        <v>1060</v>
      </c>
      <c r="D864" s="15">
        <v>0.04</v>
      </c>
    </row>
    <row r="865" spans="1:4" ht="15.75" customHeight="1">
      <c r="A865" s="15" t="s">
        <v>1200</v>
      </c>
      <c r="B865" s="15" t="s">
        <v>34</v>
      </c>
      <c r="C865" s="15" t="s">
        <v>1064</v>
      </c>
      <c r="D865" s="15">
        <v>0.04</v>
      </c>
    </row>
    <row r="866" spans="1:4" ht="15.75" customHeight="1">
      <c r="A866" s="15" t="s">
        <v>1201</v>
      </c>
      <c r="B866" s="15" t="s">
        <v>41</v>
      </c>
      <c r="C866" s="15" t="s">
        <v>1051</v>
      </c>
      <c r="D866" s="15">
        <v>0.04</v>
      </c>
    </row>
    <row r="867" spans="1:4" ht="15.75" customHeight="1">
      <c r="A867" s="15" t="s">
        <v>1202</v>
      </c>
      <c r="B867" s="15" t="s">
        <v>41</v>
      </c>
      <c r="C867" s="15" t="s">
        <v>1056</v>
      </c>
      <c r="D867" s="15">
        <v>0.04</v>
      </c>
    </row>
    <row r="868" spans="1:4" ht="15.75" customHeight="1">
      <c r="A868" s="15" t="s">
        <v>1203</v>
      </c>
      <c r="B868" s="15" t="s">
        <v>41</v>
      </c>
      <c r="C868" s="15" t="s">
        <v>1058</v>
      </c>
      <c r="D868" s="15">
        <v>0.04</v>
      </c>
    </row>
    <row r="869" spans="1:4" ht="15.75" customHeight="1">
      <c r="A869" s="15" t="s">
        <v>1204</v>
      </c>
      <c r="B869" s="15" t="s">
        <v>41</v>
      </c>
      <c r="C869" s="15" t="s">
        <v>29</v>
      </c>
      <c r="D869" s="15">
        <v>0.04</v>
      </c>
    </row>
    <row r="870" spans="1:4" ht="15.75" customHeight="1">
      <c r="A870" s="15" t="s">
        <v>1205</v>
      </c>
      <c r="B870" s="15" t="s">
        <v>41</v>
      </c>
      <c r="C870" s="15" t="s">
        <v>34</v>
      </c>
      <c r="D870" s="15">
        <v>0.04</v>
      </c>
    </row>
    <row r="871" spans="1:4" ht="15.75" customHeight="1">
      <c r="A871" s="15" t="s">
        <v>1206</v>
      </c>
      <c r="B871" s="15" t="s">
        <v>41</v>
      </c>
      <c r="C871" s="15" t="s">
        <v>41</v>
      </c>
      <c r="D871" s="15">
        <v>0.18</v>
      </c>
    </row>
    <row r="872" spans="1:4" ht="15.75" customHeight="1">
      <c r="A872" s="15" t="s">
        <v>1207</v>
      </c>
      <c r="B872" s="15" t="s">
        <v>41</v>
      </c>
      <c r="C872" s="15" t="s">
        <v>1059</v>
      </c>
      <c r="D872" s="15">
        <v>0.04</v>
      </c>
    </row>
    <row r="873" spans="1:4" ht="15.75" customHeight="1">
      <c r="A873" s="15" t="s">
        <v>1208</v>
      </c>
      <c r="B873" s="15" t="s">
        <v>41</v>
      </c>
      <c r="C873" s="15" t="s">
        <v>25</v>
      </c>
      <c r="D873" s="15">
        <v>0.04</v>
      </c>
    </row>
    <row r="874" spans="1:4" ht="15.75" customHeight="1">
      <c r="A874" s="15" t="s">
        <v>1209</v>
      </c>
      <c r="B874" s="15" t="s">
        <v>41</v>
      </c>
      <c r="C874" s="15" t="s">
        <v>51</v>
      </c>
      <c r="D874" s="15">
        <v>0.04</v>
      </c>
    </row>
    <row r="875" spans="1:4" ht="15.75" customHeight="1">
      <c r="A875" s="15" t="s">
        <v>1210</v>
      </c>
      <c r="B875" s="15" t="s">
        <v>41</v>
      </c>
      <c r="C875" s="15" t="s">
        <v>1057</v>
      </c>
      <c r="D875" s="15">
        <v>0.04</v>
      </c>
    </row>
    <row r="876" spans="1:4" ht="15.75" customHeight="1">
      <c r="A876" s="15" t="s">
        <v>1211</v>
      </c>
      <c r="B876" s="15" t="s">
        <v>41</v>
      </c>
      <c r="C876" s="15" t="s">
        <v>1052</v>
      </c>
      <c r="D876" s="15">
        <v>0.04</v>
      </c>
    </row>
    <row r="877" spans="1:4" ht="15.75" customHeight="1">
      <c r="A877" s="15" t="s">
        <v>1212</v>
      </c>
      <c r="B877" s="15" t="s">
        <v>41</v>
      </c>
      <c r="C877" s="15" t="s">
        <v>1053</v>
      </c>
      <c r="D877" s="15">
        <v>0.04</v>
      </c>
    </row>
    <row r="878" spans="1:4" ht="15.75" customHeight="1">
      <c r="A878" s="15" t="s">
        <v>1213</v>
      </c>
      <c r="B878" s="15" t="s">
        <v>41</v>
      </c>
      <c r="C878" s="15" t="s">
        <v>24</v>
      </c>
      <c r="D878" s="15">
        <v>0.04</v>
      </c>
    </row>
    <row r="879" spans="1:4" ht="15.75" customHeight="1">
      <c r="A879" s="15" t="s">
        <v>1214</v>
      </c>
      <c r="B879" s="15" t="s">
        <v>41</v>
      </c>
      <c r="C879" s="15" t="s">
        <v>1054</v>
      </c>
      <c r="D879" s="15">
        <v>0.04</v>
      </c>
    </row>
    <row r="880" spans="1:4" ht="15.75" customHeight="1">
      <c r="A880" s="15" t="s">
        <v>1215</v>
      </c>
      <c r="B880" s="15" t="s">
        <v>41</v>
      </c>
      <c r="C880" s="15" t="s">
        <v>1055</v>
      </c>
      <c r="D880" s="15">
        <v>0.04</v>
      </c>
    </row>
    <row r="881" spans="1:4" ht="15.75" customHeight="1">
      <c r="A881" s="15" t="s">
        <v>1216</v>
      </c>
      <c r="B881" s="15" t="s">
        <v>41</v>
      </c>
      <c r="C881" s="15" t="s">
        <v>28</v>
      </c>
      <c r="D881" s="15">
        <v>0.04</v>
      </c>
    </row>
    <row r="882" spans="1:4" ht="15.75" customHeight="1">
      <c r="A882" s="15" t="s">
        <v>1217</v>
      </c>
      <c r="B882" s="15" t="s">
        <v>41</v>
      </c>
      <c r="C882" s="15" t="s">
        <v>1061</v>
      </c>
      <c r="D882" s="15">
        <v>0.04</v>
      </c>
    </row>
    <row r="883" spans="1:4" ht="15.75" customHeight="1">
      <c r="A883" s="15" t="s">
        <v>1218</v>
      </c>
      <c r="B883" s="15" t="s">
        <v>41</v>
      </c>
      <c r="C883" s="15" t="s">
        <v>1062</v>
      </c>
      <c r="D883" s="15">
        <v>0.04</v>
      </c>
    </row>
    <row r="884" spans="1:4" ht="15.75" customHeight="1">
      <c r="A884" s="15" t="s">
        <v>1219</v>
      </c>
      <c r="B884" s="15" t="s">
        <v>41</v>
      </c>
      <c r="C884" s="15" t="s">
        <v>27</v>
      </c>
      <c r="D884" s="15">
        <v>0.04</v>
      </c>
    </row>
    <row r="885" spans="1:4" ht="15.75" customHeight="1">
      <c r="A885" s="15" t="s">
        <v>1220</v>
      </c>
      <c r="B885" s="15" t="s">
        <v>41</v>
      </c>
      <c r="C885" s="15" t="s">
        <v>732</v>
      </c>
      <c r="D885" s="15">
        <v>0.04</v>
      </c>
    </row>
    <row r="886" spans="1:4" ht="15.75" customHeight="1">
      <c r="A886" s="15" t="s">
        <v>1221</v>
      </c>
      <c r="B886" s="15" t="s">
        <v>41</v>
      </c>
      <c r="C886" s="15" t="s">
        <v>736</v>
      </c>
      <c r="D886" s="15">
        <v>0.04</v>
      </c>
    </row>
    <row r="887" spans="1:4" ht="15.75" customHeight="1">
      <c r="A887" s="15" t="s">
        <v>1222</v>
      </c>
      <c r="B887" s="15" t="s">
        <v>41</v>
      </c>
      <c r="C887" s="15" t="s">
        <v>733</v>
      </c>
      <c r="D887" s="15">
        <v>0.04</v>
      </c>
    </row>
    <row r="888" spans="1:4" ht="15.75" customHeight="1">
      <c r="A888" s="15" t="s">
        <v>1223</v>
      </c>
      <c r="B888" s="15" t="s">
        <v>41</v>
      </c>
      <c r="C888" s="15" t="s">
        <v>1063</v>
      </c>
      <c r="D888" s="15">
        <v>0.04</v>
      </c>
    </row>
    <row r="889" spans="1:4" ht="15.75" customHeight="1">
      <c r="A889" s="15" t="s">
        <v>1224</v>
      </c>
      <c r="B889" s="15" t="s">
        <v>41</v>
      </c>
      <c r="C889" s="15" t="s">
        <v>26</v>
      </c>
      <c r="D889" s="15">
        <v>0.04</v>
      </c>
    </row>
    <row r="890" spans="1:4" ht="15.75" customHeight="1">
      <c r="A890" s="15" t="s">
        <v>1225</v>
      </c>
      <c r="B890" s="15" t="s">
        <v>41</v>
      </c>
      <c r="C890" s="15" t="s">
        <v>23</v>
      </c>
      <c r="D890" s="15">
        <v>0.04</v>
      </c>
    </row>
    <row r="891" spans="1:4" ht="15.75" customHeight="1">
      <c r="A891" s="15" t="s">
        <v>1226</v>
      </c>
      <c r="B891" s="15" t="s">
        <v>41</v>
      </c>
      <c r="C891" s="15" t="s">
        <v>1060</v>
      </c>
      <c r="D891" s="15">
        <v>0.04</v>
      </c>
    </row>
    <row r="892" spans="1:4" ht="15.75" customHeight="1">
      <c r="A892" s="15" t="s">
        <v>1227</v>
      </c>
      <c r="B892" s="15" t="s">
        <v>41</v>
      </c>
      <c r="C892" s="15" t="s">
        <v>1064</v>
      </c>
      <c r="D892" s="15">
        <v>0.04</v>
      </c>
    </row>
    <row r="893" spans="1:4" ht="15.75" customHeight="1">
      <c r="A893" s="15" t="s">
        <v>1228</v>
      </c>
      <c r="B893" s="15" t="s">
        <v>1059</v>
      </c>
      <c r="C893" s="15" t="s">
        <v>1051</v>
      </c>
      <c r="D893" s="15">
        <v>0.04</v>
      </c>
    </row>
    <row r="894" spans="1:4" ht="15.75" customHeight="1">
      <c r="A894" s="15" t="s">
        <v>1229</v>
      </c>
      <c r="B894" s="15" t="s">
        <v>1059</v>
      </c>
      <c r="C894" s="15" t="s">
        <v>1056</v>
      </c>
      <c r="D894" s="15">
        <v>0.04</v>
      </c>
    </row>
    <row r="895" spans="1:4" ht="15.75" customHeight="1">
      <c r="A895" s="15" t="s">
        <v>1230</v>
      </c>
      <c r="B895" s="15" t="s">
        <v>1059</v>
      </c>
      <c r="C895" s="15" t="s">
        <v>1058</v>
      </c>
      <c r="D895" s="15">
        <v>0.04</v>
      </c>
    </row>
    <row r="896" spans="1:4" ht="15.75" customHeight="1">
      <c r="A896" s="15" t="s">
        <v>1231</v>
      </c>
      <c r="B896" s="15" t="s">
        <v>1059</v>
      </c>
      <c r="C896" s="15" t="s">
        <v>29</v>
      </c>
      <c r="D896" s="15">
        <v>0.04</v>
      </c>
    </row>
    <row r="897" spans="1:4" ht="15.75" customHeight="1">
      <c r="A897" s="15" t="s">
        <v>1232</v>
      </c>
      <c r="B897" s="15" t="s">
        <v>1059</v>
      </c>
      <c r="C897" s="15" t="s">
        <v>34</v>
      </c>
      <c r="D897" s="15">
        <v>0.04</v>
      </c>
    </row>
    <row r="898" spans="1:4" ht="15.75" customHeight="1">
      <c r="A898" s="15" t="s">
        <v>1233</v>
      </c>
      <c r="B898" s="15" t="s">
        <v>1059</v>
      </c>
      <c r="C898" s="15" t="s">
        <v>41</v>
      </c>
      <c r="D898" s="15">
        <v>0.04</v>
      </c>
    </row>
    <row r="899" spans="1:4" ht="15.75" customHeight="1">
      <c r="A899" s="15" t="s">
        <v>1234</v>
      </c>
      <c r="B899" s="15" t="s">
        <v>1059</v>
      </c>
      <c r="C899" s="15" t="s">
        <v>1059</v>
      </c>
      <c r="D899" s="15">
        <v>0.18</v>
      </c>
    </row>
    <row r="900" spans="1:4" ht="15.75" customHeight="1">
      <c r="A900" s="15" t="s">
        <v>1235</v>
      </c>
      <c r="B900" s="15" t="s">
        <v>1059</v>
      </c>
      <c r="C900" s="15" t="s">
        <v>25</v>
      </c>
      <c r="D900" s="15">
        <v>0.04</v>
      </c>
    </row>
    <row r="901" spans="1:4" ht="15.75" customHeight="1">
      <c r="A901" s="15" t="s">
        <v>1236</v>
      </c>
      <c r="B901" s="15" t="s">
        <v>1059</v>
      </c>
      <c r="C901" s="15" t="s">
        <v>51</v>
      </c>
      <c r="D901" s="15">
        <v>0.04</v>
      </c>
    </row>
    <row r="902" spans="1:4" ht="15.75" customHeight="1">
      <c r="A902" s="15" t="s">
        <v>1237</v>
      </c>
      <c r="B902" s="15" t="s">
        <v>1059</v>
      </c>
      <c r="C902" s="15" t="s">
        <v>1057</v>
      </c>
      <c r="D902" s="15">
        <v>0.04</v>
      </c>
    </row>
    <row r="903" spans="1:4" ht="15.75" customHeight="1">
      <c r="A903" s="15" t="s">
        <v>1238</v>
      </c>
      <c r="B903" s="15" t="s">
        <v>1059</v>
      </c>
      <c r="C903" s="15" t="s">
        <v>1052</v>
      </c>
      <c r="D903" s="15">
        <v>0.04</v>
      </c>
    </row>
    <row r="904" spans="1:4" ht="15.75" customHeight="1">
      <c r="A904" s="15" t="s">
        <v>1239</v>
      </c>
      <c r="B904" s="15" t="s">
        <v>1059</v>
      </c>
      <c r="C904" s="15" t="s">
        <v>1053</v>
      </c>
      <c r="D904" s="15">
        <v>0.04</v>
      </c>
    </row>
    <row r="905" spans="1:4" ht="15.75" customHeight="1">
      <c r="A905" s="15" t="s">
        <v>1240</v>
      </c>
      <c r="B905" s="15" t="s">
        <v>1059</v>
      </c>
      <c r="C905" s="15" t="s">
        <v>24</v>
      </c>
      <c r="D905" s="15">
        <v>0.04</v>
      </c>
    </row>
    <row r="906" spans="1:4" ht="15.75" customHeight="1">
      <c r="A906" s="15" t="s">
        <v>1241</v>
      </c>
      <c r="B906" s="15" t="s">
        <v>1059</v>
      </c>
      <c r="C906" s="15" t="s">
        <v>1054</v>
      </c>
      <c r="D906" s="15">
        <v>0.04</v>
      </c>
    </row>
    <row r="907" spans="1:4" ht="15.75" customHeight="1">
      <c r="A907" s="15" t="s">
        <v>1242</v>
      </c>
      <c r="B907" s="15" t="s">
        <v>1059</v>
      </c>
      <c r="C907" s="15" t="s">
        <v>1055</v>
      </c>
      <c r="D907" s="15">
        <v>0.04</v>
      </c>
    </row>
    <row r="908" spans="1:4" ht="15.75" customHeight="1">
      <c r="A908" s="15" t="s">
        <v>1243</v>
      </c>
      <c r="B908" s="15" t="s">
        <v>1059</v>
      </c>
      <c r="C908" s="15" t="s">
        <v>28</v>
      </c>
      <c r="D908" s="15">
        <v>0.04</v>
      </c>
    </row>
    <row r="909" spans="1:4" ht="15.75" customHeight="1">
      <c r="A909" s="15" t="s">
        <v>1244</v>
      </c>
      <c r="B909" s="15" t="s">
        <v>1059</v>
      </c>
      <c r="C909" s="15" t="s">
        <v>1061</v>
      </c>
      <c r="D909" s="15">
        <v>0.04</v>
      </c>
    </row>
    <row r="910" spans="1:4" ht="15.75" customHeight="1">
      <c r="A910" s="15" t="s">
        <v>1245</v>
      </c>
      <c r="B910" s="15" t="s">
        <v>1059</v>
      </c>
      <c r="C910" s="15" t="s">
        <v>1062</v>
      </c>
      <c r="D910" s="15">
        <v>0.04</v>
      </c>
    </row>
    <row r="911" spans="1:4" ht="15.75" customHeight="1">
      <c r="A911" s="15" t="s">
        <v>1246</v>
      </c>
      <c r="B911" s="15" t="s">
        <v>1059</v>
      </c>
      <c r="C911" s="15" t="s">
        <v>27</v>
      </c>
      <c r="D911" s="15">
        <v>0.04</v>
      </c>
    </row>
    <row r="912" spans="1:4" ht="15.75" customHeight="1">
      <c r="A912" s="15" t="s">
        <v>1247</v>
      </c>
      <c r="B912" s="15" t="s">
        <v>1059</v>
      </c>
      <c r="C912" s="15" t="s">
        <v>732</v>
      </c>
      <c r="D912" s="15">
        <v>0.04</v>
      </c>
    </row>
    <row r="913" spans="1:4" ht="15.75" customHeight="1">
      <c r="A913" s="15" t="s">
        <v>1248</v>
      </c>
      <c r="B913" s="15" t="s">
        <v>1059</v>
      </c>
      <c r="C913" s="15" t="s">
        <v>736</v>
      </c>
      <c r="D913" s="15">
        <v>0.04</v>
      </c>
    </row>
    <row r="914" spans="1:4" ht="15.75" customHeight="1">
      <c r="A914" s="15" t="s">
        <v>1249</v>
      </c>
      <c r="B914" s="15" t="s">
        <v>1059</v>
      </c>
      <c r="C914" s="15" t="s">
        <v>733</v>
      </c>
      <c r="D914" s="15">
        <v>0.04</v>
      </c>
    </row>
    <row r="915" spans="1:4" ht="15.75" customHeight="1">
      <c r="A915" s="15" t="s">
        <v>1250</v>
      </c>
      <c r="B915" s="15" t="s">
        <v>1059</v>
      </c>
      <c r="C915" s="15" t="s">
        <v>1063</v>
      </c>
      <c r="D915" s="15">
        <v>0.04</v>
      </c>
    </row>
    <row r="916" spans="1:4" ht="15.75" customHeight="1">
      <c r="A916" s="15" t="s">
        <v>1251</v>
      </c>
      <c r="B916" s="15" t="s">
        <v>1059</v>
      </c>
      <c r="C916" s="15" t="s">
        <v>26</v>
      </c>
      <c r="D916" s="15">
        <v>0.04</v>
      </c>
    </row>
    <row r="917" spans="1:4" ht="15.75" customHeight="1">
      <c r="A917" s="15" t="s">
        <v>1252</v>
      </c>
      <c r="B917" s="15" t="s">
        <v>1059</v>
      </c>
      <c r="C917" s="15" t="s">
        <v>23</v>
      </c>
      <c r="D917" s="15">
        <v>0.04</v>
      </c>
    </row>
    <row r="918" spans="1:4" ht="15.75" customHeight="1">
      <c r="A918" s="15" t="s">
        <v>1253</v>
      </c>
      <c r="B918" s="15" t="s">
        <v>1059</v>
      </c>
      <c r="C918" s="15" t="s">
        <v>1060</v>
      </c>
      <c r="D918" s="15">
        <v>0.04</v>
      </c>
    </row>
    <row r="919" spans="1:4" ht="15.75" customHeight="1">
      <c r="A919" s="15" t="s">
        <v>1254</v>
      </c>
      <c r="B919" s="15" t="s">
        <v>1059</v>
      </c>
      <c r="C919" s="15" t="s">
        <v>1064</v>
      </c>
      <c r="D919" s="15">
        <v>0.04</v>
      </c>
    </row>
    <row r="920" spans="1:4" ht="15.75" customHeight="1">
      <c r="A920" s="15" t="s">
        <v>1255</v>
      </c>
      <c r="B920" s="15" t="s">
        <v>25</v>
      </c>
      <c r="C920" s="15" t="s">
        <v>1051</v>
      </c>
      <c r="D920" s="15">
        <v>0.04</v>
      </c>
    </row>
    <row r="921" spans="1:4" ht="15.75" customHeight="1">
      <c r="A921" s="15" t="s">
        <v>1256</v>
      </c>
      <c r="B921" s="15" t="s">
        <v>25</v>
      </c>
      <c r="C921" s="15" t="s">
        <v>1056</v>
      </c>
      <c r="D921" s="15">
        <v>0.04</v>
      </c>
    </row>
    <row r="922" spans="1:4" ht="15.75" customHeight="1">
      <c r="A922" s="15" t="s">
        <v>1257</v>
      </c>
      <c r="B922" s="15" t="s">
        <v>25</v>
      </c>
      <c r="C922" s="15" t="s">
        <v>1058</v>
      </c>
      <c r="D922" s="15">
        <v>0.04</v>
      </c>
    </row>
    <row r="923" spans="1:4" ht="15.75" customHeight="1">
      <c r="A923" s="15" t="s">
        <v>1258</v>
      </c>
      <c r="B923" s="15" t="s">
        <v>25</v>
      </c>
      <c r="C923" s="15" t="s">
        <v>29</v>
      </c>
      <c r="D923" s="15">
        <v>0.04</v>
      </c>
    </row>
    <row r="924" spans="1:4" ht="15.75" customHeight="1">
      <c r="A924" s="15" t="s">
        <v>1259</v>
      </c>
      <c r="B924" s="15" t="s">
        <v>25</v>
      </c>
      <c r="C924" s="15" t="s">
        <v>34</v>
      </c>
      <c r="D924" s="15">
        <v>0.04</v>
      </c>
    </row>
    <row r="925" spans="1:4" ht="15.75" customHeight="1">
      <c r="A925" s="15" t="s">
        <v>1260</v>
      </c>
      <c r="B925" s="15" t="s">
        <v>25</v>
      </c>
      <c r="C925" s="15" t="s">
        <v>41</v>
      </c>
      <c r="D925" s="15">
        <v>0.04</v>
      </c>
    </row>
    <row r="926" spans="1:4" ht="15.75" customHeight="1">
      <c r="A926" s="15" t="s">
        <v>1261</v>
      </c>
      <c r="B926" s="15" t="s">
        <v>25</v>
      </c>
      <c r="C926" s="15" t="s">
        <v>1059</v>
      </c>
      <c r="D926" s="15">
        <v>0.04</v>
      </c>
    </row>
    <row r="927" spans="1:4" ht="15.75" customHeight="1">
      <c r="A927" s="15" t="s">
        <v>1262</v>
      </c>
      <c r="B927" s="15" t="s">
        <v>25</v>
      </c>
      <c r="C927" s="15" t="s">
        <v>25</v>
      </c>
      <c r="D927" s="15">
        <v>0.18</v>
      </c>
    </row>
    <row r="928" spans="1:4" ht="15.75" customHeight="1">
      <c r="A928" s="15" t="s">
        <v>1263</v>
      </c>
      <c r="B928" s="15" t="s">
        <v>25</v>
      </c>
      <c r="C928" s="15" t="s">
        <v>51</v>
      </c>
      <c r="D928" s="15">
        <v>0.04</v>
      </c>
    </row>
    <row r="929" spans="1:4" ht="15.75" customHeight="1">
      <c r="A929" s="15" t="s">
        <v>1264</v>
      </c>
      <c r="B929" s="15" t="s">
        <v>25</v>
      </c>
      <c r="C929" s="15" t="s">
        <v>1057</v>
      </c>
      <c r="D929" s="15">
        <v>0.04</v>
      </c>
    </row>
    <row r="930" spans="1:4" ht="15.75" customHeight="1">
      <c r="A930" s="15" t="s">
        <v>1265</v>
      </c>
      <c r="B930" s="15" t="s">
        <v>25</v>
      </c>
      <c r="C930" s="15" t="s">
        <v>1052</v>
      </c>
      <c r="D930" s="15">
        <v>0.04</v>
      </c>
    </row>
    <row r="931" spans="1:4" ht="15.75" customHeight="1">
      <c r="A931" s="15" t="s">
        <v>1266</v>
      </c>
      <c r="B931" s="15" t="s">
        <v>25</v>
      </c>
      <c r="C931" s="15" t="s">
        <v>1053</v>
      </c>
      <c r="D931" s="15">
        <v>0.04</v>
      </c>
    </row>
    <row r="932" spans="1:4" ht="15.75" customHeight="1">
      <c r="A932" s="15" t="s">
        <v>1267</v>
      </c>
      <c r="B932" s="15" t="s">
        <v>25</v>
      </c>
      <c r="C932" s="15" t="s">
        <v>24</v>
      </c>
      <c r="D932" s="15">
        <v>0.04</v>
      </c>
    </row>
    <row r="933" spans="1:4" ht="15.75" customHeight="1">
      <c r="A933" s="15" t="s">
        <v>1268</v>
      </c>
      <c r="B933" s="15" t="s">
        <v>25</v>
      </c>
      <c r="C933" s="15" t="s">
        <v>1054</v>
      </c>
      <c r="D933" s="15">
        <v>0.04</v>
      </c>
    </row>
    <row r="934" spans="1:4" ht="15.75" customHeight="1">
      <c r="A934" s="15" t="s">
        <v>1269</v>
      </c>
      <c r="B934" s="15" t="s">
        <v>25</v>
      </c>
      <c r="C934" s="15" t="s">
        <v>1055</v>
      </c>
      <c r="D934" s="15">
        <v>0.04</v>
      </c>
    </row>
    <row r="935" spans="1:4" ht="15.75" customHeight="1">
      <c r="A935" s="15" t="s">
        <v>1270</v>
      </c>
      <c r="B935" s="15" t="s">
        <v>25</v>
      </c>
      <c r="C935" s="15" t="s">
        <v>28</v>
      </c>
      <c r="D935" s="15">
        <v>0.04</v>
      </c>
    </row>
    <row r="936" spans="1:4" ht="15.75" customHeight="1">
      <c r="A936" s="15" t="s">
        <v>1271</v>
      </c>
      <c r="B936" s="15" t="s">
        <v>25</v>
      </c>
      <c r="C936" s="15" t="s">
        <v>1061</v>
      </c>
      <c r="D936" s="15">
        <v>0.04</v>
      </c>
    </row>
    <row r="937" spans="1:4" ht="15.75" customHeight="1">
      <c r="A937" s="15" t="s">
        <v>1272</v>
      </c>
      <c r="B937" s="15" t="s">
        <v>25</v>
      </c>
      <c r="C937" s="15" t="s">
        <v>1062</v>
      </c>
      <c r="D937" s="15">
        <v>0.04</v>
      </c>
    </row>
    <row r="938" spans="1:4" ht="15.75" customHeight="1">
      <c r="A938" s="15" t="s">
        <v>1273</v>
      </c>
      <c r="B938" s="15" t="s">
        <v>25</v>
      </c>
      <c r="C938" s="15" t="s">
        <v>27</v>
      </c>
      <c r="D938" s="15">
        <v>0.04</v>
      </c>
    </row>
    <row r="939" spans="1:4" ht="15.75" customHeight="1">
      <c r="A939" s="15" t="s">
        <v>1274</v>
      </c>
      <c r="B939" s="15" t="s">
        <v>25</v>
      </c>
      <c r="C939" s="15" t="s">
        <v>732</v>
      </c>
      <c r="D939" s="15">
        <v>0.04</v>
      </c>
    </row>
    <row r="940" spans="1:4" ht="15.75" customHeight="1">
      <c r="A940" s="15" t="s">
        <v>1275</v>
      </c>
      <c r="B940" s="15" t="s">
        <v>25</v>
      </c>
      <c r="C940" s="15" t="s">
        <v>736</v>
      </c>
      <c r="D940" s="15">
        <v>0.04</v>
      </c>
    </row>
    <row r="941" spans="1:4" ht="15.75" customHeight="1">
      <c r="A941" s="15" t="s">
        <v>1276</v>
      </c>
      <c r="B941" s="15" t="s">
        <v>25</v>
      </c>
      <c r="C941" s="15" t="s">
        <v>733</v>
      </c>
      <c r="D941" s="15">
        <v>0.04</v>
      </c>
    </row>
    <row r="942" spans="1:4" ht="15.75" customHeight="1">
      <c r="A942" s="15" t="s">
        <v>1277</v>
      </c>
      <c r="B942" s="15" t="s">
        <v>25</v>
      </c>
      <c r="C942" s="15" t="s">
        <v>1063</v>
      </c>
      <c r="D942" s="15">
        <v>0.04</v>
      </c>
    </row>
    <row r="943" spans="1:4" ht="15.75" customHeight="1">
      <c r="A943" s="15" t="s">
        <v>1278</v>
      </c>
      <c r="B943" s="15" t="s">
        <v>25</v>
      </c>
      <c r="C943" s="15" t="s">
        <v>26</v>
      </c>
      <c r="D943" s="15">
        <v>0.04</v>
      </c>
    </row>
    <row r="944" spans="1:4" ht="15.75" customHeight="1">
      <c r="A944" s="15" t="s">
        <v>1279</v>
      </c>
      <c r="B944" s="15" t="s">
        <v>25</v>
      </c>
      <c r="C944" s="15" t="s">
        <v>23</v>
      </c>
      <c r="D944" s="15">
        <v>0.04</v>
      </c>
    </row>
    <row r="945" spans="1:4" ht="15.75" customHeight="1">
      <c r="A945" s="15" t="s">
        <v>1280</v>
      </c>
      <c r="B945" s="15" t="s">
        <v>25</v>
      </c>
      <c r="C945" s="15" t="s">
        <v>1060</v>
      </c>
      <c r="D945" s="15">
        <v>0.04</v>
      </c>
    </row>
    <row r="946" spans="1:4" ht="15.75" customHeight="1">
      <c r="A946" s="15" t="s">
        <v>1281</v>
      </c>
      <c r="B946" s="15" t="s">
        <v>25</v>
      </c>
      <c r="C946" s="15" t="s">
        <v>1064</v>
      </c>
      <c r="D946" s="15">
        <v>0.04</v>
      </c>
    </row>
    <row r="947" spans="1:4" ht="15.75" customHeight="1">
      <c r="A947" s="15" t="s">
        <v>1282</v>
      </c>
      <c r="B947" s="15" t="s">
        <v>51</v>
      </c>
      <c r="C947" s="15" t="s">
        <v>1051</v>
      </c>
      <c r="D947" s="15">
        <v>0.04</v>
      </c>
    </row>
    <row r="948" spans="1:4" ht="15.75" customHeight="1">
      <c r="A948" s="15" t="s">
        <v>1283</v>
      </c>
      <c r="B948" s="15" t="s">
        <v>51</v>
      </c>
      <c r="C948" s="15" t="s">
        <v>1056</v>
      </c>
      <c r="D948" s="15">
        <v>0.04</v>
      </c>
    </row>
    <row r="949" spans="1:4" ht="15.75" customHeight="1">
      <c r="A949" s="15" t="s">
        <v>1284</v>
      </c>
      <c r="B949" s="15" t="s">
        <v>51</v>
      </c>
      <c r="C949" s="15" t="s">
        <v>1058</v>
      </c>
      <c r="D949" s="15">
        <v>0.04</v>
      </c>
    </row>
    <row r="950" spans="1:4" ht="15.75" customHeight="1">
      <c r="A950" s="15" t="s">
        <v>1285</v>
      </c>
      <c r="B950" s="15" t="s">
        <v>51</v>
      </c>
      <c r="C950" s="15" t="s">
        <v>29</v>
      </c>
      <c r="D950" s="15">
        <v>0.04</v>
      </c>
    </row>
    <row r="951" spans="1:4" ht="15.75" customHeight="1">
      <c r="A951" s="15" t="s">
        <v>1286</v>
      </c>
      <c r="B951" s="15" t="s">
        <v>51</v>
      </c>
      <c r="C951" s="15" t="s">
        <v>34</v>
      </c>
      <c r="D951" s="15">
        <v>0.04</v>
      </c>
    </row>
    <row r="952" spans="1:4" ht="15.75" customHeight="1">
      <c r="A952" s="15" t="s">
        <v>1287</v>
      </c>
      <c r="B952" s="15" t="s">
        <v>51</v>
      </c>
      <c r="C952" s="15" t="s">
        <v>41</v>
      </c>
      <c r="D952" s="15">
        <v>0.04</v>
      </c>
    </row>
    <row r="953" spans="1:4" ht="15.75" customHeight="1">
      <c r="A953" s="15" t="s">
        <v>1288</v>
      </c>
      <c r="B953" s="15" t="s">
        <v>51</v>
      </c>
      <c r="C953" s="15" t="s">
        <v>1059</v>
      </c>
      <c r="D953" s="15">
        <v>0.04</v>
      </c>
    </row>
    <row r="954" spans="1:4" ht="15.75" customHeight="1">
      <c r="A954" s="15" t="s">
        <v>1289</v>
      </c>
      <c r="B954" s="15" t="s">
        <v>51</v>
      </c>
      <c r="C954" s="15" t="s">
        <v>25</v>
      </c>
      <c r="D954" s="15">
        <v>0.04</v>
      </c>
    </row>
    <row r="955" spans="1:4" ht="15.75" customHeight="1">
      <c r="A955" s="15" t="s">
        <v>1290</v>
      </c>
      <c r="B955" s="15" t="s">
        <v>51</v>
      </c>
      <c r="C955" s="15" t="s">
        <v>51</v>
      </c>
      <c r="D955" s="15">
        <v>0.18</v>
      </c>
    </row>
    <row r="956" spans="1:4" ht="15.75" customHeight="1">
      <c r="A956" s="15" t="s">
        <v>1291</v>
      </c>
      <c r="B956" s="15" t="s">
        <v>51</v>
      </c>
      <c r="C956" s="15" t="s">
        <v>1057</v>
      </c>
      <c r="D956" s="15">
        <v>0.04</v>
      </c>
    </row>
    <row r="957" spans="1:4" ht="15.75" customHeight="1">
      <c r="A957" s="15" t="s">
        <v>1292</v>
      </c>
      <c r="B957" s="15" t="s">
        <v>51</v>
      </c>
      <c r="C957" s="15" t="s">
        <v>1052</v>
      </c>
      <c r="D957" s="15">
        <v>0.04</v>
      </c>
    </row>
    <row r="958" spans="1:4" ht="15.75" customHeight="1">
      <c r="A958" s="15" t="s">
        <v>1293</v>
      </c>
      <c r="B958" s="15" t="s">
        <v>51</v>
      </c>
      <c r="C958" s="15" t="s">
        <v>1053</v>
      </c>
      <c r="D958" s="15">
        <v>0.04</v>
      </c>
    </row>
    <row r="959" spans="1:4" ht="15.75" customHeight="1">
      <c r="A959" s="15" t="s">
        <v>1294</v>
      </c>
      <c r="B959" s="15" t="s">
        <v>51</v>
      </c>
      <c r="C959" s="15" t="s">
        <v>24</v>
      </c>
      <c r="D959" s="15">
        <v>0.04</v>
      </c>
    </row>
    <row r="960" spans="1:4" ht="15.75" customHeight="1">
      <c r="A960" s="15" t="s">
        <v>1295</v>
      </c>
      <c r="B960" s="15" t="s">
        <v>51</v>
      </c>
      <c r="C960" s="15" t="s">
        <v>1054</v>
      </c>
      <c r="D960" s="15">
        <v>0.04</v>
      </c>
    </row>
    <row r="961" spans="1:4" ht="15.75" customHeight="1">
      <c r="A961" s="15" t="s">
        <v>1296</v>
      </c>
      <c r="B961" s="15" t="s">
        <v>51</v>
      </c>
      <c r="C961" s="15" t="s">
        <v>1055</v>
      </c>
      <c r="D961" s="15">
        <v>0.04</v>
      </c>
    </row>
    <row r="962" spans="1:4" ht="15.75" customHeight="1">
      <c r="A962" s="15" t="s">
        <v>1297</v>
      </c>
      <c r="B962" s="15" t="s">
        <v>51</v>
      </c>
      <c r="C962" s="15" t="s">
        <v>28</v>
      </c>
      <c r="D962" s="15">
        <v>0.04</v>
      </c>
    </row>
    <row r="963" spans="1:4" ht="15.75" customHeight="1">
      <c r="A963" s="15" t="s">
        <v>1298</v>
      </c>
      <c r="B963" s="15" t="s">
        <v>51</v>
      </c>
      <c r="C963" s="15" t="s">
        <v>1061</v>
      </c>
      <c r="D963" s="15">
        <v>0.04</v>
      </c>
    </row>
    <row r="964" spans="1:4" ht="15.75" customHeight="1">
      <c r="A964" s="15" t="s">
        <v>1299</v>
      </c>
      <c r="B964" s="15" t="s">
        <v>51</v>
      </c>
      <c r="C964" s="15" t="s">
        <v>1062</v>
      </c>
      <c r="D964" s="15">
        <v>0.04</v>
      </c>
    </row>
    <row r="965" spans="1:4" ht="15.75" customHeight="1">
      <c r="A965" s="15" t="s">
        <v>1300</v>
      </c>
      <c r="B965" s="15" t="s">
        <v>51</v>
      </c>
      <c r="C965" s="15" t="s">
        <v>27</v>
      </c>
      <c r="D965" s="15">
        <v>0.04</v>
      </c>
    </row>
    <row r="966" spans="1:4" ht="15.75" customHeight="1">
      <c r="A966" s="15" t="s">
        <v>1301</v>
      </c>
      <c r="B966" s="15" t="s">
        <v>51</v>
      </c>
      <c r="C966" s="15" t="s">
        <v>732</v>
      </c>
      <c r="D966" s="15">
        <v>0.04</v>
      </c>
    </row>
    <row r="967" spans="1:4" ht="15.75" customHeight="1">
      <c r="A967" s="15" t="s">
        <v>1302</v>
      </c>
      <c r="B967" s="15" t="s">
        <v>51</v>
      </c>
      <c r="C967" s="15" t="s">
        <v>736</v>
      </c>
      <c r="D967" s="15">
        <v>0.04</v>
      </c>
    </row>
    <row r="968" spans="1:4" ht="15.75" customHeight="1">
      <c r="A968" s="15" t="s">
        <v>1303</v>
      </c>
      <c r="B968" s="15" t="s">
        <v>51</v>
      </c>
      <c r="C968" s="15" t="s">
        <v>733</v>
      </c>
      <c r="D968" s="15">
        <v>0.04</v>
      </c>
    </row>
    <row r="969" spans="1:4" ht="15.75" customHeight="1">
      <c r="A969" s="15" t="s">
        <v>1304</v>
      </c>
      <c r="B969" s="15" t="s">
        <v>51</v>
      </c>
      <c r="C969" s="15" t="s">
        <v>1063</v>
      </c>
      <c r="D969" s="15">
        <v>0.04</v>
      </c>
    </row>
    <row r="970" spans="1:4" ht="15.75" customHeight="1">
      <c r="A970" s="15" t="s">
        <v>1305</v>
      </c>
      <c r="B970" s="15" t="s">
        <v>51</v>
      </c>
      <c r="C970" s="15" t="s">
        <v>26</v>
      </c>
      <c r="D970" s="15">
        <v>0.04</v>
      </c>
    </row>
    <row r="971" spans="1:4" ht="15.75" customHeight="1">
      <c r="A971" s="15" t="s">
        <v>1306</v>
      </c>
      <c r="B971" s="15" t="s">
        <v>51</v>
      </c>
      <c r="C971" s="15" t="s">
        <v>23</v>
      </c>
      <c r="D971" s="15">
        <v>0.04</v>
      </c>
    </row>
    <row r="972" spans="1:4" ht="15.75" customHeight="1">
      <c r="A972" s="15" t="s">
        <v>1307</v>
      </c>
      <c r="B972" s="15" t="s">
        <v>51</v>
      </c>
      <c r="C972" s="15" t="s">
        <v>1060</v>
      </c>
      <c r="D972" s="15">
        <v>0.04</v>
      </c>
    </row>
    <row r="973" spans="1:4" ht="15.75" customHeight="1">
      <c r="A973" s="15" t="s">
        <v>1308</v>
      </c>
      <c r="B973" s="15" t="s">
        <v>51</v>
      </c>
      <c r="C973" s="15" t="s">
        <v>1064</v>
      </c>
      <c r="D973" s="15">
        <v>0.04</v>
      </c>
    </row>
    <row r="974" spans="1:4" ht="15.75" customHeight="1">
      <c r="A974" s="15" t="s">
        <v>1309</v>
      </c>
      <c r="B974" s="15" t="s">
        <v>1057</v>
      </c>
      <c r="C974" s="15" t="s">
        <v>1051</v>
      </c>
      <c r="D974" s="15">
        <v>0.04</v>
      </c>
    </row>
    <row r="975" spans="1:4" ht="15.75" customHeight="1">
      <c r="A975" s="15" t="s">
        <v>1310</v>
      </c>
      <c r="B975" s="15" t="s">
        <v>1057</v>
      </c>
      <c r="C975" s="15" t="s">
        <v>1056</v>
      </c>
      <c r="D975" s="15">
        <v>0.04</v>
      </c>
    </row>
    <row r="976" spans="1:4" ht="15.75" customHeight="1">
      <c r="A976" s="15" t="s">
        <v>1311</v>
      </c>
      <c r="B976" s="15" t="s">
        <v>1057</v>
      </c>
      <c r="C976" s="15" t="s">
        <v>1058</v>
      </c>
      <c r="D976" s="15">
        <v>0.04</v>
      </c>
    </row>
    <row r="977" spans="1:4" ht="15.75" customHeight="1">
      <c r="A977" s="15" t="s">
        <v>1312</v>
      </c>
      <c r="B977" s="15" t="s">
        <v>1057</v>
      </c>
      <c r="C977" s="15" t="s">
        <v>29</v>
      </c>
      <c r="D977" s="15">
        <v>0.04</v>
      </c>
    </row>
    <row r="978" spans="1:4" ht="15.75" customHeight="1">
      <c r="A978" s="15" t="s">
        <v>1313</v>
      </c>
      <c r="B978" s="15" t="s">
        <v>1057</v>
      </c>
      <c r="C978" s="15" t="s">
        <v>34</v>
      </c>
      <c r="D978" s="15">
        <v>0.04</v>
      </c>
    </row>
    <row r="979" spans="1:4" ht="15.75" customHeight="1">
      <c r="A979" s="15" t="s">
        <v>1314</v>
      </c>
      <c r="B979" s="15" t="s">
        <v>1057</v>
      </c>
      <c r="C979" s="15" t="s">
        <v>41</v>
      </c>
      <c r="D979" s="15">
        <v>0.04</v>
      </c>
    </row>
    <row r="980" spans="1:4" ht="15.75" customHeight="1">
      <c r="A980" s="15" t="s">
        <v>1315</v>
      </c>
      <c r="B980" s="15" t="s">
        <v>1057</v>
      </c>
      <c r="C980" s="15" t="s">
        <v>1059</v>
      </c>
      <c r="D980" s="15">
        <v>0.04</v>
      </c>
    </row>
    <row r="981" spans="1:4" ht="15.75" customHeight="1">
      <c r="A981" s="15" t="s">
        <v>1316</v>
      </c>
      <c r="B981" s="15" t="s">
        <v>1057</v>
      </c>
      <c r="C981" s="15" t="s">
        <v>25</v>
      </c>
      <c r="D981" s="15">
        <v>0.04</v>
      </c>
    </row>
    <row r="982" spans="1:4" ht="15.75" customHeight="1">
      <c r="A982" s="15" t="s">
        <v>1317</v>
      </c>
      <c r="B982" s="15" t="s">
        <v>1057</v>
      </c>
      <c r="C982" s="15" t="s">
        <v>51</v>
      </c>
      <c r="D982" s="15">
        <v>0.04</v>
      </c>
    </row>
    <row r="983" spans="1:4" ht="15.75" customHeight="1">
      <c r="A983" s="15" t="s">
        <v>1318</v>
      </c>
      <c r="B983" s="15" t="s">
        <v>1057</v>
      </c>
      <c r="C983" s="15" t="s">
        <v>1057</v>
      </c>
      <c r="D983" s="15">
        <v>0.18</v>
      </c>
    </row>
    <row r="984" spans="1:4" ht="15.75" customHeight="1">
      <c r="A984" s="15" t="s">
        <v>1319</v>
      </c>
      <c r="B984" s="15" t="s">
        <v>1057</v>
      </c>
      <c r="C984" s="15" t="s">
        <v>1052</v>
      </c>
      <c r="D984" s="15">
        <v>0.04</v>
      </c>
    </row>
    <row r="985" spans="1:4" ht="15.75" customHeight="1">
      <c r="A985" s="15" t="s">
        <v>1320</v>
      </c>
      <c r="B985" s="15" t="s">
        <v>1057</v>
      </c>
      <c r="C985" s="15" t="s">
        <v>1053</v>
      </c>
      <c r="D985" s="15">
        <v>0.04</v>
      </c>
    </row>
    <row r="986" spans="1:4" ht="15.75" customHeight="1">
      <c r="A986" s="15" t="s">
        <v>1321</v>
      </c>
      <c r="B986" s="15" t="s">
        <v>1057</v>
      </c>
      <c r="C986" s="15" t="s">
        <v>24</v>
      </c>
      <c r="D986" s="15">
        <v>0.04</v>
      </c>
    </row>
    <row r="987" spans="1:4" ht="15.75" customHeight="1">
      <c r="A987" s="15" t="s">
        <v>1322</v>
      </c>
      <c r="B987" s="15" t="s">
        <v>1057</v>
      </c>
      <c r="C987" s="15" t="s">
        <v>1054</v>
      </c>
      <c r="D987" s="15">
        <v>0.04</v>
      </c>
    </row>
    <row r="988" spans="1:4" ht="15.75" customHeight="1">
      <c r="A988" s="15" t="s">
        <v>1323</v>
      </c>
      <c r="B988" s="15" t="s">
        <v>1057</v>
      </c>
      <c r="C988" s="15" t="s">
        <v>1055</v>
      </c>
      <c r="D988" s="15">
        <v>0.04</v>
      </c>
    </row>
    <row r="989" spans="1:4" ht="15.75" customHeight="1">
      <c r="A989" s="15" t="s">
        <v>1324</v>
      </c>
      <c r="B989" s="15" t="s">
        <v>1057</v>
      </c>
      <c r="C989" s="15" t="s">
        <v>28</v>
      </c>
      <c r="D989" s="15">
        <v>0.04</v>
      </c>
    </row>
    <row r="990" spans="1:4" ht="15.75" customHeight="1">
      <c r="A990" s="15" t="s">
        <v>1325</v>
      </c>
      <c r="B990" s="15" t="s">
        <v>1057</v>
      </c>
      <c r="C990" s="15" t="s">
        <v>1061</v>
      </c>
      <c r="D990" s="15">
        <v>0.04</v>
      </c>
    </row>
    <row r="991" spans="1:4" ht="15.75" customHeight="1">
      <c r="A991" s="15" t="s">
        <v>1326</v>
      </c>
      <c r="B991" s="15" t="s">
        <v>1057</v>
      </c>
      <c r="C991" s="15" t="s">
        <v>1062</v>
      </c>
      <c r="D991" s="15">
        <v>0.04</v>
      </c>
    </row>
    <row r="992" spans="1:4" ht="15.75" customHeight="1">
      <c r="A992" s="15" t="s">
        <v>1327</v>
      </c>
      <c r="B992" s="15" t="s">
        <v>1057</v>
      </c>
      <c r="C992" s="15" t="s">
        <v>27</v>
      </c>
      <c r="D992" s="15">
        <v>0.04</v>
      </c>
    </row>
    <row r="993" spans="1:4" ht="15.75" customHeight="1">
      <c r="A993" s="15" t="s">
        <v>1328</v>
      </c>
      <c r="B993" s="15" t="s">
        <v>1057</v>
      </c>
      <c r="C993" s="15" t="s">
        <v>732</v>
      </c>
      <c r="D993" s="15">
        <v>0.04</v>
      </c>
    </row>
    <row r="994" spans="1:4" ht="15.75" customHeight="1">
      <c r="A994" s="15" t="s">
        <v>1329</v>
      </c>
      <c r="B994" s="15" t="s">
        <v>1057</v>
      </c>
      <c r="C994" s="15" t="s">
        <v>736</v>
      </c>
      <c r="D994" s="15">
        <v>0.04</v>
      </c>
    </row>
    <row r="995" spans="1:4" ht="15.75" customHeight="1">
      <c r="A995" s="15" t="s">
        <v>1330</v>
      </c>
      <c r="B995" s="15" t="s">
        <v>1057</v>
      </c>
      <c r="C995" s="15" t="s">
        <v>733</v>
      </c>
      <c r="D995" s="15">
        <v>0.04</v>
      </c>
    </row>
    <row r="996" spans="1:4" ht="15.75" customHeight="1">
      <c r="A996" s="15" t="s">
        <v>1331</v>
      </c>
      <c r="B996" s="15" t="s">
        <v>1057</v>
      </c>
      <c r="C996" s="15" t="s">
        <v>1063</v>
      </c>
      <c r="D996" s="15">
        <v>0.04</v>
      </c>
    </row>
    <row r="997" spans="1:4" ht="15.75" customHeight="1">
      <c r="A997" s="15" t="s">
        <v>1332</v>
      </c>
      <c r="B997" s="15" t="s">
        <v>1057</v>
      </c>
      <c r="C997" s="15" t="s">
        <v>26</v>
      </c>
      <c r="D997" s="15">
        <v>0.04</v>
      </c>
    </row>
    <row r="998" spans="1:4" ht="15.75" customHeight="1">
      <c r="A998" s="15" t="s">
        <v>1333</v>
      </c>
      <c r="B998" s="15" t="s">
        <v>1057</v>
      </c>
      <c r="C998" s="15" t="s">
        <v>23</v>
      </c>
      <c r="D998" s="15">
        <v>0.04</v>
      </c>
    </row>
    <row r="999" spans="1:4" ht="15.75" customHeight="1">
      <c r="A999" s="15" t="s">
        <v>1334</v>
      </c>
      <c r="B999" s="15" t="s">
        <v>1057</v>
      </c>
      <c r="C999" s="15" t="s">
        <v>1060</v>
      </c>
      <c r="D999" s="15">
        <v>0.04</v>
      </c>
    </row>
    <row r="1000" spans="1:4" ht="15.75" customHeight="1">
      <c r="A1000" s="15" t="s">
        <v>1335</v>
      </c>
      <c r="B1000" s="15" t="s">
        <v>1057</v>
      </c>
      <c r="C1000" s="15" t="s">
        <v>1064</v>
      </c>
      <c r="D1000" s="15">
        <v>0.04</v>
      </c>
    </row>
    <row r="1001" spans="1:4" ht="15.75" customHeight="1">
      <c r="A1001" s="15" t="s">
        <v>1336</v>
      </c>
      <c r="B1001" s="15" t="s">
        <v>1052</v>
      </c>
      <c r="C1001" s="15" t="s">
        <v>1051</v>
      </c>
      <c r="D1001" s="15">
        <v>0.04</v>
      </c>
    </row>
    <row r="1002" spans="1:4" ht="15.75" customHeight="1">
      <c r="A1002" s="15" t="s">
        <v>1337</v>
      </c>
      <c r="B1002" s="15" t="s">
        <v>1052</v>
      </c>
      <c r="C1002" s="15" t="s">
        <v>1056</v>
      </c>
      <c r="D1002" s="15">
        <v>0.04</v>
      </c>
    </row>
    <row r="1003" spans="1:4" ht="15.75" customHeight="1">
      <c r="A1003" s="15" t="s">
        <v>1338</v>
      </c>
      <c r="B1003" s="15" t="s">
        <v>1052</v>
      </c>
      <c r="C1003" s="15" t="s">
        <v>1058</v>
      </c>
      <c r="D1003" s="15">
        <v>0.04</v>
      </c>
    </row>
    <row r="1004" spans="1:4" ht="15.75" customHeight="1">
      <c r="A1004" s="15" t="s">
        <v>1339</v>
      </c>
      <c r="B1004" s="15" t="s">
        <v>1052</v>
      </c>
      <c r="C1004" s="15" t="s">
        <v>29</v>
      </c>
      <c r="D1004" s="15">
        <v>0.04</v>
      </c>
    </row>
    <row r="1005" spans="1:4" ht="15.75" customHeight="1">
      <c r="A1005" s="15" t="s">
        <v>1340</v>
      </c>
      <c r="B1005" s="15" t="s">
        <v>1052</v>
      </c>
      <c r="C1005" s="15" t="s">
        <v>34</v>
      </c>
      <c r="D1005" s="15">
        <v>0.04</v>
      </c>
    </row>
    <row r="1006" spans="1:4" ht="15.75" customHeight="1">
      <c r="A1006" s="15" t="s">
        <v>1341</v>
      </c>
      <c r="B1006" s="15" t="s">
        <v>1052</v>
      </c>
      <c r="C1006" s="15" t="s">
        <v>41</v>
      </c>
      <c r="D1006" s="15">
        <v>0.04</v>
      </c>
    </row>
    <row r="1007" spans="1:4" ht="15.75" customHeight="1">
      <c r="A1007" s="15" t="s">
        <v>1342</v>
      </c>
      <c r="B1007" s="15" t="s">
        <v>1052</v>
      </c>
      <c r="C1007" s="15" t="s">
        <v>1059</v>
      </c>
      <c r="D1007" s="15">
        <v>0.04</v>
      </c>
    </row>
    <row r="1008" spans="1:4" ht="15.75" customHeight="1">
      <c r="A1008" s="15" t="s">
        <v>1343</v>
      </c>
      <c r="B1008" s="15" t="s">
        <v>1052</v>
      </c>
      <c r="C1008" s="15" t="s">
        <v>25</v>
      </c>
      <c r="D1008" s="15">
        <v>0.04</v>
      </c>
    </row>
    <row r="1009" spans="1:4" ht="15.75" customHeight="1">
      <c r="A1009" s="15" t="s">
        <v>1344</v>
      </c>
      <c r="B1009" s="15" t="s">
        <v>1052</v>
      </c>
      <c r="C1009" s="15" t="s">
        <v>51</v>
      </c>
      <c r="D1009" s="15">
        <v>0.04</v>
      </c>
    </row>
    <row r="1010" spans="1:4" ht="15.75" customHeight="1">
      <c r="A1010" s="15" t="s">
        <v>1345</v>
      </c>
      <c r="B1010" s="15" t="s">
        <v>1052</v>
      </c>
      <c r="C1010" s="15" t="s">
        <v>1057</v>
      </c>
      <c r="D1010" s="15">
        <v>0.04</v>
      </c>
    </row>
    <row r="1011" spans="1:4" ht="15.75" customHeight="1">
      <c r="A1011" s="15" t="s">
        <v>1346</v>
      </c>
      <c r="B1011" s="15" t="s">
        <v>1052</v>
      </c>
      <c r="C1011" s="15" t="s">
        <v>1052</v>
      </c>
      <c r="D1011" s="15">
        <v>0.18</v>
      </c>
    </row>
    <row r="1012" spans="1:4" ht="15.75" customHeight="1">
      <c r="A1012" s="15" t="s">
        <v>1347</v>
      </c>
      <c r="B1012" s="15" t="s">
        <v>1052</v>
      </c>
      <c r="C1012" s="15" t="s">
        <v>1053</v>
      </c>
      <c r="D1012" s="15">
        <v>0.04</v>
      </c>
    </row>
    <row r="1013" spans="1:4" ht="15.75" customHeight="1">
      <c r="A1013" s="15" t="s">
        <v>1348</v>
      </c>
      <c r="B1013" s="15" t="s">
        <v>1052</v>
      </c>
      <c r="C1013" s="15" t="s">
        <v>24</v>
      </c>
      <c r="D1013" s="15">
        <v>0.04</v>
      </c>
    </row>
    <row r="1014" spans="1:4" ht="15.75" customHeight="1">
      <c r="A1014" s="15" t="s">
        <v>1349</v>
      </c>
      <c r="B1014" s="15" t="s">
        <v>1052</v>
      </c>
      <c r="C1014" s="15" t="s">
        <v>1054</v>
      </c>
      <c r="D1014" s="15">
        <v>0.04</v>
      </c>
    </row>
    <row r="1015" spans="1:4" ht="15.75" customHeight="1">
      <c r="A1015" s="15" t="s">
        <v>1350</v>
      </c>
      <c r="B1015" s="15" t="s">
        <v>1052</v>
      </c>
      <c r="C1015" s="15" t="s">
        <v>1055</v>
      </c>
      <c r="D1015" s="15">
        <v>0.04</v>
      </c>
    </row>
    <row r="1016" spans="1:4" ht="15.75" customHeight="1">
      <c r="A1016" s="15" t="s">
        <v>1351</v>
      </c>
      <c r="B1016" s="15" t="s">
        <v>1052</v>
      </c>
      <c r="C1016" s="15" t="s">
        <v>28</v>
      </c>
      <c r="D1016" s="15">
        <v>0.04</v>
      </c>
    </row>
    <row r="1017" spans="1:4" ht="15.75" customHeight="1">
      <c r="A1017" s="15" t="s">
        <v>1352</v>
      </c>
      <c r="B1017" s="15" t="s">
        <v>1052</v>
      </c>
      <c r="C1017" s="15" t="s">
        <v>1061</v>
      </c>
      <c r="D1017" s="15">
        <v>0.04</v>
      </c>
    </row>
    <row r="1018" spans="1:4" ht="15.75" customHeight="1">
      <c r="A1018" s="15" t="s">
        <v>1353</v>
      </c>
      <c r="B1018" s="15" t="s">
        <v>1052</v>
      </c>
      <c r="C1018" s="15" t="s">
        <v>1062</v>
      </c>
      <c r="D1018" s="15">
        <v>0.04</v>
      </c>
    </row>
    <row r="1019" spans="1:4" ht="15.75" customHeight="1">
      <c r="A1019" s="15" t="s">
        <v>1354</v>
      </c>
      <c r="B1019" s="15" t="s">
        <v>1052</v>
      </c>
      <c r="C1019" s="15" t="s">
        <v>27</v>
      </c>
      <c r="D1019" s="15">
        <v>0.04</v>
      </c>
    </row>
    <row r="1020" spans="1:4" ht="15.75" customHeight="1">
      <c r="A1020" s="15" t="s">
        <v>1355</v>
      </c>
      <c r="B1020" s="15" t="s">
        <v>1052</v>
      </c>
      <c r="C1020" s="15" t="s">
        <v>732</v>
      </c>
      <c r="D1020" s="15">
        <v>0.04</v>
      </c>
    </row>
    <row r="1021" spans="1:4" ht="15.75" customHeight="1">
      <c r="A1021" s="15" t="s">
        <v>1356</v>
      </c>
      <c r="B1021" s="15" t="s">
        <v>1052</v>
      </c>
      <c r="C1021" s="15" t="s">
        <v>736</v>
      </c>
      <c r="D1021" s="15">
        <v>0.04</v>
      </c>
    </row>
    <row r="1022" spans="1:4" ht="15.75" customHeight="1">
      <c r="A1022" s="15" t="s">
        <v>1357</v>
      </c>
      <c r="B1022" s="15" t="s">
        <v>1052</v>
      </c>
      <c r="C1022" s="15" t="s">
        <v>733</v>
      </c>
      <c r="D1022" s="15">
        <v>0.04</v>
      </c>
    </row>
    <row r="1023" spans="1:4" ht="15.75" customHeight="1">
      <c r="A1023" s="15" t="s">
        <v>1358</v>
      </c>
      <c r="B1023" s="15" t="s">
        <v>1052</v>
      </c>
      <c r="C1023" s="15" t="s">
        <v>1063</v>
      </c>
      <c r="D1023" s="15">
        <v>0.04</v>
      </c>
    </row>
    <row r="1024" spans="1:4" ht="15.75" customHeight="1">
      <c r="A1024" s="15" t="s">
        <v>1359</v>
      </c>
      <c r="B1024" s="15" t="s">
        <v>1052</v>
      </c>
      <c r="C1024" s="15" t="s">
        <v>26</v>
      </c>
      <c r="D1024" s="15">
        <v>0.04</v>
      </c>
    </row>
    <row r="1025" spans="1:4" ht="15.75" customHeight="1">
      <c r="A1025" s="15" t="s">
        <v>1360</v>
      </c>
      <c r="B1025" s="15" t="s">
        <v>1052</v>
      </c>
      <c r="C1025" s="15" t="s">
        <v>23</v>
      </c>
      <c r="D1025" s="15">
        <v>0.04</v>
      </c>
    </row>
    <row r="1026" spans="1:4" ht="15.75" customHeight="1">
      <c r="A1026" s="15" t="s">
        <v>1361</v>
      </c>
      <c r="B1026" s="15" t="s">
        <v>1052</v>
      </c>
      <c r="C1026" s="15" t="s">
        <v>1060</v>
      </c>
      <c r="D1026" s="15">
        <v>0.04</v>
      </c>
    </row>
    <row r="1027" spans="1:4" ht="15.75" customHeight="1">
      <c r="A1027" s="15" t="s">
        <v>1362</v>
      </c>
      <c r="B1027" s="15" t="s">
        <v>1052</v>
      </c>
      <c r="C1027" s="15" t="s">
        <v>1064</v>
      </c>
      <c r="D1027" s="15">
        <v>0.04</v>
      </c>
    </row>
    <row r="1028" spans="1:4" ht="15.75" customHeight="1">
      <c r="A1028" s="15" t="s">
        <v>1363</v>
      </c>
      <c r="B1028" s="15" t="s">
        <v>1053</v>
      </c>
      <c r="C1028" s="15" t="s">
        <v>1051</v>
      </c>
      <c r="D1028" s="15">
        <v>0.04</v>
      </c>
    </row>
    <row r="1029" spans="1:4" ht="15.75" customHeight="1">
      <c r="A1029" s="15" t="s">
        <v>1364</v>
      </c>
      <c r="B1029" s="15" t="s">
        <v>1053</v>
      </c>
      <c r="C1029" s="15" t="s">
        <v>1056</v>
      </c>
      <c r="D1029" s="15">
        <v>0.04</v>
      </c>
    </row>
    <row r="1030" spans="1:4" ht="15.75" customHeight="1">
      <c r="A1030" s="15" t="s">
        <v>1365</v>
      </c>
      <c r="B1030" s="15" t="s">
        <v>1053</v>
      </c>
      <c r="C1030" s="15" t="s">
        <v>1058</v>
      </c>
      <c r="D1030" s="15">
        <v>0.04</v>
      </c>
    </row>
    <row r="1031" spans="1:4" ht="15.75" customHeight="1">
      <c r="A1031" s="15" t="s">
        <v>1366</v>
      </c>
      <c r="B1031" s="15" t="s">
        <v>1053</v>
      </c>
      <c r="C1031" s="15" t="s">
        <v>29</v>
      </c>
      <c r="D1031" s="15">
        <v>0.04</v>
      </c>
    </row>
    <row r="1032" spans="1:4" ht="15.75" customHeight="1">
      <c r="A1032" s="15" t="s">
        <v>1367</v>
      </c>
      <c r="B1032" s="15" t="s">
        <v>1053</v>
      </c>
      <c r="C1032" s="15" t="s">
        <v>34</v>
      </c>
      <c r="D1032" s="15">
        <v>0.04</v>
      </c>
    </row>
    <row r="1033" spans="1:4" ht="15.75" customHeight="1">
      <c r="A1033" s="15" t="s">
        <v>1368</v>
      </c>
      <c r="B1033" s="15" t="s">
        <v>1053</v>
      </c>
      <c r="C1033" s="15" t="s">
        <v>41</v>
      </c>
      <c r="D1033" s="15">
        <v>0.04</v>
      </c>
    </row>
    <row r="1034" spans="1:4" ht="15.75" customHeight="1">
      <c r="A1034" s="15" t="s">
        <v>1369</v>
      </c>
      <c r="B1034" s="15" t="s">
        <v>1053</v>
      </c>
      <c r="C1034" s="15" t="s">
        <v>1059</v>
      </c>
      <c r="D1034" s="15">
        <v>0.04</v>
      </c>
    </row>
    <row r="1035" spans="1:4" ht="15.75" customHeight="1">
      <c r="A1035" s="15" t="s">
        <v>1370</v>
      </c>
      <c r="B1035" s="15" t="s">
        <v>1053</v>
      </c>
      <c r="C1035" s="15" t="s">
        <v>25</v>
      </c>
      <c r="D1035" s="15">
        <v>0.04</v>
      </c>
    </row>
    <row r="1036" spans="1:4" ht="15.75" customHeight="1">
      <c r="A1036" s="15" t="s">
        <v>1371</v>
      </c>
      <c r="B1036" s="15" t="s">
        <v>1053</v>
      </c>
      <c r="C1036" s="15" t="s">
        <v>51</v>
      </c>
      <c r="D1036" s="15">
        <v>0.04</v>
      </c>
    </row>
    <row r="1037" spans="1:4" ht="15.75" customHeight="1">
      <c r="A1037" s="15" t="s">
        <v>1372</v>
      </c>
      <c r="B1037" s="15" t="s">
        <v>1053</v>
      </c>
      <c r="C1037" s="15" t="s">
        <v>1057</v>
      </c>
      <c r="D1037" s="15">
        <v>0.04</v>
      </c>
    </row>
    <row r="1038" spans="1:4" ht="15.75" customHeight="1">
      <c r="A1038" s="15" t="s">
        <v>1373</v>
      </c>
      <c r="B1038" s="15" t="s">
        <v>1053</v>
      </c>
      <c r="C1038" s="15" t="s">
        <v>1052</v>
      </c>
      <c r="D1038" s="15">
        <v>0.04</v>
      </c>
    </row>
    <row r="1039" spans="1:4" ht="15.75" customHeight="1">
      <c r="A1039" s="15" t="s">
        <v>1374</v>
      </c>
      <c r="B1039" s="15" t="s">
        <v>1053</v>
      </c>
      <c r="C1039" s="15" t="s">
        <v>1053</v>
      </c>
      <c r="D1039" s="15">
        <v>0.18</v>
      </c>
    </row>
    <row r="1040" spans="1:4" ht="15.75" customHeight="1">
      <c r="A1040" s="15" t="s">
        <v>1375</v>
      </c>
      <c r="B1040" s="15" t="s">
        <v>1053</v>
      </c>
      <c r="C1040" s="15" t="s">
        <v>24</v>
      </c>
      <c r="D1040" s="15">
        <v>0.04</v>
      </c>
    </row>
    <row r="1041" spans="1:4" ht="15.75" customHeight="1">
      <c r="A1041" s="15" t="s">
        <v>1376</v>
      </c>
      <c r="B1041" s="15" t="s">
        <v>1053</v>
      </c>
      <c r="C1041" s="15" t="s">
        <v>1054</v>
      </c>
      <c r="D1041" s="15">
        <v>0.04</v>
      </c>
    </row>
    <row r="1042" spans="1:4" ht="15.75" customHeight="1">
      <c r="A1042" s="15" t="s">
        <v>1377</v>
      </c>
      <c r="B1042" s="15" t="s">
        <v>1053</v>
      </c>
      <c r="C1042" s="15" t="s">
        <v>1055</v>
      </c>
      <c r="D1042" s="15">
        <v>0.04</v>
      </c>
    </row>
    <row r="1043" spans="1:4" ht="15.75" customHeight="1">
      <c r="A1043" s="15" t="s">
        <v>1378</v>
      </c>
      <c r="B1043" s="15" t="s">
        <v>1053</v>
      </c>
      <c r="C1043" s="15" t="s">
        <v>28</v>
      </c>
      <c r="D1043" s="15">
        <v>0.04</v>
      </c>
    </row>
    <row r="1044" spans="1:4" ht="15.75" customHeight="1">
      <c r="A1044" s="15" t="s">
        <v>1379</v>
      </c>
      <c r="B1044" s="15" t="s">
        <v>1053</v>
      </c>
      <c r="C1044" s="15" t="s">
        <v>1061</v>
      </c>
      <c r="D1044" s="15">
        <v>0.04</v>
      </c>
    </row>
    <row r="1045" spans="1:4" ht="15.75" customHeight="1">
      <c r="A1045" s="15" t="s">
        <v>1380</v>
      </c>
      <c r="B1045" s="15" t="s">
        <v>1053</v>
      </c>
      <c r="C1045" s="15" t="s">
        <v>1062</v>
      </c>
      <c r="D1045" s="15">
        <v>0.04</v>
      </c>
    </row>
    <row r="1046" spans="1:4" ht="15.75" customHeight="1">
      <c r="A1046" s="15" t="s">
        <v>1381</v>
      </c>
      <c r="B1046" s="15" t="s">
        <v>1053</v>
      </c>
      <c r="C1046" s="15" t="s">
        <v>27</v>
      </c>
      <c r="D1046" s="15">
        <v>0.04</v>
      </c>
    </row>
    <row r="1047" spans="1:4" ht="15.75" customHeight="1">
      <c r="A1047" s="15" t="s">
        <v>1382</v>
      </c>
      <c r="B1047" s="15" t="s">
        <v>1053</v>
      </c>
      <c r="C1047" s="15" t="s">
        <v>732</v>
      </c>
      <c r="D1047" s="15">
        <v>0.04</v>
      </c>
    </row>
    <row r="1048" spans="1:4" ht="15.75" customHeight="1">
      <c r="A1048" s="15" t="s">
        <v>1383</v>
      </c>
      <c r="B1048" s="15" t="s">
        <v>1053</v>
      </c>
      <c r="C1048" s="15" t="s">
        <v>736</v>
      </c>
      <c r="D1048" s="15">
        <v>0.04</v>
      </c>
    </row>
    <row r="1049" spans="1:4" ht="15.75" customHeight="1">
      <c r="A1049" s="15" t="s">
        <v>1384</v>
      </c>
      <c r="B1049" s="15" t="s">
        <v>1053</v>
      </c>
      <c r="C1049" s="15" t="s">
        <v>733</v>
      </c>
      <c r="D1049" s="15">
        <v>0.04</v>
      </c>
    </row>
    <row r="1050" spans="1:4" ht="15.75" customHeight="1">
      <c r="A1050" s="15" t="s">
        <v>1385</v>
      </c>
      <c r="B1050" s="15" t="s">
        <v>1053</v>
      </c>
      <c r="C1050" s="15" t="s">
        <v>1063</v>
      </c>
      <c r="D1050" s="15">
        <v>0.04</v>
      </c>
    </row>
    <row r="1051" spans="1:4" ht="15.75" customHeight="1">
      <c r="A1051" s="15" t="s">
        <v>1386</v>
      </c>
      <c r="B1051" s="15" t="s">
        <v>1053</v>
      </c>
      <c r="C1051" s="15" t="s">
        <v>26</v>
      </c>
      <c r="D1051" s="15">
        <v>0.04</v>
      </c>
    </row>
    <row r="1052" spans="1:4" ht="15.75" customHeight="1">
      <c r="A1052" s="15" t="s">
        <v>1387</v>
      </c>
      <c r="B1052" s="15" t="s">
        <v>1053</v>
      </c>
      <c r="C1052" s="15" t="s">
        <v>23</v>
      </c>
      <c r="D1052" s="15">
        <v>0.04</v>
      </c>
    </row>
    <row r="1053" spans="1:4" ht="15.75" customHeight="1">
      <c r="A1053" s="15" t="s">
        <v>1388</v>
      </c>
      <c r="B1053" s="15" t="s">
        <v>1053</v>
      </c>
      <c r="C1053" s="15" t="s">
        <v>1060</v>
      </c>
      <c r="D1053" s="15">
        <v>0.04</v>
      </c>
    </row>
    <row r="1054" spans="1:4" ht="15.75" customHeight="1">
      <c r="A1054" s="15" t="s">
        <v>1389</v>
      </c>
      <c r="B1054" s="15" t="s">
        <v>1053</v>
      </c>
      <c r="C1054" s="15" t="s">
        <v>1064</v>
      </c>
      <c r="D1054" s="15">
        <v>0.04</v>
      </c>
    </row>
    <row r="1055" spans="1:4" ht="15.75" customHeight="1">
      <c r="A1055" s="15" t="s">
        <v>1390</v>
      </c>
      <c r="B1055" s="15" t="s">
        <v>24</v>
      </c>
      <c r="C1055" s="15" t="s">
        <v>1051</v>
      </c>
      <c r="D1055" s="15">
        <v>0.04</v>
      </c>
    </row>
    <row r="1056" spans="1:4" ht="15.75" customHeight="1">
      <c r="A1056" s="15" t="s">
        <v>1391</v>
      </c>
      <c r="B1056" s="15" t="s">
        <v>24</v>
      </c>
      <c r="C1056" s="15" t="s">
        <v>1056</v>
      </c>
      <c r="D1056" s="15">
        <v>0.04</v>
      </c>
    </row>
    <row r="1057" spans="1:4" ht="15.75" customHeight="1">
      <c r="A1057" s="15" t="s">
        <v>1392</v>
      </c>
      <c r="B1057" s="15" t="s">
        <v>24</v>
      </c>
      <c r="C1057" s="15" t="s">
        <v>1058</v>
      </c>
      <c r="D1057" s="15">
        <v>0.04</v>
      </c>
    </row>
    <row r="1058" spans="1:4" ht="15.75" customHeight="1">
      <c r="A1058" s="15" t="s">
        <v>1393</v>
      </c>
      <c r="B1058" s="15" t="s">
        <v>24</v>
      </c>
      <c r="C1058" s="15" t="s">
        <v>29</v>
      </c>
      <c r="D1058" s="15">
        <v>0.04</v>
      </c>
    </row>
    <row r="1059" spans="1:4" ht="15.75" customHeight="1">
      <c r="A1059" s="15" t="s">
        <v>1394</v>
      </c>
      <c r="B1059" s="15" t="s">
        <v>24</v>
      </c>
      <c r="C1059" s="15" t="s">
        <v>34</v>
      </c>
      <c r="D1059" s="15">
        <v>0.04</v>
      </c>
    </row>
    <row r="1060" spans="1:4" ht="15.75" customHeight="1">
      <c r="A1060" s="15" t="s">
        <v>1395</v>
      </c>
      <c r="B1060" s="15" t="s">
        <v>24</v>
      </c>
      <c r="C1060" s="15" t="s">
        <v>41</v>
      </c>
      <c r="D1060" s="15">
        <v>0.04</v>
      </c>
    </row>
    <row r="1061" spans="1:4" ht="15.75" customHeight="1">
      <c r="A1061" s="15" t="s">
        <v>1396</v>
      </c>
      <c r="B1061" s="15" t="s">
        <v>24</v>
      </c>
      <c r="C1061" s="15" t="s">
        <v>1059</v>
      </c>
      <c r="D1061" s="15">
        <v>0.04</v>
      </c>
    </row>
    <row r="1062" spans="1:4" ht="15.75" customHeight="1">
      <c r="A1062" s="15" t="s">
        <v>1397</v>
      </c>
      <c r="B1062" s="15" t="s">
        <v>24</v>
      </c>
      <c r="C1062" s="15" t="s">
        <v>25</v>
      </c>
      <c r="D1062" s="15">
        <v>0.04</v>
      </c>
    </row>
    <row r="1063" spans="1:4" ht="15.75" customHeight="1">
      <c r="A1063" s="15" t="s">
        <v>1398</v>
      </c>
      <c r="B1063" s="15" t="s">
        <v>24</v>
      </c>
      <c r="C1063" s="15" t="s">
        <v>51</v>
      </c>
      <c r="D1063" s="15">
        <v>0.04</v>
      </c>
    </row>
    <row r="1064" spans="1:4" ht="15.75" customHeight="1">
      <c r="A1064" s="15" t="s">
        <v>1399</v>
      </c>
      <c r="B1064" s="15" t="s">
        <v>24</v>
      </c>
      <c r="C1064" s="15" t="s">
        <v>1057</v>
      </c>
      <c r="D1064" s="15">
        <v>0.04</v>
      </c>
    </row>
    <row r="1065" spans="1:4" ht="15.75" customHeight="1">
      <c r="A1065" s="15" t="s">
        <v>1400</v>
      </c>
      <c r="B1065" s="15" t="s">
        <v>24</v>
      </c>
      <c r="C1065" s="15" t="s">
        <v>1052</v>
      </c>
      <c r="D1065" s="15">
        <v>0.04</v>
      </c>
    </row>
    <row r="1066" spans="1:4" ht="15.75" customHeight="1">
      <c r="A1066" s="15" t="s">
        <v>1401</v>
      </c>
      <c r="B1066" s="15" t="s">
        <v>24</v>
      </c>
      <c r="C1066" s="15" t="s">
        <v>1053</v>
      </c>
      <c r="D1066" s="15">
        <v>0.04</v>
      </c>
    </row>
    <row r="1067" spans="1:4" ht="15.75" customHeight="1">
      <c r="A1067" s="15" t="s">
        <v>1402</v>
      </c>
      <c r="B1067" s="15" t="s">
        <v>24</v>
      </c>
      <c r="C1067" s="15" t="s">
        <v>24</v>
      </c>
      <c r="D1067" s="15">
        <v>0.18</v>
      </c>
    </row>
    <row r="1068" spans="1:4" ht="15.75" customHeight="1">
      <c r="A1068" s="15" t="s">
        <v>1403</v>
      </c>
      <c r="B1068" s="15" t="s">
        <v>24</v>
      </c>
      <c r="C1068" s="15" t="s">
        <v>1054</v>
      </c>
      <c r="D1068" s="15">
        <v>0.04</v>
      </c>
    </row>
    <row r="1069" spans="1:4" ht="15.75" customHeight="1">
      <c r="A1069" s="15" t="s">
        <v>1404</v>
      </c>
      <c r="B1069" s="15" t="s">
        <v>24</v>
      </c>
      <c r="C1069" s="15" t="s">
        <v>1055</v>
      </c>
      <c r="D1069" s="15">
        <v>0.04</v>
      </c>
    </row>
    <row r="1070" spans="1:4" ht="15.75" customHeight="1">
      <c r="A1070" s="15" t="s">
        <v>1405</v>
      </c>
      <c r="B1070" s="15" t="s">
        <v>24</v>
      </c>
      <c r="C1070" s="15" t="s">
        <v>28</v>
      </c>
      <c r="D1070" s="15">
        <v>0.04</v>
      </c>
    </row>
    <row r="1071" spans="1:4" ht="15.75" customHeight="1">
      <c r="A1071" s="15" t="s">
        <v>1406</v>
      </c>
      <c r="B1071" s="15" t="s">
        <v>24</v>
      </c>
      <c r="C1071" s="15" t="s">
        <v>1061</v>
      </c>
      <c r="D1071" s="15">
        <v>0.04</v>
      </c>
    </row>
    <row r="1072" spans="1:4" ht="15.75" customHeight="1">
      <c r="A1072" s="15" t="s">
        <v>1407</v>
      </c>
      <c r="B1072" s="15" t="s">
        <v>24</v>
      </c>
      <c r="C1072" s="15" t="s">
        <v>1062</v>
      </c>
      <c r="D1072" s="15">
        <v>0.04</v>
      </c>
    </row>
    <row r="1073" spans="1:4" ht="15.75" customHeight="1">
      <c r="A1073" s="15" t="s">
        <v>1408</v>
      </c>
      <c r="B1073" s="15" t="s">
        <v>24</v>
      </c>
      <c r="C1073" s="15" t="s">
        <v>27</v>
      </c>
      <c r="D1073" s="15">
        <v>0.04</v>
      </c>
    </row>
    <row r="1074" spans="1:4" ht="15.75" customHeight="1">
      <c r="A1074" s="15" t="s">
        <v>1409</v>
      </c>
      <c r="B1074" s="15" t="s">
        <v>24</v>
      </c>
      <c r="C1074" s="15" t="s">
        <v>732</v>
      </c>
      <c r="D1074" s="15">
        <v>0.04</v>
      </c>
    </row>
    <row r="1075" spans="1:4" ht="15.75" customHeight="1">
      <c r="A1075" s="15" t="s">
        <v>1410</v>
      </c>
      <c r="B1075" s="15" t="s">
        <v>24</v>
      </c>
      <c r="C1075" s="15" t="s">
        <v>736</v>
      </c>
      <c r="D1075" s="15">
        <v>0.04</v>
      </c>
    </row>
    <row r="1076" spans="1:4" ht="15.75" customHeight="1">
      <c r="A1076" s="15" t="s">
        <v>1411</v>
      </c>
      <c r="B1076" s="15" t="s">
        <v>24</v>
      </c>
      <c r="C1076" s="15" t="s">
        <v>733</v>
      </c>
      <c r="D1076" s="15">
        <v>0.04</v>
      </c>
    </row>
    <row r="1077" spans="1:4" ht="15.75" customHeight="1">
      <c r="A1077" s="15" t="s">
        <v>1412</v>
      </c>
      <c r="B1077" s="15" t="s">
        <v>24</v>
      </c>
      <c r="C1077" s="15" t="s">
        <v>1063</v>
      </c>
      <c r="D1077" s="15">
        <v>0.04</v>
      </c>
    </row>
    <row r="1078" spans="1:4" ht="15.75" customHeight="1">
      <c r="A1078" s="15" t="s">
        <v>1413</v>
      </c>
      <c r="B1078" s="15" t="s">
        <v>24</v>
      </c>
      <c r="C1078" s="15" t="s">
        <v>26</v>
      </c>
      <c r="D1078" s="15">
        <v>0.04</v>
      </c>
    </row>
    <row r="1079" spans="1:4" ht="15.75" customHeight="1">
      <c r="A1079" s="15" t="s">
        <v>1414</v>
      </c>
      <c r="B1079" s="15" t="s">
        <v>24</v>
      </c>
      <c r="C1079" s="15" t="s">
        <v>23</v>
      </c>
      <c r="D1079" s="15">
        <v>0.04</v>
      </c>
    </row>
    <row r="1080" spans="1:4" ht="15.75" customHeight="1">
      <c r="A1080" s="15" t="s">
        <v>1415</v>
      </c>
      <c r="B1080" s="15" t="s">
        <v>24</v>
      </c>
      <c r="C1080" s="15" t="s">
        <v>1060</v>
      </c>
      <c r="D1080" s="15">
        <v>0.04</v>
      </c>
    </row>
    <row r="1081" spans="1:4" ht="15.75" customHeight="1">
      <c r="A1081" s="15" t="s">
        <v>1416</v>
      </c>
      <c r="B1081" s="15" t="s">
        <v>24</v>
      </c>
      <c r="C1081" s="15" t="s">
        <v>1064</v>
      </c>
      <c r="D1081" s="15">
        <v>0.04</v>
      </c>
    </row>
    <row r="1082" spans="1:4" ht="15.75" customHeight="1">
      <c r="A1082" s="15" t="s">
        <v>1417</v>
      </c>
      <c r="B1082" s="15" t="s">
        <v>1054</v>
      </c>
      <c r="C1082" s="15" t="s">
        <v>1051</v>
      </c>
      <c r="D1082" s="15">
        <v>0.04</v>
      </c>
    </row>
    <row r="1083" spans="1:4" ht="15.75" customHeight="1">
      <c r="A1083" s="15" t="s">
        <v>1418</v>
      </c>
      <c r="B1083" s="15" t="s">
        <v>1054</v>
      </c>
      <c r="C1083" s="15" t="s">
        <v>1056</v>
      </c>
      <c r="D1083" s="15">
        <v>0.04</v>
      </c>
    </row>
    <row r="1084" spans="1:4" ht="15.75" customHeight="1">
      <c r="A1084" s="15" t="s">
        <v>1419</v>
      </c>
      <c r="B1084" s="15" t="s">
        <v>1054</v>
      </c>
      <c r="C1084" s="15" t="s">
        <v>1058</v>
      </c>
      <c r="D1084" s="15">
        <v>0.04</v>
      </c>
    </row>
    <row r="1085" spans="1:4" ht="15.75" customHeight="1">
      <c r="A1085" s="15" t="s">
        <v>1420</v>
      </c>
      <c r="B1085" s="15" t="s">
        <v>1054</v>
      </c>
      <c r="C1085" s="15" t="s">
        <v>29</v>
      </c>
      <c r="D1085" s="15">
        <v>0.04</v>
      </c>
    </row>
    <row r="1086" spans="1:4" ht="15.75" customHeight="1">
      <c r="A1086" s="15" t="s">
        <v>1421</v>
      </c>
      <c r="B1086" s="15" t="s">
        <v>1054</v>
      </c>
      <c r="C1086" s="15" t="s">
        <v>34</v>
      </c>
      <c r="D1086" s="15">
        <v>0.04</v>
      </c>
    </row>
    <row r="1087" spans="1:4" ht="15.75" customHeight="1">
      <c r="A1087" s="15" t="s">
        <v>1422</v>
      </c>
      <c r="B1087" s="15" t="s">
        <v>1054</v>
      </c>
      <c r="C1087" s="15" t="s">
        <v>41</v>
      </c>
      <c r="D1087" s="15">
        <v>0.04</v>
      </c>
    </row>
    <row r="1088" spans="1:4" ht="15.75" customHeight="1">
      <c r="A1088" s="15" t="s">
        <v>1423</v>
      </c>
      <c r="B1088" s="15" t="s">
        <v>1054</v>
      </c>
      <c r="C1088" s="15" t="s">
        <v>1059</v>
      </c>
      <c r="D1088" s="15">
        <v>0.04</v>
      </c>
    </row>
    <row r="1089" spans="1:4" ht="15.75" customHeight="1">
      <c r="A1089" s="15" t="s">
        <v>1424</v>
      </c>
      <c r="B1089" s="15" t="s">
        <v>1054</v>
      </c>
      <c r="C1089" s="15" t="s">
        <v>25</v>
      </c>
      <c r="D1089" s="15">
        <v>0.04</v>
      </c>
    </row>
    <row r="1090" spans="1:4" ht="15.75" customHeight="1">
      <c r="A1090" s="15" t="s">
        <v>1425</v>
      </c>
      <c r="B1090" s="15" t="s">
        <v>1054</v>
      </c>
      <c r="C1090" s="15" t="s">
        <v>51</v>
      </c>
      <c r="D1090" s="15">
        <v>0.04</v>
      </c>
    </row>
    <row r="1091" spans="1:4" ht="15.75" customHeight="1">
      <c r="A1091" s="15" t="s">
        <v>1426</v>
      </c>
      <c r="B1091" s="15" t="s">
        <v>1054</v>
      </c>
      <c r="C1091" s="15" t="s">
        <v>1057</v>
      </c>
      <c r="D1091" s="15">
        <v>0.04</v>
      </c>
    </row>
    <row r="1092" spans="1:4" ht="15.75" customHeight="1">
      <c r="A1092" s="15" t="s">
        <v>1427</v>
      </c>
      <c r="B1092" s="15" t="s">
        <v>1054</v>
      </c>
      <c r="C1092" s="15" t="s">
        <v>1052</v>
      </c>
      <c r="D1092" s="15">
        <v>0.04</v>
      </c>
    </row>
    <row r="1093" spans="1:4" ht="15.75" customHeight="1">
      <c r="A1093" s="15" t="s">
        <v>1428</v>
      </c>
      <c r="B1093" s="15" t="s">
        <v>1054</v>
      </c>
      <c r="C1093" s="15" t="s">
        <v>1053</v>
      </c>
      <c r="D1093" s="15">
        <v>0.04</v>
      </c>
    </row>
    <row r="1094" spans="1:4" ht="15.75" customHeight="1">
      <c r="A1094" s="15" t="s">
        <v>1429</v>
      </c>
      <c r="B1094" s="15" t="s">
        <v>1054</v>
      </c>
      <c r="C1094" s="15" t="s">
        <v>24</v>
      </c>
      <c r="D1094" s="15">
        <v>0.04</v>
      </c>
    </row>
    <row r="1095" spans="1:4" ht="15.75" customHeight="1">
      <c r="A1095" s="15" t="s">
        <v>1430</v>
      </c>
      <c r="B1095" s="15" t="s">
        <v>1054</v>
      </c>
      <c r="C1095" s="15" t="s">
        <v>1054</v>
      </c>
      <c r="D1095" s="15">
        <v>0.18</v>
      </c>
    </row>
    <row r="1096" spans="1:4" ht="15.75" customHeight="1">
      <c r="A1096" s="15" t="s">
        <v>1431</v>
      </c>
      <c r="B1096" s="15" t="s">
        <v>1054</v>
      </c>
      <c r="C1096" s="15" t="s">
        <v>1055</v>
      </c>
      <c r="D1096" s="15">
        <v>0.04</v>
      </c>
    </row>
    <row r="1097" spans="1:4" ht="15.75" customHeight="1">
      <c r="A1097" s="15" t="s">
        <v>1432</v>
      </c>
      <c r="B1097" s="15" t="s">
        <v>1054</v>
      </c>
      <c r="C1097" s="15" t="s">
        <v>28</v>
      </c>
      <c r="D1097" s="15">
        <v>0.04</v>
      </c>
    </row>
    <row r="1098" spans="1:4" ht="15.75" customHeight="1">
      <c r="A1098" s="15" t="s">
        <v>1433</v>
      </c>
      <c r="B1098" s="15" t="s">
        <v>1054</v>
      </c>
      <c r="C1098" s="15" t="s">
        <v>1061</v>
      </c>
      <c r="D1098" s="15">
        <v>0.04</v>
      </c>
    </row>
    <row r="1099" spans="1:4" ht="15.75" customHeight="1">
      <c r="A1099" s="15" t="s">
        <v>1434</v>
      </c>
      <c r="B1099" s="15" t="s">
        <v>1054</v>
      </c>
      <c r="C1099" s="15" t="s">
        <v>1062</v>
      </c>
      <c r="D1099" s="15">
        <v>0.04</v>
      </c>
    </row>
    <row r="1100" spans="1:4" ht="15.75" customHeight="1">
      <c r="A1100" s="15" t="s">
        <v>1435</v>
      </c>
      <c r="B1100" s="15" t="s">
        <v>1054</v>
      </c>
      <c r="C1100" s="15" t="s">
        <v>27</v>
      </c>
      <c r="D1100" s="15">
        <v>0.04</v>
      </c>
    </row>
    <row r="1101" spans="1:4" ht="15.75" customHeight="1">
      <c r="A1101" s="15" t="s">
        <v>1436</v>
      </c>
      <c r="B1101" s="15" t="s">
        <v>1054</v>
      </c>
      <c r="C1101" s="15" t="s">
        <v>732</v>
      </c>
      <c r="D1101" s="15">
        <v>0.04</v>
      </c>
    </row>
    <row r="1102" spans="1:4" ht="15.75" customHeight="1">
      <c r="A1102" s="15" t="s">
        <v>1437</v>
      </c>
      <c r="B1102" s="15" t="s">
        <v>1054</v>
      </c>
      <c r="C1102" s="15" t="s">
        <v>736</v>
      </c>
      <c r="D1102" s="15">
        <v>0.04</v>
      </c>
    </row>
    <row r="1103" spans="1:4" ht="15.75" customHeight="1">
      <c r="A1103" s="15" t="s">
        <v>1438</v>
      </c>
      <c r="B1103" s="15" t="s">
        <v>1054</v>
      </c>
      <c r="C1103" s="15" t="s">
        <v>733</v>
      </c>
      <c r="D1103" s="15">
        <v>0.04</v>
      </c>
    </row>
    <row r="1104" spans="1:4" ht="15.75" customHeight="1">
      <c r="A1104" s="15" t="s">
        <v>1439</v>
      </c>
      <c r="B1104" s="15" t="s">
        <v>1054</v>
      </c>
      <c r="C1104" s="15" t="s">
        <v>1063</v>
      </c>
      <c r="D1104" s="15">
        <v>0.04</v>
      </c>
    </row>
    <row r="1105" spans="1:4" ht="15.75" customHeight="1">
      <c r="A1105" s="15" t="s">
        <v>1440</v>
      </c>
      <c r="B1105" s="15" t="s">
        <v>1054</v>
      </c>
      <c r="C1105" s="15" t="s">
        <v>26</v>
      </c>
      <c r="D1105" s="15">
        <v>0.04</v>
      </c>
    </row>
    <row r="1106" spans="1:4" ht="15.75" customHeight="1">
      <c r="A1106" s="15" t="s">
        <v>1441</v>
      </c>
      <c r="B1106" s="15" t="s">
        <v>1054</v>
      </c>
      <c r="C1106" s="15" t="s">
        <v>23</v>
      </c>
      <c r="D1106" s="15">
        <v>0.04</v>
      </c>
    </row>
    <row r="1107" spans="1:4" ht="15.75" customHeight="1">
      <c r="A1107" s="15" t="s">
        <v>1442</v>
      </c>
      <c r="B1107" s="15" t="s">
        <v>1054</v>
      </c>
      <c r="C1107" s="15" t="s">
        <v>1060</v>
      </c>
      <c r="D1107" s="15">
        <v>0.04</v>
      </c>
    </row>
    <row r="1108" spans="1:4" ht="15.75" customHeight="1">
      <c r="A1108" s="15" t="s">
        <v>1443</v>
      </c>
      <c r="B1108" s="15" t="s">
        <v>1054</v>
      </c>
      <c r="C1108" s="15" t="s">
        <v>1064</v>
      </c>
      <c r="D1108" s="15">
        <v>0.04</v>
      </c>
    </row>
    <row r="1109" spans="1:4" ht="15.75" customHeight="1">
      <c r="A1109" s="15" t="s">
        <v>1444</v>
      </c>
      <c r="B1109" s="15" t="s">
        <v>1055</v>
      </c>
      <c r="C1109" s="15" t="s">
        <v>1051</v>
      </c>
      <c r="D1109" s="15">
        <v>0.04</v>
      </c>
    </row>
    <row r="1110" spans="1:4" ht="15.75" customHeight="1">
      <c r="A1110" s="15" t="s">
        <v>1445</v>
      </c>
      <c r="B1110" s="15" t="s">
        <v>1055</v>
      </c>
      <c r="C1110" s="15" t="s">
        <v>1056</v>
      </c>
      <c r="D1110" s="15">
        <v>0.04</v>
      </c>
    </row>
    <row r="1111" spans="1:4" ht="15.75" customHeight="1">
      <c r="A1111" s="15" t="s">
        <v>1446</v>
      </c>
      <c r="B1111" s="15" t="s">
        <v>1055</v>
      </c>
      <c r="C1111" s="15" t="s">
        <v>1058</v>
      </c>
      <c r="D1111" s="15">
        <v>0.04</v>
      </c>
    </row>
    <row r="1112" spans="1:4" ht="15.75" customHeight="1">
      <c r="A1112" s="15" t="s">
        <v>1447</v>
      </c>
      <c r="B1112" s="15" t="s">
        <v>1055</v>
      </c>
      <c r="C1112" s="15" t="s">
        <v>29</v>
      </c>
      <c r="D1112" s="15">
        <v>0.04</v>
      </c>
    </row>
    <row r="1113" spans="1:4" ht="15.75" customHeight="1">
      <c r="A1113" s="15" t="s">
        <v>1448</v>
      </c>
      <c r="B1113" s="15" t="s">
        <v>1055</v>
      </c>
      <c r="C1113" s="15" t="s">
        <v>34</v>
      </c>
      <c r="D1113" s="15">
        <v>0.04</v>
      </c>
    </row>
    <row r="1114" spans="1:4" ht="15.75" customHeight="1">
      <c r="A1114" s="15" t="s">
        <v>1449</v>
      </c>
      <c r="B1114" s="15" t="s">
        <v>1055</v>
      </c>
      <c r="C1114" s="15" t="s">
        <v>41</v>
      </c>
      <c r="D1114" s="15">
        <v>0.04</v>
      </c>
    </row>
    <row r="1115" spans="1:4" ht="15.75" customHeight="1">
      <c r="A1115" s="15" t="s">
        <v>1450</v>
      </c>
      <c r="B1115" s="15" t="s">
        <v>1055</v>
      </c>
      <c r="C1115" s="15" t="s">
        <v>1059</v>
      </c>
      <c r="D1115" s="15">
        <v>0.04</v>
      </c>
    </row>
    <row r="1116" spans="1:4" ht="15.75" customHeight="1">
      <c r="A1116" s="15" t="s">
        <v>1451</v>
      </c>
      <c r="B1116" s="15" t="s">
        <v>1055</v>
      </c>
      <c r="C1116" s="15" t="s">
        <v>25</v>
      </c>
      <c r="D1116" s="15">
        <v>0.04</v>
      </c>
    </row>
    <row r="1117" spans="1:4" ht="15.75" customHeight="1">
      <c r="A1117" s="15" t="s">
        <v>1452</v>
      </c>
      <c r="B1117" s="15" t="s">
        <v>1055</v>
      </c>
      <c r="C1117" s="15" t="s">
        <v>51</v>
      </c>
      <c r="D1117" s="15">
        <v>0.04</v>
      </c>
    </row>
    <row r="1118" spans="1:4" ht="15.75" customHeight="1">
      <c r="A1118" s="15" t="s">
        <v>1453</v>
      </c>
      <c r="B1118" s="15" t="s">
        <v>1055</v>
      </c>
      <c r="C1118" s="15" t="s">
        <v>1057</v>
      </c>
      <c r="D1118" s="15">
        <v>0.04</v>
      </c>
    </row>
    <row r="1119" spans="1:4" ht="15.75" customHeight="1">
      <c r="A1119" s="15" t="s">
        <v>1454</v>
      </c>
      <c r="B1119" s="15" t="s">
        <v>1055</v>
      </c>
      <c r="C1119" s="15" t="s">
        <v>1052</v>
      </c>
      <c r="D1119" s="15">
        <v>0.04</v>
      </c>
    </row>
    <row r="1120" spans="1:4" ht="15.75" customHeight="1">
      <c r="A1120" s="15" t="s">
        <v>1455</v>
      </c>
      <c r="B1120" s="15" t="s">
        <v>1055</v>
      </c>
      <c r="C1120" s="15" t="s">
        <v>1053</v>
      </c>
      <c r="D1120" s="15">
        <v>0.04</v>
      </c>
    </row>
    <row r="1121" spans="1:4" ht="15.75" customHeight="1">
      <c r="A1121" s="15" t="s">
        <v>1456</v>
      </c>
      <c r="B1121" s="15" t="s">
        <v>1055</v>
      </c>
      <c r="C1121" s="15" t="s">
        <v>24</v>
      </c>
      <c r="D1121" s="15">
        <v>0.04</v>
      </c>
    </row>
    <row r="1122" spans="1:4" ht="15.75" customHeight="1">
      <c r="A1122" s="15" t="s">
        <v>1457</v>
      </c>
      <c r="B1122" s="15" t="s">
        <v>1055</v>
      </c>
      <c r="C1122" s="15" t="s">
        <v>1054</v>
      </c>
      <c r="D1122" s="15">
        <v>0.04</v>
      </c>
    </row>
    <row r="1123" spans="1:4" ht="15.75" customHeight="1">
      <c r="A1123" s="15" t="s">
        <v>1458</v>
      </c>
      <c r="B1123" s="15" t="s">
        <v>1055</v>
      </c>
      <c r="C1123" s="15" t="s">
        <v>1055</v>
      </c>
      <c r="D1123" s="15">
        <v>0.18</v>
      </c>
    </row>
    <row r="1124" spans="1:4" ht="15.75" customHeight="1">
      <c r="A1124" s="15" t="s">
        <v>1459</v>
      </c>
      <c r="B1124" s="15" t="s">
        <v>1055</v>
      </c>
      <c r="C1124" s="15" t="s">
        <v>28</v>
      </c>
      <c r="D1124" s="15">
        <v>0.04</v>
      </c>
    </row>
    <row r="1125" spans="1:4" ht="15.75" customHeight="1">
      <c r="A1125" s="15" t="s">
        <v>1460</v>
      </c>
      <c r="B1125" s="15" t="s">
        <v>1055</v>
      </c>
      <c r="C1125" s="15" t="s">
        <v>1061</v>
      </c>
      <c r="D1125" s="15">
        <v>0.04</v>
      </c>
    </row>
    <row r="1126" spans="1:4" ht="15.75" customHeight="1">
      <c r="A1126" s="15" t="s">
        <v>1461</v>
      </c>
      <c r="B1126" s="15" t="s">
        <v>1055</v>
      </c>
      <c r="C1126" s="15" t="s">
        <v>1062</v>
      </c>
      <c r="D1126" s="15">
        <v>0.04</v>
      </c>
    </row>
    <row r="1127" spans="1:4" ht="15.75" customHeight="1">
      <c r="A1127" s="15" t="s">
        <v>1462</v>
      </c>
      <c r="B1127" s="15" t="s">
        <v>1055</v>
      </c>
      <c r="C1127" s="15" t="s">
        <v>27</v>
      </c>
      <c r="D1127" s="15">
        <v>0.04</v>
      </c>
    </row>
    <row r="1128" spans="1:4" ht="15.75" customHeight="1">
      <c r="A1128" s="15" t="s">
        <v>1463</v>
      </c>
      <c r="B1128" s="15" t="s">
        <v>1055</v>
      </c>
      <c r="C1128" s="15" t="s">
        <v>732</v>
      </c>
      <c r="D1128" s="15">
        <v>0.04</v>
      </c>
    </row>
    <row r="1129" spans="1:4" ht="15.75" customHeight="1">
      <c r="A1129" s="15" t="s">
        <v>1464</v>
      </c>
      <c r="B1129" s="15" t="s">
        <v>1055</v>
      </c>
      <c r="C1129" s="15" t="s">
        <v>736</v>
      </c>
      <c r="D1129" s="15">
        <v>0.04</v>
      </c>
    </row>
    <row r="1130" spans="1:4" ht="15.75" customHeight="1">
      <c r="A1130" s="15" t="s">
        <v>1465</v>
      </c>
      <c r="B1130" s="15" t="s">
        <v>1055</v>
      </c>
      <c r="C1130" s="15" t="s">
        <v>733</v>
      </c>
      <c r="D1130" s="15">
        <v>0.04</v>
      </c>
    </row>
    <row r="1131" spans="1:4" ht="15.75" customHeight="1">
      <c r="A1131" s="15" t="s">
        <v>1466</v>
      </c>
      <c r="B1131" s="15" t="s">
        <v>1055</v>
      </c>
      <c r="C1131" s="15" t="s">
        <v>1063</v>
      </c>
      <c r="D1131" s="15">
        <v>0.04</v>
      </c>
    </row>
    <row r="1132" spans="1:4" ht="15.75" customHeight="1">
      <c r="A1132" s="15" t="s">
        <v>1467</v>
      </c>
      <c r="B1132" s="15" t="s">
        <v>1055</v>
      </c>
      <c r="C1132" s="15" t="s">
        <v>26</v>
      </c>
      <c r="D1132" s="15">
        <v>0.04</v>
      </c>
    </row>
    <row r="1133" spans="1:4" ht="15.75" customHeight="1">
      <c r="A1133" s="15" t="s">
        <v>1468</v>
      </c>
      <c r="B1133" s="15" t="s">
        <v>1055</v>
      </c>
      <c r="C1133" s="15" t="s">
        <v>23</v>
      </c>
      <c r="D1133" s="15">
        <v>0.04</v>
      </c>
    </row>
    <row r="1134" spans="1:4" ht="15.75" customHeight="1">
      <c r="A1134" s="15" t="s">
        <v>1469</v>
      </c>
      <c r="B1134" s="15" t="s">
        <v>1055</v>
      </c>
      <c r="C1134" s="15" t="s">
        <v>1060</v>
      </c>
      <c r="D1134" s="15">
        <v>0.04</v>
      </c>
    </row>
    <row r="1135" spans="1:4" ht="15.75" customHeight="1">
      <c r="A1135" s="15" t="s">
        <v>1470</v>
      </c>
      <c r="B1135" s="15" t="s">
        <v>1055</v>
      </c>
      <c r="C1135" s="15" t="s">
        <v>1064</v>
      </c>
      <c r="D1135" s="15">
        <v>0.04</v>
      </c>
    </row>
    <row r="1136" spans="1:4" ht="15.75" customHeight="1">
      <c r="A1136" s="15" t="s">
        <v>1471</v>
      </c>
      <c r="B1136" s="15" t="s">
        <v>28</v>
      </c>
      <c r="C1136" s="15" t="s">
        <v>1051</v>
      </c>
      <c r="D1136" s="15">
        <v>0.04</v>
      </c>
    </row>
    <row r="1137" spans="1:4" ht="15.75" customHeight="1">
      <c r="A1137" s="15" t="s">
        <v>1472</v>
      </c>
      <c r="B1137" s="15" t="s">
        <v>28</v>
      </c>
      <c r="C1137" s="15" t="s">
        <v>1056</v>
      </c>
      <c r="D1137" s="15">
        <v>0.04</v>
      </c>
    </row>
    <row r="1138" spans="1:4" ht="15.75" customHeight="1">
      <c r="A1138" s="15" t="s">
        <v>1473</v>
      </c>
      <c r="B1138" s="15" t="s">
        <v>28</v>
      </c>
      <c r="C1138" s="15" t="s">
        <v>1058</v>
      </c>
      <c r="D1138" s="15">
        <v>0.04</v>
      </c>
    </row>
    <row r="1139" spans="1:4" ht="15.75" customHeight="1">
      <c r="A1139" s="15" t="s">
        <v>1474</v>
      </c>
      <c r="B1139" s="15" t="s">
        <v>28</v>
      </c>
      <c r="C1139" s="15" t="s">
        <v>29</v>
      </c>
      <c r="D1139" s="15">
        <v>0.04</v>
      </c>
    </row>
    <row r="1140" spans="1:4" ht="15.75" customHeight="1">
      <c r="A1140" s="15" t="s">
        <v>1475</v>
      </c>
      <c r="B1140" s="15" t="s">
        <v>28</v>
      </c>
      <c r="C1140" s="15" t="s">
        <v>34</v>
      </c>
      <c r="D1140" s="15">
        <v>0.04</v>
      </c>
    </row>
    <row r="1141" spans="1:4" ht="15.75" customHeight="1">
      <c r="A1141" s="15" t="s">
        <v>1476</v>
      </c>
      <c r="B1141" s="15" t="s">
        <v>28</v>
      </c>
      <c r="C1141" s="15" t="s">
        <v>41</v>
      </c>
      <c r="D1141" s="15">
        <v>0.04</v>
      </c>
    </row>
    <row r="1142" spans="1:4" ht="15.75" customHeight="1">
      <c r="A1142" s="15" t="s">
        <v>1477</v>
      </c>
      <c r="B1142" s="15" t="s">
        <v>28</v>
      </c>
      <c r="C1142" s="15" t="s">
        <v>1059</v>
      </c>
      <c r="D1142" s="15">
        <v>0.04</v>
      </c>
    </row>
    <row r="1143" spans="1:4" ht="15.75" customHeight="1">
      <c r="A1143" s="15" t="s">
        <v>1478</v>
      </c>
      <c r="B1143" s="15" t="s">
        <v>28</v>
      </c>
      <c r="C1143" s="15" t="s">
        <v>25</v>
      </c>
      <c r="D1143" s="15">
        <v>0.04</v>
      </c>
    </row>
    <row r="1144" spans="1:4" ht="15.75" customHeight="1">
      <c r="A1144" s="15" t="s">
        <v>1479</v>
      </c>
      <c r="B1144" s="15" t="s">
        <v>28</v>
      </c>
      <c r="C1144" s="15" t="s">
        <v>51</v>
      </c>
      <c r="D1144" s="15">
        <v>0.04</v>
      </c>
    </row>
    <row r="1145" spans="1:4" ht="15.75" customHeight="1">
      <c r="A1145" s="15" t="s">
        <v>1480</v>
      </c>
      <c r="B1145" s="15" t="s">
        <v>28</v>
      </c>
      <c r="C1145" s="15" t="s">
        <v>1057</v>
      </c>
      <c r="D1145" s="15">
        <v>0.04</v>
      </c>
    </row>
    <row r="1146" spans="1:4" ht="15.75" customHeight="1">
      <c r="A1146" s="15" t="s">
        <v>1481</v>
      </c>
      <c r="B1146" s="15" t="s">
        <v>28</v>
      </c>
      <c r="C1146" s="15" t="s">
        <v>1052</v>
      </c>
      <c r="D1146" s="15">
        <v>0.04</v>
      </c>
    </row>
    <row r="1147" spans="1:4" ht="15.75" customHeight="1">
      <c r="A1147" s="15" t="s">
        <v>1482</v>
      </c>
      <c r="B1147" s="15" t="s">
        <v>28</v>
      </c>
      <c r="C1147" s="15" t="s">
        <v>1053</v>
      </c>
      <c r="D1147" s="15">
        <v>0.04</v>
      </c>
    </row>
    <row r="1148" spans="1:4" ht="15.75" customHeight="1">
      <c r="A1148" s="15" t="s">
        <v>1483</v>
      </c>
      <c r="B1148" s="15" t="s">
        <v>28</v>
      </c>
      <c r="C1148" s="15" t="s">
        <v>24</v>
      </c>
      <c r="D1148" s="15">
        <v>0.04</v>
      </c>
    </row>
    <row r="1149" spans="1:4" ht="15.75" customHeight="1">
      <c r="A1149" s="15" t="s">
        <v>1484</v>
      </c>
      <c r="B1149" s="15" t="s">
        <v>28</v>
      </c>
      <c r="C1149" s="15" t="s">
        <v>1054</v>
      </c>
      <c r="D1149" s="15">
        <v>0.04</v>
      </c>
    </row>
    <row r="1150" spans="1:4" ht="15.75" customHeight="1">
      <c r="A1150" s="15" t="s">
        <v>1485</v>
      </c>
      <c r="B1150" s="15" t="s">
        <v>28</v>
      </c>
      <c r="C1150" s="15" t="s">
        <v>1055</v>
      </c>
      <c r="D1150" s="15">
        <v>0.04</v>
      </c>
    </row>
    <row r="1151" spans="1:4" ht="15.75" customHeight="1">
      <c r="A1151" s="15" t="s">
        <v>1486</v>
      </c>
      <c r="B1151" s="15" t="s">
        <v>28</v>
      </c>
      <c r="C1151" s="15" t="s">
        <v>28</v>
      </c>
      <c r="D1151" s="15">
        <v>0.18</v>
      </c>
    </row>
    <row r="1152" spans="1:4" ht="15.75" customHeight="1">
      <c r="A1152" s="15" t="s">
        <v>1487</v>
      </c>
      <c r="B1152" s="15" t="s">
        <v>28</v>
      </c>
      <c r="C1152" s="15" t="s">
        <v>1061</v>
      </c>
      <c r="D1152" s="15">
        <v>0.04</v>
      </c>
    </row>
    <row r="1153" spans="1:4" ht="15.75" customHeight="1">
      <c r="A1153" s="15" t="s">
        <v>1488</v>
      </c>
      <c r="B1153" s="15" t="s">
        <v>28</v>
      </c>
      <c r="C1153" s="15" t="s">
        <v>1062</v>
      </c>
      <c r="D1153" s="15">
        <v>0.04</v>
      </c>
    </row>
    <row r="1154" spans="1:4" ht="15.75" customHeight="1">
      <c r="A1154" s="15" t="s">
        <v>1489</v>
      </c>
      <c r="B1154" s="15" t="s">
        <v>28</v>
      </c>
      <c r="C1154" s="15" t="s">
        <v>27</v>
      </c>
      <c r="D1154" s="15">
        <v>0.04</v>
      </c>
    </row>
    <row r="1155" spans="1:4" ht="15.75" customHeight="1">
      <c r="A1155" s="15" t="s">
        <v>1490</v>
      </c>
      <c r="B1155" s="15" t="s">
        <v>28</v>
      </c>
      <c r="C1155" s="15" t="s">
        <v>732</v>
      </c>
      <c r="D1155" s="15">
        <v>0.04</v>
      </c>
    </row>
    <row r="1156" spans="1:4" ht="15.75" customHeight="1">
      <c r="A1156" s="15" t="s">
        <v>1491</v>
      </c>
      <c r="B1156" s="15" t="s">
        <v>28</v>
      </c>
      <c r="C1156" s="15" t="s">
        <v>736</v>
      </c>
      <c r="D1156" s="15">
        <v>0.04</v>
      </c>
    </row>
    <row r="1157" spans="1:4" ht="15.75" customHeight="1">
      <c r="A1157" s="15" t="s">
        <v>1492</v>
      </c>
      <c r="B1157" s="15" t="s">
        <v>28</v>
      </c>
      <c r="C1157" s="15" t="s">
        <v>733</v>
      </c>
      <c r="D1157" s="15">
        <v>0.04</v>
      </c>
    </row>
    <row r="1158" spans="1:4" ht="15.75" customHeight="1">
      <c r="A1158" s="15" t="s">
        <v>1493</v>
      </c>
      <c r="B1158" s="15" t="s">
        <v>28</v>
      </c>
      <c r="C1158" s="15" t="s">
        <v>1063</v>
      </c>
      <c r="D1158" s="15">
        <v>0.04</v>
      </c>
    </row>
    <row r="1159" spans="1:4" ht="15.75" customHeight="1">
      <c r="A1159" s="15" t="s">
        <v>1494</v>
      </c>
      <c r="B1159" s="15" t="s">
        <v>28</v>
      </c>
      <c r="C1159" s="15" t="s">
        <v>26</v>
      </c>
      <c r="D1159" s="15">
        <v>0.04</v>
      </c>
    </row>
    <row r="1160" spans="1:4" ht="15.75" customHeight="1">
      <c r="A1160" s="15" t="s">
        <v>1495</v>
      </c>
      <c r="B1160" s="15" t="s">
        <v>28</v>
      </c>
      <c r="C1160" s="15" t="s">
        <v>23</v>
      </c>
      <c r="D1160" s="15">
        <v>0.04</v>
      </c>
    </row>
    <row r="1161" spans="1:4" ht="15.75" customHeight="1">
      <c r="A1161" s="15" t="s">
        <v>1496</v>
      </c>
      <c r="B1161" s="15" t="s">
        <v>28</v>
      </c>
      <c r="C1161" s="15" t="s">
        <v>1060</v>
      </c>
      <c r="D1161" s="15">
        <v>0.04</v>
      </c>
    </row>
    <row r="1162" spans="1:4" ht="15.75" customHeight="1">
      <c r="A1162" s="15" t="s">
        <v>1497</v>
      </c>
      <c r="B1162" s="15" t="s">
        <v>28</v>
      </c>
      <c r="C1162" s="15" t="s">
        <v>1064</v>
      </c>
      <c r="D1162" s="15">
        <v>0.04</v>
      </c>
    </row>
    <row r="1163" spans="1:4" ht="15.75" customHeight="1">
      <c r="A1163" s="15" t="s">
        <v>1498</v>
      </c>
      <c r="B1163" s="15" t="s">
        <v>1061</v>
      </c>
      <c r="C1163" s="15" t="s">
        <v>1051</v>
      </c>
      <c r="D1163" s="15">
        <v>0.04</v>
      </c>
    </row>
    <row r="1164" spans="1:4" ht="15.75" customHeight="1">
      <c r="A1164" s="15" t="s">
        <v>1499</v>
      </c>
      <c r="B1164" s="15" t="s">
        <v>1061</v>
      </c>
      <c r="C1164" s="15" t="s">
        <v>1056</v>
      </c>
      <c r="D1164" s="15">
        <v>0.04</v>
      </c>
    </row>
    <row r="1165" spans="1:4" ht="15.75" customHeight="1">
      <c r="A1165" s="15" t="s">
        <v>1500</v>
      </c>
      <c r="B1165" s="15" t="s">
        <v>1061</v>
      </c>
      <c r="C1165" s="15" t="s">
        <v>1058</v>
      </c>
      <c r="D1165" s="15">
        <v>0.04</v>
      </c>
    </row>
    <row r="1166" spans="1:4" ht="15.75" customHeight="1">
      <c r="A1166" s="15" t="s">
        <v>1501</v>
      </c>
      <c r="B1166" s="15" t="s">
        <v>1061</v>
      </c>
      <c r="C1166" s="15" t="s">
        <v>29</v>
      </c>
      <c r="D1166" s="15">
        <v>0.04</v>
      </c>
    </row>
    <row r="1167" spans="1:4" ht="15.75" customHeight="1">
      <c r="A1167" s="15" t="s">
        <v>1502</v>
      </c>
      <c r="B1167" s="15" t="s">
        <v>1061</v>
      </c>
      <c r="C1167" s="15" t="s">
        <v>34</v>
      </c>
      <c r="D1167" s="15">
        <v>0.04</v>
      </c>
    </row>
    <row r="1168" spans="1:4" ht="15.75" customHeight="1">
      <c r="A1168" s="15" t="s">
        <v>1503</v>
      </c>
      <c r="B1168" s="15" t="s">
        <v>1061</v>
      </c>
      <c r="C1168" s="15" t="s">
        <v>41</v>
      </c>
      <c r="D1168" s="15">
        <v>0.04</v>
      </c>
    </row>
    <row r="1169" spans="1:4" ht="15.75" customHeight="1">
      <c r="A1169" s="15" t="s">
        <v>1504</v>
      </c>
      <c r="B1169" s="15" t="s">
        <v>1061</v>
      </c>
      <c r="C1169" s="15" t="s">
        <v>1059</v>
      </c>
      <c r="D1169" s="15">
        <v>0.04</v>
      </c>
    </row>
    <row r="1170" spans="1:4" ht="15.75" customHeight="1">
      <c r="A1170" s="15" t="s">
        <v>1505</v>
      </c>
      <c r="B1170" s="15" t="s">
        <v>1061</v>
      </c>
      <c r="C1170" s="15" t="s">
        <v>25</v>
      </c>
      <c r="D1170" s="15">
        <v>0.04</v>
      </c>
    </row>
    <row r="1171" spans="1:4" ht="15.75" customHeight="1">
      <c r="A1171" s="15" t="s">
        <v>1506</v>
      </c>
      <c r="B1171" s="15" t="s">
        <v>1061</v>
      </c>
      <c r="C1171" s="15" t="s">
        <v>51</v>
      </c>
      <c r="D1171" s="15">
        <v>0.04</v>
      </c>
    </row>
    <row r="1172" spans="1:4" ht="15.75" customHeight="1">
      <c r="A1172" s="15" t="s">
        <v>1507</v>
      </c>
      <c r="B1172" s="15" t="s">
        <v>1061</v>
      </c>
      <c r="C1172" s="15" t="s">
        <v>1057</v>
      </c>
      <c r="D1172" s="15">
        <v>0.04</v>
      </c>
    </row>
    <row r="1173" spans="1:4" ht="15.75" customHeight="1">
      <c r="A1173" s="15" t="s">
        <v>1508</v>
      </c>
      <c r="B1173" s="15" t="s">
        <v>1061</v>
      </c>
      <c r="C1173" s="15" t="s">
        <v>1052</v>
      </c>
      <c r="D1173" s="15">
        <v>0.04</v>
      </c>
    </row>
    <row r="1174" spans="1:4" ht="15.75" customHeight="1">
      <c r="A1174" s="15" t="s">
        <v>1509</v>
      </c>
      <c r="B1174" s="15" t="s">
        <v>1061</v>
      </c>
      <c r="C1174" s="15" t="s">
        <v>1053</v>
      </c>
      <c r="D1174" s="15">
        <v>0.04</v>
      </c>
    </row>
    <row r="1175" spans="1:4" ht="15.75" customHeight="1">
      <c r="A1175" s="15" t="s">
        <v>1510</v>
      </c>
      <c r="B1175" s="15" t="s">
        <v>1061</v>
      </c>
      <c r="C1175" s="15" t="s">
        <v>24</v>
      </c>
      <c r="D1175" s="15">
        <v>0.04</v>
      </c>
    </row>
    <row r="1176" spans="1:4" ht="15.75" customHeight="1">
      <c r="A1176" s="15" t="s">
        <v>1511</v>
      </c>
      <c r="B1176" s="15" t="s">
        <v>1061</v>
      </c>
      <c r="C1176" s="15" t="s">
        <v>1054</v>
      </c>
      <c r="D1176" s="15">
        <v>0.04</v>
      </c>
    </row>
    <row r="1177" spans="1:4" ht="15.75" customHeight="1">
      <c r="A1177" s="15" t="s">
        <v>1512</v>
      </c>
      <c r="B1177" s="15" t="s">
        <v>1061</v>
      </c>
      <c r="C1177" s="15" t="s">
        <v>1055</v>
      </c>
      <c r="D1177" s="15">
        <v>0.04</v>
      </c>
    </row>
    <row r="1178" spans="1:4" ht="15.75" customHeight="1">
      <c r="A1178" s="15" t="s">
        <v>1513</v>
      </c>
      <c r="B1178" s="15" t="s">
        <v>1061</v>
      </c>
      <c r="C1178" s="15" t="s">
        <v>28</v>
      </c>
      <c r="D1178" s="15">
        <v>0.04</v>
      </c>
    </row>
    <row r="1179" spans="1:4" ht="15.75" customHeight="1">
      <c r="A1179" s="15" t="s">
        <v>1514</v>
      </c>
      <c r="B1179" s="15" t="s">
        <v>1061</v>
      </c>
      <c r="C1179" s="15" t="s">
        <v>1061</v>
      </c>
      <c r="D1179" s="15">
        <v>0.18</v>
      </c>
    </row>
    <row r="1180" spans="1:4" ht="15.75" customHeight="1">
      <c r="A1180" s="15" t="s">
        <v>1515</v>
      </c>
      <c r="B1180" s="15" t="s">
        <v>1061</v>
      </c>
      <c r="C1180" s="15" t="s">
        <v>1062</v>
      </c>
      <c r="D1180" s="15">
        <v>0.04</v>
      </c>
    </row>
    <row r="1181" spans="1:4" ht="15.75" customHeight="1">
      <c r="A1181" s="15" t="s">
        <v>1516</v>
      </c>
      <c r="B1181" s="15" t="s">
        <v>1061</v>
      </c>
      <c r="C1181" s="15" t="s">
        <v>27</v>
      </c>
      <c r="D1181" s="15">
        <v>0.04</v>
      </c>
    </row>
    <row r="1182" spans="1:4" ht="15.75" customHeight="1">
      <c r="A1182" s="15" t="s">
        <v>1517</v>
      </c>
      <c r="B1182" s="15" t="s">
        <v>1061</v>
      </c>
      <c r="C1182" s="15" t="s">
        <v>732</v>
      </c>
      <c r="D1182" s="15">
        <v>0.04</v>
      </c>
    </row>
    <row r="1183" spans="1:4" ht="15.75" customHeight="1">
      <c r="A1183" s="15" t="s">
        <v>1518</v>
      </c>
      <c r="B1183" s="15" t="s">
        <v>1061</v>
      </c>
      <c r="C1183" s="15" t="s">
        <v>736</v>
      </c>
      <c r="D1183" s="15">
        <v>0.04</v>
      </c>
    </row>
    <row r="1184" spans="1:4" ht="15.75" customHeight="1">
      <c r="A1184" s="15" t="s">
        <v>1519</v>
      </c>
      <c r="B1184" s="15" t="s">
        <v>1061</v>
      </c>
      <c r="C1184" s="15" t="s">
        <v>733</v>
      </c>
      <c r="D1184" s="15">
        <v>0.04</v>
      </c>
    </row>
    <row r="1185" spans="1:4" ht="15.75" customHeight="1">
      <c r="A1185" s="15" t="s">
        <v>1520</v>
      </c>
      <c r="B1185" s="15" t="s">
        <v>1061</v>
      </c>
      <c r="C1185" s="15" t="s">
        <v>1063</v>
      </c>
      <c r="D1185" s="15">
        <v>0.04</v>
      </c>
    </row>
    <row r="1186" spans="1:4" ht="15.75" customHeight="1">
      <c r="A1186" s="15" t="s">
        <v>1521</v>
      </c>
      <c r="B1186" s="15" t="s">
        <v>1061</v>
      </c>
      <c r="C1186" s="15" t="s">
        <v>26</v>
      </c>
      <c r="D1186" s="15">
        <v>0.04</v>
      </c>
    </row>
    <row r="1187" spans="1:4" ht="15.75" customHeight="1">
      <c r="A1187" s="15" t="s">
        <v>1522</v>
      </c>
      <c r="B1187" s="15" t="s">
        <v>1061</v>
      </c>
      <c r="C1187" s="15" t="s">
        <v>23</v>
      </c>
      <c r="D1187" s="15">
        <v>0.04</v>
      </c>
    </row>
    <row r="1188" spans="1:4" ht="15.75" customHeight="1">
      <c r="A1188" s="15" t="s">
        <v>1523</v>
      </c>
      <c r="B1188" s="15" t="s">
        <v>1061</v>
      </c>
      <c r="C1188" s="15" t="s">
        <v>1060</v>
      </c>
      <c r="D1188" s="15">
        <v>0.04</v>
      </c>
    </row>
    <row r="1189" spans="1:4" ht="15.75" customHeight="1">
      <c r="A1189" s="15" t="s">
        <v>1524</v>
      </c>
      <c r="B1189" s="15" t="s">
        <v>1061</v>
      </c>
      <c r="C1189" s="15" t="s">
        <v>1064</v>
      </c>
      <c r="D1189" s="15">
        <v>0.04</v>
      </c>
    </row>
    <row r="1190" spans="1:4" ht="15.75" customHeight="1">
      <c r="A1190" s="15" t="s">
        <v>1525</v>
      </c>
      <c r="B1190" s="15" t="s">
        <v>1062</v>
      </c>
      <c r="C1190" s="15" t="s">
        <v>1051</v>
      </c>
      <c r="D1190" s="15">
        <v>0.04</v>
      </c>
    </row>
    <row r="1191" spans="1:4" ht="15.75" customHeight="1">
      <c r="A1191" s="15" t="s">
        <v>1526</v>
      </c>
      <c r="B1191" s="15" t="s">
        <v>1062</v>
      </c>
      <c r="C1191" s="15" t="s">
        <v>1056</v>
      </c>
      <c r="D1191" s="15">
        <v>0.04</v>
      </c>
    </row>
    <row r="1192" spans="1:4" ht="15.75" customHeight="1">
      <c r="A1192" s="15" t="s">
        <v>1527</v>
      </c>
      <c r="B1192" s="15" t="s">
        <v>1062</v>
      </c>
      <c r="C1192" s="15" t="s">
        <v>1058</v>
      </c>
      <c r="D1192" s="15">
        <v>0.04</v>
      </c>
    </row>
    <row r="1193" spans="1:4" ht="15.75" customHeight="1">
      <c r="A1193" s="15" t="s">
        <v>1528</v>
      </c>
      <c r="B1193" s="15" t="s">
        <v>1062</v>
      </c>
      <c r="C1193" s="15" t="s">
        <v>29</v>
      </c>
      <c r="D1193" s="15">
        <v>0.04</v>
      </c>
    </row>
    <row r="1194" spans="1:4" ht="15.75" customHeight="1">
      <c r="A1194" s="15" t="s">
        <v>1529</v>
      </c>
      <c r="B1194" s="15" t="s">
        <v>1062</v>
      </c>
      <c r="C1194" s="15" t="s">
        <v>34</v>
      </c>
      <c r="D1194" s="15">
        <v>0.04</v>
      </c>
    </row>
    <row r="1195" spans="1:4" ht="15.75" customHeight="1">
      <c r="A1195" s="15" t="s">
        <v>1530</v>
      </c>
      <c r="B1195" s="15" t="s">
        <v>1062</v>
      </c>
      <c r="C1195" s="15" t="s">
        <v>41</v>
      </c>
      <c r="D1195" s="15">
        <v>0.04</v>
      </c>
    </row>
    <row r="1196" spans="1:4" ht="15.75" customHeight="1">
      <c r="A1196" s="15" t="s">
        <v>1531</v>
      </c>
      <c r="B1196" s="15" t="s">
        <v>1062</v>
      </c>
      <c r="C1196" s="15" t="s">
        <v>1059</v>
      </c>
      <c r="D1196" s="15">
        <v>0.04</v>
      </c>
    </row>
    <row r="1197" spans="1:4" ht="15.75" customHeight="1">
      <c r="A1197" s="15" t="s">
        <v>1532</v>
      </c>
      <c r="B1197" s="15" t="s">
        <v>1062</v>
      </c>
      <c r="C1197" s="15" t="s">
        <v>25</v>
      </c>
      <c r="D1197" s="15">
        <v>0.04</v>
      </c>
    </row>
    <row r="1198" spans="1:4" ht="15.75" customHeight="1">
      <c r="A1198" s="15" t="s">
        <v>1533</v>
      </c>
      <c r="B1198" s="15" t="s">
        <v>1062</v>
      </c>
      <c r="C1198" s="15" t="s">
        <v>51</v>
      </c>
      <c r="D1198" s="15">
        <v>0.04</v>
      </c>
    </row>
    <row r="1199" spans="1:4" ht="15.75" customHeight="1">
      <c r="A1199" s="15" t="s">
        <v>1534</v>
      </c>
      <c r="B1199" s="15" t="s">
        <v>1062</v>
      </c>
      <c r="C1199" s="15" t="s">
        <v>1057</v>
      </c>
      <c r="D1199" s="15">
        <v>0.04</v>
      </c>
    </row>
    <row r="1200" spans="1:4" ht="15.75" customHeight="1">
      <c r="A1200" s="15" t="s">
        <v>1535</v>
      </c>
      <c r="B1200" s="15" t="s">
        <v>1062</v>
      </c>
      <c r="C1200" s="15" t="s">
        <v>1052</v>
      </c>
      <c r="D1200" s="15">
        <v>0.04</v>
      </c>
    </row>
    <row r="1201" spans="1:4" ht="15.75" customHeight="1">
      <c r="A1201" s="15" t="s">
        <v>1536</v>
      </c>
      <c r="B1201" s="15" t="s">
        <v>1062</v>
      </c>
      <c r="C1201" s="15" t="s">
        <v>1053</v>
      </c>
      <c r="D1201" s="15">
        <v>0.04</v>
      </c>
    </row>
    <row r="1202" spans="1:4" ht="15.75" customHeight="1">
      <c r="A1202" s="15" t="s">
        <v>1537</v>
      </c>
      <c r="B1202" s="15" t="s">
        <v>1062</v>
      </c>
      <c r="C1202" s="15" t="s">
        <v>24</v>
      </c>
      <c r="D1202" s="15">
        <v>0.04</v>
      </c>
    </row>
    <row r="1203" spans="1:4" ht="15.75" customHeight="1">
      <c r="A1203" s="15" t="s">
        <v>1538</v>
      </c>
      <c r="B1203" s="15" t="s">
        <v>1062</v>
      </c>
      <c r="C1203" s="15" t="s">
        <v>1054</v>
      </c>
      <c r="D1203" s="15">
        <v>0.04</v>
      </c>
    </row>
    <row r="1204" spans="1:4" ht="15.75" customHeight="1">
      <c r="A1204" s="15" t="s">
        <v>1539</v>
      </c>
      <c r="B1204" s="15" t="s">
        <v>1062</v>
      </c>
      <c r="C1204" s="15" t="s">
        <v>1055</v>
      </c>
      <c r="D1204" s="15">
        <v>0.04</v>
      </c>
    </row>
    <row r="1205" spans="1:4" ht="15.75" customHeight="1">
      <c r="A1205" s="15" t="s">
        <v>1540</v>
      </c>
      <c r="B1205" s="15" t="s">
        <v>1062</v>
      </c>
      <c r="C1205" s="15" t="s">
        <v>28</v>
      </c>
      <c r="D1205" s="15">
        <v>0.04</v>
      </c>
    </row>
    <row r="1206" spans="1:4" ht="15.75" customHeight="1">
      <c r="A1206" s="15" t="s">
        <v>1541</v>
      </c>
      <c r="B1206" s="15" t="s">
        <v>1062</v>
      </c>
      <c r="C1206" s="15" t="s">
        <v>1061</v>
      </c>
      <c r="D1206" s="15">
        <v>0.04</v>
      </c>
    </row>
    <row r="1207" spans="1:4" ht="15.75" customHeight="1">
      <c r="A1207" s="15" t="s">
        <v>1542</v>
      </c>
      <c r="B1207" s="15" t="s">
        <v>1062</v>
      </c>
      <c r="C1207" s="15" t="s">
        <v>1062</v>
      </c>
      <c r="D1207" s="15">
        <v>0.18</v>
      </c>
    </row>
    <row r="1208" spans="1:4" ht="15.75" customHeight="1">
      <c r="A1208" s="15" t="s">
        <v>1543</v>
      </c>
      <c r="B1208" s="15" t="s">
        <v>1062</v>
      </c>
      <c r="C1208" s="15" t="s">
        <v>27</v>
      </c>
      <c r="D1208" s="15">
        <v>0.04</v>
      </c>
    </row>
    <row r="1209" spans="1:4" ht="15.75" customHeight="1">
      <c r="A1209" s="15" t="s">
        <v>1544</v>
      </c>
      <c r="B1209" s="15" t="s">
        <v>1062</v>
      </c>
      <c r="C1209" s="15" t="s">
        <v>732</v>
      </c>
      <c r="D1209" s="15">
        <v>0.04</v>
      </c>
    </row>
    <row r="1210" spans="1:4" ht="15.75" customHeight="1">
      <c r="A1210" s="15" t="s">
        <v>1545</v>
      </c>
      <c r="B1210" s="15" t="s">
        <v>1062</v>
      </c>
      <c r="C1210" s="15" t="s">
        <v>736</v>
      </c>
      <c r="D1210" s="15">
        <v>0.04</v>
      </c>
    </row>
    <row r="1211" spans="1:4" ht="15.75" customHeight="1">
      <c r="A1211" s="15" t="s">
        <v>1546</v>
      </c>
      <c r="B1211" s="15" t="s">
        <v>1062</v>
      </c>
      <c r="C1211" s="15" t="s">
        <v>733</v>
      </c>
      <c r="D1211" s="15">
        <v>0.04</v>
      </c>
    </row>
    <row r="1212" spans="1:4" ht="15.75" customHeight="1">
      <c r="A1212" s="15" t="s">
        <v>1547</v>
      </c>
      <c r="B1212" s="15" t="s">
        <v>1062</v>
      </c>
      <c r="C1212" s="15" t="s">
        <v>1063</v>
      </c>
      <c r="D1212" s="15">
        <v>0.04</v>
      </c>
    </row>
    <row r="1213" spans="1:4" ht="15.75" customHeight="1">
      <c r="A1213" s="15" t="s">
        <v>1548</v>
      </c>
      <c r="B1213" s="15" t="s">
        <v>1062</v>
      </c>
      <c r="C1213" s="15" t="s">
        <v>26</v>
      </c>
      <c r="D1213" s="15">
        <v>0.04</v>
      </c>
    </row>
    <row r="1214" spans="1:4" ht="15.75" customHeight="1">
      <c r="A1214" s="15" t="s">
        <v>1549</v>
      </c>
      <c r="B1214" s="15" t="s">
        <v>1062</v>
      </c>
      <c r="C1214" s="15" t="s">
        <v>23</v>
      </c>
      <c r="D1214" s="15">
        <v>0.04</v>
      </c>
    </row>
    <row r="1215" spans="1:4" ht="15.75" customHeight="1">
      <c r="A1215" s="15" t="s">
        <v>1550</v>
      </c>
      <c r="B1215" s="15" t="s">
        <v>1062</v>
      </c>
      <c r="C1215" s="15" t="s">
        <v>1060</v>
      </c>
      <c r="D1215" s="15">
        <v>0.04</v>
      </c>
    </row>
    <row r="1216" spans="1:4" ht="15.75" customHeight="1">
      <c r="A1216" s="15" t="s">
        <v>1551</v>
      </c>
      <c r="B1216" s="15" t="s">
        <v>1062</v>
      </c>
      <c r="C1216" s="15" t="s">
        <v>1064</v>
      </c>
      <c r="D1216" s="15">
        <v>0.04</v>
      </c>
    </row>
    <row r="1217" spans="1:4" ht="15.75" customHeight="1">
      <c r="A1217" s="15" t="s">
        <v>1552</v>
      </c>
      <c r="B1217" s="15" t="s">
        <v>27</v>
      </c>
      <c r="C1217" s="15" t="s">
        <v>1051</v>
      </c>
      <c r="D1217" s="15">
        <v>0.04</v>
      </c>
    </row>
    <row r="1218" spans="1:4" ht="15.75" customHeight="1">
      <c r="A1218" s="15" t="s">
        <v>1553</v>
      </c>
      <c r="B1218" s="15" t="s">
        <v>27</v>
      </c>
      <c r="C1218" s="15" t="s">
        <v>1056</v>
      </c>
      <c r="D1218" s="15">
        <v>0.04</v>
      </c>
    </row>
    <row r="1219" spans="1:4" ht="15.75" customHeight="1">
      <c r="A1219" s="15" t="s">
        <v>1554</v>
      </c>
      <c r="B1219" s="15" t="s">
        <v>27</v>
      </c>
      <c r="C1219" s="15" t="s">
        <v>1058</v>
      </c>
      <c r="D1219" s="15">
        <v>0.04</v>
      </c>
    </row>
    <row r="1220" spans="1:4" ht="15.75" customHeight="1">
      <c r="A1220" s="15" t="s">
        <v>1555</v>
      </c>
      <c r="B1220" s="15" t="s">
        <v>27</v>
      </c>
      <c r="C1220" s="15" t="s">
        <v>29</v>
      </c>
      <c r="D1220" s="15">
        <v>0.04</v>
      </c>
    </row>
    <row r="1221" spans="1:4" ht="15.75" customHeight="1">
      <c r="A1221" s="15" t="s">
        <v>1556</v>
      </c>
      <c r="B1221" s="15" t="s">
        <v>27</v>
      </c>
      <c r="C1221" s="15" t="s">
        <v>34</v>
      </c>
      <c r="D1221" s="15">
        <v>0.04</v>
      </c>
    </row>
    <row r="1222" spans="1:4" ht="15.75" customHeight="1">
      <c r="A1222" s="15" t="s">
        <v>1557</v>
      </c>
      <c r="B1222" s="15" t="s">
        <v>27</v>
      </c>
      <c r="C1222" s="15" t="s">
        <v>41</v>
      </c>
      <c r="D1222" s="15">
        <v>0.04</v>
      </c>
    </row>
    <row r="1223" spans="1:4" ht="15.75" customHeight="1">
      <c r="A1223" s="15" t="s">
        <v>1558</v>
      </c>
      <c r="B1223" s="15" t="s">
        <v>27</v>
      </c>
      <c r="C1223" s="15" t="s">
        <v>1059</v>
      </c>
      <c r="D1223" s="15">
        <v>0.04</v>
      </c>
    </row>
    <row r="1224" spans="1:4" ht="15.75" customHeight="1">
      <c r="A1224" s="15" t="s">
        <v>1559</v>
      </c>
      <c r="B1224" s="15" t="s">
        <v>27</v>
      </c>
      <c r="C1224" s="15" t="s">
        <v>25</v>
      </c>
      <c r="D1224" s="15">
        <v>0.04</v>
      </c>
    </row>
    <row r="1225" spans="1:4" ht="15.75" customHeight="1">
      <c r="A1225" s="15" t="s">
        <v>1560</v>
      </c>
      <c r="B1225" s="15" t="s">
        <v>27</v>
      </c>
      <c r="C1225" s="15" t="s">
        <v>51</v>
      </c>
      <c r="D1225" s="15">
        <v>0.04</v>
      </c>
    </row>
    <row r="1226" spans="1:4" ht="15.75" customHeight="1">
      <c r="A1226" s="15" t="s">
        <v>1561</v>
      </c>
      <c r="B1226" s="15" t="s">
        <v>27</v>
      </c>
      <c r="C1226" s="15" t="s">
        <v>1057</v>
      </c>
      <c r="D1226" s="15">
        <v>0.04</v>
      </c>
    </row>
    <row r="1227" spans="1:4" ht="15.75" customHeight="1">
      <c r="A1227" s="15" t="s">
        <v>1562</v>
      </c>
      <c r="B1227" s="15" t="s">
        <v>27</v>
      </c>
      <c r="C1227" s="15" t="s">
        <v>1052</v>
      </c>
      <c r="D1227" s="15">
        <v>0.04</v>
      </c>
    </row>
    <row r="1228" spans="1:4" ht="15.75" customHeight="1">
      <c r="A1228" s="15" t="s">
        <v>1563</v>
      </c>
      <c r="B1228" s="15" t="s">
        <v>27</v>
      </c>
      <c r="C1228" s="15" t="s">
        <v>1053</v>
      </c>
      <c r="D1228" s="15">
        <v>0.04</v>
      </c>
    </row>
    <row r="1229" spans="1:4" ht="15.75" customHeight="1">
      <c r="A1229" s="15" t="s">
        <v>1564</v>
      </c>
      <c r="B1229" s="15" t="s">
        <v>27</v>
      </c>
      <c r="C1229" s="15" t="s">
        <v>24</v>
      </c>
      <c r="D1229" s="15">
        <v>0.04</v>
      </c>
    </row>
    <row r="1230" spans="1:4" ht="15.75" customHeight="1">
      <c r="A1230" s="15" t="s">
        <v>1565</v>
      </c>
      <c r="B1230" s="15" t="s">
        <v>27</v>
      </c>
      <c r="C1230" s="15" t="s">
        <v>1054</v>
      </c>
      <c r="D1230" s="15">
        <v>0.04</v>
      </c>
    </row>
    <row r="1231" spans="1:4" ht="15.75" customHeight="1">
      <c r="A1231" s="15" t="s">
        <v>1566</v>
      </c>
      <c r="B1231" s="15" t="s">
        <v>27</v>
      </c>
      <c r="C1231" s="15" t="s">
        <v>1055</v>
      </c>
      <c r="D1231" s="15">
        <v>0.04</v>
      </c>
    </row>
    <row r="1232" spans="1:4" ht="15.75" customHeight="1">
      <c r="A1232" s="15" t="s">
        <v>1567</v>
      </c>
      <c r="B1232" s="15" t="s">
        <v>27</v>
      </c>
      <c r="C1232" s="15" t="s">
        <v>28</v>
      </c>
      <c r="D1232" s="15">
        <v>0.04</v>
      </c>
    </row>
    <row r="1233" spans="1:4" ht="15.75" customHeight="1">
      <c r="A1233" s="15" t="s">
        <v>1568</v>
      </c>
      <c r="B1233" s="15" t="s">
        <v>27</v>
      </c>
      <c r="C1233" s="15" t="s">
        <v>1061</v>
      </c>
      <c r="D1233" s="15">
        <v>0.04</v>
      </c>
    </row>
    <row r="1234" spans="1:4" ht="15.75" customHeight="1">
      <c r="A1234" s="15" t="s">
        <v>1569</v>
      </c>
      <c r="B1234" s="15" t="s">
        <v>27</v>
      </c>
      <c r="C1234" s="15" t="s">
        <v>1062</v>
      </c>
      <c r="D1234" s="15">
        <v>0.04</v>
      </c>
    </row>
    <row r="1235" spans="1:4" ht="15.75" customHeight="1">
      <c r="A1235" s="15" t="s">
        <v>1570</v>
      </c>
      <c r="B1235" s="15" t="s">
        <v>27</v>
      </c>
      <c r="C1235" s="15" t="s">
        <v>27</v>
      </c>
      <c r="D1235" s="15">
        <v>0.18</v>
      </c>
    </row>
    <row r="1236" spans="1:4" ht="15.75" customHeight="1">
      <c r="A1236" s="15" t="s">
        <v>1571</v>
      </c>
      <c r="B1236" s="15" t="s">
        <v>27</v>
      </c>
      <c r="C1236" s="15" t="s">
        <v>732</v>
      </c>
      <c r="D1236" s="15">
        <v>0.04</v>
      </c>
    </row>
    <row r="1237" spans="1:4" ht="15.75" customHeight="1">
      <c r="A1237" s="15" t="s">
        <v>1572</v>
      </c>
      <c r="B1237" s="15" t="s">
        <v>27</v>
      </c>
      <c r="C1237" s="15" t="s">
        <v>736</v>
      </c>
      <c r="D1237" s="15">
        <v>0.04</v>
      </c>
    </row>
    <row r="1238" spans="1:4" ht="15.75" customHeight="1">
      <c r="A1238" s="15" t="s">
        <v>1573</v>
      </c>
      <c r="B1238" s="15" t="s">
        <v>27</v>
      </c>
      <c r="C1238" s="15" t="s">
        <v>733</v>
      </c>
      <c r="D1238" s="15">
        <v>0.04</v>
      </c>
    </row>
    <row r="1239" spans="1:4" ht="15.75" customHeight="1">
      <c r="A1239" s="15" t="s">
        <v>1574</v>
      </c>
      <c r="B1239" s="15" t="s">
        <v>27</v>
      </c>
      <c r="C1239" s="15" t="s">
        <v>1063</v>
      </c>
      <c r="D1239" s="15">
        <v>0.04</v>
      </c>
    </row>
    <row r="1240" spans="1:4" ht="15.75" customHeight="1">
      <c r="A1240" s="15" t="s">
        <v>1575</v>
      </c>
      <c r="B1240" s="15" t="s">
        <v>27</v>
      </c>
      <c r="C1240" s="15" t="s">
        <v>26</v>
      </c>
      <c r="D1240" s="15">
        <v>0.04</v>
      </c>
    </row>
    <row r="1241" spans="1:4" ht="15.75" customHeight="1">
      <c r="A1241" s="15" t="s">
        <v>1576</v>
      </c>
      <c r="B1241" s="15" t="s">
        <v>27</v>
      </c>
      <c r="C1241" s="15" t="s">
        <v>23</v>
      </c>
      <c r="D1241" s="15">
        <v>0.04</v>
      </c>
    </row>
    <row r="1242" spans="1:4" ht="15.75" customHeight="1">
      <c r="A1242" s="15" t="s">
        <v>1577</v>
      </c>
      <c r="B1242" s="15" t="s">
        <v>27</v>
      </c>
      <c r="C1242" s="15" t="s">
        <v>1060</v>
      </c>
      <c r="D1242" s="15">
        <v>0.04</v>
      </c>
    </row>
    <row r="1243" spans="1:4" ht="15.75" customHeight="1">
      <c r="A1243" s="15" t="s">
        <v>1578</v>
      </c>
      <c r="B1243" s="15" t="s">
        <v>27</v>
      </c>
      <c r="C1243" s="15" t="s">
        <v>1064</v>
      </c>
      <c r="D1243" s="15">
        <v>0.04</v>
      </c>
    </row>
    <row r="1244" spans="1:4" ht="15.75" customHeight="1">
      <c r="A1244" s="15" t="s">
        <v>1579</v>
      </c>
      <c r="B1244" s="15" t="s">
        <v>732</v>
      </c>
      <c r="C1244" s="15" t="s">
        <v>1051</v>
      </c>
      <c r="D1244" s="15">
        <v>0.04</v>
      </c>
    </row>
    <row r="1245" spans="1:4" ht="15.75" customHeight="1">
      <c r="A1245" s="15" t="s">
        <v>1580</v>
      </c>
      <c r="B1245" s="15" t="s">
        <v>732</v>
      </c>
      <c r="C1245" s="15" t="s">
        <v>1056</v>
      </c>
      <c r="D1245" s="15">
        <v>0.04</v>
      </c>
    </row>
    <row r="1246" spans="1:4" ht="15.75" customHeight="1">
      <c r="A1246" s="15" t="s">
        <v>1581</v>
      </c>
      <c r="B1246" s="15" t="s">
        <v>732</v>
      </c>
      <c r="C1246" s="15" t="s">
        <v>1058</v>
      </c>
      <c r="D1246" s="15">
        <v>0.04</v>
      </c>
    </row>
    <row r="1247" spans="1:4" ht="15.75" customHeight="1">
      <c r="A1247" s="15" t="s">
        <v>1582</v>
      </c>
      <c r="B1247" s="15" t="s">
        <v>732</v>
      </c>
      <c r="C1247" s="15" t="s">
        <v>29</v>
      </c>
      <c r="D1247" s="15">
        <v>0.04</v>
      </c>
    </row>
    <row r="1248" spans="1:4" ht="15.75" customHeight="1">
      <c r="A1248" s="15" t="s">
        <v>1583</v>
      </c>
      <c r="B1248" s="15" t="s">
        <v>732</v>
      </c>
      <c r="C1248" s="15" t="s">
        <v>34</v>
      </c>
      <c r="D1248" s="15">
        <v>0.04</v>
      </c>
    </row>
    <row r="1249" spans="1:4" ht="15.75" customHeight="1">
      <c r="A1249" s="15" t="s">
        <v>1584</v>
      </c>
      <c r="B1249" s="15" t="s">
        <v>732</v>
      </c>
      <c r="C1249" s="15" t="s">
        <v>41</v>
      </c>
      <c r="D1249" s="15">
        <v>0.04</v>
      </c>
    </row>
    <row r="1250" spans="1:4" ht="15.75" customHeight="1">
      <c r="A1250" s="15" t="s">
        <v>1585</v>
      </c>
      <c r="B1250" s="15" t="s">
        <v>732</v>
      </c>
      <c r="C1250" s="15" t="s">
        <v>1059</v>
      </c>
      <c r="D1250" s="15">
        <v>0.04</v>
      </c>
    </row>
    <row r="1251" spans="1:4" ht="15.75" customHeight="1">
      <c r="A1251" s="15" t="s">
        <v>1586</v>
      </c>
      <c r="B1251" s="15" t="s">
        <v>732</v>
      </c>
      <c r="C1251" s="15" t="s">
        <v>25</v>
      </c>
      <c r="D1251" s="15">
        <v>0.04</v>
      </c>
    </row>
    <row r="1252" spans="1:4" ht="15.75" customHeight="1">
      <c r="A1252" s="15" t="s">
        <v>1587</v>
      </c>
      <c r="B1252" s="15" t="s">
        <v>732</v>
      </c>
      <c r="C1252" s="15" t="s">
        <v>51</v>
      </c>
      <c r="D1252" s="15">
        <v>0.04</v>
      </c>
    </row>
    <row r="1253" spans="1:4" ht="15.75" customHeight="1">
      <c r="A1253" s="15" t="s">
        <v>1588</v>
      </c>
      <c r="B1253" s="15" t="s">
        <v>732</v>
      </c>
      <c r="C1253" s="15" t="s">
        <v>1057</v>
      </c>
      <c r="D1253" s="15">
        <v>0.04</v>
      </c>
    </row>
    <row r="1254" spans="1:4" ht="15.75" customHeight="1">
      <c r="A1254" s="15" t="s">
        <v>1589</v>
      </c>
      <c r="B1254" s="15" t="s">
        <v>732</v>
      </c>
      <c r="C1254" s="15" t="s">
        <v>1052</v>
      </c>
      <c r="D1254" s="15">
        <v>0.04</v>
      </c>
    </row>
    <row r="1255" spans="1:4" ht="15.75" customHeight="1">
      <c r="A1255" s="15" t="s">
        <v>1590</v>
      </c>
      <c r="B1255" s="15" t="s">
        <v>732</v>
      </c>
      <c r="C1255" s="15" t="s">
        <v>1053</v>
      </c>
      <c r="D1255" s="15">
        <v>0.04</v>
      </c>
    </row>
    <row r="1256" spans="1:4" ht="15.75" customHeight="1">
      <c r="A1256" s="15" t="s">
        <v>1591</v>
      </c>
      <c r="B1256" s="15" t="s">
        <v>732</v>
      </c>
      <c r="C1256" s="15" t="s">
        <v>24</v>
      </c>
      <c r="D1256" s="15">
        <v>0.04</v>
      </c>
    </row>
    <row r="1257" spans="1:4" ht="15.75" customHeight="1">
      <c r="A1257" s="15" t="s">
        <v>1592</v>
      </c>
      <c r="B1257" s="15" t="s">
        <v>732</v>
      </c>
      <c r="C1257" s="15" t="s">
        <v>1054</v>
      </c>
      <c r="D1257" s="15">
        <v>0.04</v>
      </c>
    </row>
    <row r="1258" spans="1:4" ht="15.75" customHeight="1">
      <c r="A1258" s="15" t="s">
        <v>1593</v>
      </c>
      <c r="B1258" s="15" t="s">
        <v>732</v>
      </c>
      <c r="C1258" s="15" t="s">
        <v>1055</v>
      </c>
      <c r="D1258" s="15">
        <v>0.04</v>
      </c>
    </row>
    <row r="1259" spans="1:4" ht="15.75" customHeight="1">
      <c r="A1259" s="15" t="s">
        <v>1594</v>
      </c>
      <c r="B1259" s="15" t="s">
        <v>732</v>
      </c>
      <c r="C1259" s="15" t="s">
        <v>28</v>
      </c>
      <c r="D1259" s="15">
        <v>0.04</v>
      </c>
    </row>
    <row r="1260" spans="1:4" ht="15.75" customHeight="1">
      <c r="A1260" s="15" t="s">
        <v>1595</v>
      </c>
      <c r="B1260" s="15" t="s">
        <v>732</v>
      </c>
      <c r="C1260" s="15" t="s">
        <v>1061</v>
      </c>
      <c r="D1260" s="15">
        <v>0.04</v>
      </c>
    </row>
    <row r="1261" spans="1:4" ht="15.75" customHeight="1">
      <c r="A1261" s="15" t="s">
        <v>1596</v>
      </c>
      <c r="B1261" s="15" t="s">
        <v>732</v>
      </c>
      <c r="C1261" s="15" t="s">
        <v>1062</v>
      </c>
      <c r="D1261" s="15">
        <v>0.04</v>
      </c>
    </row>
    <row r="1262" spans="1:4" ht="15.75" customHeight="1">
      <c r="A1262" s="15" t="s">
        <v>1597</v>
      </c>
      <c r="B1262" s="15" t="s">
        <v>732</v>
      </c>
      <c r="C1262" s="15" t="s">
        <v>27</v>
      </c>
      <c r="D1262" s="15">
        <v>0.04</v>
      </c>
    </row>
    <row r="1263" spans="1:4" ht="15.75" customHeight="1">
      <c r="A1263" s="15" t="s">
        <v>1598</v>
      </c>
      <c r="B1263" s="15" t="s">
        <v>732</v>
      </c>
      <c r="C1263" s="15" t="s">
        <v>732</v>
      </c>
      <c r="D1263" s="15">
        <v>0.18</v>
      </c>
    </row>
    <row r="1264" spans="1:4" ht="15.75" customHeight="1">
      <c r="A1264" s="15" t="s">
        <v>1599</v>
      </c>
      <c r="B1264" s="15" t="s">
        <v>732</v>
      </c>
      <c r="C1264" s="15" t="s">
        <v>736</v>
      </c>
      <c r="D1264" s="15">
        <v>0.04</v>
      </c>
    </row>
    <row r="1265" spans="1:4" ht="15.75" customHeight="1">
      <c r="A1265" s="15" t="s">
        <v>1600</v>
      </c>
      <c r="B1265" s="15" t="s">
        <v>732</v>
      </c>
      <c r="C1265" s="15" t="s">
        <v>733</v>
      </c>
      <c r="D1265" s="15">
        <v>0.04</v>
      </c>
    </row>
    <row r="1266" spans="1:4" ht="15.75" customHeight="1">
      <c r="A1266" s="15" t="s">
        <v>1601</v>
      </c>
      <c r="B1266" s="15" t="s">
        <v>732</v>
      </c>
      <c r="C1266" s="15" t="s">
        <v>1063</v>
      </c>
      <c r="D1266" s="15">
        <v>0.04</v>
      </c>
    </row>
    <row r="1267" spans="1:4" ht="15.75" customHeight="1">
      <c r="A1267" s="15" t="s">
        <v>1602</v>
      </c>
      <c r="B1267" s="15" t="s">
        <v>732</v>
      </c>
      <c r="C1267" s="15" t="s">
        <v>26</v>
      </c>
      <c r="D1267" s="15">
        <v>0.04</v>
      </c>
    </row>
    <row r="1268" spans="1:4" ht="15.75" customHeight="1">
      <c r="A1268" s="15" t="s">
        <v>1603</v>
      </c>
      <c r="B1268" s="15" t="s">
        <v>732</v>
      </c>
      <c r="C1268" s="15" t="s">
        <v>23</v>
      </c>
      <c r="D1268" s="15">
        <v>0.04</v>
      </c>
    </row>
    <row r="1269" spans="1:4" ht="15.75" customHeight="1">
      <c r="A1269" s="15" t="s">
        <v>1604</v>
      </c>
      <c r="B1269" s="15" t="s">
        <v>732</v>
      </c>
      <c r="C1269" s="15" t="s">
        <v>1060</v>
      </c>
      <c r="D1269" s="15">
        <v>0.04</v>
      </c>
    </row>
    <row r="1270" spans="1:4" ht="15.75" customHeight="1">
      <c r="A1270" s="15" t="s">
        <v>1605</v>
      </c>
      <c r="B1270" s="15" t="s">
        <v>732</v>
      </c>
      <c r="C1270" s="15" t="s">
        <v>1064</v>
      </c>
      <c r="D1270" s="15">
        <v>0.04</v>
      </c>
    </row>
    <row r="1271" spans="1:4" ht="15.75" customHeight="1">
      <c r="A1271" s="15" t="s">
        <v>1606</v>
      </c>
      <c r="B1271" s="15" t="s">
        <v>736</v>
      </c>
      <c r="C1271" s="15" t="s">
        <v>1051</v>
      </c>
      <c r="D1271" s="15">
        <v>0.04</v>
      </c>
    </row>
    <row r="1272" spans="1:4" ht="15.75" customHeight="1">
      <c r="A1272" s="15" t="s">
        <v>1607</v>
      </c>
      <c r="B1272" s="15" t="s">
        <v>736</v>
      </c>
      <c r="C1272" s="15" t="s">
        <v>1056</v>
      </c>
      <c r="D1272" s="15">
        <v>0.04</v>
      </c>
    </row>
    <row r="1273" spans="1:4" ht="15.75" customHeight="1">
      <c r="A1273" s="15" t="s">
        <v>1608</v>
      </c>
      <c r="B1273" s="15" t="s">
        <v>736</v>
      </c>
      <c r="C1273" s="15" t="s">
        <v>1058</v>
      </c>
      <c r="D1273" s="15">
        <v>0.04</v>
      </c>
    </row>
    <row r="1274" spans="1:4" ht="15.75" customHeight="1">
      <c r="A1274" s="15" t="s">
        <v>1609</v>
      </c>
      <c r="B1274" s="15" t="s">
        <v>736</v>
      </c>
      <c r="C1274" s="15" t="s">
        <v>29</v>
      </c>
      <c r="D1274" s="15">
        <v>0.04</v>
      </c>
    </row>
    <row r="1275" spans="1:4" ht="15.75" customHeight="1">
      <c r="A1275" s="15" t="s">
        <v>1610</v>
      </c>
      <c r="B1275" s="15" t="s">
        <v>736</v>
      </c>
      <c r="C1275" s="15" t="s">
        <v>34</v>
      </c>
      <c r="D1275" s="15">
        <v>0.04</v>
      </c>
    </row>
    <row r="1276" spans="1:4" ht="15.75" customHeight="1">
      <c r="A1276" s="15" t="s">
        <v>1611</v>
      </c>
      <c r="B1276" s="15" t="s">
        <v>736</v>
      </c>
      <c r="C1276" s="15" t="s">
        <v>41</v>
      </c>
      <c r="D1276" s="15">
        <v>0.04</v>
      </c>
    </row>
    <row r="1277" spans="1:4" ht="15.75" customHeight="1">
      <c r="A1277" s="15" t="s">
        <v>1612</v>
      </c>
      <c r="B1277" s="15" t="s">
        <v>736</v>
      </c>
      <c r="C1277" s="15" t="s">
        <v>1059</v>
      </c>
      <c r="D1277" s="15">
        <v>0.04</v>
      </c>
    </row>
    <row r="1278" spans="1:4" ht="15.75" customHeight="1">
      <c r="A1278" s="15" t="s">
        <v>1613</v>
      </c>
      <c r="B1278" s="15" t="s">
        <v>736</v>
      </c>
      <c r="C1278" s="15" t="s">
        <v>25</v>
      </c>
      <c r="D1278" s="15">
        <v>0.04</v>
      </c>
    </row>
    <row r="1279" spans="1:4" ht="15.75" customHeight="1">
      <c r="A1279" s="15" t="s">
        <v>1614</v>
      </c>
      <c r="B1279" s="15" t="s">
        <v>736</v>
      </c>
      <c r="C1279" s="15" t="s">
        <v>51</v>
      </c>
      <c r="D1279" s="15">
        <v>0.04</v>
      </c>
    </row>
    <row r="1280" spans="1:4" ht="15.75" customHeight="1">
      <c r="A1280" s="15" t="s">
        <v>1615</v>
      </c>
      <c r="B1280" s="15" t="s">
        <v>736</v>
      </c>
      <c r="C1280" s="15" t="s">
        <v>1057</v>
      </c>
      <c r="D1280" s="15">
        <v>0.04</v>
      </c>
    </row>
    <row r="1281" spans="1:4" ht="15.75" customHeight="1">
      <c r="A1281" s="15" t="s">
        <v>1616</v>
      </c>
      <c r="B1281" s="15" t="s">
        <v>736</v>
      </c>
      <c r="C1281" s="15" t="s">
        <v>1052</v>
      </c>
      <c r="D1281" s="15">
        <v>0.04</v>
      </c>
    </row>
    <row r="1282" spans="1:4" ht="15.75" customHeight="1">
      <c r="A1282" s="15" t="s">
        <v>1617</v>
      </c>
      <c r="B1282" s="15" t="s">
        <v>736</v>
      </c>
      <c r="C1282" s="15" t="s">
        <v>1053</v>
      </c>
      <c r="D1282" s="15">
        <v>0.04</v>
      </c>
    </row>
    <row r="1283" spans="1:4" ht="15.75" customHeight="1">
      <c r="A1283" s="15" t="s">
        <v>1618</v>
      </c>
      <c r="B1283" s="15" t="s">
        <v>736</v>
      </c>
      <c r="C1283" s="15" t="s">
        <v>24</v>
      </c>
      <c r="D1283" s="15">
        <v>0.04</v>
      </c>
    </row>
    <row r="1284" spans="1:4" ht="15.75" customHeight="1">
      <c r="A1284" s="15" t="s">
        <v>1619</v>
      </c>
      <c r="B1284" s="15" t="s">
        <v>736</v>
      </c>
      <c r="C1284" s="15" t="s">
        <v>1054</v>
      </c>
      <c r="D1284" s="15">
        <v>0.04</v>
      </c>
    </row>
    <row r="1285" spans="1:4" ht="15.75" customHeight="1">
      <c r="A1285" s="15" t="s">
        <v>1620</v>
      </c>
      <c r="B1285" s="15" t="s">
        <v>736</v>
      </c>
      <c r="C1285" s="15" t="s">
        <v>1055</v>
      </c>
      <c r="D1285" s="15">
        <v>0.04</v>
      </c>
    </row>
    <row r="1286" spans="1:4" ht="15.75" customHeight="1">
      <c r="A1286" s="15" t="s">
        <v>1621</v>
      </c>
      <c r="B1286" s="15" t="s">
        <v>736</v>
      </c>
      <c r="C1286" s="15" t="s">
        <v>28</v>
      </c>
      <c r="D1286" s="15">
        <v>0.04</v>
      </c>
    </row>
    <row r="1287" spans="1:4" ht="15.75" customHeight="1">
      <c r="A1287" s="15" t="s">
        <v>1622</v>
      </c>
      <c r="B1287" s="15" t="s">
        <v>736</v>
      </c>
      <c r="C1287" s="15" t="s">
        <v>1061</v>
      </c>
      <c r="D1287" s="15">
        <v>0.04</v>
      </c>
    </row>
    <row r="1288" spans="1:4" ht="15.75" customHeight="1">
      <c r="A1288" s="15" t="s">
        <v>1623</v>
      </c>
      <c r="B1288" s="15" t="s">
        <v>736</v>
      </c>
      <c r="C1288" s="15" t="s">
        <v>1062</v>
      </c>
      <c r="D1288" s="15">
        <v>0.04</v>
      </c>
    </row>
    <row r="1289" spans="1:4" ht="15.75" customHeight="1">
      <c r="A1289" s="15" t="s">
        <v>1624</v>
      </c>
      <c r="B1289" s="15" t="s">
        <v>736</v>
      </c>
      <c r="C1289" s="15" t="s">
        <v>27</v>
      </c>
      <c r="D1289" s="15">
        <v>0.04</v>
      </c>
    </row>
    <row r="1290" spans="1:4" ht="15.75" customHeight="1">
      <c r="A1290" s="15" t="s">
        <v>1625</v>
      </c>
      <c r="B1290" s="15" t="s">
        <v>736</v>
      </c>
      <c r="C1290" s="15" t="s">
        <v>732</v>
      </c>
      <c r="D1290" s="15">
        <v>0.04</v>
      </c>
    </row>
    <row r="1291" spans="1:4" ht="15.75" customHeight="1">
      <c r="A1291" s="15" t="s">
        <v>1626</v>
      </c>
      <c r="B1291" s="15" t="s">
        <v>736</v>
      </c>
      <c r="C1291" s="15" t="s">
        <v>736</v>
      </c>
      <c r="D1291" s="15">
        <v>0.18</v>
      </c>
    </row>
    <row r="1292" spans="1:4" ht="15.75" customHeight="1">
      <c r="A1292" s="15" t="s">
        <v>1627</v>
      </c>
      <c r="B1292" s="15" t="s">
        <v>736</v>
      </c>
      <c r="C1292" s="15" t="s">
        <v>733</v>
      </c>
      <c r="D1292" s="15">
        <v>0.04</v>
      </c>
    </row>
    <row r="1293" spans="1:4" ht="15.75" customHeight="1">
      <c r="A1293" s="15" t="s">
        <v>1628</v>
      </c>
      <c r="B1293" s="15" t="s">
        <v>736</v>
      </c>
      <c r="C1293" s="15" t="s">
        <v>1063</v>
      </c>
      <c r="D1293" s="15">
        <v>0.04</v>
      </c>
    </row>
    <row r="1294" spans="1:4" ht="15.75" customHeight="1">
      <c r="A1294" s="15" t="s">
        <v>1629</v>
      </c>
      <c r="B1294" s="15" t="s">
        <v>736</v>
      </c>
      <c r="C1294" s="15" t="s">
        <v>26</v>
      </c>
      <c r="D1294" s="15">
        <v>0.04</v>
      </c>
    </row>
    <row r="1295" spans="1:4" ht="15.75" customHeight="1">
      <c r="A1295" s="15" t="s">
        <v>1630</v>
      </c>
      <c r="B1295" s="15" t="s">
        <v>736</v>
      </c>
      <c r="C1295" s="15" t="s">
        <v>23</v>
      </c>
      <c r="D1295" s="15">
        <v>0.04</v>
      </c>
    </row>
    <row r="1296" spans="1:4" ht="15.75" customHeight="1">
      <c r="A1296" s="15" t="s">
        <v>1631</v>
      </c>
      <c r="B1296" s="15" t="s">
        <v>736</v>
      </c>
      <c r="C1296" s="15" t="s">
        <v>1060</v>
      </c>
      <c r="D1296" s="15">
        <v>0.04</v>
      </c>
    </row>
    <row r="1297" spans="1:4" ht="15.75" customHeight="1">
      <c r="A1297" s="15" t="s">
        <v>1632</v>
      </c>
      <c r="B1297" s="15" t="s">
        <v>736</v>
      </c>
      <c r="C1297" s="15" t="s">
        <v>1064</v>
      </c>
      <c r="D1297" s="15">
        <v>0.04</v>
      </c>
    </row>
    <row r="1298" spans="1:4" ht="15.75" customHeight="1">
      <c r="A1298" s="15" t="s">
        <v>1633</v>
      </c>
      <c r="B1298" s="15" t="s">
        <v>733</v>
      </c>
      <c r="C1298" s="15" t="s">
        <v>1051</v>
      </c>
      <c r="D1298" s="15">
        <v>0.04</v>
      </c>
    </row>
    <row r="1299" spans="1:4" ht="15.75" customHeight="1">
      <c r="A1299" s="15" t="s">
        <v>1634</v>
      </c>
      <c r="B1299" s="15" t="s">
        <v>733</v>
      </c>
      <c r="C1299" s="15" t="s">
        <v>1056</v>
      </c>
      <c r="D1299" s="15">
        <v>0.04</v>
      </c>
    </row>
    <row r="1300" spans="1:4" ht="15.75" customHeight="1">
      <c r="A1300" s="15" t="s">
        <v>1635</v>
      </c>
      <c r="B1300" s="15" t="s">
        <v>733</v>
      </c>
      <c r="C1300" s="15" t="s">
        <v>1058</v>
      </c>
      <c r="D1300" s="15">
        <v>0.04</v>
      </c>
    </row>
    <row r="1301" spans="1:4" ht="15.75" customHeight="1">
      <c r="A1301" s="15" t="s">
        <v>1636</v>
      </c>
      <c r="B1301" s="15" t="s">
        <v>733</v>
      </c>
      <c r="C1301" s="15" t="s">
        <v>29</v>
      </c>
      <c r="D1301" s="15">
        <v>0.04</v>
      </c>
    </row>
    <row r="1302" spans="1:4" ht="15.75" customHeight="1">
      <c r="A1302" s="15" t="s">
        <v>1637</v>
      </c>
      <c r="B1302" s="15" t="s">
        <v>733</v>
      </c>
      <c r="C1302" s="15" t="s">
        <v>34</v>
      </c>
      <c r="D1302" s="15">
        <v>0.04</v>
      </c>
    </row>
    <row r="1303" spans="1:4" ht="15.75" customHeight="1">
      <c r="A1303" s="15" t="s">
        <v>1638</v>
      </c>
      <c r="B1303" s="15" t="s">
        <v>733</v>
      </c>
      <c r="C1303" s="15" t="s">
        <v>41</v>
      </c>
      <c r="D1303" s="15">
        <v>0.04</v>
      </c>
    </row>
    <row r="1304" spans="1:4" ht="15.75" customHeight="1">
      <c r="A1304" s="15" t="s">
        <v>1639</v>
      </c>
      <c r="B1304" s="15" t="s">
        <v>733</v>
      </c>
      <c r="C1304" s="15" t="s">
        <v>1059</v>
      </c>
      <c r="D1304" s="15">
        <v>0.04</v>
      </c>
    </row>
    <row r="1305" spans="1:4" ht="15.75" customHeight="1">
      <c r="A1305" s="15" t="s">
        <v>1640</v>
      </c>
      <c r="B1305" s="15" t="s">
        <v>733</v>
      </c>
      <c r="C1305" s="15" t="s">
        <v>25</v>
      </c>
      <c r="D1305" s="15">
        <v>0.04</v>
      </c>
    </row>
    <row r="1306" spans="1:4" ht="15.75" customHeight="1">
      <c r="A1306" s="15" t="s">
        <v>1641</v>
      </c>
      <c r="B1306" s="15" t="s">
        <v>733</v>
      </c>
      <c r="C1306" s="15" t="s">
        <v>51</v>
      </c>
      <c r="D1306" s="15">
        <v>0.04</v>
      </c>
    </row>
    <row r="1307" spans="1:4" ht="15.75" customHeight="1">
      <c r="A1307" s="15" t="s">
        <v>1642</v>
      </c>
      <c r="B1307" s="15" t="s">
        <v>733</v>
      </c>
      <c r="C1307" s="15" t="s">
        <v>1057</v>
      </c>
      <c r="D1307" s="15">
        <v>0.04</v>
      </c>
    </row>
    <row r="1308" spans="1:4" ht="15.75" customHeight="1">
      <c r="A1308" s="15" t="s">
        <v>1643</v>
      </c>
      <c r="B1308" s="15" t="s">
        <v>733</v>
      </c>
      <c r="C1308" s="15" t="s">
        <v>1052</v>
      </c>
      <c r="D1308" s="15">
        <v>0.04</v>
      </c>
    </row>
    <row r="1309" spans="1:4" ht="15.75" customHeight="1">
      <c r="A1309" s="15" t="s">
        <v>1644</v>
      </c>
      <c r="B1309" s="15" t="s">
        <v>733</v>
      </c>
      <c r="C1309" s="15" t="s">
        <v>1053</v>
      </c>
      <c r="D1309" s="15">
        <v>0.04</v>
      </c>
    </row>
    <row r="1310" spans="1:4" ht="15.75" customHeight="1">
      <c r="A1310" s="15" t="s">
        <v>1645</v>
      </c>
      <c r="B1310" s="15" t="s">
        <v>733</v>
      </c>
      <c r="C1310" s="15" t="s">
        <v>24</v>
      </c>
      <c r="D1310" s="15">
        <v>0.04</v>
      </c>
    </row>
    <row r="1311" spans="1:4" ht="15.75" customHeight="1">
      <c r="A1311" s="15" t="s">
        <v>1646</v>
      </c>
      <c r="B1311" s="15" t="s">
        <v>733</v>
      </c>
      <c r="C1311" s="15" t="s">
        <v>1054</v>
      </c>
      <c r="D1311" s="15">
        <v>0.04</v>
      </c>
    </row>
    <row r="1312" spans="1:4" ht="15.75" customHeight="1">
      <c r="A1312" s="15" t="s">
        <v>1647</v>
      </c>
      <c r="B1312" s="15" t="s">
        <v>733</v>
      </c>
      <c r="C1312" s="15" t="s">
        <v>1055</v>
      </c>
      <c r="D1312" s="15">
        <v>0.04</v>
      </c>
    </row>
    <row r="1313" spans="1:4" ht="15.75" customHeight="1">
      <c r="A1313" s="15" t="s">
        <v>1648</v>
      </c>
      <c r="B1313" s="15" t="s">
        <v>733</v>
      </c>
      <c r="C1313" s="15" t="s">
        <v>28</v>
      </c>
      <c r="D1313" s="15">
        <v>0.04</v>
      </c>
    </row>
    <row r="1314" spans="1:4" ht="15.75" customHeight="1">
      <c r="A1314" s="15" t="s">
        <v>1649</v>
      </c>
      <c r="B1314" s="15" t="s">
        <v>733</v>
      </c>
      <c r="C1314" s="15" t="s">
        <v>1061</v>
      </c>
      <c r="D1314" s="15">
        <v>0.04</v>
      </c>
    </row>
    <row r="1315" spans="1:4" ht="15.75" customHeight="1">
      <c r="A1315" s="15" t="s">
        <v>1650</v>
      </c>
      <c r="B1315" s="15" t="s">
        <v>733</v>
      </c>
      <c r="C1315" s="15" t="s">
        <v>1062</v>
      </c>
      <c r="D1315" s="15">
        <v>0.04</v>
      </c>
    </row>
    <row r="1316" spans="1:4" ht="15.75" customHeight="1">
      <c r="A1316" s="15" t="s">
        <v>1651</v>
      </c>
      <c r="B1316" s="15" t="s">
        <v>733</v>
      </c>
      <c r="C1316" s="15" t="s">
        <v>27</v>
      </c>
      <c r="D1316" s="15">
        <v>0.04</v>
      </c>
    </row>
    <row r="1317" spans="1:4" ht="15.75" customHeight="1">
      <c r="A1317" s="15" t="s">
        <v>1652</v>
      </c>
      <c r="B1317" s="15" t="s">
        <v>733</v>
      </c>
      <c r="C1317" s="15" t="s">
        <v>732</v>
      </c>
      <c r="D1317" s="15">
        <v>0.04</v>
      </c>
    </row>
    <row r="1318" spans="1:4" ht="15.75" customHeight="1">
      <c r="A1318" s="15" t="s">
        <v>1653</v>
      </c>
      <c r="B1318" s="15" t="s">
        <v>733</v>
      </c>
      <c r="C1318" s="15" t="s">
        <v>736</v>
      </c>
      <c r="D1318" s="15">
        <v>0.04</v>
      </c>
    </row>
    <row r="1319" spans="1:4" ht="15.75" customHeight="1">
      <c r="A1319" s="15" t="s">
        <v>1654</v>
      </c>
      <c r="B1319" s="15" t="s">
        <v>733</v>
      </c>
      <c r="C1319" s="15" t="s">
        <v>733</v>
      </c>
      <c r="D1319" s="15">
        <v>0.18</v>
      </c>
    </row>
    <row r="1320" spans="1:4" ht="15.75" customHeight="1">
      <c r="A1320" s="15" t="s">
        <v>1655</v>
      </c>
      <c r="B1320" s="15" t="s">
        <v>733</v>
      </c>
      <c r="C1320" s="15" t="s">
        <v>1063</v>
      </c>
      <c r="D1320" s="15">
        <v>0.04</v>
      </c>
    </row>
    <row r="1321" spans="1:4" ht="15.75" customHeight="1">
      <c r="A1321" s="15" t="s">
        <v>1656</v>
      </c>
      <c r="B1321" s="15" t="s">
        <v>733</v>
      </c>
      <c r="C1321" s="15" t="s">
        <v>26</v>
      </c>
      <c r="D1321" s="15">
        <v>0.04</v>
      </c>
    </row>
    <row r="1322" spans="1:4" ht="15.75" customHeight="1">
      <c r="A1322" s="15" t="s">
        <v>1657</v>
      </c>
      <c r="B1322" s="15" t="s">
        <v>733</v>
      </c>
      <c r="C1322" s="15" t="s">
        <v>23</v>
      </c>
      <c r="D1322" s="15">
        <v>0.04</v>
      </c>
    </row>
    <row r="1323" spans="1:4" ht="15.75" customHeight="1">
      <c r="A1323" s="15" t="s">
        <v>1658</v>
      </c>
      <c r="B1323" s="15" t="s">
        <v>733</v>
      </c>
      <c r="C1323" s="15" t="s">
        <v>1060</v>
      </c>
      <c r="D1323" s="15">
        <v>0.04</v>
      </c>
    </row>
    <row r="1324" spans="1:4" ht="15.75" customHeight="1">
      <c r="A1324" s="15" t="s">
        <v>1659</v>
      </c>
      <c r="B1324" s="15" t="s">
        <v>733</v>
      </c>
      <c r="C1324" s="15" t="s">
        <v>1064</v>
      </c>
      <c r="D1324" s="15">
        <v>0.04</v>
      </c>
    </row>
    <row r="1325" spans="1:4" ht="15.75" customHeight="1">
      <c r="A1325" s="15" t="s">
        <v>1660</v>
      </c>
      <c r="B1325" s="15" t="s">
        <v>1063</v>
      </c>
      <c r="C1325" s="15" t="s">
        <v>1051</v>
      </c>
      <c r="D1325" s="15">
        <v>0.04</v>
      </c>
    </row>
    <row r="1326" spans="1:4" ht="15.75" customHeight="1">
      <c r="A1326" s="15" t="s">
        <v>1661</v>
      </c>
      <c r="B1326" s="15" t="s">
        <v>1063</v>
      </c>
      <c r="C1326" s="15" t="s">
        <v>1056</v>
      </c>
      <c r="D1326" s="15">
        <v>0.04</v>
      </c>
    </row>
    <row r="1327" spans="1:4" ht="15.75" customHeight="1">
      <c r="A1327" s="15" t="s">
        <v>1662</v>
      </c>
      <c r="B1327" s="15" t="s">
        <v>1063</v>
      </c>
      <c r="C1327" s="15" t="s">
        <v>1058</v>
      </c>
      <c r="D1327" s="15">
        <v>0.04</v>
      </c>
    </row>
    <row r="1328" spans="1:4" ht="15.75" customHeight="1">
      <c r="A1328" s="15" t="s">
        <v>1663</v>
      </c>
      <c r="B1328" s="15" t="s">
        <v>1063</v>
      </c>
      <c r="C1328" s="15" t="s">
        <v>29</v>
      </c>
      <c r="D1328" s="15">
        <v>0.04</v>
      </c>
    </row>
    <row r="1329" spans="1:4" ht="15.75" customHeight="1">
      <c r="A1329" s="15" t="s">
        <v>1664</v>
      </c>
      <c r="B1329" s="15" t="s">
        <v>1063</v>
      </c>
      <c r="C1329" s="15" t="s">
        <v>34</v>
      </c>
      <c r="D1329" s="15">
        <v>0.04</v>
      </c>
    </row>
    <row r="1330" spans="1:4" ht="15.75" customHeight="1">
      <c r="A1330" s="15" t="s">
        <v>1665</v>
      </c>
      <c r="B1330" s="15" t="s">
        <v>1063</v>
      </c>
      <c r="C1330" s="15" t="s">
        <v>41</v>
      </c>
      <c r="D1330" s="15">
        <v>0.04</v>
      </c>
    </row>
    <row r="1331" spans="1:4" ht="15.75" customHeight="1">
      <c r="A1331" s="15" t="s">
        <v>1666</v>
      </c>
      <c r="B1331" s="15" t="s">
        <v>1063</v>
      </c>
      <c r="C1331" s="15" t="s">
        <v>1059</v>
      </c>
      <c r="D1331" s="15">
        <v>0.04</v>
      </c>
    </row>
    <row r="1332" spans="1:4" ht="15.75" customHeight="1">
      <c r="A1332" s="15" t="s">
        <v>1667</v>
      </c>
      <c r="B1332" s="15" t="s">
        <v>1063</v>
      </c>
      <c r="C1332" s="15" t="s">
        <v>25</v>
      </c>
      <c r="D1332" s="15">
        <v>0.04</v>
      </c>
    </row>
    <row r="1333" spans="1:4" ht="15.75" customHeight="1">
      <c r="A1333" s="15" t="s">
        <v>1668</v>
      </c>
      <c r="B1333" s="15" t="s">
        <v>1063</v>
      </c>
      <c r="C1333" s="15" t="s">
        <v>51</v>
      </c>
      <c r="D1333" s="15">
        <v>0.04</v>
      </c>
    </row>
    <row r="1334" spans="1:4" ht="15.75" customHeight="1">
      <c r="A1334" s="15" t="s">
        <v>1669</v>
      </c>
      <c r="B1334" s="15" t="s">
        <v>1063</v>
      </c>
      <c r="C1334" s="15" t="s">
        <v>1057</v>
      </c>
      <c r="D1334" s="15">
        <v>0.04</v>
      </c>
    </row>
    <row r="1335" spans="1:4" ht="15.75" customHeight="1">
      <c r="A1335" s="15" t="s">
        <v>1670</v>
      </c>
      <c r="B1335" s="15" t="s">
        <v>1063</v>
      </c>
      <c r="C1335" s="15" t="s">
        <v>1052</v>
      </c>
      <c r="D1335" s="15">
        <v>0.04</v>
      </c>
    </row>
    <row r="1336" spans="1:4" ht="15.75" customHeight="1">
      <c r="A1336" s="15" t="s">
        <v>1671</v>
      </c>
      <c r="B1336" s="15" t="s">
        <v>1063</v>
      </c>
      <c r="C1336" s="15" t="s">
        <v>1053</v>
      </c>
      <c r="D1336" s="15">
        <v>0.04</v>
      </c>
    </row>
    <row r="1337" spans="1:4" ht="15.75" customHeight="1">
      <c r="A1337" s="15" t="s">
        <v>1672</v>
      </c>
      <c r="B1337" s="15" t="s">
        <v>1063</v>
      </c>
      <c r="C1337" s="15" t="s">
        <v>24</v>
      </c>
      <c r="D1337" s="15">
        <v>0.04</v>
      </c>
    </row>
    <row r="1338" spans="1:4" ht="15.75" customHeight="1">
      <c r="A1338" s="15" t="s">
        <v>1673</v>
      </c>
      <c r="B1338" s="15" t="s">
        <v>1063</v>
      </c>
      <c r="C1338" s="15" t="s">
        <v>1054</v>
      </c>
      <c r="D1338" s="15">
        <v>0.04</v>
      </c>
    </row>
    <row r="1339" spans="1:4" ht="15.75" customHeight="1">
      <c r="A1339" s="15" t="s">
        <v>1674</v>
      </c>
      <c r="B1339" s="15" t="s">
        <v>1063</v>
      </c>
      <c r="C1339" s="15" t="s">
        <v>1055</v>
      </c>
      <c r="D1339" s="15">
        <v>0.04</v>
      </c>
    </row>
    <row r="1340" spans="1:4" ht="15.75" customHeight="1">
      <c r="A1340" s="15" t="s">
        <v>1675</v>
      </c>
      <c r="B1340" s="15" t="s">
        <v>1063</v>
      </c>
      <c r="C1340" s="15" t="s">
        <v>28</v>
      </c>
      <c r="D1340" s="15">
        <v>0.04</v>
      </c>
    </row>
    <row r="1341" spans="1:4" ht="15.75" customHeight="1">
      <c r="A1341" s="15" t="s">
        <v>1676</v>
      </c>
      <c r="B1341" s="15" t="s">
        <v>1063</v>
      </c>
      <c r="C1341" s="15" t="s">
        <v>1061</v>
      </c>
      <c r="D1341" s="15">
        <v>0.04</v>
      </c>
    </row>
    <row r="1342" spans="1:4" ht="15.75" customHeight="1">
      <c r="A1342" s="15" t="s">
        <v>1677</v>
      </c>
      <c r="B1342" s="15" t="s">
        <v>1063</v>
      </c>
      <c r="C1342" s="15" t="s">
        <v>1062</v>
      </c>
      <c r="D1342" s="15">
        <v>0.04</v>
      </c>
    </row>
    <row r="1343" spans="1:4" ht="15.75" customHeight="1">
      <c r="A1343" s="15" t="s">
        <v>1678</v>
      </c>
      <c r="B1343" s="15" t="s">
        <v>1063</v>
      </c>
      <c r="C1343" s="15" t="s">
        <v>27</v>
      </c>
      <c r="D1343" s="15">
        <v>0.04</v>
      </c>
    </row>
    <row r="1344" spans="1:4" ht="15.75" customHeight="1">
      <c r="A1344" s="15" t="s">
        <v>1679</v>
      </c>
      <c r="B1344" s="15" t="s">
        <v>1063</v>
      </c>
      <c r="C1344" s="15" t="s">
        <v>732</v>
      </c>
      <c r="D1344" s="15">
        <v>0.04</v>
      </c>
    </row>
    <row r="1345" spans="1:4" ht="15.75" customHeight="1">
      <c r="A1345" s="15" t="s">
        <v>1680</v>
      </c>
      <c r="B1345" s="15" t="s">
        <v>1063</v>
      </c>
      <c r="C1345" s="15" t="s">
        <v>736</v>
      </c>
      <c r="D1345" s="15">
        <v>0.04</v>
      </c>
    </row>
    <row r="1346" spans="1:4" ht="15.75" customHeight="1">
      <c r="A1346" s="15" t="s">
        <v>1681</v>
      </c>
      <c r="B1346" s="15" t="s">
        <v>1063</v>
      </c>
      <c r="C1346" s="15" t="s">
        <v>733</v>
      </c>
      <c r="D1346" s="15">
        <v>0.04</v>
      </c>
    </row>
    <row r="1347" spans="1:4" ht="15.75" customHeight="1">
      <c r="A1347" s="15" t="s">
        <v>1682</v>
      </c>
      <c r="B1347" s="15" t="s">
        <v>1063</v>
      </c>
      <c r="C1347" s="15" t="s">
        <v>1063</v>
      </c>
      <c r="D1347" s="15">
        <v>0.18</v>
      </c>
    </row>
    <row r="1348" spans="1:4" ht="15.75" customHeight="1">
      <c r="A1348" s="15" t="s">
        <v>1683</v>
      </c>
      <c r="B1348" s="15" t="s">
        <v>1063</v>
      </c>
      <c r="C1348" s="15" t="s">
        <v>26</v>
      </c>
      <c r="D1348" s="15">
        <v>0.04</v>
      </c>
    </row>
    <row r="1349" spans="1:4" ht="15.75" customHeight="1">
      <c r="A1349" s="15" t="s">
        <v>1684</v>
      </c>
      <c r="B1349" s="15" t="s">
        <v>1063</v>
      </c>
      <c r="C1349" s="15" t="s">
        <v>23</v>
      </c>
      <c r="D1349" s="15">
        <v>0.04</v>
      </c>
    </row>
    <row r="1350" spans="1:4" ht="15.75" customHeight="1">
      <c r="A1350" s="15" t="s">
        <v>1685</v>
      </c>
      <c r="B1350" s="15" t="s">
        <v>1063</v>
      </c>
      <c r="C1350" s="15" t="s">
        <v>1060</v>
      </c>
      <c r="D1350" s="15">
        <v>0.04</v>
      </c>
    </row>
    <row r="1351" spans="1:4" ht="15.75" customHeight="1">
      <c r="A1351" s="15" t="s">
        <v>1686</v>
      </c>
      <c r="B1351" s="15" t="s">
        <v>1063</v>
      </c>
      <c r="C1351" s="15" t="s">
        <v>1064</v>
      </c>
      <c r="D1351" s="15">
        <v>0.04</v>
      </c>
    </row>
    <row r="1352" spans="1:4" ht="15.75" customHeight="1">
      <c r="A1352" s="15" t="s">
        <v>1687</v>
      </c>
      <c r="B1352" s="15" t="s">
        <v>26</v>
      </c>
      <c r="C1352" s="15" t="s">
        <v>1051</v>
      </c>
      <c r="D1352" s="15">
        <v>0.04</v>
      </c>
    </row>
    <row r="1353" spans="1:4" ht="15.75" customHeight="1">
      <c r="A1353" s="15" t="s">
        <v>1688</v>
      </c>
      <c r="B1353" s="15" t="s">
        <v>26</v>
      </c>
      <c r="C1353" s="15" t="s">
        <v>1056</v>
      </c>
      <c r="D1353" s="15">
        <v>0.04</v>
      </c>
    </row>
    <row r="1354" spans="1:4" ht="15.75" customHeight="1">
      <c r="A1354" s="15" t="s">
        <v>1689</v>
      </c>
      <c r="B1354" s="15" t="s">
        <v>26</v>
      </c>
      <c r="C1354" s="15" t="s">
        <v>1058</v>
      </c>
      <c r="D1354" s="15">
        <v>0.04</v>
      </c>
    </row>
    <row r="1355" spans="1:4" ht="15.75" customHeight="1">
      <c r="A1355" s="15" t="s">
        <v>1690</v>
      </c>
      <c r="B1355" s="15" t="s">
        <v>26</v>
      </c>
      <c r="C1355" s="15" t="s">
        <v>29</v>
      </c>
      <c r="D1355" s="15">
        <v>0.04</v>
      </c>
    </row>
    <row r="1356" spans="1:4" ht="15.75" customHeight="1">
      <c r="A1356" s="15" t="s">
        <v>1691</v>
      </c>
      <c r="B1356" s="15" t="s">
        <v>26</v>
      </c>
      <c r="C1356" s="15" t="s">
        <v>34</v>
      </c>
      <c r="D1356" s="15">
        <v>0.04</v>
      </c>
    </row>
    <row r="1357" spans="1:4" ht="15.75" customHeight="1">
      <c r="A1357" s="15" t="s">
        <v>1692</v>
      </c>
      <c r="B1357" s="15" t="s">
        <v>26</v>
      </c>
      <c r="C1357" s="15" t="s">
        <v>41</v>
      </c>
      <c r="D1357" s="15">
        <v>0.04</v>
      </c>
    </row>
    <row r="1358" spans="1:4" ht="15.75" customHeight="1">
      <c r="A1358" s="15" t="s">
        <v>1693</v>
      </c>
      <c r="B1358" s="15" t="s">
        <v>26</v>
      </c>
      <c r="C1358" s="15" t="s">
        <v>1059</v>
      </c>
      <c r="D1358" s="15">
        <v>0.04</v>
      </c>
    </row>
    <row r="1359" spans="1:4" ht="15.75" customHeight="1">
      <c r="A1359" s="15" t="s">
        <v>1694</v>
      </c>
      <c r="B1359" s="15" t="s">
        <v>26</v>
      </c>
      <c r="C1359" s="15" t="s">
        <v>25</v>
      </c>
      <c r="D1359" s="15">
        <v>0.04</v>
      </c>
    </row>
    <row r="1360" spans="1:4" ht="15.75" customHeight="1">
      <c r="A1360" s="15" t="s">
        <v>1695</v>
      </c>
      <c r="B1360" s="15" t="s">
        <v>26</v>
      </c>
      <c r="C1360" s="15" t="s">
        <v>51</v>
      </c>
      <c r="D1360" s="15">
        <v>0.04</v>
      </c>
    </row>
    <row r="1361" spans="1:4" ht="15.75" customHeight="1">
      <c r="A1361" s="15" t="s">
        <v>1696</v>
      </c>
      <c r="B1361" s="15" t="s">
        <v>26</v>
      </c>
      <c r="C1361" s="15" t="s">
        <v>1057</v>
      </c>
      <c r="D1361" s="15">
        <v>0.04</v>
      </c>
    </row>
    <row r="1362" spans="1:4" ht="15.75" customHeight="1">
      <c r="A1362" s="15" t="s">
        <v>1697</v>
      </c>
      <c r="B1362" s="15" t="s">
        <v>26</v>
      </c>
      <c r="C1362" s="15" t="s">
        <v>1052</v>
      </c>
      <c r="D1362" s="15">
        <v>0.04</v>
      </c>
    </row>
    <row r="1363" spans="1:4" ht="15.75" customHeight="1">
      <c r="A1363" s="15" t="s">
        <v>1698</v>
      </c>
      <c r="B1363" s="15" t="s">
        <v>26</v>
      </c>
      <c r="C1363" s="15" t="s">
        <v>1053</v>
      </c>
      <c r="D1363" s="15">
        <v>0.04</v>
      </c>
    </row>
    <row r="1364" spans="1:4" ht="15.75" customHeight="1">
      <c r="A1364" s="15" t="s">
        <v>1699</v>
      </c>
      <c r="B1364" s="15" t="s">
        <v>26</v>
      </c>
      <c r="C1364" s="15" t="s">
        <v>24</v>
      </c>
      <c r="D1364" s="15">
        <v>0.04</v>
      </c>
    </row>
    <row r="1365" spans="1:4" ht="15.75" customHeight="1">
      <c r="A1365" s="15" t="s">
        <v>1700</v>
      </c>
      <c r="B1365" s="15" t="s">
        <v>26</v>
      </c>
      <c r="C1365" s="15" t="s">
        <v>1054</v>
      </c>
      <c r="D1365" s="15">
        <v>0.04</v>
      </c>
    </row>
    <row r="1366" spans="1:4" ht="15.75" customHeight="1">
      <c r="A1366" s="15" t="s">
        <v>1701</v>
      </c>
      <c r="B1366" s="15" t="s">
        <v>26</v>
      </c>
      <c r="C1366" s="15" t="s">
        <v>1055</v>
      </c>
      <c r="D1366" s="15">
        <v>0.04</v>
      </c>
    </row>
    <row r="1367" spans="1:4" ht="15.75" customHeight="1">
      <c r="A1367" s="15" t="s">
        <v>1702</v>
      </c>
      <c r="B1367" s="15" t="s">
        <v>26</v>
      </c>
      <c r="C1367" s="15" t="s">
        <v>28</v>
      </c>
      <c r="D1367" s="15">
        <v>0.04</v>
      </c>
    </row>
    <row r="1368" spans="1:4" ht="15.75" customHeight="1">
      <c r="A1368" s="15" t="s">
        <v>1703</v>
      </c>
      <c r="B1368" s="15" t="s">
        <v>26</v>
      </c>
      <c r="C1368" s="15" t="s">
        <v>1061</v>
      </c>
      <c r="D1368" s="15">
        <v>0.04</v>
      </c>
    </row>
    <row r="1369" spans="1:4" ht="15.75" customHeight="1">
      <c r="A1369" s="15" t="s">
        <v>1704</v>
      </c>
      <c r="B1369" s="15" t="s">
        <v>26</v>
      </c>
      <c r="C1369" s="15" t="s">
        <v>1062</v>
      </c>
      <c r="D1369" s="15">
        <v>0.04</v>
      </c>
    </row>
    <row r="1370" spans="1:4" ht="15.75" customHeight="1">
      <c r="A1370" s="15" t="s">
        <v>1705</v>
      </c>
      <c r="B1370" s="15" t="s">
        <v>26</v>
      </c>
      <c r="C1370" s="15" t="s">
        <v>27</v>
      </c>
      <c r="D1370" s="15">
        <v>0.04</v>
      </c>
    </row>
    <row r="1371" spans="1:4" ht="15.75" customHeight="1">
      <c r="A1371" s="15" t="s">
        <v>1706</v>
      </c>
      <c r="B1371" s="15" t="s">
        <v>26</v>
      </c>
      <c r="C1371" s="15" t="s">
        <v>732</v>
      </c>
      <c r="D1371" s="15">
        <v>0.04</v>
      </c>
    </row>
    <row r="1372" spans="1:4" ht="15.75" customHeight="1">
      <c r="A1372" s="15" t="s">
        <v>1707</v>
      </c>
      <c r="B1372" s="15" t="s">
        <v>26</v>
      </c>
      <c r="C1372" s="15" t="s">
        <v>736</v>
      </c>
      <c r="D1372" s="15">
        <v>0.04</v>
      </c>
    </row>
    <row r="1373" spans="1:4" ht="15.75" customHeight="1">
      <c r="A1373" s="15" t="s">
        <v>1708</v>
      </c>
      <c r="B1373" s="15" t="s">
        <v>26</v>
      </c>
      <c r="C1373" s="15" t="s">
        <v>733</v>
      </c>
      <c r="D1373" s="15">
        <v>0.04</v>
      </c>
    </row>
    <row r="1374" spans="1:4" ht="15.75" customHeight="1">
      <c r="A1374" s="15" t="s">
        <v>1709</v>
      </c>
      <c r="B1374" s="15" t="s">
        <v>26</v>
      </c>
      <c r="C1374" s="15" t="s">
        <v>1063</v>
      </c>
      <c r="D1374" s="15">
        <v>0.04</v>
      </c>
    </row>
    <row r="1375" spans="1:4" ht="15.75" customHeight="1">
      <c r="A1375" s="15" t="s">
        <v>1710</v>
      </c>
      <c r="B1375" s="15" t="s">
        <v>26</v>
      </c>
      <c r="C1375" s="15" t="s">
        <v>26</v>
      </c>
      <c r="D1375" s="15">
        <v>0.18</v>
      </c>
    </row>
    <row r="1376" spans="1:4" ht="15.75" customHeight="1">
      <c r="A1376" s="15" t="s">
        <v>1711</v>
      </c>
      <c r="B1376" s="15" t="s">
        <v>26</v>
      </c>
      <c r="C1376" s="15" t="s">
        <v>23</v>
      </c>
      <c r="D1376" s="15">
        <v>0.04</v>
      </c>
    </row>
    <row r="1377" spans="1:4" ht="15.75" customHeight="1">
      <c r="A1377" s="15" t="s">
        <v>1712</v>
      </c>
      <c r="B1377" s="15" t="s">
        <v>26</v>
      </c>
      <c r="C1377" s="15" t="s">
        <v>1060</v>
      </c>
      <c r="D1377" s="15">
        <v>0.04</v>
      </c>
    </row>
    <row r="1378" spans="1:4" ht="15.75" customHeight="1">
      <c r="A1378" s="15" t="s">
        <v>1713</v>
      </c>
      <c r="B1378" s="15" t="s">
        <v>26</v>
      </c>
      <c r="C1378" s="15" t="s">
        <v>1064</v>
      </c>
      <c r="D1378" s="15">
        <v>0.04</v>
      </c>
    </row>
    <row r="1379" spans="1:4" ht="15.75" customHeight="1">
      <c r="A1379" s="15" t="s">
        <v>1714</v>
      </c>
      <c r="B1379" s="15" t="s">
        <v>23</v>
      </c>
      <c r="C1379" s="15" t="s">
        <v>1051</v>
      </c>
      <c r="D1379" s="15">
        <v>0.04</v>
      </c>
    </row>
    <row r="1380" spans="1:4" ht="15.75" customHeight="1">
      <c r="A1380" s="15" t="s">
        <v>1715</v>
      </c>
      <c r="B1380" s="15" t="s">
        <v>23</v>
      </c>
      <c r="C1380" s="15" t="s">
        <v>1056</v>
      </c>
      <c r="D1380" s="15">
        <v>0.04</v>
      </c>
    </row>
    <row r="1381" spans="1:4" ht="15.75" customHeight="1">
      <c r="A1381" s="15" t="s">
        <v>1716</v>
      </c>
      <c r="B1381" s="15" t="s">
        <v>23</v>
      </c>
      <c r="C1381" s="15" t="s">
        <v>1058</v>
      </c>
      <c r="D1381" s="15">
        <v>0.04</v>
      </c>
    </row>
    <row r="1382" spans="1:4" ht="15.75" customHeight="1">
      <c r="A1382" s="15" t="s">
        <v>1717</v>
      </c>
      <c r="B1382" s="15" t="s">
        <v>23</v>
      </c>
      <c r="C1382" s="15" t="s">
        <v>29</v>
      </c>
      <c r="D1382" s="15">
        <v>0.04</v>
      </c>
    </row>
    <row r="1383" spans="1:4" ht="15.75" customHeight="1">
      <c r="A1383" s="15" t="s">
        <v>1718</v>
      </c>
      <c r="B1383" s="15" t="s">
        <v>23</v>
      </c>
      <c r="C1383" s="15" t="s">
        <v>34</v>
      </c>
      <c r="D1383" s="15">
        <v>0.04</v>
      </c>
    </row>
    <row r="1384" spans="1:4" ht="15.75" customHeight="1">
      <c r="A1384" s="15" t="s">
        <v>1719</v>
      </c>
      <c r="B1384" s="15" t="s">
        <v>23</v>
      </c>
      <c r="C1384" s="15" t="s">
        <v>41</v>
      </c>
      <c r="D1384" s="15">
        <v>0.04</v>
      </c>
    </row>
    <row r="1385" spans="1:4" ht="15.75" customHeight="1">
      <c r="A1385" s="15" t="s">
        <v>1720</v>
      </c>
      <c r="B1385" s="15" t="s">
        <v>23</v>
      </c>
      <c r="C1385" s="15" t="s">
        <v>1059</v>
      </c>
      <c r="D1385" s="15">
        <v>0.04</v>
      </c>
    </row>
    <row r="1386" spans="1:4" ht="15.75" customHeight="1">
      <c r="A1386" s="15" t="s">
        <v>1721</v>
      </c>
      <c r="B1386" s="15" t="s">
        <v>23</v>
      </c>
      <c r="C1386" s="15" t="s">
        <v>25</v>
      </c>
      <c r="D1386" s="15">
        <v>0.04</v>
      </c>
    </row>
    <row r="1387" spans="1:4" ht="15.75" customHeight="1">
      <c r="A1387" s="15" t="s">
        <v>1722</v>
      </c>
      <c r="B1387" s="15" t="s">
        <v>23</v>
      </c>
      <c r="C1387" s="15" t="s">
        <v>51</v>
      </c>
      <c r="D1387" s="15">
        <v>0.04</v>
      </c>
    </row>
    <row r="1388" spans="1:4" ht="15.75" customHeight="1">
      <c r="A1388" s="15" t="s">
        <v>1723</v>
      </c>
      <c r="B1388" s="15" t="s">
        <v>23</v>
      </c>
      <c r="C1388" s="15" t="s">
        <v>1057</v>
      </c>
      <c r="D1388" s="15">
        <v>0.04</v>
      </c>
    </row>
    <row r="1389" spans="1:4" ht="15.75" customHeight="1">
      <c r="A1389" s="15" t="s">
        <v>1724</v>
      </c>
      <c r="B1389" s="15" t="s">
        <v>23</v>
      </c>
      <c r="C1389" s="15" t="s">
        <v>1052</v>
      </c>
      <c r="D1389" s="15">
        <v>0.04</v>
      </c>
    </row>
    <row r="1390" spans="1:4" ht="15.75" customHeight="1">
      <c r="A1390" s="15" t="s">
        <v>1725</v>
      </c>
      <c r="B1390" s="15" t="s">
        <v>23</v>
      </c>
      <c r="C1390" s="15" t="s">
        <v>1053</v>
      </c>
      <c r="D1390" s="15">
        <v>0.04</v>
      </c>
    </row>
    <row r="1391" spans="1:4" ht="15.75" customHeight="1">
      <c r="A1391" s="15" t="s">
        <v>1726</v>
      </c>
      <c r="B1391" s="15" t="s">
        <v>23</v>
      </c>
      <c r="C1391" s="15" t="s">
        <v>24</v>
      </c>
      <c r="D1391" s="15">
        <v>0.04</v>
      </c>
    </row>
    <row r="1392" spans="1:4" ht="15.75" customHeight="1">
      <c r="A1392" s="15" t="s">
        <v>1727</v>
      </c>
      <c r="B1392" s="15" t="s">
        <v>23</v>
      </c>
      <c r="C1392" s="15" t="s">
        <v>1054</v>
      </c>
      <c r="D1392" s="15">
        <v>0.04</v>
      </c>
    </row>
    <row r="1393" spans="1:4" ht="15.75" customHeight="1">
      <c r="A1393" s="15" t="s">
        <v>1728</v>
      </c>
      <c r="B1393" s="15" t="s">
        <v>23</v>
      </c>
      <c r="C1393" s="15" t="s">
        <v>1055</v>
      </c>
      <c r="D1393" s="15">
        <v>0.04</v>
      </c>
    </row>
    <row r="1394" spans="1:4" ht="15.75" customHeight="1">
      <c r="A1394" s="15" t="s">
        <v>1729</v>
      </c>
      <c r="B1394" s="15" t="s">
        <v>23</v>
      </c>
      <c r="C1394" s="15" t="s">
        <v>28</v>
      </c>
      <c r="D1394" s="15">
        <v>0.04</v>
      </c>
    </row>
    <row r="1395" spans="1:4" ht="15.75" customHeight="1">
      <c r="A1395" s="15" t="s">
        <v>1730</v>
      </c>
      <c r="B1395" s="15" t="s">
        <v>23</v>
      </c>
      <c r="C1395" s="15" t="s">
        <v>1061</v>
      </c>
      <c r="D1395" s="15">
        <v>0.04</v>
      </c>
    </row>
    <row r="1396" spans="1:4" ht="15.75" customHeight="1">
      <c r="A1396" s="15" t="s">
        <v>1731</v>
      </c>
      <c r="B1396" s="15" t="s">
        <v>23</v>
      </c>
      <c r="C1396" s="15" t="s">
        <v>1062</v>
      </c>
      <c r="D1396" s="15">
        <v>0.04</v>
      </c>
    </row>
    <row r="1397" spans="1:4" ht="15.75" customHeight="1">
      <c r="A1397" s="15" t="s">
        <v>1732</v>
      </c>
      <c r="B1397" s="15" t="s">
        <v>23</v>
      </c>
      <c r="C1397" s="15" t="s">
        <v>27</v>
      </c>
      <c r="D1397" s="15">
        <v>0.04</v>
      </c>
    </row>
    <row r="1398" spans="1:4" ht="15.75" customHeight="1">
      <c r="A1398" s="15" t="s">
        <v>1733</v>
      </c>
      <c r="B1398" s="15" t="s">
        <v>23</v>
      </c>
      <c r="C1398" s="15" t="s">
        <v>732</v>
      </c>
      <c r="D1398" s="15">
        <v>0.04</v>
      </c>
    </row>
    <row r="1399" spans="1:4" ht="15.75" customHeight="1">
      <c r="A1399" s="15" t="s">
        <v>1734</v>
      </c>
      <c r="B1399" s="15" t="s">
        <v>23</v>
      </c>
      <c r="C1399" s="15" t="s">
        <v>736</v>
      </c>
      <c r="D1399" s="15">
        <v>0.04</v>
      </c>
    </row>
    <row r="1400" spans="1:4" ht="15.75" customHeight="1">
      <c r="A1400" s="15" t="s">
        <v>1735</v>
      </c>
      <c r="B1400" s="15" t="s">
        <v>23</v>
      </c>
      <c r="C1400" s="15" t="s">
        <v>733</v>
      </c>
      <c r="D1400" s="15">
        <v>0.04</v>
      </c>
    </row>
    <row r="1401" spans="1:4" ht="15.75" customHeight="1">
      <c r="A1401" s="15" t="s">
        <v>1736</v>
      </c>
      <c r="B1401" s="15" t="s">
        <v>23</v>
      </c>
      <c r="C1401" s="15" t="s">
        <v>1063</v>
      </c>
      <c r="D1401" s="15">
        <v>0.04</v>
      </c>
    </row>
    <row r="1402" spans="1:4" ht="15.75" customHeight="1">
      <c r="A1402" s="15" t="s">
        <v>1737</v>
      </c>
      <c r="B1402" s="15" t="s">
        <v>23</v>
      </c>
      <c r="C1402" s="15" t="s">
        <v>26</v>
      </c>
      <c r="D1402" s="15">
        <v>0.04</v>
      </c>
    </row>
    <row r="1403" spans="1:4" ht="15.75" customHeight="1">
      <c r="A1403" s="15" t="s">
        <v>1738</v>
      </c>
      <c r="B1403" s="15" t="s">
        <v>23</v>
      </c>
      <c r="C1403" s="15" t="s">
        <v>23</v>
      </c>
      <c r="D1403" s="15">
        <v>0.18</v>
      </c>
    </row>
    <row r="1404" spans="1:4" ht="15.75" customHeight="1">
      <c r="A1404" s="15" t="s">
        <v>1739</v>
      </c>
      <c r="B1404" s="15" t="s">
        <v>23</v>
      </c>
      <c r="C1404" s="15" t="s">
        <v>1060</v>
      </c>
      <c r="D1404" s="15">
        <v>0.04</v>
      </c>
    </row>
    <row r="1405" spans="1:4" ht="15.75" customHeight="1">
      <c r="A1405" s="15" t="s">
        <v>1740</v>
      </c>
      <c r="B1405" s="15" t="s">
        <v>23</v>
      </c>
      <c r="C1405" s="15" t="s">
        <v>1064</v>
      </c>
      <c r="D1405" s="15">
        <v>0.04</v>
      </c>
    </row>
    <row r="1406" spans="1:4" ht="15.75" customHeight="1">
      <c r="A1406" s="15" t="s">
        <v>1741</v>
      </c>
      <c r="B1406" s="15" t="s">
        <v>1060</v>
      </c>
      <c r="C1406" s="15" t="s">
        <v>1051</v>
      </c>
      <c r="D1406" s="15">
        <v>0.04</v>
      </c>
    </row>
    <row r="1407" spans="1:4" ht="15.75" customHeight="1">
      <c r="A1407" s="15" t="s">
        <v>1742</v>
      </c>
      <c r="B1407" s="15" t="s">
        <v>1060</v>
      </c>
      <c r="C1407" s="15" t="s">
        <v>1056</v>
      </c>
      <c r="D1407" s="15">
        <v>0.04</v>
      </c>
    </row>
    <row r="1408" spans="1:4" ht="15.75" customHeight="1">
      <c r="A1408" s="15" t="s">
        <v>1743</v>
      </c>
      <c r="B1408" s="15" t="s">
        <v>1060</v>
      </c>
      <c r="C1408" s="15" t="s">
        <v>1058</v>
      </c>
      <c r="D1408" s="15">
        <v>0.04</v>
      </c>
    </row>
    <row r="1409" spans="1:4" ht="15.75" customHeight="1">
      <c r="A1409" s="15" t="s">
        <v>1744</v>
      </c>
      <c r="B1409" s="15" t="s">
        <v>1060</v>
      </c>
      <c r="C1409" s="15" t="s">
        <v>29</v>
      </c>
      <c r="D1409" s="15">
        <v>0.04</v>
      </c>
    </row>
    <row r="1410" spans="1:4" ht="15.75" customHeight="1">
      <c r="A1410" s="15" t="s">
        <v>1745</v>
      </c>
      <c r="B1410" s="15" t="s">
        <v>1060</v>
      </c>
      <c r="C1410" s="15" t="s">
        <v>34</v>
      </c>
      <c r="D1410" s="15">
        <v>0.04</v>
      </c>
    </row>
    <row r="1411" spans="1:4" ht="15.75" customHeight="1">
      <c r="A1411" s="15" t="s">
        <v>1746</v>
      </c>
      <c r="B1411" s="15" t="s">
        <v>1060</v>
      </c>
      <c r="C1411" s="15" t="s">
        <v>41</v>
      </c>
      <c r="D1411" s="15">
        <v>0.04</v>
      </c>
    </row>
    <row r="1412" spans="1:4" ht="15.75" customHeight="1">
      <c r="A1412" s="15" t="s">
        <v>1747</v>
      </c>
      <c r="B1412" s="15" t="s">
        <v>1060</v>
      </c>
      <c r="C1412" s="15" t="s">
        <v>1059</v>
      </c>
      <c r="D1412" s="15">
        <v>0.04</v>
      </c>
    </row>
    <row r="1413" spans="1:4" ht="15.75" customHeight="1">
      <c r="A1413" s="15" t="s">
        <v>1748</v>
      </c>
      <c r="B1413" s="15" t="s">
        <v>1060</v>
      </c>
      <c r="C1413" s="15" t="s">
        <v>25</v>
      </c>
      <c r="D1413" s="15">
        <v>0.04</v>
      </c>
    </row>
    <row r="1414" spans="1:4" ht="15.75" customHeight="1">
      <c r="A1414" s="15" t="s">
        <v>1749</v>
      </c>
      <c r="B1414" s="15" t="s">
        <v>1060</v>
      </c>
      <c r="C1414" s="15" t="s">
        <v>51</v>
      </c>
      <c r="D1414" s="15">
        <v>0.04</v>
      </c>
    </row>
    <row r="1415" spans="1:4" ht="15.75" customHeight="1">
      <c r="A1415" s="15" t="s">
        <v>1750</v>
      </c>
      <c r="B1415" s="15" t="s">
        <v>1060</v>
      </c>
      <c r="C1415" s="15" t="s">
        <v>1057</v>
      </c>
      <c r="D1415" s="15">
        <v>0.04</v>
      </c>
    </row>
    <row r="1416" spans="1:4" ht="15.75" customHeight="1">
      <c r="A1416" s="15" t="s">
        <v>1751</v>
      </c>
      <c r="B1416" s="15" t="s">
        <v>1060</v>
      </c>
      <c r="C1416" s="15" t="s">
        <v>1052</v>
      </c>
      <c r="D1416" s="15">
        <v>0.04</v>
      </c>
    </row>
    <row r="1417" spans="1:4" ht="15.75" customHeight="1">
      <c r="A1417" s="15" t="s">
        <v>1752</v>
      </c>
      <c r="B1417" s="15" t="s">
        <v>1060</v>
      </c>
      <c r="C1417" s="15" t="s">
        <v>1053</v>
      </c>
      <c r="D1417" s="15">
        <v>0.04</v>
      </c>
    </row>
    <row r="1418" spans="1:4" ht="15.75" customHeight="1">
      <c r="A1418" s="15" t="s">
        <v>1753</v>
      </c>
      <c r="B1418" s="15" t="s">
        <v>1060</v>
      </c>
      <c r="C1418" s="15" t="s">
        <v>24</v>
      </c>
      <c r="D1418" s="15">
        <v>0.04</v>
      </c>
    </row>
    <row r="1419" spans="1:4" ht="15.75" customHeight="1">
      <c r="A1419" s="15" t="s">
        <v>1754</v>
      </c>
      <c r="B1419" s="15" t="s">
        <v>1060</v>
      </c>
      <c r="C1419" s="15" t="s">
        <v>1054</v>
      </c>
      <c r="D1419" s="15">
        <v>0.04</v>
      </c>
    </row>
    <row r="1420" spans="1:4" ht="15.75" customHeight="1">
      <c r="A1420" s="15" t="s">
        <v>1755</v>
      </c>
      <c r="B1420" s="15" t="s">
        <v>1060</v>
      </c>
      <c r="C1420" s="15" t="s">
        <v>1055</v>
      </c>
      <c r="D1420" s="15">
        <v>0.04</v>
      </c>
    </row>
    <row r="1421" spans="1:4" ht="15.75" customHeight="1">
      <c r="A1421" s="15" t="s">
        <v>1756</v>
      </c>
      <c r="B1421" s="15" t="s">
        <v>1060</v>
      </c>
      <c r="C1421" s="15" t="s">
        <v>28</v>
      </c>
      <c r="D1421" s="15">
        <v>0.04</v>
      </c>
    </row>
    <row r="1422" spans="1:4" ht="15.75" customHeight="1">
      <c r="A1422" s="15" t="s">
        <v>1757</v>
      </c>
      <c r="B1422" s="15" t="s">
        <v>1060</v>
      </c>
      <c r="C1422" s="15" t="s">
        <v>1061</v>
      </c>
      <c r="D1422" s="15">
        <v>0.04</v>
      </c>
    </row>
    <row r="1423" spans="1:4" ht="15.75" customHeight="1">
      <c r="A1423" s="15" t="s">
        <v>1758</v>
      </c>
      <c r="B1423" s="15" t="s">
        <v>1060</v>
      </c>
      <c r="C1423" s="15" t="s">
        <v>1062</v>
      </c>
      <c r="D1423" s="15">
        <v>0.04</v>
      </c>
    </row>
    <row r="1424" spans="1:4" ht="15.75" customHeight="1">
      <c r="A1424" s="15" t="s">
        <v>1759</v>
      </c>
      <c r="B1424" s="15" t="s">
        <v>1060</v>
      </c>
      <c r="C1424" s="15" t="s">
        <v>27</v>
      </c>
      <c r="D1424" s="15">
        <v>0.04</v>
      </c>
    </row>
    <row r="1425" spans="1:4" ht="15.75" customHeight="1">
      <c r="A1425" s="15" t="s">
        <v>1760</v>
      </c>
      <c r="B1425" s="15" t="s">
        <v>1060</v>
      </c>
      <c r="C1425" s="15" t="s">
        <v>732</v>
      </c>
      <c r="D1425" s="15">
        <v>0.04</v>
      </c>
    </row>
    <row r="1426" spans="1:4" ht="15.75" customHeight="1">
      <c r="A1426" s="15" t="s">
        <v>1761</v>
      </c>
      <c r="B1426" s="15" t="s">
        <v>1060</v>
      </c>
      <c r="C1426" s="15" t="s">
        <v>736</v>
      </c>
      <c r="D1426" s="15">
        <v>0.04</v>
      </c>
    </row>
    <row r="1427" spans="1:4" ht="15.75" customHeight="1">
      <c r="A1427" s="15" t="s">
        <v>1762</v>
      </c>
      <c r="B1427" s="15" t="s">
        <v>1060</v>
      </c>
      <c r="C1427" s="15" t="s">
        <v>733</v>
      </c>
      <c r="D1427" s="15">
        <v>0.04</v>
      </c>
    </row>
    <row r="1428" spans="1:4" ht="15.75" customHeight="1">
      <c r="A1428" s="15" t="s">
        <v>1763</v>
      </c>
      <c r="B1428" s="15" t="s">
        <v>1060</v>
      </c>
      <c r="C1428" s="15" t="s">
        <v>1063</v>
      </c>
      <c r="D1428" s="15">
        <v>0.04</v>
      </c>
    </row>
    <row r="1429" spans="1:4" ht="15.75" customHeight="1">
      <c r="A1429" s="15" t="s">
        <v>1764</v>
      </c>
      <c r="B1429" s="15" t="s">
        <v>1060</v>
      </c>
      <c r="C1429" s="15" t="s">
        <v>26</v>
      </c>
      <c r="D1429" s="15">
        <v>0.04</v>
      </c>
    </row>
    <row r="1430" spans="1:4" ht="15.75" customHeight="1">
      <c r="A1430" s="15" t="s">
        <v>1765</v>
      </c>
      <c r="B1430" s="15" t="s">
        <v>1060</v>
      </c>
      <c r="C1430" s="15" t="s">
        <v>23</v>
      </c>
      <c r="D1430" s="15">
        <v>0.04</v>
      </c>
    </row>
    <row r="1431" spans="1:4" ht="15.75" customHeight="1">
      <c r="A1431" s="15" t="s">
        <v>1766</v>
      </c>
      <c r="B1431" s="15" t="s">
        <v>1060</v>
      </c>
      <c r="C1431" s="15" t="s">
        <v>1060</v>
      </c>
      <c r="D1431" s="15">
        <v>0.18</v>
      </c>
    </row>
    <row r="1432" spans="1:4" ht="15.75" customHeight="1">
      <c r="A1432" s="15" t="s">
        <v>1767</v>
      </c>
      <c r="B1432" s="15" t="s">
        <v>1060</v>
      </c>
      <c r="C1432" s="15" t="s">
        <v>1064</v>
      </c>
      <c r="D1432" s="15">
        <v>0.04</v>
      </c>
    </row>
    <row r="1433" spans="1:4" ht="15.75" customHeight="1">
      <c r="A1433" s="15" t="s">
        <v>1768</v>
      </c>
      <c r="B1433" s="15" t="s">
        <v>1064</v>
      </c>
      <c r="C1433" s="15" t="s">
        <v>1051</v>
      </c>
      <c r="D1433" s="15">
        <v>0.04</v>
      </c>
    </row>
    <row r="1434" spans="1:4" ht="15.75" customHeight="1">
      <c r="A1434" s="15" t="s">
        <v>1769</v>
      </c>
      <c r="B1434" s="15" t="s">
        <v>1064</v>
      </c>
      <c r="C1434" s="15" t="s">
        <v>1056</v>
      </c>
      <c r="D1434" s="15">
        <v>0.04</v>
      </c>
    </row>
    <row r="1435" spans="1:4" ht="15.75" customHeight="1">
      <c r="A1435" s="15" t="s">
        <v>1770</v>
      </c>
      <c r="B1435" s="15" t="s">
        <v>1064</v>
      </c>
      <c r="C1435" s="15" t="s">
        <v>1058</v>
      </c>
      <c r="D1435" s="15">
        <v>0.04</v>
      </c>
    </row>
    <row r="1436" spans="1:4" ht="15.75" customHeight="1">
      <c r="A1436" s="15" t="s">
        <v>1771</v>
      </c>
      <c r="B1436" s="15" t="s">
        <v>1064</v>
      </c>
      <c r="C1436" s="15" t="s">
        <v>29</v>
      </c>
      <c r="D1436" s="15">
        <v>0.04</v>
      </c>
    </row>
    <row r="1437" spans="1:4" ht="15.75" customHeight="1">
      <c r="A1437" s="15" t="s">
        <v>1772</v>
      </c>
      <c r="B1437" s="15" t="s">
        <v>1064</v>
      </c>
      <c r="C1437" s="15" t="s">
        <v>34</v>
      </c>
      <c r="D1437" s="15">
        <v>0.04</v>
      </c>
    </row>
    <row r="1438" spans="1:4" ht="15.75" customHeight="1">
      <c r="A1438" s="15" t="s">
        <v>1773</v>
      </c>
      <c r="B1438" s="15" t="s">
        <v>1064</v>
      </c>
      <c r="C1438" s="15" t="s">
        <v>41</v>
      </c>
      <c r="D1438" s="15">
        <v>0.04</v>
      </c>
    </row>
    <row r="1439" spans="1:4" ht="15.75" customHeight="1">
      <c r="A1439" s="15" t="s">
        <v>1774</v>
      </c>
      <c r="B1439" s="15" t="s">
        <v>1064</v>
      </c>
      <c r="C1439" s="15" t="s">
        <v>1059</v>
      </c>
      <c r="D1439" s="15">
        <v>0.04</v>
      </c>
    </row>
    <row r="1440" spans="1:4" ht="15.75" customHeight="1">
      <c r="A1440" s="15" t="s">
        <v>1775</v>
      </c>
      <c r="B1440" s="15" t="s">
        <v>1064</v>
      </c>
      <c r="C1440" s="15" t="s">
        <v>25</v>
      </c>
      <c r="D1440" s="15">
        <v>0.04</v>
      </c>
    </row>
    <row r="1441" spans="1:4" ht="15.75" customHeight="1">
      <c r="A1441" s="15" t="s">
        <v>1776</v>
      </c>
      <c r="B1441" s="15" t="s">
        <v>1064</v>
      </c>
      <c r="C1441" s="15" t="s">
        <v>51</v>
      </c>
      <c r="D1441" s="15">
        <v>0.04</v>
      </c>
    </row>
    <row r="1442" spans="1:4" ht="15.75" customHeight="1">
      <c r="A1442" s="15" t="s">
        <v>1777</v>
      </c>
      <c r="B1442" s="15" t="s">
        <v>1064</v>
      </c>
      <c r="C1442" s="15" t="s">
        <v>1057</v>
      </c>
      <c r="D1442" s="15">
        <v>0.04</v>
      </c>
    </row>
    <row r="1443" spans="1:4" ht="15.75" customHeight="1">
      <c r="A1443" s="15" t="s">
        <v>1778</v>
      </c>
      <c r="B1443" s="15" t="s">
        <v>1064</v>
      </c>
      <c r="C1443" s="15" t="s">
        <v>1052</v>
      </c>
      <c r="D1443" s="15">
        <v>0.04</v>
      </c>
    </row>
    <row r="1444" spans="1:4" ht="15.75" customHeight="1">
      <c r="A1444" s="15" t="s">
        <v>1779</v>
      </c>
      <c r="B1444" s="15" t="s">
        <v>1064</v>
      </c>
      <c r="C1444" s="15" t="s">
        <v>1053</v>
      </c>
      <c r="D1444" s="15">
        <v>0.04</v>
      </c>
    </row>
    <row r="1445" spans="1:4" ht="15.75" customHeight="1">
      <c r="A1445" s="15" t="s">
        <v>1780</v>
      </c>
      <c r="B1445" s="15" t="s">
        <v>1064</v>
      </c>
      <c r="C1445" s="15" t="s">
        <v>24</v>
      </c>
      <c r="D1445" s="15">
        <v>0.04</v>
      </c>
    </row>
    <row r="1446" spans="1:4" ht="15.75" customHeight="1">
      <c r="A1446" s="15" t="s">
        <v>1781</v>
      </c>
      <c r="B1446" s="15" t="s">
        <v>1064</v>
      </c>
      <c r="C1446" s="15" t="s">
        <v>1054</v>
      </c>
      <c r="D1446" s="15">
        <v>0.04</v>
      </c>
    </row>
    <row r="1447" spans="1:4" ht="15.75" customHeight="1">
      <c r="A1447" s="15" t="s">
        <v>1782</v>
      </c>
      <c r="B1447" s="15" t="s">
        <v>1064</v>
      </c>
      <c r="C1447" s="15" t="s">
        <v>1055</v>
      </c>
      <c r="D1447" s="15">
        <v>0.04</v>
      </c>
    </row>
    <row r="1448" spans="1:4" ht="15.75" customHeight="1">
      <c r="A1448" s="15" t="s">
        <v>1783</v>
      </c>
      <c r="B1448" s="15" t="s">
        <v>1064</v>
      </c>
      <c r="C1448" s="15" t="s">
        <v>28</v>
      </c>
      <c r="D1448" s="15">
        <v>0.04</v>
      </c>
    </row>
    <row r="1449" spans="1:4" ht="15.75" customHeight="1">
      <c r="A1449" s="15" t="s">
        <v>1784</v>
      </c>
      <c r="B1449" s="15" t="s">
        <v>1064</v>
      </c>
      <c r="C1449" s="15" t="s">
        <v>1061</v>
      </c>
      <c r="D1449" s="15">
        <v>0.04</v>
      </c>
    </row>
    <row r="1450" spans="1:4" ht="15.75" customHeight="1">
      <c r="A1450" s="15" t="s">
        <v>1785</v>
      </c>
      <c r="B1450" s="15" t="s">
        <v>1064</v>
      </c>
      <c r="C1450" s="15" t="s">
        <v>1062</v>
      </c>
      <c r="D1450" s="15">
        <v>0.04</v>
      </c>
    </row>
    <row r="1451" spans="1:4" ht="15.75" customHeight="1">
      <c r="A1451" s="15" t="s">
        <v>1786</v>
      </c>
      <c r="B1451" s="15" t="s">
        <v>1064</v>
      </c>
      <c r="C1451" s="15" t="s">
        <v>27</v>
      </c>
      <c r="D1451" s="15">
        <v>0.04</v>
      </c>
    </row>
    <row r="1452" spans="1:4" ht="15.75" customHeight="1">
      <c r="A1452" s="15" t="s">
        <v>1787</v>
      </c>
      <c r="B1452" s="15" t="s">
        <v>1064</v>
      </c>
      <c r="C1452" s="15" t="s">
        <v>732</v>
      </c>
      <c r="D1452" s="15">
        <v>0.04</v>
      </c>
    </row>
    <row r="1453" spans="1:4" ht="15.75" customHeight="1">
      <c r="A1453" s="15" t="s">
        <v>1788</v>
      </c>
      <c r="B1453" s="15" t="s">
        <v>1064</v>
      </c>
      <c r="C1453" s="15" t="s">
        <v>736</v>
      </c>
      <c r="D1453" s="15">
        <v>0.04</v>
      </c>
    </row>
    <row r="1454" spans="1:4" ht="15.75" customHeight="1">
      <c r="A1454" s="15" t="s">
        <v>1789</v>
      </c>
      <c r="B1454" s="15" t="s">
        <v>1064</v>
      </c>
      <c r="C1454" s="15" t="s">
        <v>733</v>
      </c>
      <c r="D1454" s="15">
        <v>0.04</v>
      </c>
    </row>
    <row r="1455" spans="1:4" ht="15.75" customHeight="1">
      <c r="A1455" s="15" t="s">
        <v>1790</v>
      </c>
      <c r="B1455" s="15" t="s">
        <v>1064</v>
      </c>
      <c r="C1455" s="15" t="s">
        <v>1063</v>
      </c>
      <c r="D1455" s="15">
        <v>0.04</v>
      </c>
    </row>
    <row r="1456" spans="1:4" ht="15.75" customHeight="1">
      <c r="A1456" s="15" t="s">
        <v>1791</v>
      </c>
      <c r="B1456" s="15" t="s">
        <v>1064</v>
      </c>
      <c r="C1456" s="15" t="s">
        <v>26</v>
      </c>
      <c r="D1456" s="15">
        <v>0.04</v>
      </c>
    </row>
    <row r="1457" spans="1:4" ht="15.75" customHeight="1">
      <c r="A1457" s="15" t="s">
        <v>1792</v>
      </c>
      <c r="B1457" s="15" t="s">
        <v>1064</v>
      </c>
      <c r="C1457" s="15" t="s">
        <v>23</v>
      </c>
      <c r="D1457" s="15">
        <v>0.04</v>
      </c>
    </row>
    <row r="1458" spans="1:4" ht="15.75" customHeight="1">
      <c r="A1458" s="15" t="s">
        <v>1793</v>
      </c>
      <c r="B1458" s="15" t="s">
        <v>1064</v>
      </c>
      <c r="C1458" s="15" t="s">
        <v>1060</v>
      </c>
      <c r="D1458" s="15">
        <v>0.04</v>
      </c>
    </row>
    <row r="1459" spans="1:4" ht="15.75" customHeight="1">
      <c r="A1459" s="15" t="s">
        <v>1794</v>
      </c>
      <c r="B1459" s="15" t="s">
        <v>1064</v>
      </c>
      <c r="C1459" s="15" t="s">
        <v>1064</v>
      </c>
      <c r="D1459" s="15">
        <v>0.18</v>
      </c>
    </row>
  </sheetData>
  <autoFilter ref="A1:D1459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Compras</vt:lpstr>
      <vt:lpstr>KM</vt:lpstr>
      <vt:lpstr>IMPOSTO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Monteiro</dc:creator>
  <cp:lastModifiedBy>Valter</cp:lastModifiedBy>
  <dcterms:created xsi:type="dcterms:W3CDTF">2017-04-10T11:37:23Z</dcterms:created>
  <dcterms:modified xsi:type="dcterms:W3CDTF">2026-02-27T18:00:55Z</dcterms:modified>
</cp:coreProperties>
</file>